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눈꽃빙수 관리용 파일 포함\"/>
    </mc:Choice>
  </mc:AlternateContent>
  <xr:revisionPtr revIDLastSave="0" documentId="13_ncr:1_{AFAAD83C-AE90-4C94-BAC7-E80085AD970D}" xr6:coauthVersionLast="47" xr6:coauthVersionMax="47" xr10:uidLastSave="{00000000-0000-0000-0000-000000000000}"/>
  <bookViews>
    <workbookView xWindow="28695" yWindow="0" windowWidth="25095" windowHeight="15585" xr2:uid="{2C5C70FA-D80C-4D33-A2BC-2E408606223B}"/>
  </bookViews>
  <sheets>
    <sheet name="국내시장 완전 샘플" sheetId="2" r:id="rId1"/>
    <sheet name="미국시장 완전샘플" sheetId="3" r:id="rId2"/>
  </sheets>
  <externalReferences>
    <externalReference r:id="rId3"/>
  </externalReferences>
  <definedNames>
    <definedName name="_xlnm._FilterDatabase" localSheetId="0" hidden="1">'국내시장 완전 샘플'!$E$37:$F$39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3" l="1"/>
  <c r="Q28" i="3"/>
  <c r="L28" i="3"/>
  <c r="K28" i="3"/>
  <c r="Q27" i="3"/>
  <c r="K27" i="3"/>
  <c r="L27" i="3" s="1"/>
  <c r="Q26" i="3"/>
  <c r="K26" i="3"/>
  <c r="L26" i="3" s="1"/>
  <c r="Q25" i="3"/>
  <c r="L25" i="3"/>
  <c r="K25" i="3"/>
  <c r="Q24" i="3"/>
  <c r="L24" i="3"/>
  <c r="K24" i="3"/>
  <c r="Q23" i="3"/>
  <c r="K23" i="3"/>
  <c r="L23" i="3" s="1"/>
  <c r="Q22" i="3"/>
  <c r="K22" i="3"/>
  <c r="L22" i="3" s="1"/>
  <c r="Q21" i="3"/>
  <c r="L21" i="3"/>
  <c r="K21" i="3"/>
  <c r="Q20" i="3"/>
  <c r="L20" i="3"/>
  <c r="K20" i="3"/>
  <c r="Q19" i="3"/>
  <c r="K19" i="3"/>
  <c r="L19" i="3" s="1"/>
  <c r="Q18" i="3"/>
  <c r="K18" i="3"/>
  <c r="L18" i="3" s="1"/>
  <c r="Q17" i="3"/>
  <c r="L17" i="3"/>
  <c r="K17" i="3"/>
  <c r="Q16" i="3"/>
  <c r="L16" i="3"/>
  <c r="K16" i="3"/>
  <c r="Q15" i="3"/>
  <c r="K15" i="3"/>
  <c r="L15" i="3" s="1"/>
  <c r="Q14" i="3"/>
  <c r="K14" i="3"/>
  <c r="L14" i="3" s="1"/>
  <c r="C14" i="3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B14" i="3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Q13" i="3"/>
  <c r="L13" i="3"/>
  <c r="K13" i="3"/>
  <c r="C13" i="3"/>
  <c r="B13" i="3"/>
  <c r="Q12" i="3"/>
  <c r="L12" i="3"/>
  <c r="K12" i="3"/>
  <c r="C12" i="3"/>
  <c r="B12" i="3"/>
  <c r="Q11" i="3"/>
  <c r="K11" i="3"/>
  <c r="L11" i="3" s="1"/>
  <c r="H10" i="3"/>
  <c r="N9" i="3"/>
  <c r="H9" i="3"/>
  <c r="G9" i="3"/>
  <c r="L3" i="3"/>
  <c r="L4" i="3" s="1"/>
  <c r="H2" i="2"/>
  <c r="H3" i="2"/>
  <c r="L4" i="2"/>
  <c r="M16" i="2" s="1"/>
  <c r="L5" i="2"/>
  <c r="M5" i="2"/>
  <c r="E9" i="2"/>
  <c r="F9" i="2"/>
  <c r="G9" i="2"/>
  <c r="H9" i="2"/>
  <c r="F35" i="2" s="1"/>
  <c r="N9" i="2"/>
  <c r="G10" i="2"/>
  <c r="H10" i="2"/>
  <c r="J11" i="2"/>
  <c r="K11" i="2"/>
  <c r="L11" i="2" s="1"/>
  <c r="M11" i="2"/>
  <c r="O11" i="2"/>
  <c r="P11" i="2"/>
  <c r="Q11" i="2"/>
  <c r="K12" i="2"/>
  <c r="L12" i="2"/>
  <c r="M12" i="2"/>
  <c r="O12" i="2"/>
  <c r="P12" i="2"/>
  <c r="Q12" i="2"/>
  <c r="J12" i="2" s="1"/>
  <c r="J13" i="2"/>
  <c r="K13" i="2"/>
  <c r="L13" i="2"/>
  <c r="M13" i="2"/>
  <c r="O13" i="2" s="1"/>
  <c r="Q13" i="2"/>
  <c r="K14" i="2"/>
  <c r="L14" i="2"/>
  <c r="M14" i="2"/>
  <c r="O14" i="2"/>
  <c r="P14" i="2"/>
  <c r="Q14" i="2"/>
  <c r="Q9" i="2" s="1"/>
  <c r="P3" i="2" s="1"/>
  <c r="C15" i="2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D15" i="2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K15" i="2"/>
  <c r="L15" i="2" s="1"/>
  <c r="M15" i="2"/>
  <c r="O15" i="2" s="1"/>
  <c r="P15" i="2"/>
  <c r="Q15" i="2"/>
  <c r="J15" i="2" s="1"/>
  <c r="J16" i="2"/>
  <c r="K16" i="2"/>
  <c r="L16" i="2"/>
  <c r="Q16" i="2"/>
  <c r="J17" i="2"/>
  <c r="K17" i="2"/>
  <c r="L17" i="2"/>
  <c r="M17" i="2"/>
  <c r="O17" i="2"/>
  <c r="P17" i="2"/>
  <c r="Q17" i="2"/>
  <c r="K18" i="2"/>
  <c r="L18" i="2"/>
  <c r="M18" i="2"/>
  <c r="O18" i="2"/>
  <c r="P18" i="2"/>
  <c r="Q18" i="2"/>
  <c r="J18" i="2" s="1"/>
  <c r="K19" i="2"/>
  <c r="L19" i="2" s="1"/>
  <c r="M19" i="2"/>
  <c r="O19" i="2" s="1"/>
  <c r="P19" i="2"/>
  <c r="Q19" i="2"/>
  <c r="J19" i="2" s="1"/>
  <c r="J20" i="2"/>
  <c r="K20" i="2"/>
  <c r="L20" i="2"/>
  <c r="M20" i="2"/>
  <c r="O20" i="2"/>
  <c r="P20" i="2"/>
  <c r="Q20" i="2"/>
  <c r="J21" i="2"/>
  <c r="K21" i="2"/>
  <c r="L21" i="2"/>
  <c r="M21" i="2"/>
  <c r="O21" i="2" s="1"/>
  <c r="P21" i="2"/>
  <c r="Q21" i="2"/>
  <c r="K22" i="2"/>
  <c r="L22" i="2"/>
  <c r="M22" i="2"/>
  <c r="O22" i="2"/>
  <c r="P22" i="2"/>
  <c r="Q22" i="2"/>
  <c r="J22" i="2" s="1"/>
  <c r="K23" i="2"/>
  <c r="L23" i="2" s="1"/>
  <c r="M23" i="2"/>
  <c r="O23" i="2" s="1"/>
  <c r="P23" i="2"/>
  <c r="Q23" i="2"/>
  <c r="J23" i="2" s="1"/>
  <c r="J24" i="2"/>
  <c r="K24" i="2"/>
  <c r="L24" i="2"/>
  <c r="M24" i="2"/>
  <c r="O24" i="2"/>
  <c r="P24" i="2"/>
  <c r="Q24" i="2"/>
  <c r="J25" i="2"/>
  <c r="K25" i="2"/>
  <c r="L25" i="2"/>
  <c r="M25" i="2"/>
  <c r="O25" i="2"/>
  <c r="P25" i="2"/>
  <c r="Q25" i="2"/>
  <c r="K26" i="2"/>
  <c r="L26" i="2"/>
  <c r="M26" i="2"/>
  <c r="O26" i="2"/>
  <c r="P26" i="2"/>
  <c r="Q26" i="2"/>
  <c r="J26" i="2" s="1"/>
  <c r="K27" i="2"/>
  <c r="L27" i="2" s="1"/>
  <c r="M27" i="2"/>
  <c r="O27" i="2" s="1"/>
  <c r="P27" i="2"/>
  <c r="Q27" i="2"/>
  <c r="J27" i="2" s="1"/>
  <c r="J28" i="2"/>
  <c r="K28" i="2"/>
  <c r="L28" i="2"/>
  <c r="M28" i="2"/>
  <c r="O28" i="2"/>
  <c r="P28" i="2"/>
  <c r="Q28" i="2"/>
  <c r="J29" i="2"/>
  <c r="K29" i="2"/>
  <c r="L29" i="2"/>
  <c r="M29" i="2"/>
  <c r="O29" i="2"/>
  <c r="P29" i="2"/>
  <c r="Q29" i="2"/>
  <c r="K30" i="2"/>
  <c r="L30" i="2"/>
  <c r="M30" i="2"/>
  <c r="O30" i="2"/>
  <c r="P30" i="2"/>
  <c r="Q30" i="2"/>
  <c r="J30" i="2" s="1"/>
  <c r="K31" i="2"/>
  <c r="L31" i="2" s="1"/>
  <c r="M31" i="2"/>
  <c r="O31" i="2" s="1"/>
  <c r="P31" i="2"/>
  <c r="Q31" i="2"/>
  <c r="J31" i="2" s="1"/>
  <c r="J32" i="2"/>
  <c r="K32" i="2"/>
  <c r="L32" i="2"/>
  <c r="M32" i="2"/>
  <c r="O32" i="2"/>
  <c r="P32" i="2"/>
  <c r="Q32" i="2"/>
  <c r="F36" i="2"/>
  <c r="F38" i="2"/>
  <c r="F37" i="2" s="1"/>
  <c r="F39" i="2"/>
  <c r="F40" i="2"/>
  <c r="F41" i="2"/>
  <c r="F42" i="2"/>
  <c r="J24" i="3" l="1"/>
  <c r="J20" i="3"/>
  <c r="J28" i="3"/>
  <c r="J12" i="3"/>
  <c r="J21" i="3"/>
  <c r="M28" i="3"/>
  <c r="J27" i="3"/>
  <c r="M24" i="3"/>
  <c r="J23" i="3"/>
  <c r="M20" i="3"/>
  <c r="J19" i="3"/>
  <c r="M16" i="3"/>
  <c r="J15" i="3"/>
  <c r="M12" i="3"/>
  <c r="J11" i="3"/>
  <c r="M19" i="3"/>
  <c r="J14" i="3"/>
  <c r="J26" i="3"/>
  <c r="M23" i="3"/>
  <c r="M15" i="3"/>
  <c r="M11" i="3"/>
  <c r="M25" i="3"/>
  <c r="M21" i="3"/>
  <c r="M17" i="3"/>
  <c r="M13" i="3"/>
  <c r="M26" i="3"/>
  <c r="M14" i="3"/>
  <c r="J18" i="3"/>
  <c r="M22" i="3"/>
  <c r="M18" i="3"/>
  <c r="M27" i="3"/>
  <c r="J22" i="3"/>
  <c r="L5" i="3"/>
  <c r="M5" i="3" s="1"/>
  <c r="J25" i="3"/>
  <c r="J16" i="3"/>
  <c r="J13" i="3"/>
  <c r="J17" i="3"/>
  <c r="Q9" i="3"/>
  <c r="P3" i="3" s="1"/>
  <c r="Q5" i="3" s="1"/>
  <c r="Q5" i="2"/>
  <c r="P4" i="2"/>
  <c r="O16" i="2"/>
  <c r="P16" i="2"/>
  <c r="J14" i="2"/>
  <c r="J9" i="2" s="1"/>
  <c r="J10" i="2"/>
  <c r="P13" i="2"/>
  <c r="P14" i="3" l="1"/>
  <c r="O14" i="3"/>
  <c r="P13" i="3"/>
  <c r="O13" i="3"/>
  <c r="P22" i="3"/>
  <c r="O22" i="3"/>
  <c r="P28" i="3"/>
  <c r="O28" i="3"/>
  <c r="P19" i="3"/>
  <c r="O19" i="3"/>
  <c r="P26" i="3"/>
  <c r="O26" i="3"/>
  <c r="J10" i="3"/>
  <c r="J9" i="3"/>
  <c r="P12" i="3"/>
  <c r="O12" i="3"/>
  <c r="P17" i="3"/>
  <c r="O17" i="3"/>
  <c r="P21" i="3"/>
  <c r="O21" i="3"/>
  <c r="O16" i="3"/>
  <c r="P16" i="3"/>
  <c r="P25" i="3"/>
  <c r="O25" i="3"/>
  <c r="P4" i="3"/>
  <c r="O20" i="3"/>
  <c r="P20" i="3"/>
  <c r="P11" i="3"/>
  <c r="O11" i="3"/>
  <c r="P27" i="3"/>
  <c r="O27" i="3"/>
  <c r="O15" i="3"/>
  <c r="P15" i="3"/>
  <c r="O24" i="3"/>
  <c r="P24" i="3"/>
  <c r="P18" i="3"/>
  <c r="O18" i="3"/>
  <c r="O23" i="3"/>
  <c r="P23" i="3"/>
</calcChain>
</file>

<file path=xl/sharedStrings.xml><?xml version="1.0" encoding="utf-8"?>
<sst xmlns="http://schemas.openxmlformats.org/spreadsheetml/2006/main" count="161" uniqueCount="130">
  <si>
    <t>재건</t>
    <phoneticPr fontId="7" type="noConversion"/>
  </si>
  <si>
    <t>우주</t>
    <phoneticPr fontId="7" type="noConversion"/>
  </si>
  <si>
    <t>통신관련 주</t>
    <phoneticPr fontId="7" type="noConversion"/>
  </si>
  <si>
    <t>원전, 전력기기, ESS, LNG</t>
    <phoneticPr fontId="7" type="noConversion"/>
  </si>
  <si>
    <t>반도체 + 기판</t>
    <phoneticPr fontId="7" type="noConversion"/>
  </si>
  <si>
    <t>주식비중</t>
    <phoneticPr fontId="7" type="noConversion"/>
  </si>
  <si>
    <t>반도체레버</t>
    <phoneticPr fontId="7" type="noConversion"/>
  </si>
  <si>
    <t>현금</t>
    <phoneticPr fontId="7" type="noConversion"/>
  </si>
  <si>
    <t>DL</t>
  </si>
  <si>
    <t>산일전기</t>
  </si>
  <si>
    <t>LG에너지솔루션</t>
  </si>
  <si>
    <t>SNT에너지</t>
  </si>
  <si>
    <t>엘앤에프</t>
  </si>
  <si>
    <t>세아베스틸지주</t>
  </si>
  <si>
    <t>미래에셋벤처투자</t>
  </si>
  <si>
    <t>전진건설로봇</t>
  </si>
  <si>
    <t>RFHIC</t>
  </si>
  <si>
    <t>오이솔루션</t>
  </si>
  <si>
    <t>RF머트리얼즈</t>
  </si>
  <si>
    <t>대덕전자</t>
  </si>
  <si>
    <t>코리아써키트</t>
  </si>
  <si>
    <t>티엘비</t>
  </si>
  <si>
    <t>원익IPS</t>
  </si>
  <si>
    <t>피에스케이</t>
  </si>
  <si>
    <t>LG이노텍</t>
  </si>
  <si>
    <t>브이엠</t>
  </si>
  <si>
    <t>기가비스</t>
  </si>
  <si>
    <t>KODEX 반도체레버리지</t>
  </si>
  <si>
    <t>KODEX 인버스</t>
  </si>
  <si>
    <t>KODEX 코스닥150선물인버스</t>
  </si>
  <si>
    <t>(억)</t>
    <phoneticPr fontId="7" type="noConversion"/>
  </si>
  <si>
    <t>(수량)</t>
    <phoneticPr fontId="7" type="noConversion"/>
  </si>
  <si>
    <t>(%)</t>
    <phoneticPr fontId="7" type="noConversion"/>
  </si>
  <si>
    <t>률</t>
    <phoneticPr fontId="7" type="noConversion"/>
  </si>
  <si>
    <t>증 감</t>
    <phoneticPr fontId="7" type="noConversion"/>
  </si>
  <si>
    <t>편입비</t>
    <phoneticPr fontId="7" type="noConversion"/>
  </si>
  <si>
    <t>현보유</t>
    <phoneticPr fontId="7" type="noConversion"/>
  </si>
  <si>
    <t>편입가능</t>
    <phoneticPr fontId="7" type="noConversion"/>
  </si>
  <si>
    <t>수익</t>
    <phoneticPr fontId="7" type="noConversion"/>
  </si>
  <si>
    <t>매입가</t>
    <phoneticPr fontId="7" type="noConversion"/>
  </si>
  <si>
    <t>비중</t>
    <phoneticPr fontId="7" type="noConversion"/>
  </si>
  <si>
    <t>목표비중</t>
    <phoneticPr fontId="7" type="noConversion"/>
  </si>
  <si>
    <t>현재포트</t>
    <phoneticPr fontId="7" type="noConversion"/>
  </si>
  <si>
    <t>현재가</t>
    <phoneticPr fontId="7" type="noConversion"/>
  </si>
  <si>
    <t>종목명</t>
    <phoneticPr fontId="7" type="noConversion"/>
  </si>
  <si>
    <t>NO</t>
    <phoneticPr fontId="7" type="noConversion"/>
  </si>
  <si>
    <t>평가액</t>
    <phoneticPr fontId="7" type="noConversion"/>
  </si>
  <si>
    <t>편입</t>
    <phoneticPr fontId="7" type="noConversion"/>
  </si>
  <si>
    <t>편   입</t>
    <phoneticPr fontId="7" type="noConversion"/>
  </si>
  <si>
    <t>보유</t>
    <phoneticPr fontId="7" type="noConversion"/>
  </si>
  <si>
    <t>주  가</t>
    <phoneticPr fontId="7" type="noConversion"/>
  </si>
  <si>
    <t>기 준 가</t>
    <phoneticPr fontId="7" type="noConversion"/>
  </si>
  <si>
    <t>현금잔고</t>
    <phoneticPr fontId="7" type="noConversion"/>
  </si>
  <si>
    <t>순 자 산</t>
    <phoneticPr fontId="7" type="noConversion"/>
  </si>
  <si>
    <t>주식평가액</t>
    <phoneticPr fontId="7" type="noConversion"/>
  </si>
  <si>
    <t>원본좌수</t>
    <phoneticPr fontId="7" type="noConversion"/>
  </si>
  <si>
    <t>코스닥</t>
    <phoneticPr fontId="7" type="noConversion"/>
  </si>
  <si>
    <t>거래소</t>
    <phoneticPr fontId="7" type="noConversion"/>
  </si>
  <si>
    <t>CODE</t>
    <phoneticPr fontId="7" type="noConversion"/>
  </si>
  <si>
    <t>투자사유</t>
    <phoneticPr fontId="7" type="noConversion"/>
  </si>
  <si>
    <t>달러</t>
    <phoneticPr fontId="7" type="noConversion"/>
  </si>
  <si>
    <t>STX</t>
    <phoneticPr fontId="7" type="noConversion"/>
  </si>
  <si>
    <t>시게이트</t>
    <phoneticPr fontId="7" type="noConversion"/>
  </si>
  <si>
    <t>WDC</t>
    <phoneticPr fontId="7" type="noConversion"/>
  </si>
  <si>
    <t>웨스턴디지털</t>
    <phoneticPr fontId="7" type="noConversion"/>
  </si>
  <si>
    <t>SN DK</t>
    <phoneticPr fontId="7" type="noConversion"/>
  </si>
  <si>
    <t>샌디스크</t>
    <phoneticPr fontId="7" type="noConversion"/>
  </si>
  <si>
    <t>FORM</t>
    <phoneticPr fontId="7" type="noConversion"/>
  </si>
  <si>
    <t>폼팩터</t>
    <phoneticPr fontId="7" type="noConversion"/>
  </si>
  <si>
    <t>LRCX</t>
    <phoneticPr fontId="7" type="noConversion"/>
  </si>
  <si>
    <t>램리서치</t>
    <phoneticPr fontId="7" type="noConversion"/>
  </si>
  <si>
    <t>KLAC</t>
    <phoneticPr fontId="7" type="noConversion"/>
  </si>
  <si>
    <t>KLA</t>
    <phoneticPr fontId="7" type="noConversion"/>
  </si>
  <si>
    <t>INTC</t>
    <phoneticPr fontId="7" type="noConversion"/>
  </si>
  <si>
    <t>인텔</t>
    <phoneticPr fontId="7" type="noConversion"/>
  </si>
  <si>
    <t>POWL</t>
    <phoneticPr fontId="7" type="noConversion"/>
  </si>
  <si>
    <t>파월 인더스트리스</t>
    <phoneticPr fontId="7" type="noConversion"/>
  </si>
  <si>
    <t>MTZ</t>
    <phoneticPr fontId="7" type="noConversion"/>
  </si>
  <si>
    <t>마즈텍</t>
    <phoneticPr fontId="7" type="noConversion"/>
  </si>
  <si>
    <t>GEV</t>
    <phoneticPr fontId="7" type="noConversion"/>
  </si>
  <si>
    <t>GE 버노바</t>
    <phoneticPr fontId="7" type="noConversion"/>
  </si>
  <si>
    <t>JBL</t>
    <phoneticPr fontId="7" type="noConversion"/>
  </si>
  <si>
    <t>쟈빌</t>
    <phoneticPr fontId="7" type="noConversion"/>
  </si>
  <si>
    <t>VRT</t>
    <phoneticPr fontId="7" type="noConversion"/>
  </si>
  <si>
    <t>버티브 홀딩스</t>
    <phoneticPr fontId="7" type="noConversion"/>
  </si>
  <si>
    <t>TTMI</t>
    <phoneticPr fontId="7" type="noConversion"/>
  </si>
  <si>
    <t>TTM테크놀로지</t>
    <phoneticPr fontId="7" type="noConversion"/>
  </si>
  <si>
    <t>AAOI</t>
    <phoneticPr fontId="7" type="noConversion"/>
  </si>
  <si>
    <t>어플라이트 옵토일렉트로닉스</t>
    <phoneticPr fontId="7" type="noConversion"/>
  </si>
  <si>
    <t>GLW</t>
    <phoneticPr fontId="7" type="noConversion"/>
  </si>
  <si>
    <t>코닝</t>
    <phoneticPr fontId="7" type="noConversion"/>
  </si>
  <si>
    <t>VECO</t>
    <phoneticPr fontId="7" type="noConversion"/>
  </si>
  <si>
    <t>비코 인스트루먼트</t>
    <phoneticPr fontId="7" type="noConversion"/>
  </si>
  <si>
    <t>MRVL</t>
    <phoneticPr fontId="7" type="noConversion"/>
  </si>
  <si>
    <t>마벨테크놀로지</t>
    <phoneticPr fontId="7" type="noConversion"/>
  </si>
  <si>
    <t>ASX</t>
    <phoneticPr fontId="7" type="noConversion"/>
  </si>
  <si>
    <t>ASE테크놀로지</t>
    <phoneticPr fontId="7" type="noConversion"/>
  </si>
  <si>
    <t xml:space="preserve">번외로 제경험상 시장이 조정 받고 나서 반등할때 종목을 압축하자 </t>
    <phoneticPr fontId="7" type="noConversion"/>
  </si>
  <si>
    <r>
      <rPr>
        <sz val="9"/>
        <rFont val="돋움"/>
        <family val="3"/>
        <charset val="129"/>
      </rPr>
      <t>조건에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9"/>
        <rFont val="돋움"/>
        <family val="3"/>
        <charset val="129"/>
      </rPr>
      <t>맞춰</t>
    </r>
    <r>
      <rPr>
        <sz val="11"/>
        <color theme="1"/>
        <rFont val="맑은 고딕"/>
        <family val="2"/>
        <charset val="129"/>
        <scheme val="minor"/>
      </rPr>
      <t xml:space="preserve"> 10</t>
    </r>
    <r>
      <rPr>
        <sz val="9"/>
        <rFont val="돋움"/>
        <family val="3"/>
        <charset val="129"/>
      </rPr>
      <t>개</t>
    </r>
    <r>
      <rPr>
        <sz val="11"/>
        <color theme="1"/>
        <rFont val="맑은 고딕"/>
        <family val="2"/>
        <charset val="129"/>
        <scheme val="minor"/>
      </rPr>
      <t>(</t>
    </r>
    <r>
      <rPr>
        <sz val="9"/>
        <rFont val="돋움"/>
        <family val="3"/>
        <charset val="129"/>
      </rPr>
      <t>확장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9"/>
        <rFont val="돋움"/>
        <family val="3"/>
        <charset val="129"/>
      </rPr>
      <t>시</t>
    </r>
    <r>
      <rPr>
        <sz val="11"/>
        <color theme="1"/>
        <rFont val="맑은 고딕"/>
        <family val="2"/>
        <charset val="129"/>
        <scheme val="minor"/>
      </rPr>
      <t xml:space="preserve"> 20</t>
    </r>
    <r>
      <rPr>
        <sz val="9"/>
        <rFont val="돋움"/>
        <family val="3"/>
        <charset val="129"/>
      </rPr>
      <t>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9"/>
        <rFont val="돋움"/>
        <family val="3"/>
        <charset val="129"/>
      </rPr>
      <t>또는</t>
    </r>
    <r>
      <rPr>
        <sz val="11"/>
        <color theme="1"/>
        <rFont val="맑은 고딕"/>
        <family val="2"/>
        <charset val="129"/>
        <scheme val="minor"/>
      </rPr>
      <t xml:space="preserve"> 30</t>
    </r>
    <r>
      <rPr>
        <sz val="9"/>
        <rFont val="돋움"/>
        <family val="3"/>
        <charset val="129"/>
      </rPr>
      <t>개</t>
    </r>
    <r>
      <rPr>
        <sz val="11"/>
        <color theme="1"/>
        <rFont val="맑은 고딕"/>
        <family val="2"/>
        <charset val="129"/>
        <scheme val="minor"/>
      </rPr>
      <t xml:space="preserve">) </t>
    </r>
    <r>
      <rPr>
        <sz val="9"/>
        <rFont val="돋움"/>
        <family val="3"/>
        <charset val="129"/>
      </rPr>
      <t>종목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9"/>
        <rFont val="돋움"/>
        <family val="3"/>
        <charset val="129"/>
      </rPr>
      <t>포트폴리오를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9"/>
        <rFont val="돋움"/>
        <family val="3"/>
        <charset val="129"/>
      </rPr>
      <t>뽑아줘</t>
    </r>
    <r>
      <rPr>
        <sz val="11"/>
        <color theme="1"/>
        <rFont val="맑은 고딕"/>
        <family val="2"/>
        <charset val="129"/>
        <scheme val="minor"/>
      </rPr>
      <t>:</t>
    </r>
  </si>
  <si>
    <t>1. 입력 데이터</t>
  </si>
  <si>
    <r>
      <t xml:space="preserve">오늘자 </t>
    </r>
    <r>
      <rPr>
        <b/>
        <sz val="9"/>
        <rFont val="Arial"/>
        <family val="2"/>
      </rPr>
      <t>52주 신고가 종목 리스트</t>
    </r>
  </si>
  <si>
    <t>ETF 단위의 RS 및 변동성 조정 모멘텀 지표</t>
  </si>
  <si>
    <t>2. ETF 시그널 생성 (합집합 로직)</t>
  </si>
  <si>
    <t>RS 평균 ≥ 70이거나 변동성 모멘텀 상위인 ETF만 포함</t>
  </si>
  <si>
    <t>해당 ETF들의 섹터를 전부 합집합으로 만든다</t>
  </si>
  <si>
    <r>
      <t xml:space="preserve">이 ETF들은 단지 시그널로만 사용하고 </t>
    </r>
    <r>
      <rPr>
        <b/>
        <sz val="9"/>
        <rFont val="Arial"/>
        <family val="2"/>
      </rPr>
      <t>직접 편입하지 않는다</t>
    </r>
  </si>
  <si>
    <t>3. 개별 종목 교집합 필터링</t>
  </si>
  <si>
    <r>
      <t xml:space="preserve">위에서 도출된 ETF 섹터와 </t>
    </r>
    <r>
      <rPr>
        <b/>
        <sz val="9"/>
        <rFont val="Arial"/>
        <family val="2"/>
      </rPr>
      <t>교집합</t>
    </r>
    <r>
      <rPr>
        <sz val="11"/>
        <color theme="1"/>
        <rFont val="맑은 고딕"/>
        <family val="2"/>
        <charset val="129"/>
        <scheme val="minor"/>
      </rPr>
      <t>이 되는</t>
    </r>
  </si>
  <si>
    <t>오늘자 52주 신고가 종목만 후보로 인정</t>
  </si>
  <si>
    <r>
      <t xml:space="preserve">ETF명은 종목의 </t>
    </r>
    <r>
      <rPr>
        <b/>
        <sz val="9"/>
        <rFont val="Arial"/>
        <family val="2"/>
      </rPr>
      <t>테마 매핑 정보</t>
    </r>
    <r>
      <rPr>
        <sz val="11"/>
        <color theme="1"/>
        <rFont val="맑은 고딕"/>
        <family val="2"/>
        <charset val="129"/>
        <scheme val="minor"/>
      </rPr>
      <t>로만 사용</t>
    </r>
  </si>
  <si>
    <t>4. 최종 필터링</t>
  </si>
  <si>
    <r>
      <t xml:space="preserve">최근 1개월 이내 </t>
    </r>
    <r>
      <rPr>
        <b/>
        <sz val="9"/>
        <rFont val="Arial"/>
        <family val="2"/>
      </rPr>
      <t>컨센서스(EPS·매출)</t>
    </r>
    <r>
      <rPr>
        <sz val="11"/>
        <color theme="1"/>
        <rFont val="맑은 고딕"/>
        <family val="2"/>
        <charset val="129"/>
        <scheme val="minor"/>
      </rPr>
      <t xml:space="preserve"> 전망치가 상향된 종목만 최종 통과</t>
    </r>
  </si>
  <si>
    <t>섹터 쏠림 방지:</t>
  </si>
  <si>
    <t>반도체·AI / 원자재·광물 / 원전·에너지 / 클린에너지 / 방산 / 중국 테크 / 통신 등으로 분산 구성</t>
  </si>
  <si>
    <t>5. 출력 형식</t>
  </si>
  <si>
    <t>10개 코어 포트폴리오 → 20개 확장 → 30개 확장 순서로 제시</t>
  </si>
  <si>
    <t>표로 정리:</t>
  </si>
  <si>
    <t>Ticker | Company | Sector/Theme | ETF 시그널 매핑 | RS/모멘텀 근거 | 컨센 동향 코멘트</t>
  </si>
  <si>
    <r>
      <t xml:space="preserve">마지막에 </t>
    </r>
    <r>
      <rPr>
        <b/>
        <sz val="9"/>
        <rFont val="Arial"/>
        <family val="2"/>
      </rPr>
      <t>가로로 티커 리스트</t>
    </r>
    <r>
      <rPr>
        <sz val="11"/>
        <color theme="1"/>
        <rFont val="맑은 고딕"/>
        <family val="2"/>
        <charset val="129"/>
        <scheme val="minor"/>
      </rPr>
      <t xml:space="preserve"> 제시</t>
    </r>
  </si>
  <si>
    <t>🚫 ETF 자체는 결과 표에 포함하지 않는다</t>
  </si>
  <si>
    <r>
      <t>5</t>
    </r>
    <r>
      <rPr>
        <b/>
        <sz val="9"/>
        <rFont val="맑은 고딕"/>
        <family val="3"/>
        <charset val="129"/>
      </rPr>
      <t>번에서</t>
    </r>
    <r>
      <rPr>
        <b/>
        <sz val="9"/>
        <rFont val="Arial"/>
        <family val="2"/>
      </rPr>
      <t xml:space="preserve"> </t>
    </r>
    <r>
      <rPr>
        <b/>
        <sz val="9"/>
        <rFont val="맑은 고딕"/>
        <family val="3"/>
        <charset val="129"/>
      </rPr>
      <t>거래대금</t>
    </r>
    <r>
      <rPr>
        <b/>
        <sz val="9"/>
        <rFont val="Arial"/>
        <family val="2"/>
      </rPr>
      <t xml:space="preserve"> </t>
    </r>
    <r>
      <rPr>
        <b/>
        <sz val="9"/>
        <rFont val="맑은 고딕"/>
        <family val="3"/>
        <charset val="129"/>
      </rPr>
      <t>강도가</t>
    </r>
    <r>
      <rPr>
        <b/>
        <sz val="9"/>
        <rFont val="Arial"/>
        <family val="2"/>
      </rPr>
      <t xml:space="preserve"> </t>
    </r>
    <r>
      <rPr>
        <b/>
        <sz val="9"/>
        <rFont val="맑은 고딕"/>
        <family val="3"/>
        <charset val="129"/>
      </rPr>
      <t>위로</t>
    </r>
    <r>
      <rPr>
        <b/>
        <sz val="9"/>
        <rFont val="Arial"/>
        <family val="2"/>
      </rPr>
      <t xml:space="preserve"> </t>
    </r>
    <r>
      <rPr>
        <b/>
        <sz val="9"/>
        <rFont val="맑은 고딕"/>
        <family val="3"/>
        <charset val="129"/>
      </rPr>
      <t>오를</t>
    </r>
    <r>
      <rPr>
        <b/>
        <sz val="9"/>
        <rFont val="Arial"/>
        <family val="2"/>
      </rPr>
      <t xml:space="preserve"> </t>
    </r>
    <r>
      <rPr>
        <b/>
        <sz val="9"/>
        <rFont val="맑은 고딕"/>
        <family val="3"/>
        <charset val="129"/>
      </rPr>
      <t>룸이</t>
    </r>
    <r>
      <rPr>
        <b/>
        <sz val="9"/>
        <rFont val="Arial"/>
        <family val="2"/>
      </rPr>
      <t xml:space="preserve"> </t>
    </r>
    <r>
      <rPr>
        <b/>
        <sz val="9"/>
        <rFont val="맑은 고딕"/>
        <family val="3"/>
        <charset val="129"/>
      </rPr>
      <t>있는</t>
    </r>
    <r>
      <rPr>
        <b/>
        <sz val="9"/>
        <rFont val="Arial"/>
        <family val="2"/>
      </rPr>
      <t xml:space="preserve"> </t>
    </r>
    <r>
      <rPr>
        <b/>
        <sz val="9"/>
        <rFont val="맑은 고딕"/>
        <family val="3"/>
        <charset val="129"/>
      </rPr>
      <t>것을</t>
    </r>
    <r>
      <rPr>
        <b/>
        <sz val="9"/>
        <rFont val="Arial"/>
        <family val="2"/>
      </rPr>
      <t xml:space="preserve"> </t>
    </r>
    <r>
      <rPr>
        <b/>
        <sz val="9"/>
        <rFont val="맑은 고딕"/>
        <family val="3"/>
        <charset val="129"/>
      </rPr>
      <t>선택한다</t>
    </r>
    <r>
      <rPr>
        <b/>
        <sz val="9"/>
        <rFont val="Arial"/>
        <family val="2"/>
      </rPr>
      <t>.</t>
    </r>
    <phoneticPr fontId="7" type="noConversion"/>
  </si>
  <si>
    <t xml:space="preserve">투자하다보면 섹터가 몰릴 수 있는데 한섹터로 40% 이상 투자하지 않는다. </t>
    <phoneticPr fontId="7" type="noConversion"/>
  </si>
  <si>
    <r>
      <rPr>
        <b/>
        <sz val="9"/>
        <rFont val="맑은 고딕"/>
        <family val="3"/>
        <charset val="129"/>
      </rPr>
      <t>매도</t>
    </r>
    <r>
      <rPr>
        <b/>
        <sz val="9"/>
        <rFont val="Arial"/>
        <family val="2"/>
      </rPr>
      <t xml:space="preserve"> </t>
    </r>
    <r>
      <rPr>
        <b/>
        <sz val="9"/>
        <rFont val="맑은 고딕"/>
        <family val="3"/>
        <charset val="129"/>
      </rPr>
      <t>및</t>
    </r>
    <r>
      <rPr>
        <b/>
        <sz val="9"/>
        <rFont val="Arial"/>
        <family val="2"/>
      </rPr>
      <t xml:space="preserve"> </t>
    </r>
    <r>
      <rPr>
        <b/>
        <sz val="9"/>
        <rFont val="맑은 고딕"/>
        <family val="3"/>
        <charset val="129"/>
      </rPr>
      <t>교체방법</t>
    </r>
    <phoneticPr fontId="7" type="noConversion"/>
  </si>
  <si>
    <r>
      <t>1. 10</t>
    </r>
    <r>
      <rPr>
        <sz val="9"/>
        <rFont val="맑은 고딕"/>
        <family val="3"/>
        <charset val="129"/>
      </rPr>
      <t>일선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9"/>
        <rFont val="맑은 고딕"/>
        <family val="3"/>
        <charset val="129"/>
      </rPr>
      <t>이탈하면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9"/>
        <rFont val="맑은 고딕"/>
        <family val="3"/>
        <charset val="129"/>
      </rPr>
      <t>정리한다</t>
    </r>
    <r>
      <rPr>
        <sz val="11"/>
        <color theme="1"/>
        <rFont val="맑은 고딕"/>
        <family val="2"/>
        <charset val="129"/>
        <scheme val="minor"/>
      </rPr>
      <t xml:space="preserve">. </t>
    </r>
    <phoneticPr fontId="7" type="noConversion"/>
  </si>
  <si>
    <r>
      <t>(</t>
    </r>
    <r>
      <rPr>
        <sz val="9"/>
        <rFont val="맑은 고딕"/>
        <family val="2"/>
        <charset val="129"/>
      </rPr>
      <t>특히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9"/>
        <rFont val="맑은 고딕"/>
        <family val="2"/>
        <charset val="129"/>
      </rPr>
      <t>과열권에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9"/>
        <rFont val="맑은 고딕"/>
        <family val="2"/>
        <charset val="129"/>
      </rPr>
      <t>들어갔던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9"/>
        <rFont val="맑은 고딕"/>
        <family val="2"/>
        <charset val="129"/>
      </rPr>
      <t>피어앤그리드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9"/>
        <rFont val="맑은 고딕"/>
        <family val="2"/>
        <charset val="129"/>
      </rPr>
      <t>오실레이터가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9"/>
        <rFont val="맑은 고딕"/>
        <family val="2"/>
        <charset val="129"/>
      </rPr>
      <t>꺽여서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9"/>
        <rFont val="맑은 고딕"/>
        <family val="2"/>
        <charset val="129"/>
      </rPr>
      <t>내려갈때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9"/>
        <rFont val="맑은 고딕"/>
        <family val="2"/>
        <charset val="129"/>
      </rPr>
      <t>생기면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9"/>
        <rFont val="맑은 고딕"/>
        <family val="2"/>
        <charset val="129"/>
      </rPr>
      <t>현금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9"/>
        <rFont val="맑은 고딕"/>
        <family val="2"/>
        <charset val="129"/>
      </rPr>
      <t>확보용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9"/>
        <rFont val="맑은 고딕"/>
        <family val="2"/>
        <charset val="129"/>
      </rPr>
      <t>매도를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9"/>
        <rFont val="맑은 고딕"/>
        <family val="2"/>
        <charset val="129"/>
      </rPr>
      <t>한다</t>
    </r>
    <r>
      <rPr>
        <sz val="11"/>
        <color theme="1"/>
        <rFont val="맑은 고딕"/>
        <family val="2"/>
        <charset val="129"/>
        <scheme val="minor"/>
      </rPr>
      <t>.)</t>
    </r>
    <phoneticPr fontId="7" type="noConversion"/>
  </si>
  <si>
    <t>2. 주봉상 신고가 갱신후 음봉 나오면 정리한다.</t>
    <phoneticPr fontId="7" type="noConversion"/>
  </si>
  <si>
    <t>3. 거래대금 강도 충분히 상승했으면 정리한다.</t>
    <phoneticPr fontId="7" type="noConversion"/>
  </si>
  <si>
    <r>
      <t xml:space="preserve">4. </t>
    </r>
    <r>
      <rPr>
        <sz val="9"/>
        <rFont val="맑은 고딕"/>
        <family val="2"/>
        <charset val="129"/>
      </rPr>
      <t xml:space="preserve">피어앤그리드 오실레이터 과매도 권에서는 </t>
    </r>
    <r>
      <rPr>
        <sz val="11"/>
        <color theme="1"/>
        <rFont val="맑은 고딕"/>
        <family val="2"/>
        <charset val="129"/>
        <scheme val="minor"/>
      </rPr>
      <t>10</t>
    </r>
    <r>
      <rPr>
        <sz val="9"/>
        <rFont val="맑은 고딕"/>
        <family val="3"/>
        <charset val="129"/>
      </rPr>
      <t>일선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9"/>
        <rFont val="맑은 고딕"/>
        <family val="3"/>
        <charset val="129"/>
      </rPr>
      <t>이탈한다고 해도 일단 냅둬 본다.</t>
    </r>
    <phoneticPr fontId="7" type="noConversion"/>
  </si>
  <si>
    <t>(피어앤그리드 오실레이터 과매도권은 주식을 팔기보다는 사야할 시점이기 때문)</t>
    <phoneticPr fontId="7" type="noConversion"/>
  </si>
  <si>
    <r>
      <t xml:space="preserve">5. </t>
    </r>
    <r>
      <rPr>
        <sz val="9"/>
        <rFont val="맑은 고딕"/>
        <family val="2"/>
        <charset val="129"/>
      </rPr>
      <t>보유비중이 10%에서 5% 줄이는건 최근 최고가 대비 2.5ATR 정도 대충 떨어지면 비중축소로 대응하고, 10일선 이탈시 나머지 정리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</si>
</sst>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%"/>
    <numFmt numFmtId="177" formatCode="#,##0_ "/>
    <numFmt numFmtId="178" formatCode="0_);[Red]\(0\)"/>
    <numFmt numFmtId="179" formatCode="0_ "/>
    <numFmt numFmtId="180" formatCode="_-* #,##0.00_-;\-* #,##0.00_-;_-* &quot;-&quot;_-;_-@_-"/>
    <numFmt numFmtId="181" formatCode="mm&quot;월&quot;\ dd&quot;일&quot;"/>
    <numFmt numFmtId="182" formatCode="0.00_ "/>
    <numFmt numFmtId="183" formatCode="#,##0_);[Red]\(#,##0\)"/>
  </numFmts>
  <fonts count="2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name val="MS Sans Serif"/>
      <family val="2"/>
    </font>
    <font>
      <sz val="8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Arial"/>
      <family val="2"/>
      <charset val="129"/>
    </font>
    <font>
      <sz val="8"/>
      <color theme="1"/>
      <name val="맑은 고딕"/>
      <family val="3"/>
      <charset val="129"/>
    </font>
    <font>
      <sz val="8"/>
      <name val="돋움"/>
      <family val="3"/>
      <charset val="129"/>
    </font>
    <font>
      <b/>
      <sz val="8"/>
      <color theme="1"/>
      <name val="맑은 고딕"/>
      <family val="3"/>
      <charset val="129"/>
    </font>
    <font>
      <sz val="9"/>
      <name val="Arial"/>
      <family val="2"/>
    </font>
    <font>
      <b/>
      <sz val="8"/>
      <color indexed="8"/>
      <name val="맑은 고딕"/>
      <family val="3"/>
      <charset val="129"/>
    </font>
    <font>
      <sz val="8"/>
      <color theme="0"/>
      <name val="맑은 고딕"/>
      <family val="3"/>
      <charset val="129"/>
    </font>
    <font>
      <sz val="8"/>
      <name val="맑은 고딕"/>
      <family val="3"/>
      <charset val="129"/>
    </font>
    <font>
      <sz val="8"/>
      <color indexed="55"/>
      <name val="맑은 고딕"/>
      <family val="3"/>
      <charset val="129"/>
    </font>
    <font>
      <sz val="8"/>
      <color indexed="10"/>
      <name val="맑은 고딕"/>
      <family val="3"/>
      <charset val="129"/>
    </font>
    <font>
      <sz val="8"/>
      <color rgb="FFFFFFFF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9"/>
      <name val="돋움"/>
      <family val="2"/>
      <charset val="129"/>
    </font>
    <font>
      <sz val="9"/>
      <name val="돋움"/>
      <family val="3"/>
      <charset val="129"/>
    </font>
    <font>
      <b/>
      <sz val="9"/>
      <name val="Arial"/>
      <family val="2"/>
    </font>
    <font>
      <sz val="10"/>
      <name val="Arial Unicode MS"/>
      <family val="3"/>
      <charset val="129"/>
    </font>
    <font>
      <b/>
      <sz val="9"/>
      <name val="맑은 고딕"/>
      <family val="3"/>
      <charset val="129"/>
    </font>
    <font>
      <b/>
      <sz val="9"/>
      <color rgb="FFFF0000"/>
      <name val="맑은 고딕"/>
      <family val="2"/>
      <charset val="129"/>
    </font>
    <font>
      <b/>
      <sz val="9"/>
      <name val="Arial"/>
      <family val="3"/>
      <charset val="129"/>
    </font>
    <font>
      <sz val="9"/>
      <name val="맑은 고딕"/>
      <family val="3"/>
      <charset val="129"/>
    </font>
    <font>
      <sz val="9"/>
      <name val="맑은 고딕"/>
      <family val="2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5">
    <xf numFmtId="0" fontId="0" fillId="0" borderId="0">
      <alignment vertical="center"/>
    </xf>
    <xf numFmtId="0" fontId="2" fillId="0" borderId="0" applyNumberForma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07">
    <xf numFmtId="0" fontId="0" fillId="0" borderId="0" xfId="0">
      <alignment vertical="center"/>
    </xf>
    <xf numFmtId="0" fontId="3" fillId="0" borderId="0" xfId="1" applyFont="1" applyFill="1" applyBorder="1" applyAlignment="1">
      <alignment vertical="center" shrinkToFit="1"/>
    </xf>
    <xf numFmtId="41" fontId="3" fillId="0" borderId="0" xfId="2" applyFont="1" applyFill="1" applyBorder="1" applyAlignment="1">
      <alignment vertical="center" shrinkToFit="1"/>
    </xf>
    <xf numFmtId="0" fontId="6" fillId="0" borderId="0" xfId="1" applyFont="1" applyFill="1" applyBorder="1" applyAlignment="1">
      <alignment vertical="center" shrinkToFit="1"/>
    </xf>
    <xf numFmtId="0" fontId="6" fillId="0" borderId="0" xfId="1" applyFont="1" applyFill="1" applyBorder="1" applyAlignment="1">
      <alignment horizontal="center" vertical="center" shrinkToFit="1"/>
    </xf>
    <xf numFmtId="0" fontId="1" fillId="0" borderId="0" xfId="3">
      <alignment vertical="center"/>
    </xf>
    <xf numFmtId="176" fontId="6" fillId="0" borderId="1" xfId="1" applyNumberFormat="1" applyFont="1" applyFill="1" applyBorder="1" applyAlignment="1">
      <alignment horizontal="center" vertical="center" shrinkToFit="1"/>
    </xf>
    <xf numFmtId="0" fontId="6" fillId="0" borderId="1" xfId="1" applyFont="1" applyFill="1" applyBorder="1" applyAlignment="1">
      <alignment horizontal="center" vertical="center" shrinkToFit="1"/>
    </xf>
    <xf numFmtId="176" fontId="8" fillId="2" borderId="1" xfId="1" applyNumberFormat="1" applyFont="1" applyFill="1" applyBorder="1" applyAlignment="1">
      <alignment horizontal="center" vertical="center" shrinkToFit="1"/>
    </xf>
    <xf numFmtId="0" fontId="6" fillId="2" borderId="1" xfId="1" applyFont="1" applyFill="1" applyBorder="1" applyAlignment="1">
      <alignment horizontal="center" vertical="center" shrinkToFit="1"/>
    </xf>
    <xf numFmtId="176" fontId="8" fillId="0" borderId="1" xfId="4" applyNumberFormat="1" applyFont="1" applyFill="1" applyBorder="1" applyAlignment="1">
      <alignment horizontal="center" vertical="center" shrinkToFit="1"/>
    </xf>
    <xf numFmtId="177" fontId="6" fillId="0" borderId="0" xfId="1" applyNumberFormat="1" applyFont="1" applyFill="1" applyBorder="1" applyAlignment="1">
      <alignment vertical="center" shrinkToFit="1"/>
    </xf>
    <xf numFmtId="178" fontId="6" fillId="0" borderId="0" xfId="1" applyNumberFormat="1" applyFont="1" applyFill="1" applyBorder="1" applyAlignment="1">
      <alignment vertical="center" shrinkToFit="1"/>
    </xf>
    <xf numFmtId="9" fontId="6" fillId="0" borderId="0" xfId="5" applyNumberFormat="1" applyFont="1" applyFill="1" applyBorder="1" applyAlignment="1">
      <alignment vertical="center" shrinkToFit="1"/>
    </xf>
    <xf numFmtId="3" fontId="1" fillId="0" borderId="0" xfId="6" applyNumberFormat="1">
      <alignment vertical="center"/>
    </xf>
    <xf numFmtId="0" fontId="1" fillId="0" borderId="0" xfId="6">
      <alignment vertical="center"/>
    </xf>
    <xf numFmtId="176" fontId="6" fillId="0" borderId="0" xfId="7" applyNumberFormat="1" applyFont="1" applyFill="1" applyBorder="1" applyAlignment="1">
      <alignment vertical="center" shrinkToFit="1"/>
    </xf>
    <xf numFmtId="0" fontId="8" fillId="0" borderId="1" xfId="1" applyFont="1" applyFill="1" applyBorder="1" applyAlignment="1">
      <alignment horizontal="center" vertical="center" shrinkToFit="1"/>
    </xf>
    <xf numFmtId="41" fontId="6" fillId="0" borderId="0" xfId="2" applyFont="1" applyFill="1" applyBorder="1" applyAlignment="1">
      <alignment horizontal="right" vertical="center" shrinkToFit="1"/>
    </xf>
    <xf numFmtId="178" fontId="6" fillId="0" borderId="0" xfId="5" applyNumberFormat="1" applyFont="1" applyFill="1" applyBorder="1" applyAlignment="1">
      <alignment vertical="center" shrinkToFit="1"/>
    </xf>
    <xf numFmtId="179" fontId="6" fillId="0" borderId="0" xfId="1" applyNumberFormat="1" applyFont="1" applyFill="1" applyBorder="1" applyAlignment="1">
      <alignment vertical="center" shrinkToFit="1"/>
    </xf>
    <xf numFmtId="176" fontId="6" fillId="0" borderId="0" xfId="1" applyNumberFormat="1" applyFont="1" applyFill="1" applyBorder="1" applyAlignment="1">
      <alignment vertical="center" shrinkToFit="1"/>
    </xf>
    <xf numFmtId="0" fontId="3" fillId="0" borderId="0" xfId="1" applyFont="1" applyFill="1" applyBorder="1" applyAlignment="1">
      <alignment horizontal="center" vertical="center" shrinkToFit="1"/>
    </xf>
    <xf numFmtId="9" fontId="6" fillId="0" borderId="0" xfId="1" applyNumberFormat="1" applyFont="1" applyFill="1" applyBorder="1" applyAlignment="1">
      <alignment vertical="center" shrinkToFit="1"/>
    </xf>
    <xf numFmtId="9" fontId="3" fillId="0" borderId="0" xfId="1" applyNumberFormat="1" applyFont="1" applyFill="1" applyBorder="1" applyAlignment="1">
      <alignment vertical="center" shrinkToFit="1"/>
    </xf>
    <xf numFmtId="43" fontId="3" fillId="0" borderId="0" xfId="1" applyNumberFormat="1" applyFont="1" applyFill="1" applyBorder="1" applyAlignment="1">
      <alignment vertical="center" shrinkToFit="1"/>
    </xf>
    <xf numFmtId="180" fontId="3" fillId="0" borderId="0" xfId="5" applyNumberFormat="1" applyFont="1" applyFill="1" applyBorder="1" applyAlignment="1">
      <alignment vertical="center" shrinkToFit="1"/>
    </xf>
    <xf numFmtId="177" fontId="6" fillId="0" borderId="2" xfId="1" applyNumberFormat="1" applyFont="1" applyFill="1" applyBorder="1" applyAlignment="1">
      <alignment vertical="center" shrinkToFit="1"/>
    </xf>
    <xf numFmtId="178" fontId="6" fillId="0" borderId="2" xfId="1" applyNumberFormat="1" applyFont="1" applyFill="1" applyBorder="1" applyAlignment="1">
      <alignment vertical="center" shrinkToFit="1"/>
    </xf>
    <xf numFmtId="9" fontId="6" fillId="0" borderId="2" xfId="5" applyNumberFormat="1" applyFont="1" applyFill="1" applyBorder="1" applyAlignment="1">
      <alignment vertical="center" shrinkToFit="1"/>
    </xf>
    <xf numFmtId="178" fontId="6" fillId="0" borderId="2" xfId="5" applyNumberFormat="1" applyFont="1" applyFill="1" applyBorder="1" applyAlignment="1">
      <alignment vertical="center" shrinkToFit="1"/>
    </xf>
    <xf numFmtId="176" fontId="6" fillId="0" borderId="2" xfId="7" applyNumberFormat="1" applyFont="1" applyFill="1" applyBorder="1" applyAlignment="1">
      <alignment vertical="center" shrinkToFit="1"/>
    </xf>
    <xf numFmtId="179" fontId="6" fillId="0" borderId="2" xfId="1" applyNumberFormat="1" applyFont="1" applyFill="1" applyBorder="1" applyAlignment="1">
      <alignment vertical="center" shrinkToFit="1"/>
    </xf>
    <xf numFmtId="176" fontId="6" fillId="0" borderId="2" xfId="1" applyNumberFormat="1" applyFont="1" applyFill="1" applyBorder="1" applyAlignment="1">
      <alignment vertical="center" shrinkToFit="1"/>
    </xf>
    <xf numFmtId="176" fontId="6" fillId="0" borderId="3" xfId="7" applyNumberFormat="1" applyFont="1" applyFill="1" applyBorder="1" applyAlignment="1">
      <alignment vertical="center" shrinkToFit="1"/>
    </xf>
    <xf numFmtId="176" fontId="8" fillId="2" borderId="4" xfId="7" applyNumberFormat="1" applyFont="1" applyFill="1" applyBorder="1" applyAlignment="1">
      <alignment vertical="center" shrinkToFit="1"/>
    </xf>
    <xf numFmtId="41" fontId="6" fillId="3" borderId="4" xfId="2" applyFont="1" applyFill="1" applyBorder="1" applyAlignment="1">
      <alignment horizontal="right" vertical="center" shrinkToFit="1"/>
    </xf>
    <xf numFmtId="0" fontId="6" fillId="3" borderId="2" xfId="1" applyFont="1" applyFill="1" applyBorder="1" applyAlignment="1">
      <alignment vertical="center" shrinkToFit="1"/>
    </xf>
    <xf numFmtId="0" fontId="3" fillId="0" borderId="2" xfId="1" applyFont="1" applyFill="1" applyBorder="1" applyAlignment="1">
      <alignment horizontal="center" vertical="center" shrinkToFit="1"/>
    </xf>
    <xf numFmtId="9" fontId="6" fillId="0" borderId="5" xfId="1" applyNumberFormat="1" applyFont="1" applyFill="1" applyBorder="1" applyAlignment="1">
      <alignment vertical="center" shrinkToFit="1"/>
    </xf>
    <xf numFmtId="9" fontId="3" fillId="0" borderId="5" xfId="1" applyNumberFormat="1" applyFont="1" applyFill="1" applyBorder="1" applyAlignment="1">
      <alignment vertical="center" shrinkToFit="1"/>
    </xf>
    <xf numFmtId="177" fontId="6" fillId="0" borderId="6" xfId="1" applyNumberFormat="1" applyFont="1" applyFill="1" applyBorder="1" applyAlignment="1">
      <alignment vertical="center" shrinkToFit="1"/>
    </xf>
    <xf numFmtId="178" fontId="6" fillId="0" borderId="6" xfId="1" applyNumberFormat="1" applyFont="1" applyFill="1" applyBorder="1" applyAlignment="1">
      <alignment vertical="center" shrinkToFit="1"/>
    </xf>
    <xf numFmtId="9" fontId="6" fillId="0" borderId="6" xfId="5" applyNumberFormat="1" applyFont="1" applyFill="1" applyBorder="1" applyAlignment="1">
      <alignment vertical="center" shrinkToFit="1"/>
    </xf>
    <xf numFmtId="178" fontId="6" fillId="0" borderId="6" xfId="5" applyNumberFormat="1" applyFont="1" applyFill="1" applyBorder="1" applyAlignment="1">
      <alignment vertical="center" shrinkToFit="1"/>
    </xf>
    <xf numFmtId="176" fontId="6" fillId="0" borderId="6" xfId="7" applyNumberFormat="1" applyFont="1" applyFill="1" applyBorder="1" applyAlignment="1">
      <alignment vertical="center" shrinkToFit="1"/>
    </xf>
    <xf numFmtId="179" fontId="6" fillId="0" borderId="6" xfId="1" applyNumberFormat="1" applyFont="1" applyFill="1" applyBorder="1" applyAlignment="1">
      <alignment vertical="center" shrinkToFit="1"/>
    </xf>
    <xf numFmtId="176" fontId="6" fillId="0" borderId="6" xfId="1" applyNumberFormat="1" applyFont="1" applyFill="1" applyBorder="1" applyAlignment="1">
      <alignment vertical="center" shrinkToFit="1"/>
    </xf>
    <xf numFmtId="176" fontId="6" fillId="0" borderId="7" xfId="7" applyNumberFormat="1" applyFont="1" applyFill="1" applyBorder="1" applyAlignment="1">
      <alignment vertical="center" shrinkToFit="1"/>
    </xf>
    <xf numFmtId="176" fontId="8" fillId="2" borderId="8" xfId="7" applyNumberFormat="1" applyFont="1" applyFill="1" applyBorder="1" applyAlignment="1">
      <alignment vertical="center" shrinkToFit="1"/>
    </xf>
    <xf numFmtId="41" fontId="6" fillId="3" borderId="8" xfId="2" applyFont="1" applyFill="1" applyBorder="1" applyAlignment="1">
      <alignment horizontal="right" vertical="center" shrinkToFit="1"/>
    </xf>
    <xf numFmtId="0" fontId="6" fillId="3" borderId="6" xfId="1" applyFont="1" applyFill="1" applyBorder="1" applyAlignment="1">
      <alignment vertical="center" shrinkToFit="1"/>
    </xf>
    <xf numFmtId="177" fontId="6" fillId="0" borderId="9" xfId="1" applyNumberFormat="1" applyFont="1" applyFill="1" applyBorder="1" applyAlignment="1">
      <alignment vertical="center" shrinkToFit="1"/>
    </xf>
    <xf numFmtId="178" fontId="6" fillId="0" borderId="9" xfId="1" applyNumberFormat="1" applyFont="1" applyFill="1" applyBorder="1" applyAlignment="1">
      <alignment vertical="center" shrinkToFit="1"/>
    </xf>
    <xf numFmtId="9" fontId="6" fillId="0" borderId="9" xfId="5" applyNumberFormat="1" applyFont="1" applyFill="1" applyBorder="1" applyAlignment="1">
      <alignment vertical="center" shrinkToFit="1"/>
    </xf>
    <xf numFmtId="178" fontId="6" fillId="0" borderId="9" xfId="5" applyNumberFormat="1" applyFont="1" applyFill="1" applyBorder="1" applyAlignment="1">
      <alignment vertical="center" shrinkToFit="1"/>
    </xf>
    <xf numFmtId="176" fontId="6" fillId="0" borderId="9" xfId="7" applyNumberFormat="1" applyFont="1" applyFill="1" applyBorder="1" applyAlignment="1">
      <alignment vertical="center" shrinkToFit="1"/>
    </xf>
    <xf numFmtId="179" fontId="6" fillId="0" borderId="9" xfId="1" applyNumberFormat="1" applyFont="1" applyFill="1" applyBorder="1" applyAlignment="1">
      <alignment vertical="center" shrinkToFit="1"/>
    </xf>
    <xf numFmtId="176" fontId="6" fillId="0" borderId="9" xfId="1" applyNumberFormat="1" applyFont="1" applyFill="1" applyBorder="1" applyAlignment="1">
      <alignment vertical="center" shrinkToFit="1"/>
    </xf>
    <xf numFmtId="176" fontId="6" fillId="0" borderId="10" xfId="7" applyNumberFormat="1" applyFont="1" applyFill="1" applyBorder="1" applyAlignment="1">
      <alignment vertical="center" shrinkToFit="1"/>
    </xf>
    <xf numFmtId="176" fontId="8" fillId="2" borderId="11" xfId="7" applyNumberFormat="1" applyFont="1" applyFill="1" applyBorder="1" applyAlignment="1">
      <alignment vertical="center" shrinkToFit="1"/>
    </xf>
    <xf numFmtId="41" fontId="6" fillId="3" borderId="11" xfId="2" applyFont="1" applyFill="1" applyBorder="1" applyAlignment="1">
      <alignment horizontal="right" vertical="center" shrinkToFit="1"/>
    </xf>
    <xf numFmtId="0" fontId="6" fillId="3" borderId="9" xfId="1" applyFont="1" applyFill="1" applyBorder="1" applyAlignment="1">
      <alignment vertical="center" shrinkToFit="1"/>
    </xf>
    <xf numFmtId="177" fontId="6" fillId="0" borderId="12" xfId="1" applyNumberFormat="1" applyFont="1" applyFill="1" applyBorder="1" applyAlignment="1">
      <alignment vertical="center" shrinkToFit="1"/>
    </xf>
    <xf numFmtId="178" fontId="6" fillId="0" borderId="12" xfId="1" applyNumberFormat="1" applyFont="1" applyFill="1" applyBorder="1" applyAlignment="1">
      <alignment vertical="center" shrinkToFit="1"/>
    </xf>
    <xf numFmtId="9" fontId="6" fillId="0" borderId="12" xfId="5" applyNumberFormat="1" applyFont="1" applyFill="1" applyBorder="1" applyAlignment="1">
      <alignment vertical="center" shrinkToFit="1"/>
    </xf>
    <xf numFmtId="178" fontId="6" fillId="0" borderId="12" xfId="5" applyNumberFormat="1" applyFont="1" applyFill="1" applyBorder="1" applyAlignment="1">
      <alignment vertical="center" shrinkToFit="1"/>
    </xf>
    <xf numFmtId="176" fontId="6" fillId="0" borderId="12" xfId="7" applyNumberFormat="1" applyFont="1" applyFill="1" applyBorder="1" applyAlignment="1">
      <alignment vertical="center" shrinkToFit="1"/>
    </xf>
    <xf numFmtId="179" fontId="6" fillId="0" borderId="12" xfId="1" applyNumberFormat="1" applyFont="1" applyFill="1" applyBorder="1" applyAlignment="1">
      <alignment vertical="center" shrinkToFit="1"/>
    </xf>
    <xf numFmtId="176" fontId="6" fillId="0" borderId="12" xfId="1" applyNumberFormat="1" applyFont="1" applyFill="1" applyBorder="1" applyAlignment="1">
      <alignment vertical="center" shrinkToFit="1"/>
    </xf>
    <xf numFmtId="176" fontId="6" fillId="0" borderId="13" xfId="7" applyNumberFormat="1" applyFont="1" applyFill="1" applyBorder="1" applyAlignment="1">
      <alignment vertical="center" shrinkToFit="1"/>
    </xf>
    <xf numFmtId="176" fontId="8" fillId="2" borderId="14" xfId="7" applyNumberFormat="1" applyFont="1" applyFill="1" applyBorder="1" applyAlignment="1">
      <alignment vertical="center" shrinkToFit="1"/>
    </xf>
    <xf numFmtId="41" fontId="6" fillId="3" borderId="14" xfId="2" applyFont="1" applyFill="1" applyBorder="1" applyAlignment="1">
      <alignment horizontal="right" vertical="center" shrinkToFit="1"/>
    </xf>
    <xf numFmtId="0" fontId="6" fillId="3" borderId="12" xfId="1" applyFont="1" applyFill="1" applyBorder="1" applyAlignment="1">
      <alignment vertical="center" shrinkToFit="1"/>
    </xf>
    <xf numFmtId="177" fontId="6" fillId="0" borderId="15" xfId="1" applyNumberFormat="1" applyFont="1" applyFill="1" applyBorder="1" applyAlignment="1">
      <alignment vertical="center" shrinkToFit="1"/>
    </xf>
    <xf numFmtId="178" fontId="6" fillId="0" borderId="15" xfId="1" applyNumberFormat="1" applyFont="1" applyFill="1" applyBorder="1" applyAlignment="1">
      <alignment vertical="center" shrinkToFit="1"/>
    </xf>
    <xf numFmtId="9" fontId="6" fillId="0" borderId="15" xfId="5" applyNumberFormat="1" applyFont="1" applyFill="1" applyBorder="1" applyAlignment="1">
      <alignment vertical="center" shrinkToFit="1"/>
    </xf>
    <xf numFmtId="178" fontId="6" fillId="0" borderId="15" xfId="5" applyNumberFormat="1" applyFont="1" applyFill="1" applyBorder="1" applyAlignment="1">
      <alignment vertical="center" shrinkToFit="1"/>
    </xf>
    <xf numFmtId="176" fontId="6" fillId="0" borderId="15" xfId="7" applyNumberFormat="1" applyFont="1" applyFill="1" applyBorder="1" applyAlignment="1">
      <alignment vertical="center" shrinkToFit="1"/>
    </xf>
    <xf numFmtId="179" fontId="6" fillId="0" borderId="15" xfId="1" applyNumberFormat="1" applyFont="1" applyFill="1" applyBorder="1" applyAlignment="1">
      <alignment vertical="center" shrinkToFit="1"/>
    </xf>
    <xf numFmtId="176" fontId="6" fillId="0" borderId="15" xfId="1" applyNumberFormat="1" applyFont="1" applyFill="1" applyBorder="1" applyAlignment="1">
      <alignment vertical="center" shrinkToFit="1"/>
    </xf>
    <xf numFmtId="176" fontId="6" fillId="0" borderId="16" xfId="7" applyNumberFormat="1" applyFont="1" applyFill="1" applyBorder="1" applyAlignment="1">
      <alignment vertical="center" shrinkToFit="1"/>
    </xf>
    <xf numFmtId="176" fontId="8" fillId="2" borderId="17" xfId="7" applyNumberFormat="1" applyFont="1" applyFill="1" applyBorder="1" applyAlignment="1">
      <alignment vertical="center" shrinkToFit="1"/>
    </xf>
    <xf numFmtId="41" fontId="6" fillId="3" borderId="17" xfId="2" applyFont="1" applyFill="1" applyBorder="1" applyAlignment="1">
      <alignment horizontal="right" vertical="center" shrinkToFit="1"/>
    </xf>
    <xf numFmtId="0" fontId="6" fillId="3" borderId="15" xfId="1" applyFont="1" applyFill="1" applyBorder="1" applyAlignment="1">
      <alignment vertical="center" shrinkToFit="1"/>
    </xf>
    <xf numFmtId="177" fontId="6" fillId="0" borderId="18" xfId="1" applyNumberFormat="1" applyFont="1" applyFill="1" applyBorder="1" applyAlignment="1">
      <alignment vertical="center" shrinkToFit="1"/>
    </xf>
    <xf numFmtId="178" fontId="6" fillId="0" borderId="18" xfId="1" applyNumberFormat="1" applyFont="1" applyFill="1" applyBorder="1" applyAlignment="1">
      <alignment vertical="center" shrinkToFit="1"/>
    </xf>
    <xf numFmtId="9" fontId="6" fillId="0" borderId="18" xfId="5" applyNumberFormat="1" applyFont="1" applyFill="1" applyBorder="1" applyAlignment="1">
      <alignment vertical="center" shrinkToFit="1"/>
    </xf>
    <xf numFmtId="178" fontId="6" fillId="0" borderId="18" xfId="5" applyNumberFormat="1" applyFont="1" applyFill="1" applyBorder="1" applyAlignment="1">
      <alignment vertical="center" shrinkToFit="1"/>
    </xf>
    <xf numFmtId="176" fontId="6" fillId="0" borderId="18" xfId="7" applyNumberFormat="1" applyFont="1" applyFill="1" applyBorder="1" applyAlignment="1">
      <alignment vertical="center" shrinkToFit="1"/>
    </xf>
    <xf numFmtId="179" fontId="6" fillId="0" borderId="18" xfId="1" applyNumberFormat="1" applyFont="1" applyFill="1" applyBorder="1" applyAlignment="1">
      <alignment vertical="center" shrinkToFit="1"/>
    </xf>
    <xf numFmtId="176" fontId="6" fillId="0" borderId="18" xfId="1" applyNumberFormat="1" applyFont="1" applyFill="1" applyBorder="1" applyAlignment="1">
      <alignment vertical="center" shrinkToFit="1"/>
    </xf>
    <xf numFmtId="176" fontId="6" fillId="0" borderId="19" xfId="7" applyNumberFormat="1" applyFont="1" applyFill="1" applyBorder="1" applyAlignment="1">
      <alignment vertical="center" shrinkToFit="1"/>
    </xf>
    <xf numFmtId="176" fontId="8" fillId="2" borderId="20" xfId="7" applyNumberFormat="1" applyFont="1" applyFill="1" applyBorder="1" applyAlignment="1">
      <alignment vertical="center" shrinkToFit="1"/>
    </xf>
    <xf numFmtId="41" fontId="6" fillId="3" borderId="20" xfId="2" applyFont="1" applyFill="1" applyBorder="1" applyAlignment="1">
      <alignment horizontal="right" vertical="center" shrinkToFit="1"/>
    </xf>
    <xf numFmtId="0" fontId="6" fillId="3" borderId="18" xfId="1" applyFont="1" applyFill="1" applyBorder="1" applyAlignment="1">
      <alignment vertical="center" shrinkToFit="1"/>
    </xf>
    <xf numFmtId="43" fontId="10" fillId="0" borderId="0" xfId="1" applyNumberFormat="1" applyFont="1" applyFill="1" applyBorder="1" applyAlignment="1">
      <alignment vertical="center" shrinkToFit="1"/>
    </xf>
    <xf numFmtId="177" fontId="6" fillId="0" borderId="21" xfId="1" applyNumberFormat="1" applyFont="1" applyFill="1" applyBorder="1" applyAlignment="1">
      <alignment vertical="center" shrinkToFit="1"/>
    </xf>
    <xf numFmtId="178" fontId="6" fillId="0" borderId="21" xfId="1" applyNumberFormat="1" applyFont="1" applyFill="1" applyBorder="1" applyAlignment="1">
      <alignment vertical="center" shrinkToFit="1"/>
    </xf>
    <xf numFmtId="9" fontId="6" fillId="0" borderId="21" xfId="5" applyNumberFormat="1" applyFont="1" applyFill="1" applyBorder="1" applyAlignment="1">
      <alignment vertical="center" shrinkToFit="1"/>
    </xf>
    <xf numFmtId="178" fontId="6" fillId="0" borderId="21" xfId="5" applyNumberFormat="1" applyFont="1" applyFill="1" applyBorder="1" applyAlignment="1">
      <alignment vertical="center" shrinkToFit="1"/>
    </xf>
    <xf numFmtId="176" fontId="6" fillId="0" borderId="21" xfId="7" applyNumberFormat="1" applyFont="1" applyFill="1" applyBorder="1" applyAlignment="1">
      <alignment vertical="center" shrinkToFit="1"/>
    </xf>
    <xf numFmtId="179" fontId="6" fillId="0" borderId="21" xfId="1" applyNumberFormat="1" applyFont="1" applyFill="1" applyBorder="1" applyAlignment="1">
      <alignment vertical="center" shrinkToFit="1"/>
    </xf>
    <xf numFmtId="176" fontId="6" fillId="0" borderId="21" xfId="1" applyNumberFormat="1" applyFont="1" applyFill="1" applyBorder="1" applyAlignment="1">
      <alignment vertical="center" shrinkToFit="1"/>
    </xf>
    <xf numFmtId="176" fontId="6" fillId="0" borderId="22" xfId="7" applyNumberFormat="1" applyFont="1" applyFill="1" applyBorder="1" applyAlignment="1">
      <alignment vertical="center" shrinkToFit="1"/>
    </xf>
    <xf numFmtId="176" fontId="10" fillId="2" borderId="23" xfId="7" applyNumberFormat="1" applyFont="1" applyFill="1" applyBorder="1" applyAlignment="1">
      <alignment vertical="center" shrinkToFit="1"/>
    </xf>
    <xf numFmtId="41" fontId="6" fillId="3" borderId="23" xfId="2" applyFont="1" applyFill="1" applyBorder="1" applyAlignment="1">
      <alignment horizontal="right" vertical="center" shrinkToFit="1"/>
    </xf>
    <xf numFmtId="0" fontId="6" fillId="3" borderId="21" xfId="1" applyFont="1" applyFill="1" applyBorder="1" applyAlignment="1">
      <alignment vertical="center" shrinkToFit="1"/>
    </xf>
    <xf numFmtId="176" fontId="3" fillId="2" borderId="14" xfId="7" applyNumberFormat="1" applyFont="1" applyFill="1" applyBorder="1" applyAlignment="1">
      <alignment vertical="center" shrinkToFit="1"/>
    </xf>
    <xf numFmtId="177" fontId="6" fillId="0" borderId="24" xfId="1" applyNumberFormat="1" applyFont="1" applyFill="1" applyBorder="1" applyAlignment="1">
      <alignment vertical="center" shrinkToFit="1"/>
    </xf>
    <xf numFmtId="178" fontId="6" fillId="0" borderId="24" xfId="1" applyNumberFormat="1" applyFont="1" applyFill="1" applyBorder="1" applyAlignment="1">
      <alignment vertical="center" shrinkToFit="1"/>
    </xf>
    <xf numFmtId="9" fontId="6" fillId="0" borderId="24" xfId="5" applyNumberFormat="1" applyFont="1" applyFill="1" applyBorder="1" applyAlignment="1">
      <alignment vertical="center" shrinkToFit="1"/>
    </xf>
    <xf numFmtId="178" fontId="6" fillId="0" borderId="24" xfId="5" applyNumberFormat="1" applyFont="1" applyFill="1" applyBorder="1" applyAlignment="1">
      <alignment vertical="center" shrinkToFit="1"/>
    </xf>
    <xf numFmtId="176" fontId="6" fillId="0" borderId="24" xfId="7" applyNumberFormat="1" applyFont="1" applyFill="1" applyBorder="1" applyAlignment="1">
      <alignment vertical="center" shrinkToFit="1"/>
    </xf>
    <xf numFmtId="179" fontId="6" fillId="0" borderId="24" xfId="1" applyNumberFormat="1" applyFont="1" applyFill="1" applyBorder="1" applyAlignment="1">
      <alignment vertical="center" shrinkToFit="1"/>
    </xf>
    <xf numFmtId="176" fontId="6" fillId="0" borderId="24" xfId="1" applyNumberFormat="1" applyFont="1" applyFill="1" applyBorder="1" applyAlignment="1">
      <alignment vertical="center" shrinkToFit="1"/>
    </xf>
    <xf numFmtId="176" fontId="6" fillId="0" borderId="25" xfId="7" applyNumberFormat="1" applyFont="1" applyFill="1" applyBorder="1" applyAlignment="1">
      <alignment vertical="center" shrinkToFit="1"/>
    </xf>
    <xf numFmtId="176" fontId="3" fillId="2" borderId="26" xfId="7" applyNumberFormat="1" applyFont="1" applyFill="1" applyBorder="1" applyAlignment="1">
      <alignment vertical="center" shrinkToFit="1"/>
    </xf>
    <xf numFmtId="41" fontId="6" fillId="3" borderId="26" xfId="2" applyFont="1" applyFill="1" applyBorder="1" applyAlignment="1">
      <alignment horizontal="right" vertical="center" shrinkToFit="1"/>
    </xf>
    <xf numFmtId="0" fontId="6" fillId="3" borderId="24" xfId="1" applyFont="1" applyFill="1" applyBorder="1" applyAlignment="1">
      <alignment vertical="center" shrinkToFit="1"/>
    </xf>
    <xf numFmtId="177" fontId="11" fillId="4" borderId="2" xfId="1" applyNumberFormat="1" applyFont="1" applyFill="1" applyBorder="1" applyAlignment="1">
      <alignment vertical="center" shrinkToFit="1"/>
    </xf>
    <xf numFmtId="178" fontId="11" fillId="4" borderId="2" xfId="1" applyNumberFormat="1" applyFont="1" applyFill="1" applyBorder="1" applyAlignment="1">
      <alignment vertical="center" shrinkToFit="1"/>
    </xf>
    <xf numFmtId="9" fontId="11" fillId="4" borderId="2" xfId="5" applyNumberFormat="1" applyFont="1" applyFill="1" applyBorder="1" applyAlignment="1">
      <alignment vertical="center" shrinkToFit="1"/>
    </xf>
    <xf numFmtId="9" fontId="11" fillId="4" borderId="2" xfId="7" applyFont="1" applyFill="1" applyBorder="1" applyAlignment="1">
      <alignment vertical="center" shrinkToFit="1"/>
    </xf>
    <xf numFmtId="176" fontId="8" fillId="4" borderId="2" xfId="4" applyNumberFormat="1" applyFont="1" applyFill="1" applyBorder="1" applyAlignment="1">
      <alignment vertical="center" shrinkToFit="1"/>
    </xf>
    <xf numFmtId="176" fontId="11" fillId="0" borderId="19" xfId="1" applyNumberFormat="1" applyFont="1" applyFill="1" applyBorder="1" applyAlignment="1">
      <alignment vertical="center" shrinkToFit="1"/>
    </xf>
    <xf numFmtId="41" fontId="11" fillId="4" borderId="4" xfId="2" applyFont="1" applyFill="1" applyBorder="1" applyAlignment="1">
      <alignment vertical="center" shrinkToFit="1"/>
    </xf>
    <xf numFmtId="0" fontId="11" fillId="4" borderId="2" xfId="1" applyFont="1" applyFill="1" applyBorder="1" applyAlignment="1">
      <alignment vertical="center" shrinkToFit="1"/>
    </xf>
    <xf numFmtId="49" fontId="11" fillId="4" borderId="2" xfId="1" quotePrefix="1" applyNumberFormat="1" applyFont="1" applyFill="1" applyBorder="1" applyAlignment="1">
      <alignment horizontal="center" vertical="center" shrinkToFit="1"/>
    </xf>
    <xf numFmtId="0" fontId="11" fillId="4" borderId="2" xfId="1" applyFont="1" applyFill="1" applyBorder="1" applyAlignment="1">
      <alignment horizontal="center" vertical="center" shrinkToFit="1"/>
    </xf>
    <xf numFmtId="179" fontId="3" fillId="0" borderId="0" xfId="1" applyNumberFormat="1" applyFont="1" applyFill="1" applyBorder="1" applyAlignment="1">
      <alignment vertical="center" shrinkToFit="1"/>
    </xf>
    <xf numFmtId="179" fontId="11" fillId="0" borderId="0" xfId="1" applyNumberFormat="1" applyFont="1" applyFill="1" applyBorder="1" applyAlignment="1">
      <alignment vertical="center" shrinkToFit="1"/>
    </xf>
    <xf numFmtId="177" fontId="12" fillId="5" borderId="2" xfId="1" applyNumberFormat="1" applyFont="1" applyFill="1" applyBorder="1" applyAlignment="1">
      <alignment horizontal="center" vertical="center" shrinkToFit="1"/>
    </xf>
    <xf numFmtId="0" fontId="12" fillId="6" borderId="2" xfId="1" applyFont="1" applyFill="1" applyBorder="1" applyAlignment="1">
      <alignment horizontal="center" vertical="center" shrinkToFit="1"/>
    </xf>
    <xf numFmtId="41" fontId="12" fillId="6" borderId="2" xfId="5" applyFont="1" applyFill="1" applyBorder="1" applyAlignment="1">
      <alignment horizontal="center" vertical="center" shrinkToFit="1"/>
    </xf>
    <xf numFmtId="176" fontId="6" fillId="7" borderId="27" xfId="7" quotePrefix="1" applyNumberFormat="1" applyFont="1" applyFill="1" applyBorder="1" applyAlignment="1">
      <alignment horizontal="right" vertical="center" shrinkToFit="1"/>
    </xf>
    <xf numFmtId="178" fontId="13" fillId="8" borderId="26" xfId="1" applyNumberFormat="1" applyFont="1" applyFill="1" applyBorder="1" applyAlignment="1">
      <alignment horizontal="center" vertical="center"/>
    </xf>
    <xf numFmtId="178" fontId="13" fillId="8" borderId="28" xfId="1" applyNumberFormat="1" applyFont="1" applyFill="1" applyBorder="1" applyAlignment="1">
      <alignment horizontal="center" vertical="center"/>
    </xf>
    <xf numFmtId="0" fontId="12" fillId="6" borderId="29" xfId="1" applyFont="1" applyFill="1" applyBorder="1" applyAlignment="1">
      <alignment horizontal="center" vertical="center" shrinkToFit="1"/>
    </xf>
    <xf numFmtId="0" fontId="12" fillId="6" borderId="30" xfId="1" applyFont="1" applyFill="1" applyBorder="1" applyAlignment="1">
      <alignment horizontal="center" vertical="center" shrinkToFit="1"/>
    </xf>
    <xf numFmtId="0" fontId="12" fillId="5" borderId="2" xfId="1" applyFont="1" applyFill="1" applyBorder="1" applyAlignment="1">
      <alignment horizontal="center" vertical="center" shrinkToFit="1"/>
    </xf>
    <xf numFmtId="0" fontId="6" fillId="4" borderId="2" xfId="1" quotePrefix="1" applyFont="1" applyFill="1" applyBorder="1" applyAlignment="1">
      <alignment horizontal="center" vertical="center" shrinkToFit="1"/>
    </xf>
    <xf numFmtId="176" fontId="6" fillId="7" borderId="31" xfId="1" applyNumberFormat="1" applyFont="1" applyFill="1" applyBorder="1" applyAlignment="1">
      <alignment horizontal="center" vertical="center" shrinkToFit="1"/>
    </xf>
    <xf numFmtId="176" fontId="6" fillId="9" borderId="31" xfId="1" applyNumberFormat="1" applyFont="1" applyFill="1" applyBorder="1" applyAlignment="1">
      <alignment horizontal="center" vertical="center" shrinkToFit="1"/>
    </xf>
    <xf numFmtId="181" fontId="3" fillId="6" borderId="20" xfId="1" quotePrefix="1" applyNumberFormat="1" applyFont="1" applyFill="1" applyBorder="1" applyAlignment="1">
      <alignment horizontal="center" vertical="center" shrinkToFit="1"/>
    </xf>
    <xf numFmtId="0" fontId="12" fillId="6" borderId="32" xfId="1" applyFont="1" applyFill="1" applyBorder="1" applyAlignment="1">
      <alignment horizontal="center" vertical="center" shrinkToFit="1"/>
    </xf>
    <xf numFmtId="0" fontId="6" fillId="4" borderId="2" xfId="1" applyFont="1" applyFill="1" applyBorder="1" applyAlignment="1">
      <alignment horizontal="center" vertical="center" shrinkToFit="1"/>
    </xf>
    <xf numFmtId="0" fontId="6" fillId="7" borderId="4" xfId="1" applyFont="1" applyFill="1" applyBorder="1" applyAlignment="1">
      <alignment horizontal="center" vertical="center" shrinkToFit="1"/>
    </xf>
    <xf numFmtId="0" fontId="6" fillId="9" borderId="4" xfId="1" applyFont="1" applyFill="1" applyBorder="1" applyAlignment="1">
      <alignment horizontal="center" vertical="center" shrinkToFit="1"/>
    </xf>
    <xf numFmtId="0" fontId="12" fillId="6" borderId="20" xfId="1" applyFont="1" applyFill="1" applyBorder="1" applyAlignment="1">
      <alignment horizontal="center" vertical="center" shrinkToFit="1"/>
    </xf>
    <xf numFmtId="0" fontId="6" fillId="7" borderId="4" xfId="1" applyFont="1" applyFill="1" applyBorder="1" applyAlignment="1">
      <alignment horizontal="right" vertical="center" shrinkToFit="1"/>
    </xf>
    <xf numFmtId="0" fontId="6" fillId="9" borderId="4" xfId="1" applyFont="1" applyFill="1" applyBorder="1" applyAlignment="1">
      <alignment horizontal="right" vertical="center" shrinkToFit="1"/>
    </xf>
    <xf numFmtId="0" fontId="12" fillId="6" borderId="31" xfId="1" applyFont="1" applyFill="1" applyBorder="1" applyAlignment="1">
      <alignment horizontal="center" vertical="center" shrinkToFit="1"/>
    </xf>
    <xf numFmtId="176" fontId="6" fillId="10" borderId="2" xfId="7" applyNumberFormat="1" applyFont="1" applyFill="1" applyBorder="1" applyAlignment="1">
      <alignment horizontal="right" vertical="center" shrinkToFit="1"/>
    </xf>
    <xf numFmtId="178" fontId="6" fillId="10" borderId="2" xfId="1" applyNumberFormat="1" applyFont="1" applyFill="1" applyBorder="1" applyAlignment="1">
      <alignment horizontal="right" vertical="center" shrinkToFit="1"/>
    </xf>
    <xf numFmtId="0" fontId="6" fillId="10" borderId="3" xfId="1" applyFont="1" applyFill="1" applyBorder="1" applyAlignment="1">
      <alignment horizontal="center" vertical="center" shrinkToFit="1"/>
    </xf>
    <xf numFmtId="0" fontId="6" fillId="10" borderId="30" xfId="1" applyFont="1" applyFill="1" applyBorder="1" applyAlignment="1">
      <alignment horizontal="center" vertical="center" shrinkToFit="1"/>
    </xf>
    <xf numFmtId="10" fontId="6" fillId="2" borderId="2" xfId="1" applyNumberFormat="1" applyFont="1" applyFill="1" applyBorder="1" applyAlignment="1">
      <alignment horizontal="right" vertical="center" shrinkToFit="1"/>
    </xf>
    <xf numFmtId="182" fontId="6" fillId="2" borderId="2" xfId="1" applyNumberFormat="1" applyFont="1" applyFill="1" applyBorder="1" applyAlignment="1">
      <alignment horizontal="right" vertical="center" shrinkToFit="1"/>
    </xf>
    <xf numFmtId="0" fontId="6" fillId="2" borderId="2" xfId="1" applyFont="1" applyFill="1" applyBorder="1" applyAlignment="1">
      <alignment horizontal="center" vertical="center" shrinkToFit="1"/>
    </xf>
    <xf numFmtId="31" fontId="3" fillId="0" borderId="0" xfId="1" applyNumberFormat="1" applyFont="1" applyFill="1" applyBorder="1" applyAlignment="1">
      <alignment horizontal="center" vertical="center"/>
    </xf>
    <xf numFmtId="31" fontId="3" fillId="0" borderId="0" xfId="1" applyNumberFormat="1" applyFont="1" applyFill="1" applyBorder="1" applyAlignment="1">
      <alignment horizontal="left" vertical="center"/>
    </xf>
    <xf numFmtId="183" fontId="6" fillId="10" borderId="2" xfId="1" applyNumberFormat="1" applyFont="1" applyFill="1" applyBorder="1" applyAlignment="1">
      <alignment horizontal="right" vertical="center" shrinkToFit="1"/>
    </xf>
    <xf numFmtId="0" fontId="6" fillId="10" borderId="2" xfId="1" applyFont="1" applyFill="1" applyBorder="1" applyAlignment="1">
      <alignment horizontal="center" vertical="center" shrinkToFit="1"/>
    </xf>
    <xf numFmtId="177" fontId="8" fillId="3" borderId="2" xfId="1" applyNumberFormat="1" applyFont="1" applyFill="1" applyBorder="1" applyAlignment="1">
      <alignment horizontal="right" vertical="center" shrinkToFit="1"/>
    </xf>
    <xf numFmtId="31" fontId="14" fillId="0" borderId="0" xfId="1" applyNumberFormat="1" applyFont="1" applyFill="1" applyBorder="1" applyAlignment="1">
      <alignment horizontal="center" vertical="center"/>
    </xf>
    <xf numFmtId="31" fontId="6" fillId="0" borderId="0" xfId="1" applyNumberFormat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 shrinkToFit="1"/>
    </xf>
    <xf numFmtId="0" fontId="6" fillId="8" borderId="2" xfId="1" applyFont="1" applyFill="1" applyBorder="1" applyAlignment="1">
      <alignment horizontal="center" vertical="center" shrinkToFit="1"/>
    </xf>
    <xf numFmtId="176" fontId="3" fillId="0" borderId="33" xfId="7" applyNumberFormat="1" applyFont="1" applyFill="1" applyBorder="1" applyAlignment="1">
      <alignment horizontal="right" vertical="center" shrinkToFit="1"/>
    </xf>
    <xf numFmtId="0" fontId="3" fillId="0" borderId="34" xfId="1" applyFont="1" applyFill="1" applyBorder="1" applyAlignment="1">
      <alignment horizontal="center" vertical="center" shrinkToFit="1"/>
    </xf>
    <xf numFmtId="183" fontId="3" fillId="0" borderId="5" xfId="1" applyNumberFormat="1" applyFont="1" applyFill="1" applyBorder="1" applyAlignment="1">
      <alignment horizontal="center" vertical="center" shrinkToFit="1"/>
    </xf>
    <xf numFmtId="176" fontId="11" fillId="11" borderId="35" xfId="7" applyNumberFormat="1" applyFont="1" applyFill="1" applyBorder="1" applyAlignment="1">
      <alignment horizontal="right" vertical="center" shrinkToFit="1"/>
    </xf>
    <xf numFmtId="0" fontId="3" fillId="0" borderId="36" xfId="1" applyFont="1" applyFill="1" applyBorder="1" applyAlignment="1">
      <alignment horizontal="center" vertical="center" shrinkToFit="1"/>
    </xf>
    <xf numFmtId="183" fontId="3" fillId="0" borderId="0" xfId="1" applyNumberFormat="1" applyFont="1" applyFill="1" applyBorder="1" applyAlignment="1">
      <alignment horizontal="center" vertical="center" shrinkToFit="1"/>
    </xf>
    <xf numFmtId="0" fontId="15" fillId="0" borderId="0" xfId="1" applyFont="1" applyFill="1" applyBorder="1" applyAlignment="1">
      <alignment vertical="center" shrinkToFit="1"/>
    </xf>
    <xf numFmtId="0" fontId="3" fillId="4" borderId="2" xfId="1" applyFont="1" applyFill="1" applyBorder="1" applyAlignment="1">
      <alignment horizontal="center" vertical="center" shrinkToFit="1"/>
    </xf>
    <xf numFmtId="0" fontId="1" fillId="0" borderId="0" xfId="8">
      <alignment vertical="center"/>
    </xf>
    <xf numFmtId="0" fontId="12" fillId="6" borderId="37" xfId="1" applyFont="1" applyFill="1" applyBorder="1" applyAlignment="1">
      <alignment horizontal="center" vertical="center" shrinkToFit="1"/>
    </xf>
    <xf numFmtId="176" fontId="8" fillId="4" borderId="2" xfId="7" applyNumberFormat="1" applyFont="1" applyFill="1" applyBorder="1" applyAlignment="1">
      <alignment vertical="center" shrinkToFit="1"/>
    </xf>
    <xf numFmtId="177" fontId="11" fillId="4" borderId="30" xfId="1" applyNumberFormat="1" applyFont="1" applyFill="1" applyBorder="1" applyAlignment="1">
      <alignment vertical="center" shrinkToFit="1"/>
    </xf>
    <xf numFmtId="0" fontId="3" fillId="0" borderId="3" xfId="1" applyFont="1" applyFill="1" applyBorder="1" applyAlignment="1">
      <alignment horizontal="center" vertical="center" shrinkToFit="1"/>
    </xf>
    <xf numFmtId="0" fontId="10" fillId="0" borderId="2" xfId="1" quotePrefix="1" applyFont="1" applyFill="1" applyBorder="1" applyAlignment="1">
      <alignment horizontal="center"/>
    </xf>
    <xf numFmtId="0" fontId="16" fillId="0" borderId="29" xfId="9" applyFont="1" applyBorder="1">
      <alignment vertical="center"/>
    </xf>
    <xf numFmtId="180" fontId="8" fillId="0" borderId="4" xfId="2" applyNumberFormat="1" applyFont="1" applyFill="1" applyBorder="1" applyAlignment="1">
      <alignment horizontal="right" vertical="center" shrinkToFit="1"/>
    </xf>
    <xf numFmtId="176" fontId="8" fillId="0" borderId="4" xfId="7" applyNumberFormat="1" applyFont="1" applyFill="1" applyBorder="1" applyAlignment="1">
      <alignment vertical="center" shrinkToFit="1"/>
    </xf>
    <xf numFmtId="177" fontId="6" fillId="0" borderId="30" xfId="1" applyNumberFormat="1" applyFont="1" applyFill="1" applyBorder="1" applyAlignment="1">
      <alignment vertical="center" shrinkToFit="1"/>
    </xf>
    <xf numFmtId="0" fontId="10" fillId="0" borderId="0" xfId="1" quotePrefix="1" applyFont="1" applyFill="1" applyBorder="1" applyAlignment="1">
      <alignment horizontal="center"/>
    </xf>
    <xf numFmtId="0" fontId="16" fillId="0" borderId="0" xfId="9" applyFont="1">
      <alignment vertical="center"/>
    </xf>
    <xf numFmtId="180" fontId="8" fillId="0" borderId="0" xfId="2" applyNumberFormat="1" applyFont="1" applyFill="1" applyBorder="1" applyAlignment="1">
      <alignment horizontal="right" vertical="center" shrinkToFit="1"/>
    </xf>
    <xf numFmtId="176" fontId="8" fillId="0" borderId="0" xfId="7" applyNumberFormat="1" applyFont="1" applyFill="1" applyBorder="1" applyAlignment="1">
      <alignment vertical="center" shrinkToFit="1"/>
    </xf>
    <xf numFmtId="0" fontId="1" fillId="0" borderId="0" xfId="10" applyAlignment="1">
      <alignment vertical="center" wrapText="1"/>
    </xf>
    <xf numFmtId="0" fontId="9" fillId="0" borderId="0" xfId="11">
      <alignment vertical="center"/>
    </xf>
    <xf numFmtId="0" fontId="1" fillId="0" borderId="0" xfId="9">
      <alignment vertical="center"/>
    </xf>
    <xf numFmtId="0" fontId="17" fillId="0" borderId="0" xfId="11" applyFont="1" applyAlignment="1">
      <alignment horizontal="left" vertical="center" indent="1"/>
    </xf>
    <xf numFmtId="0" fontId="1" fillId="0" borderId="0" xfId="12">
      <alignment vertical="center"/>
    </xf>
    <xf numFmtId="0" fontId="9" fillId="0" borderId="0" xfId="11" applyAlignment="1">
      <alignment horizontal="left" vertical="center" indent="1"/>
    </xf>
    <xf numFmtId="0" fontId="19" fillId="0" borderId="0" xfId="11" applyFont="1" applyAlignment="1">
      <alignment horizontal="left" vertical="center" indent="1"/>
    </xf>
    <xf numFmtId="0" fontId="9" fillId="0" borderId="0" xfId="11" applyAlignment="1">
      <alignment horizontal="left" vertical="center" indent="2"/>
    </xf>
    <xf numFmtId="0" fontId="19" fillId="0" borderId="0" xfId="11" applyFont="1" applyAlignment="1">
      <alignment horizontal="left" vertical="center" indent="2"/>
    </xf>
    <xf numFmtId="0" fontId="1" fillId="0" borderId="0" xfId="13">
      <alignment vertical="center"/>
    </xf>
    <xf numFmtId="0" fontId="1" fillId="0" borderId="0" xfId="14">
      <alignment vertical="center"/>
    </xf>
    <xf numFmtId="0" fontId="20" fillId="0" borderId="0" xfId="11" applyFont="1" applyAlignment="1">
      <alignment horizontal="left" vertical="center" indent="2"/>
    </xf>
    <xf numFmtId="0" fontId="22" fillId="0" borderId="0" xfId="11" applyFont="1" applyAlignment="1">
      <alignment horizontal="left" vertical="center" indent="1"/>
    </xf>
    <xf numFmtId="0" fontId="23" fillId="0" borderId="0" xfId="11" applyFont="1" applyAlignment="1">
      <alignment horizontal="left" vertical="center" indent="1"/>
    </xf>
    <xf numFmtId="0" fontId="3" fillId="3" borderId="0" xfId="1" applyFont="1" applyFill="1" applyBorder="1" applyAlignment="1">
      <alignment vertical="center" shrinkToFit="1"/>
    </xf>
    <xf numFmtId="177" fontId="6" fillId="3" borderId="2" xfId="1" applyNumberFormat="1" applyFont="1" applyFill="1" applyBorder="1" applyAlignment="1">
      <alignment horizontal="right" vertical="center" shrinkToFit="1"/>
    </xf>
  </cellXfs>
  <cellStyles count="15">
    <cellStyle name="_x000a_386grabber=M" xfId="1" xr:uid="{BB5874FB-A1D4-4BC2-B381-D57DC2549EB9}"/>
    <cellStyle name="백분율 10" xfId="7" xr:uid="{ED4A8E6F-10B2-4559-9EAE-21D895AF0F83}"/>
    <cellStyle name="백분율 2" xfId="4" xr:uid="{48CA8C20-8F12-49CD-9FF0-862153C52B41}"/>
    <cellStyle name="쉼표 [0] 4 2" xfId="5" xr:uid="{856AF79E-0167-40D8-851F-C6C4BECB9454}"/>
    <cellStyle name="쉼표 [0] 7" xfId="2" xr:uid="{14D4D4BC-9085-4672-B5FB-629EA7F524D0}"/>
    <cellStyle name="표준" xfId="0" builtinId="0"/>
    <cellStyle name="표준 2" xfId="11" xr:uid="{648B3CFA-60F9-4F43-91F6-9ED2459304E3}"/>
    <cellStyle name="표준 26" xfId="3" xr:uid="{508BFCD4-BE47-4125-9A7E-D8707D40696F}"/>
    <cellStyle name="표준 30" xfId="10" xr:uid="{97174C98-E380-4E48-9A39-8BEF9C624C24}"/>
    <cellStyle name="표준 34" xfId="14" xr:uid="{B461C9BB-5805-4569-921D-97E045BD89D8}"/>
    <cellStyle name="표준 35" xfId="8" xr:uid="{1D2A5A17-B229-4015-AAF6-4B66945C1A27}"/>
    <cellStyle name="표준 36" xfId="13" xr:uid="{57131A5A-7999-4C0C-AB65-94F991623341}"/>
    <cellStyle name="표준 52" xfId="6" xr:uid="{DCDD059D-D644-482C-96EA-3071742A3C9A}"/>
    <cellStyle name="표준 53" xfId="9" xr:uid="{1FA31E46-214D-4C6C-95A1-B0BAB3DD9560}"/>
    <cellStyle name="표준 53 3" xfId="12" xr:uid="{CB6998A1-4FC0-4580-9831-1276D8C8F2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jkim\OneDrive\&#48148;&#53461;%20&#54868;&#47732;\&#51452;&#49885;&#53804;&#51088;\&#45576;&#44867;&#48729;&#49688;%20&#44288;&#47532;&#50857;%20&#54028;&#51068;%20&#54252;&#54632;\&#54252;&#53944;&#54260;&#47532;&#50724;%20&#44288;&#47532;&#49368;&#54540;(&#53468;&#47536;&#51060;&#50500;&#48736;)(&#47588;&#51068;&#50629;&#45936;&#51060;&#53944;).xlsm" TargetMode="External"/><Relationship Id="rId1" Type="http://schemas.openxmlformats.org/officeDocument/2006/relationships/externalLinkPath" Target="&#54252;&#53944;&#54260;&#47532;&#50724;%20&#44288;&#47532;&#49368;&#54540;(&#53468;&#47536;&#51060;&#50500;&#48736;)(&#47588;&#51068;&#50629;&#45936;&#51060;&#53944;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B1"/>
      <sheetName val="DB2"/>
      <sheetName val="etf"/>
      <sheetName val="ALL"/>
      <sheetName val=" Universe"/>
      <sheetName val="국장"/>
      <sheetName val="미장"/>
      <sheetName val="IRP"/>
    </sheetNames>
    <sheetDataSet>
      <sheetData sheetId="0"/>
      <sheetData sheetId="1"/>
      <sheetData sheetId="2"/>
      <sheetData sheetId="3"/>
      <sheetData sheetId="4">
        <row r="7">
          <cell r="I7">
            <v>6</v>
          </cell>
          <cell r="O7">
            <v>12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04AA-A524-4B1C-A257-A7A977738C1F}">
  <sheetPr>
    <tabColor rgb="FF002060"/>
  </sheetPr>
  <dimension ref="A1:AP85"/>
  <sheetViews>
    <sheetView showGridLines="0" tabSelected="1" zoomScale="130" zoomScaleNormal="130" zoomScaleSheetLayoutView="90" workbookViewId="0">
      <pane xSplit="5" ySplit="9" topLeftCell="F22" activePane="bottomRight" state="frozen"/>
      <selection activeCell="I30" sqref="I30"/>
      <selection pane="topRight" activeCell="I30" sqref="I30"/>
      <selection pane="bottomLeft" activeCell="I30" sqref="I30"/>
      <selection pane="bottomRight" activeCell="K34" sqref="K34"/>
    </sheetView>
  </sheetViews>
  <sheetFormatPr defaultColWidth="7.296875" defaultRowHeight="10.8"/>
  <cols>
    <col min="1" max="1" width="2.19921875" style="1" customWidth="1"/>
    <col min="2" max="2" width="1.796875" style="3" customWidth="1"/>
    <col min="3" max="4" width="3" style="1" customWidth="1"/>
    <col min="5" max="5" width="19.296875" style="1" bestFit="1" customWidth="1"/>
    <col min="6" max="6" width="7.796875" style="2" customWidth="1"/>
    <col min="7" max="8" width="6.19921875" style="1" customWidth="1"/>
    <col min="9" max="9" width="4.59765625" style="1" customWidth="1"/>
    <col min="10" max="11" width="6.19921875" style="1" customWidth="1"/>
    <col min="12" max="12" width="5.3984375" style="1" customWidth="1"/>
    <col min="13" max="13" width="5.3984375" style="2" customWidth="1"/>
    <col min="14" max="14" width="7" style="1" customWidth="1"/>
    <col min="15" max="15" width="5.3984375" style="1" customWidth="1"/>
    <col min="16" max="16" width="6.09765625" style="1" customWidth="1"/>
    <col min="17" max="17" width="5.3984375" style="1" customWidth="1"/>
    <col min="18" max="16384" width="7.296875" style="1"/>
  </cols>
  <sheetData>
    <row r="1" spans="1:21" ht="11.1" customHeight="1" thickBot="1">
      <c r="A1" s="175"/>
      <c r="H1" s="2"/>
      <c r="I1" s="2"/>
      <c r="J1" s="175"/>
      <c r="L1" s="174"/>
      <c r="M1" s="174"/>
    </row>
    <row r="2" spans="1:21" ht="11.1" customHeight="1">
      <c r="G2" s="173" t="s">
        <v>57</v>
      </c>
      <c r="H2" s="172">
        <f>SUM(B14:B41)</f>
        <v>0</v>
      </c>
      <c r="I2" s="2"/>
      <c r="J2" s="175"/>
      <c r="L2" s="171"/>
      <c r="M2" s="171"/>
    </row>
    <row r="3" spans="1:21" ht="11.1" customHeight="1" thickBot="1">
      <c r="B3" s="166"/>
      <c r="G3" s="170" t="s">
        <v>56</v>
      </c>
      <c r="H3" s="169">
        <f>SUM(A14:A41)</f>
        <v>0</v>
      </c>
      <c r="I3" s="2"/>
      <c r="J3" s="175"/>
      <c r="K3" s="168" t="s">
        <v>55</v>
      </c>
      <c r="L3" s="164">
        <v>100000000</v>
      </c>
      <c r="M3" s="164"/>
      <c r="N3" s="163" t="s">
        <v>54</v>
      </c>
      <c r="O3" s="163"/>
      <c r="P3" s="162">
        <f>+Q9*100000000</f>
        <v>0</v>
      </c>
      <c r="Q3" s="162"/>
    </row>
    <row r="4" spans="1:21" ht="11.1" customHeight="1">
      <c r="C4" s="167"/>
      <c r="D4" s="166"/>
      <c r="E4" s="165"/>
      <c r="H4" s="2"/>
      <c r="I4" s="2"/>
      <c r="J4" s="175"/>
      <c r="K4" s="159" t="s">
        <v>53</v>
      </c>
      <c r="L4" s="164">
        <f>L3</f>
        <v>100000000</v>
      </c>
      <c r="M4" s="164"/>
      <c r="N4" s="163" t="s">
        <v>52</v>
      </c>
      <c r="O4" s="163"/>
      <c r="P4" s="162">
        <f>+L4-P3</f>
        <v>100000000</v>
      </c>
      <c r="Q4" s="162"/>
    </row>
    <row r="5" spans="1:21" ht="26.25" customHeight="1">
      <c r="C5" s="161"/>
      <c r="D5" s="161"/>
      <c r="E5" s="160"/>
      <c r="H5" s="2"/>
      <c r="I5" s="2"/>
      <c r="J5" s="175"/>
      <c r="K5" s="159" t="s">
        <v>51</v>
      </c>
      <c r="L5" s="158">
        <f>+L4/L3*1000</f>
        <v>1000</v>
      </c>
      <c r="M5" s="157">
        <f>+(L5-1000)/1000</f>
        <v>0</v>
      </c>
      <c r="N5" s="156" t="s">
        <v>35</v>
      </c>
      <c r="O5" s="155"/>
      <c r="P5" s="154"/>
      <c r="Q5" s="153">
        <f>P3/L4</f>
        <v>0</v>
      </c>
    </row>
    <row r="6" spans="1:21" ht="21" customHeight="1">
      <c r="C6" s="139"/>
      <c r="D6" s="138"/>
      <c r="E6" s="139"/>
      <c r="F6" s="152" t="s">
        <v>50</v>
      </c>
      <c r="G6" s="151"/>
      <c r="H6" s="150"/>
      <c r="I6" s="2"/>
      <c r="J6" s="146" t="s">
        <v>49</v>
      </c>
      <c r="K6" s="133" t="s">
        <v>48</v>
      </c>
      <c r="L6" s="133" t="s">
        <v>47</v>
      </c>
      <c r="M6" s="133"/>
      <c r="N6" s="133"/>
      <c r="O6" s="133"/>
      <c r="P6" s="133"/>
      <c r="Q6" s="140" t="s">
        <v>46</v>
      </c>
    </row>
    <row r="7" spans="1:21" ht="11.1" customHeight="1">
      <c r="C7" s="139" t="s">
        <v>45</v>
      </c>
      <c r="D7" s="138" t="s">
        <v>45</v>
      </c>
      <c r="E7" s="139" t="s">
        <v>44</v>
      </c>
      <c r="F7" s="149" t="s">
        <v>43</v>
      </c>
      <c r="G7" s="148" t="s">
        <v>42</v>
      </c>
      <c r="H7" s="147" t="s">
        <v>41</v>
      </c>
      <c r="I7" s="2"/>
      <c r="J7" s="146" t="s">
        <v>40</v>
      </c>
      <c r="K7" s="133" t="s">
        <v>39</v>
      </c>
      <c r="L7" s="133" t="s">
        <v>38</v>
      </c>
      <c r="M7" s="133" t="s">
        <v>37</v>
      </c>
      <c r="N7" s="133" t="s">
        <v>36</v>
      </c>
      <c r="O7" s="133" t="s">
        <v>35</v>
      </c>
      <c r="P7" s="133" t="s">
        <v>34</v>
      </c>
      <c r="Q7" s="140"/>
    </row>
    <row r="8" spans="1:21" ht="11.1" customHeight="1">
      <c r="C8" s="139"/>
      <c r="D8" s="138"/>
      <c r="E8" s="145"/>
      <c r="F8" s="144"/>
      <c r="G8" s="143"/>
      <c r="H8" s="142"/>
      <c r="I8" s="2"/>
      <c r="J8" s="141" t="s">
        <v>32</v>
      </c>
      <c r="K8" s="133"/>
      <c r="L8" s="133" t="s">
        <v>33</v>
      </c>
      <c r="M8" s="133"/>
      <c r="N8" s="133"/>
      <c r="O8" s="133" t="s">
        <v>32</v>
      </c>
      <c r="P8" s="133" t="s">
        <v>31</v>
      </c>
      <c r="Q8" s="140" t="s">
        <v>30</v>
      </c>
    </row>
    <row r="9" spans="1:21" s="130" customFormat="1" ht="11.1" customHeight="1">
      <c r="B9" s="20"/>
      <c r="C9" s="139"/>
      <c r="D9" s="138"/>
      <c r="E9" s="137">
        <f>'[1] Universe'!I7</f>
        <v>6</v>
      </c>
      <c r="F9" s="136">
        <f>'[1] Universe'!O7</f>
        <v>12</v>
      </c>
      <c r="G9" s="135">
        <f>SUM(G11:G32)</f>
        <v>0.94000000000000028</v>
      </c>
      <c r="H9" s="135">
        <f>SUM(H11:H32)</f>
        <v>0.94000000000000028</v>
      </c>
      <c r="I9" s="2"/>
      <c r="J9" s="135">
        <f>SUM(J11:J32)</f>
        <v>0</v>
      </c>
      <c r="K9" s="133"/>
      <c r="L9" s="133"/>
      <c r="M9" s="133"/>
      <c r="N9" s="134">
        <f>SUM(N14:N42)</f>
        <v>0</v>
      </c>
      <c r="O9" s="133"/>
      <c r="P9" s="133"/>
      <c r="Q9" s="132">
        <f>SUM(Q14:Q32)</f>
        <v>0</v>
      </c>
      <c r="R9" s="131"/>
      <c r="S9" s="131"/>
      <c r="T9" s="131"/>
      <c r="U9" s="131"/>
    </row>
    <row r="10" spans="1:21" ht="12" customHeight="1">
      <c r="C10" s="129"/>
      <c r="D10" s="128"/>
      <c r="E10" s="127"/>
      <c r="F10" s="126"/>
      <c r="G10" s="124">
        <f>SUM(G11:G13)</f>
        <v>0</v>
      </c>
      <c r="H10" s="124">
        <f>SUM(H11:H13)</f>
        <v>0</v>
      </c>
      <c r="I10" s="125"/>
      <c r="J10" s="124">
        <f>SUM(J11:J13)</f>
        <v>0</v>
      </c>
      <c r="K10" s="123"/>
      <c r="L10" s="121"/>
      <c r="M10" s="121"/>
      <c r="N10" s="122"/>
      <c r="O10" s="121"/>
      <c r="P10" s="120"/>
      <c r="Q10" s="120"/>
    </row>
    <row r="11" spans="1:21" ht="12" customHeight="1">
      <c r="A11" s="24"/>
      <c r="B11" s="23"/>
      <c r="C11" s="38">
        <v>0</v>
      </c>
      <c r="D11" s="38">
        <v>0</v>
      </c>
      <c r="E11" s="119" t="s">
        <v>29</v>
      </c>
      <c r="F11" s="118">
        <v>2145</v>
      </c>
      <c r="G11" s="117">
        <v>0</v>
      </c>
      <c r="H11" s="117">
        <v>0</v>
      </c>
      <c r="I11" s="116"/>
      <c r="J11" s="115">
        <f>+(Q11*100000000)/L$4</f>
        <v>0</v>
      </c>
      <c r="K11" s="114">
        <f>$F11</f>
        <v>2145</v>
      </c>
      <c r="L11" s="113">
        <f>+($F11-K11)/K11</f>
        <v>0</v>
      </c>
      <c r="M11" s="112">
        <f>+L$4*$H11/$F11</f>
        <v>0</v>
      </c>
      <c r="N11" s="112">
        <v>0</v>
      </c>
      <c r="O11" s="111" t="e">
        <f>N11/M11</f>
        <v>#DIV/0!</v>
      </c>
      <c r="P11" s="110">
        <f>+M11-N11</f>
        <v>0</v>
      </c>
      <c r="Q11" s="109">
        <f>+(N11*$F11)/100000000</f>
        <v>0</v>
      </c>
    </row>
    <row r="12" spans="1:21" ht="12" customHeight="1" thickBot="1">
      <c r="A12" s="24"/>
      <c r="B12" s="23"/>
      <c r="C12" s="38">
        <v>0</v>
      </c>
      <c r="D12" s="38">
        <v>0</v>
      </c>
      <c r="E12" s="73" t="s">
        <v>28</v>
      </c>
      <c r="F12" s="72">
        <v>1530</v>
      </c>
      <c r="G12" s="108">
        <v>0</v>
      </c>
      <c r="H12" s="108">
        <v>0</v>
      </c>
      <c r="I12" s="104"/>
      <c r="J12" s="69">
        <f>+(Q12*100000000)/L$4</f>
        <v>0</v>
      </c>
      <c r="K12" s="68">
        <f>$F12</f>
        <v>1530</v>
      </c>
      <c r="L12" s="67">
        <f>+($F12-K12)/K12</f>
        <v>0</v>
      </c>
      <c r="M12" s="66">
        <f>+L$4*$H12/$F12</f>
        <v>0</v>
      </c>
      <c r="N12" s="66">
        <v>0</v>
      </c>
      <c r="O12" s="65" t="e">
        <f>N12/M12</f>
        <v>#DIV/0!</v>
      </c>
      <c r="P12" s="64">
        <f>+M12-N12</f>
        <v>0</v>
      </c>
      <c r="Q12" s="63">
        <f>+(N12*$F12)/100000000</f>
        <v>0</v>
      </c>
    </row>
    <row r="13" spans="1:21" ht="12" customHeight="1" thickBot="1">
      <c r="A13" s="24"/>
      <c r="B13" s="23"/>
      <c r="C13" s="38">
        <v>1</v>
      </c>
      <c r="D13" s="38">
        <v>1</v>
      </c>
      <c r="E13" s="107" t="s">
        <v>27</v>
      </c>
      <c r="F13" s="106">
        <v>70075</v>
      </c>
      <c r="G13" s="105">
        <v>0</v>
      </c>
      <c r="H13" s="105">
        <v>0</v>
      </c>
      <c r="I13" s="104"/>
      <c r="J13" s="103">
        <f>+(Q13*100000000)/L$4</f>
        <v>0</v>
      </c>
      <c r="K13" s="102">
        <f>$F13</f>
        <v>70075</v>
      </c>
      <c r="L13" s="101">
        <f>+($F13-K13)/K13</f>
        <v>0</v>
      </c>
      <c r="M13" s="100">
        <f>+L$4*$H13/$F13</f>
        <v>0</v>
      </c>
      <c r="N13" s="100">
        <v>0</v>
      </c>
      <c r="O13" s="99" t="e">
        <f>N13/M13</f>
        <v>#DIV/0!</v>
      </c>
      <c r="P13" s="98">
        <f>+M13-N13</f>
        <v>0</v>
      </c>
      <c r="Q13" s="97">
        <f>+(N13*$F13)/100000000</f>
        <v>0</v>
      </c>
      <c r="S13" s="96"/>
    </row>
    <row r="14" spans="1:21" ht="15.6" customHeight="1">
      <c r="A14" s="40"/>
      <c r="B14" s="39"/>
      <c r="C14" s="38">
        <v>1</v>
      </c>
      <c r="D14" s="38">
        <v>1</v>
      </c>
      <c r="E14" s="37" t="s">
        <v>26</v>
      </c>
      <c r="F14" s="36">
        <v>85500</v>
      </c>
      <c r="G14" s="35">
        <v>0.05</v>
      </c>
      <c r="H14" s="35">
        <v>0.05</v>
      </c>
      <c r="I14" s="34"/>
      <c r="J14" s="33">
        <f>+(Q14*100000000)/L$4</f>
        <v>0</v>
      </c>
      <c r="K14" s="32">
        <f>$F14</f>
        <v>85500</v>
      </c>
      <c r="L14" s="31">
        <f>+($F14-K14)/K14</f>
        <v>0</v>
      </c>
      <c r="M14" s="30">
        <f>+L$4*$H14/$F14</f>
        <v>58.479532163742689</v>
      </c>
      <c r="N14" s="30"/>
      <c r="O14" s="29">
        <f>N14/M14</f>
        <v>0</v>
      </c>
      <c r="P14" s="28">
        <f>+M14-N14</f>
        <v>58.479532163742689</v>
      </c>
      <c r="Q14" s="27">
        <f>+(N14*$F14)/100000000</f>
        <v>0</v>
      </c>
      <c r="R14" s="26"/>
      <c r="S14" s="25"/>
    </row>
    <row r="15" spans="1:21" ht="15.6" customHeight="1">
      <c r="A15" s="40"/>
      <c r="B15" s="39"/>
      <c r="C15" s="38">
        <f>C14+1</f>
        <v>2</v>
      </c>
      <c r="D15" s="38">
        <f>D14+1</f>
        <v>2</v>
      </c>
      <c r="E15" s="37" t="s">
        <v>25</v>
      </c>
      <c r="F15" s="36">
        <v>46000</v>
      </c>
      <c r="G15" s="35">
        <v>0.05</v>
      </c>
      <c r="H15" s="35">
        <v>0.05</v>
      </c>
      <c r="I15" s="34"/>
      <c r="J15" s="33">
        <f>+(Q15*100000000)/L$4</f>
        <v>0</v>
      </c>
      <c r="K15" s="32">
        <f>$F15</f>
        <v>46000</v>
      </c>
      <c r="L15" s="31">
        <f>+($F15-K15)/K15</f>
        <v>0</v>
      </c>
      <c r="M15" s="30">
        <f>+L$4*$H15/$F15</f>
        <v>108.69565217391305</v>
      </c>
      <c r="N15" s="30"/>
      <c r="O15" s="29">
        <f>N15/M15</f>
        <v>0</v>
      </c>
      <c r="P15" s="28">
        <f>+M15-N15</f>
        <v>108.69565217391305</v>
      </c>
      <c r="Q15" s="27">
        <f>+(N15*$F15)/100000000</f>
        <v>0</v>
      </c>
      <c r="R15" s="26"/>
      <c r="S15" s="25"/>
    </row>
    <row r="16" spans="1:21" ht="15.6" customHeight="1">
      <c r="A16" s="40"/>
      <c r="B16" s="39"/>
      <c r="C16" s="38">
        <f>C15+1</f>
        <v>3</v>
      </c>
      <c r="D16" s="38">
        <f>D15+1</f>
        <v>3</v>
      </c>
      <c r="E16" s="37" t="s">
        <v>24</v>
      </c>
      <c r="F16" s="36">
        <v>380000</v>
      </c>
      <c r="G16" s="35">
        <v>0.05</v>
      </c>
      <c r="H16" s="35">
        <v>0.05</v>
      </c>
      <c r="I16" s="34"/>
      <c r="J16" s="33">
        <f>+(Q16*100000000)/L$4</f>
        <v>0</v>
      </c>
      <c r="K16" s="32">
        <f>$F16</f>
        <v>380000</v>
      </c>
      <c r="L16" s="31">
        <f>+($F16-K16)/K16</f>
        <v>0</v>
      </c>
      <c r="M16" s="30">
        <f>+L$4*$H16/$F16</f>
        <v>13.157894736842104</v>
      </c>
      <c r="N16" s="30"/>
      <c r="O16" s="29">
        <f>N16/M16</f>
        <v>0</v>
      </c>
      <c r="P16" s="28">
        <f>+M16-N16</f>
        <v>13.157894736842104</v>
      </c>
      <c r="Q16" s="27">
        <f>+(N16*$F16)/100000000</f>
        <v>0</v>
      </c>
      <c r="R16" s="26"/>
      <c r="S16" s="25"/>
    </row>
    <row r="17" spans="1:19" ht="15.6" customHeight="1">
      <c r="A17" s="40"/>
      <c r="B17" s="39"/>
      <c r="C17" s="38">
        <f>C16+1</f>
        <v>4</v>
      </c>
      <c r="D17" s="38">
        <f>D16+1</f>
        <v>4</v>
      </c>
      <c r="E17" s="37" t="s">
        <v>23</v>
      </c>
      <c r="F17" s="36">
        <v>81600</v>
      </c>
      <c r="G17" s="35">
        <v>0.05</v>
      </c>
      <c r="H17" s="35">
        <v>0.05</v>
      </c>
      <c r="I17" s="34"/>
      <c r="J17" s="33">
        <f>+(Q17*100000000)/L$4</f>
        <v>0</v>
      </c>
      <c r="K17" s="32">
        <f>$F17</f>
        <v>81600</v>
      </c>
      <c r="L17" s="31">
        <f>+($F17-K17)/K17</f>
        <v>0</v>
      </c>
      <c r="M17" s="30">
        <f>+L$4*$H17/$F17</f>
        <v>61.274509803921568</v>
      </c>
      <c r="N17" s="30"/>
      <c r="O17" s="29">
        <f>N17/M17</f>
        <v>0</v>
      </c>
      <c r="P17" s="28">
        <f>+M17-N17</f>
        <v>61.274509803921568</v>
      </c>
      <c r="Q17" s="27">
        <f>+(N17*$F17)/100000000</f>
        <v>0</v>
      </c>
      <c r="R17" s="26"/>
      <c r="S17" s="25"/>
    </row>
    <row r="18" spans="1:19" ht="15.6" customHeight="1">
      <c r="A18" s="40"/>
      <c r="B18" s="39"/>
      <c r="C18" s="38">
        <f>C17+1</f>
        <v>5</v>
      </c>
      <c r="D18" s="38">
        <f>D17+1</f>
        <v>5</v>
      </c>
      <c r="E18" s="95" t="s">
        <v>22</v>
      </c>
      <c r="F18" s="94">
        <v>122100</v>
      </c>
      <c r="G18" s="93">
        <v>0.05</v>
      </c>
      <c r="H18" s="93">
        <v>0.05</v>
      </c>
      <c r="I18" s="92"/>
      <c r="J18" s="91">
        <f>+(Q18*100000000)/L$4</f>
        <v>0</v>
      </c>
      <c r="K18" s="90">
        <f>$F18</f>
        <v>122100</v>
      </c>
      <c r="L18" s="89">
        <f>+($F18-K18)/K18</f>
        <v>0</v>
      </c>
      <c r="M18" s="88">
        <f>+L$4*$H18/$F18</f>
        <v>40.95004095004095</v>
      </c>
      <c r="N18" s="88"/>
      <c r="O18" s="87">
        <f>N18/M18</f>
        <v>0</v>
      </c>
      <c r="P18" s="86">
        <f>+M18-N18</f>
        <v>40.95004095004095</v>
      </c>
      <c r="Q18" s="85">
        <f>+(N18*$F18)/100000000</f>
        <v>0</v>
      </c>
      <c r="R18" s="26"/>
      <c r="S18" s="25"/>
    </row>
    <row r="19" spans="1:19" ht="15.6" customHeight="1">
      <c r="A19" s="40"/>
      <c r="B19" s="39"/>
      <c r="C19" s="38">
        <f>C18+1</f>
        <v>6</v>
      </c>
      <c r="D19" s="38">
        <f>D18+1</f>
        <v>6</v>
      </c>
      <c r="E19" s="37" t="s">
        <v>21</v>
      </c>
      <c r="F19" s="36">
        <v>74500</v>
      </c>
      <c r="G19" s="35">
        <v>0.05</v>
      </c>
      <c r="H19" s="35">
        <v>0.05</v>
      </c>
      <c r="I19" s="34"/>
      <c r="J19" s="33">
        <f>+(Q19*100000000)/L$4</f>
        <v>0</v>
      </c>
      <c r="K19" s="32">
        <f>$F19</f>
        <v>74500</v>
      </c>
      <c r="L19" s="31">
        <f>+($F19-K19)/K19</f>
        <v>0</v>
      </c>
      <c r="M19" s="30">
        <f>+L$4*$H19/$F19</f>
        <v>67.114093959731548</v>
      </c>
      <c r="N19" s="30"/>
      <c r="O19" s="29">
        <f>N19/M19</f>
        <v>0</v>
      </c>
      <c r="P19" s="28">
        <f>+M19-N19</f>
        <v>67.114093959731548</v>
      </c>
      <c r="Q19" s="27">
        <f>+(N19*$F19)/100000000</f>
        <v>0</v>
      </c>
      <c r="R19" s="26"/>
      <c r="S19" s="25"/>
    </row>
    <row r="20" spans="1:19" ht="16.2" customHeight="1">
      <c r="A20" s="40"/>
      <c r="B20" s="39"/>
      <c r="C20" s="38">
        <f>C19+1</f>
        <v>7</v>
      </c>
      <c r="D20" s="38">
        <f>D19+1</f>
        <v>7</v>
      </c>
      <c r="E20" s="37" t="s">
        <v>20</v>
      </c>
      <c r="F20" s="36">
        <v>80100</v>
      </c>
      <c r="G20" s="35">
        <v>0.04</v>
      </c>
      <c r="H20" s="35">
        <v>0.04</v>
      </c>
      <c r="I20" s="34"/>
      <c r="J20" s="33">
        <f>+(Q20*100000000)/L$4</f>
        <v>0</v>
      </c>
      <c r="K20" s="32">
        <f>$F20</f>
        <v>80100</v>
      </c>
      <c r="L20" s="31">
        <f>+($F20-K20)/K20</f>
        <v>0</v>
      </c>
      <c r="M20" s="30">
        <f>+L$4*$H20/$F20</f>
        <v>49.937578027465669</v>
      </c>
      <c r="N20" s="30"/>
      <c r="O20" s="29">
        <f>N20/M20</f>
        <v>0</v>
      </c>
      <c r="P20" s="28">
        <f>+M20-N20</f>
        <v>49.937578027465669</v>
      </c>
      <c r="Q20" s="27">
        <f>+(N20*$F20)/100000000</f>
        <v>0</v>
      </c>
      <c r="R20" s="26"/>
      <c r="S20" s="25"/>
    </row>
    <row r="21" spans="1:19" ht="15.6" customHeight="1" thickBot="1">
      <c r="A21" s="40"/>
      <c r="B21" s="39"/>
      <c r="C21" s="38">
        <f>C20+1</f>
        <v>8</v>
      </c>
      <c r="D21" s="38">
        <f>D20+1</f>
        <v>8</v>
      </c>
      <c r="E21" s="73" t="s">
        <v>19</v>
      </c>
      <c r="F21" s="72">
        <v>89900</v>
      </c>
      <c r="G21" s="71">
        <v>0.05</v>
      </c>
      <c r="H21" s="71">
        <v>0.05</v>
      </c>
      <c r="I21" s="70"/>
      <c r="J21" s="69">
        <f>+(Q21*100000000)/L$4</f>
        <v>0</v>
      </c>
      <c r="K21" s="68">
        <f>$F21</f>
        <v>89900</v>
      </c>
      <c r="L21" s="67">
        <f>+($F21-K21)/K21</f>
        <v>0</v>
      </c>
      <c r="M21" s="66">
        <f>+L$4*$H21/$F21</f>
        <v>55.617352614015573</v>
      </c>
      <c r="N21" s="66"/>
      <c r="O21" s="65">
        <f>N21/M21</f>
        <v>0</v>
      </c>
      <c r="P21" s="64">
        <f>+M21-N21</f>
        <v>55.617352614015573</v>
      </c>
      <c r="Q21" s="63">
        <f>+(N21*$F21)/100000000</f>
        <v>0</v>
      </c>
      <c r="R21" s="26"/>
      <c r="S21" s="25"/>
    </row>
    <row r="22" spans="1:19" ht="15.6" customHeight="1">
      <c r="A22" s="40"/>
      <c r="B22" s="39"/>
      <c r="C22" s="38">
        <f>C21+1</f>
        <v>9</v>
      </c>
      <c r="D22" s="38">
        <f>D21+1</f>
        <v>9</v>
      </c>
      <c r="E22" s="37" t="s">
        <v>18</v>
      </c>
      <c r="F22" s="36">
        <v>92700</v>
      </c>
      <c r="G22" s="35">
        <v>0.05</v>
      </c>
      <c r="H22" s="35">
        <v>0.05</v>
      </c>
      <c r="I22" s="34"/>
      <c r="J22" s="33">
        <f>+(Q22*100000000)/L$4</f>
        <v>0</v>
      </c>
      <c r="K22" s="32">
        <f>$F22</f>
        <v>92700</v>
      </c>
      <c r="L22" s="31">
        <f>+($F22-K22)/K22</f>
        <v>0</v>
      </c>
      <c r="M22" s="30">
        <f>+L$4*$H22/$F22</f>
        <v>53.937432578209275</v>
      </c>
      <c r="N22" s="30"/>
      <c r="O22" s="29">
        <f>N22/M22</f>
        <v>0</v>
      </c>
      <c r="P22" s="28">
        <f>+M22-N22</f>
        <v>53.937432578209275</v>
      </c>
      <c r="Q22" s="27">
        <f>+(N22*$F22)/100000000</f>
        <v>0</v>
      </c>
      <c r="R22" s="26"/>
      <c r="S22" s="25"/>
    </row>
    <row r="23" spans="1:19" ht="15.6" customHeight="1">
      <c r="A23" s="40"/>
      <c r="B23" s="39"/>
      <c r="C23" s="38">
        <f>C22+1</f>
        <v>10</v>
      </c>
      <c r="D23" s="38">
        <f>D22+1</f>
        <v>10</v>
      </c>
      <c r="E23" s="37" t="s">
        <v>17</v>
      </c>
      <c r="F23" s="36">
        <v>41500</v>
      </c>
      <c r="G23" s="35">
        <v>0.05</v>
      </c>
      <c r="H23" s="35">
        <v>0.05</v>
      </c>
      <c r="I23" s="34"/>
      <c r="J23" s="33">
        <f>+(Q23*100000000)/L$4</f>
        <v>0</v>
      </c>
      <c r="K23" s="32">
        <f>$F23</f>
        <v>41500</v>
      </c>
      <c r="L23" s="31">
        <f>+($F23-K23)/K23</f>
        <v>0</v>
      </c>
      <c r="M23" s="30">
        <f>+L$4*$H23/$F23</f>
        <v>120.48192771084338</v>
      </c>
      <c r="N23" s="30"/>
      <c r="O23" s="29">
        <f>N23/M23</f>
        <v>0</v>
      </c>
      <c r="P23" s="28">
        <f>+M23-N23</f>
        <v>120.48192771084338</v>
      </c>
      <c r="Q23" s="27">
        <f>+(N23*$F23)/100000000</f>
        <v>0</v>
      </c>
      <c r="R23" s="26"/>
      <c r="S23" s="25"/>
    </row>
    <row r="24" spans="1:19" ht="15.6" customHeight="1" thickBot="1">
      <c r="A24" s="40"/>
      <c r="B24" s="39"/>
      <c r="C24" s="38">
        <f>C23+1</f>
        <v>11</v>
      </c>
      <c r="D24" s="38">
        <f>D23+1</f>
        <v>11</v>
      </c>
      <c r="E24" s="73" t="s">
        <v>16</v>
      </c>
      <c r="F24" s="72">
        <v>91900</v>
      </c>
      <c r="G24" s="71">
        <v>0.05</v>
      </c>
      <c r="H24" s="71">
        <v>0.05</v>
      </c>
      <c r="I24" s="70"/>
      <c r="J24" s="69">
        <f>+(Q24*100000000)/L$4</f>
        <v>0</v>
      </c>
      <c r="K24" s="68">
        <f>$F24</f>
        <v>91900</v>
      </c>
      <c r="L24" s="67">
        <f>+($F24-K24)/K24</f>
        <v>0</v>
      </c>
      <c r="M24" s="66">
        <f>+L$4*$H24/$F24</f>
        <v>54.406964091403701</v>
      </c>
      <c r="N24" s="66"/>
      <c r="O24" s="65">
        <f>N24/M24</f>
        <v>0</v>
      </c>
      <c r="P24" s="64">
        <f>+M24-N24</f>
        <v>54.406964091403701</v>
      </c>
      <c r="Q24" s="63">
        <f>+(N24*$F24)/100000000</f>
        <v>0</v>
      </c>
      <c r="R24" s="26"/>
      <c r="S24" s="25"/>
    </row>
    <row r="25" spans="1:19" ht="15.6" customHeight="1" thickBot="1">
      <c r="A25" s="40"/>
      <c r="B25" s="39"/>
      <c r="C25" s="38">
        <f>C24+1</f>
        <v>12</v>
      </c>
      <c r="D25" s="38">
        <f>D24+1</f>
        <v>12</v>
      </c>
      <c r="E25" s="84" t="s">
        <v>15</v>
      </c>
      <c r="F25" s="83">
        <v>67800</v>
      </c>
      <c r="G25" s="82">
        <v>0.05</v>
      </c>
      <c r="H25" s="82">
        <v>0.05</v>
      </c>
      <c r="I25" s="81"/>
      <c r="J25" s="80">
        <f>+(Q25*100000000)/L$4</f>
        <v>0</v>
      </c>
      <c r="K25" s="79">
        <f>$F25</f>
        <v>67800</v>
      </c>
      <c r="L25" s="78">
        <f>+($F25-K25)/K25</f>
        <v>0</v>
      </c>
      <c r="M25" s="77">
        <f>+L$4*$H25/$F25</f>
        <v>73.746312684365776</v>
      </c>
      <c r="N25" s="77"/>
      <c r="O25" s="76">
        <f>N25/M25</f>
        <v>0</v>
      </c>
      <c r="P25" s="75">
        <f>+M25-N25</f>
        <v>73.746312684365776</v>
      </c>
      <c r="Q25" s="74">
        <f>+(N25*$F25)/100000000</f>
        <v>0</v>
      </c>
      <c r="R25" s="26"/>
      <c r="S25" s="25"/>
    </row>
    <row r="26" spans="1:19" ht="15.6" customHeight="1">
      <c r="A26" s="40"/>
      <c r="B26" s="39"/>
      <c r="C26" s="38">
        <f>C25+1</f>
        <v>13</v>
      </c>
      <c r="D26" s="38">
        <f>D25+1</f>
        <v>13</v>
      </c>
      <c r="E26" s="62" t="s">
        <v>14</v>
      </c>
      <c r="F26" s="61">
        <v>27950</v>
      </c>
      <c r="G26" s="60">
        <v>0.05</v>
      </c>
      <c r="H26" s="60">
        <v>0.05</v>
      </c>
      <c r="I26" s="59"/>
      <c r="J26" s="58">
        <f>+(Q26*100000000)/L$4</f>
        <v>0</v>
      </c>
      <c r="K26" s="57">
        <f>$F26</f>
        <v>27950</v>
      </c>
      <c r="L26" s="56">
        <f>+($F26-K26)/K26</f>
        <v>0</v>
      </c>
      <c r="M26" s="55">
        <f>+L$4*$H26/$F26</f>
        <v>178.89087656529517</v>
      </c>
      <c r="N26" s="55"/>
      <c r="O26" s="54">
        <f>N26/M26</f>
        <v>0</v>
      </c>
      <c r="P26" s="53">
        <f>+M26-N26</f>
        <v>178.89087656529517</v>
      </c>
      <c r="Q26" s="52">
        <f>+(N26*$F26)/100000000</f>
        <v>0</v>
      </c>
      <c r="R26" s="26"/>
      <c r="S26" s="25"/>
    </row>
    <row r="27" spans="1:19" ht="15.6" customHeight="1" thickBot="1">
      <c r="A27" s="40"/>
      <c r="B27" s="39"/>
      <c r="C27" s="38">
        <f>C26+1</f>
        <v>14</v>
      </c>
      <c r="D27" s="38">
        <f>D26+1</f>
        <v>14</v>
      </c>
      <c r="E27" s="73" t="s">
        <v>13</v>
      </c>
      <c r="F27" s="72">
        <v>63100</v>
      </c>
      <c r="G27" s="71">
        <v>0.05</v>
      </c>
      <c r="H27" s="71">
        <v>0.05</v>
      </c>
      <c r="I27" s="70"/>
      <c r="J27" s="69">
        <f>+(Q27*100000000)/L$4</f>
        <v>0</v>
      </c>
      <c r="K27" s="68">
        <f>$F27</f>
        <v>63100</v>
      </c>
      <c r="L27" s="67">
        <f>+($F27-K27)/K27</f>
        <v>0</v>
      </c>
      <c r="M27" s="66">
        <f>+L$4*$H27/$F27</f>
        <v>79.239302694136285</v>
      </c>
      <c r="N27" s="66"/>
      <c r="O27" s="65">
        <f>N27/M27</f>
        <v>0</v>
      </c>
      <c r="P27" s="64">
        <f>+M27-N27</f>
        <v>79.239302694136285</v>
      </c>
      <c r="Q27" s="63">
        <f>+(N27*$F27)/100000000</f>
        <v>0</v>
      </c>
      <c r="R27" s="26"/>
      <c r="S27" s="25"/>
    </row>
    <row r="28" spans="1:19" ht="15.6" customHeight="1">
      <c r="A28" s="40"/>
      <c r="B28" s="39"/>
      <c r="C28" s="38">
        <f>C27+1</f>
        <v>15</v>
      </c>
      <c r="D28" s="38">
        <f>D27+1</f>
        <v>15</v>
      </c>
      <c r="E28" s="62" t="s">
        <v>12</v>
      </c>
      <c r="F28" s="61">
        <v>186800</v>
      </c>
      <c r="G28" s="60">
        <v>0.05</v>
      </c>
      <c r="H28" s="60">
        <v>0.05</v>
      </c>
      <c r="I28" s="59"/>
      <c r="J28" s="58">
        <f>+(Q28*100000000)/L$4</f>
        <v>0</v>
      </c>
      <c r="K28" s="57">
        <f>$F28</f>
        <v>186800</v>
      </c>
      <c r="L28" s="56">
        <f>+($F28-K28)/K28</f>
        <v>0</v>
      </c>
      <c r="M28" s="55">
        <f>+L$4*$H28/$F28</f>
        <v>26.76659528907923</v>
      </c>
      <c r="N28" s="55"/>
      <c r="O28" s="54">
        <f>N28/M28</f>
        <v>0</v>
      </c>
      <c r="P28" s="53">
        <f>+M28-N28</f>
        <v>26.76659528907923</v>
      </c>
      <c r="Q28" s="52">
        <f>+(N28*$F28)/100000000</f>
        <v>0</v>
      </c>
      <c r="R28" s="26"/>
      <c r="S28" s="25"/>
    </row>
    <row r="29" spans="1:19" ht="15.6" customHeight="1">
      <c r="A29" s="40"/>
      <c r="B29" s="39"/>
      <c r="C29" s="38">
        <f>C28+1</f>
        <v>16</v>
      </c>
      <c r="D29" s="38">
        <f>D28+1</f>
        <v>16</v>
      </c>
      <c r="E29" s="37" t="s">
        <v>11</v>
      </c>
      <c r="F29" s="36">
        <v>62200</v>
      </c>
      <c r="G29" s="35">
        <v>0.05</v>
      </c>
      <c r="H29" s="35">
        <v>0.05</v>
      </c>
      <c r="I29" s="34"/>
      <c r="J29" s="33">
        <f>+(Q29*100000000)/L$4</f>
        <v>0</v>
      </c>
      <c r="K29" s="32">
        <f>$F29</f>
        <v>62200</v>
      </c>
      <c r="L29" s="31">
        <f>+($F29-K29)/K29</f>
        <v>0</v>
      </c>
      <c r="M29" s="30">
        <f>+L$4*$H29/$F29</f>
        <v>80.385852090032159</v>
      </c>
      <c r="N29" s="30"/>
      <c r="O29" s="29">
        <f>N29/M29</f>
        <v>0</v>
      </c>
      <c r="P29" s="28">
        <f>+M29-N29</f>
        <v>80.385852090032159</v>
      </c>
      <c r="Q29" s="27">
        <f>+(N29*$F29)/100000000</f>
        <v>0</v>
      </c>
      <c r="R29" s="26"/>
      <c r="S29" s="25"/>
    </row>
    <row r="30" spans="1:19" ht="15.6" customHeight="1">
      <c r="A30" s="40"/>
      <c r="B30" s="39"/>
      <c r="C30" s="38">
        <f>C29+1</f>
        <v>17</v>
      </c>
      <c r="D30" s="38">
        <f>D29+1</f>
        <v>17</v>
      </c>
      <c r="E30" s="37" t="s">
        <v>10</v>
      </c>
      <c r="F30" s="36">
        <v>412000</v>
      </c>
      <c r="G30" s="35">
        <v>0.05</v>
      </c>
      <c r="H30" s="35">
        <v>0.05</v>
      </c>
      <c r="I30" s="34"/>
      <c r="J30" s="33">
        <f>+(Q30*100000000)/L$4</f>
        <v>0</v>
      </c>
      <c r="K30" s="32">
        <f>$F30</f>
        <v>412000</v>
      </c>
      <c r="L30" s="31">
        <f>+($F30-K30)/K30</f>
        <v>0</v>
      </c>
      <c r="M30" s="30">
        <f>+L$4*$H30/$F30</f>
        <v>12.135922330097088</v>
      </c>
      <c r="N30" s="30"/>
      <c r="O30" s="29">
        <f>N30/M30</f>
        <v>0</v>
      </c>
      <c r="P30" s="28">
        <f>+M30-N30</f>
        <v>12.135922330097088</v>
      </c>
      <c r="Q30" s="27">
        <f>+(N30*$F30)/100000000</f>
        <v>0</v>
      </c>
      <c r="R30" s="26"/>
      <c r="S30" s="25"/>
    </row>
    <row r="31" spans="1:19" ht="15.6" customHeight="1">
      <c r="A31" s="40"/>
      <c r="B31" s="39"/>
      <c r="C31" s="38">
        <f>C30+1</f>
        <v>18</v>
      </c>
      <c r="D31" s="38">
        <f>D30+1</f>
        <v>18</v>
      </c>
      <c r="E31" s="51" t="s">
        <v>9</v>
      </c>
      <c r="F31" s="50">
        <v>153500</v>
      </c>
      <c r="G31" s="49">
        <v>0.05</v>
      </c>
      <c r="H31" s="49">
        <v>0.05</v>
      </c>
      <c r="I31" s="48"/>
      <c r="J31" s="47">
        <f>+(Q31*100000000)/L$4</f>
        <v>0</v>
      </c>
      <c r="K31" s="46">
        <f>$F31</f>
        <v>153500</v>
      </c>
      <c r="L31" s="45">
        <f>+($F31-K31)/K31</f>
        <v>0</v>
      </c>
      <c r="M31" s="44">
        <f>+L$4*$H31/$F31</f>
        <v>32.573289902280131</v>
      </c>
      <c r="N31" s="44"/>
      <c r="O31" s="43">
        <f>N31/M31</f>
        <v>0</v>
      </c>
      <c r="P31" s="42">
        <f>+M31-N31</f>
        <v>32.573289902280131</v>
      </c>
      <c r="Q31" s="41">
        <f>+(N31*$F31)/100000000</f>
        <v>0</v>
      </c>
      <c r="R31" s="26"/>
      <c r="S31" s="25"/>
    </row>
    <row r="32" spans="1:19" ht="15.6" customHeight="1">
      <c r="A32" s="40"/>
      <c r="B32" s="39"/>
      <c r="C32" s="38">
        <f>C31+1</f>
        <v>19</v>
      </c>
      <c r="D32" s="38">
        <f>D31+1</f>
        <v>19</v>
      </c>
      <c r="E32" s="37" t="s">
        <v>8</v>
      </c>
      <c r="F32" s="36">
        <v>65600</v>
      </c>
      <c r="G32" s="35">
        <v>0.05</v>
      </c>
      <c r="H32" s="35">
        <v>0.05</v>
      </c>
      <c r="I32" s="34"/>
      <c r="J32" s="33">
        <f>+(Q32*100000000)/L$4</f>
        <v>0</v>
      </c>
      <c r="K32" s="32">
        <f>$F32</f>
        <v>65600</v>
      </c>
      <c r="L32" s="31">
        <f>+($F32-K32)/K32</f>
        <v>0</v>
      </c>
      <c r="M32" s="30">
        <f>+L$4*$H32/$F32</f>
        <v>76.219512195121951</v>
      </c>
      <c r="N32" s="30"/>
      <c r="O32" s="29">
        <f>N32/M32</f>
        <v>0</v>
      </c>
      <c r="P32" s="28">
        <f>+M32-N32</f>
        <v>76.219512195121951</v>
      </c>
      <c r="Q32" s="27">
        <f>+(N32*$F32)/100000000</f>
        <v>0</v>
      </c>
      <c r="R32" s="26"/>
      <c r="S32" s="25"/>
    </row>
    <row r="33" spans="1:17" ht="12" customHeight="1">
      <c r="A33" s="24"/>
      <c r="B33" s="23"/>
      <c r="C33" s="22"/>
      <c r="D33" s="22"/>
      <c r="E33" s="3"/>
      <c r="F33" s="18"/>
      <c r="G33" s="16"/>
      <c r="H33" s="16"/>
      <c r="I33" s="16"/>
      <c r="J33" s="21"/>
      <c r="K33" s="20"/>
      <c r="L33" s="16"/>
      <c r="M33" s="19"/>
      <c r="N33" s="19"/>
      <c r="O33" s="13"/>
      <c r="P33" s="12"/>
      <c r="Q33" s="11"/>
    </row>
    <row r="34" spans="1:17" ht="12" customHeight="1">
      <c r="A34" s="3"/>
      <c r="B34" s="1"/>
      <c r="C34" s="3"/>
      <c r="E34" s="3"/>
      <c r="F34" s="18"/>
      <c r="G34" s="16"/>
      <c r="H34" s="15"/>
      <c r="I34" s="14"/>
      <c r="O34" s="13"/>
      <c r="P34" s="12"/>
      <c r="Q34" s="11"/>
    </row>
    <row r="35" spans="1:17" ht="12" customHeight="1">
      <c r="A35" s="3"/>
      <c r="B35" s="1"/>
      <c r="C35" s="3"/>
      <c r="E35" s="17" t="s">
        <v>7</v>
      </c>
      <c r="F35" s="10">
        <f>100%-$H$9</f>
        <v>5.999999999999972E-2</v>
      </c>
      <c r="G35" s="16"/>
      <c r="H35" s="15"/>
      <c r="I35" s="14"/>
      <c r="O35" s="13"/>
      <c r="P35" s="12"/>
      <c r="Q35" s="11"/>
    </row>
    <row r="36" spans="1:17" ht="12" customHeight="1">
      <c r="E36" s="7" t="s">
        <v>6</v>
      </c>
      <c r="F36" s="10">
        <f>$H$13</f>
        <v>0</v>
      </c>
    </row>
    <row r="37" spans="1:17" ht="12" customHeight="1">
      <c r="E37" s="9" t="s">
        <v>5</v>
      </c>
      <c r="F37" s="8">
        <f>SUM(F38:F42)+F36</f>
        <v>0.94</v>
      </c>
      <c r="J37" s="2"/>
      <c r="M37" s="1"/>
    </row>
    <row r="38" spans="1:17" ht="12" customHeight="1">
      <c r="E38" s="7" t="s">
        <v>4</v>
      </c>
      <c r="F38" s="6">
        <f>SUM($H$14:$H$21)</f>
        <v>0.38999999999999996</v>
      </c>
      <c r="J38" s="2"/>
      <c r="M38" s="1"/>
    </row>
    <row r="39" spans="1:17" ht="12" customHeight="1">
      <c r="E39" s="7" t="s">
        <v>3</v>
      </c>
      <c r="F39" s="6">
        <f>SUM($H$28:$H$32)</f>
        <v>0.25</v>
      </c>
    </row>
    <row r="40" spans="1:17" ht="12" customHeight="1">
      <c r="E40" s="7" t="s">
        <v>2</v>
      </c>
      <c r="F40" s="6">
        <f>SUM($H$22:$H$24)</f>
        <v>0.15000000000000002</v>
      </c>
      <c r="J40" s="2"/>
      <c r="M40" s="1"/>
    </row>
    <row r="41" spans="1:17" ht="12" customHeight="1">
      <c r="E41" s="7" t="s">
        <v>1</v>
      </c>
      <c r="F41" s="6">
        <f>SUM($H$26:$H$27)</f>
        <v>0.1</v>
      </c>
      <c r="J41" s="2"/>
      <c r="M41" s="1"/>
    </row>
    <row r="42" spans="1:17" ht="12" customHeight="1">
      <c r="E42" s="7" t="s">
        <v>0</v>
      </c>
      <c r="F42" s="6">
        <f>SUM($H$25)</f>
        <v>0.05</v>
      </c>
    </row>
    <row r="43" spans="1:17" ht="12" customHeight="1">
      <c r="E43" s="5"/>
    </row>
    <row r="44" spans="1:17" ht="17.399999999999999">
      <c r="E44" s="5"/>
    </row>
    <row r="45" spans="1:17" ht="17.399999999999999">
      <c r="E45" s="5"/>
    </row>
    <row r="46" spans="1:17" ht="17.399999999999999">
      <c r="E46" s="5"/>
    </row>
    <row r="47" spans="1:17" ht="17.399999999999999">
      <c r="E47" s="5"/>
    </row>
    <row r="65" spans="2:42" s="4" customFormat="1">
      <c r="B65" s="3"/>
      <c r="C65" s="1"/>
      <c r="D65" s="1"/>
      <c r="E65" s="1"/>
      <c r="F65" s="2"/>
      <c r="G65" s="1"/>
      <c r="H65" s="1"/>
      <c r="I65" s="1"/>
      <c r="J65" s="1"/>
      <c r="K65" s="1"/>
      <c r="L65" s="1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2:42" s="4" customFormat="1">
      <c r="B66" s="3"/>
      <c r="C66" s="1"/>
      <c r="D66" s="1"/>
      <c r="E66" s="1"/>
      <c r="F66" s="2"/>
      <c r="G66" s="1"/>
      <c r="H66" s="1"/>
      <c r="I66" s="1"/>
      <c r="J66" s="1"/>
      <c r="K66" s="1"/>
      <c r="L66" s="1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2:42" s="4" customFormat="1">
      <c r="B67" s="3"/>
      <c r="C67" s="1"/>
      <c r="D67" s="1"/>
      <c r="E67" s="1"/>
      <c r="F67" s="2"/>
      <c r="G67" s="1"/>
      <c r="H67" s="1"/>
      <c r="I67" s="1"/>
      <c r="J67" s="1"/>
      <c r="K67" s="1"/>
      <c r="L67" s="1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2:42" s="4" customFormat="1">
      <c r="B68" s="3"/>
      <c r="C68" s="1"/>
      <c r="D68" s="1"/>
      <c r="E68" s="1"/>
      <c r="F68" s="2"/>
      <c r="G68" s="1"/>
      <c r="H68" s="1"/>
      <c r="I68" s="1"/>
      <c r="J68" s="1"/>
      <c r="K68" s="1"/>
      <c r="L68" s="1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2:42" s="4" customFormat="1">
      <c r="B69" s="3"/>
      <c r="C69" s="1"/>
      <c r="D69" s="1"/>
      <c r="E69" s="1"/>
      <c r="F69" s="2"/>
      <c r="G69" s="1"/>
      <c r="H69" s="1"/>
      <c r="I69" s="1"/>
      <c r="J69" s="1"/>
      <c r="K69" s="1"/>
      <c r="L69" s="1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2:42" s="4" customFormat="1">
      <c r="B70" s="3"/>
      <c r="C70" s="1"/>
      <c r="D70" s="1"/>
      <c r="E70" s="1"/>
      <c r="F70" s="2"/>
      <c r="G70" s="1"/>
      <c r="H70" s="1"/>
      <c r="I70" s="1"/>
      <c r="J70" s="1"/>
      <c r="K70" s="1"/>
      <c r="L70" s="1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2:42" s="4" customFormat="1">
      <c r="B71" s="3"/>
      <c r="C71" s="1"/>
      <c r="D71" s="1"/>
      <c r="E71" s="1"/>
      <c r="F71" s="2"/>
      <c r="G71" s="1"/>
      <c r="H71" s="1"/>
      <c r="I71" s="1"/>
      <c r="J71" s="1"/>
      <c r="K71" s="1"/>
      <c r="L71" s="1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2:42" s="4" customFormat="1">
      <c r="B72" s="3"/>
      <c r="C72" s="1"/>
      <c r="D72" s="1"/>
      <c r="E72" s="1"/>
      <c r="F72" s="2"/>
      <c r="G72" s="1"/>
      <c r="H72" s="1"/>
      <c r="I72" s="1"/>
      <c r="J72" s="1"/>
      <c r="K72" s="1"/>
      <c r="L72" s="1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2:42" s="4" customFormat="1">
      <c r="B73" s="3"/>
      <c r="C73" s="1"/>
      <c r="D73" s="1"/>
      <c r="E73" s="1"/>
      <c r="F73" s="2"/>
      <c r="G73" s="1"/>
      <c r="H73" s="1"/>
      <c r="I73" s="1"/>
      <c r="J73" s="1"/>
      <c r="K73" s="1"/>
      <c r="L73" s="1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2:42" s="4" customFormat="1">
      <c r="B74" s="3"/>
      <c r="C74" s="1"/>
      <c r="D74" s="1"/>
      <c r="E74" s="1"/>
      <c r="F74" s="2"/>
      <c r="G74" s="1"/>
      <c r="H74" s="1"/>
      <c r="I74" s="1"/>
      <c r="J74" s="1"/>
      <c r="K74" s="1"/>
      <c r="L74" s="1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2:42" s="4" customFormat="1">
      <c r="B75" s="3"/>
      <c r="C75" s="1"/>
      <c r="D75" s="1"/>
      <c r="E75" s="1"/>
      <c r="F75" s="2"/>
      <c r="G75" s="1"/>
      <c r="H75" s="1"/>
      <c r="I75" s="1"/>
      <c r="J75" s="1"/>
      <c r="K75" s="1"/>
      <c r="L75" s="1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2:42" s="4" customFormat="1">
      <c r="B76" s="3"/>
      <c r="C76" s="1"/>
      <c r="D76" s="1"/>
      <c r="E76" s="1"/>
      <c r="F76" s="2"/>
      <c r="G76" s="1"/>
      <c r="H76" s="1"/>
      <c r="I76" s="1"/>
      <c r="J76" s="1"/>
      <c r="K76" s="1"/>
      <c r="L76" s="1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2:42" s="4" customFormat="1">
      <c r="B77" s="3"/>
      <c r="C77" s="1"/>
      <c r="D77" s="1"/>
      <c r="E77" s="1"/>
      <c r="F77" s="2"/>
      <c r="G77" s="1"/>
      <c r="H77" s="1"/>
      <c r="I77" s="1"/>
      <c r="J77" s="1"/>
      <c r="K77" s="1"/>
      <c r="L77" s="1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2:42" s="4" customFormat="1">
      <c r="B78" s="3"/>
      <c r="C78" s="1"/>
      <c r="D78" s="1"/>
      <c r="E78" s="1"/>
      <c r="F78" s="2"/>
      <c r="G78" s="1"/>
      <c r="H78" s="1"/>
      <c r="I78" s="1"/>
      <c r="J78" s="1"/>
      <c r="K78" s="1"/>
      <c r="L78" s="1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2:42" s="4" customFormat="1">
      <c r="B79" s="3"/>
      <c r="C79" s="1"/>
      <c r="D79" s="1"/>
      <c r="E79" s="1"/>
      <c r="F79" s="2"/>
      <c r="G79" s="1"/>
      <c r="H79" s="1"/>
      <c r="I79" s="1"/>
      <c r="J79" s="1"/>
      <c r="K79" s="1"/>
      <c r="L79" s="1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2:42" s="4" customFormat="1">
      <c r="B80" s="3"/>
      <c r="C80" s="1"/>
      <c r="D80" s="1"/>
      <c r="E80" s="1"/>
      <c r="F80" s="2"/>
      <c r="G80" s="1"/>
      <c r="H80" s="1"/>
      <c r="I80" s="1"/>
      <c r="J80" s="1"/>
      <c r="K80" s="1"/>
      <c r="L80" s="1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2:42" s="4" customFormat="1">
      <c r="B81" s="3"/>
      <c r="C81" s="1"/>
      <c r="D81" s="1"/>
      <c r="E81" s="1"/>
      <c r="F81" s="2"/>
      <c r="G81" s="1"/>
      <c r="H81" s="1"/>
      <c r="I81" s="1"/>
      <c r="J81" s="1"/>
      <c r="K81" s="1"/>
      <c r="L81" s="1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2:42" s="4" customFormat="1">
      <c r="B82" s="3"/>
      <c r="C82" s="1"/>
      <c r="D82" s="1"/>
      <c r="E82" s="1"/>
      <c r="F82" s="2"/>
      <c r="G82" s="1"/>
      <c r="H82" s="1"/>
      <c r="I82" s="1"/>
      <c r="J82" s="1"/>
      <c r="K82" s="1"/>
      <c r="L82" s="1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2:42" s="4" customFormat="1">
      <c r="B83" s="3"/>
      <c r="C83" s="1"/>
      <c r="D83" s="1"/>
      <c r="E83" s="1"/>
      <c r="F83" s="2"/>
      <c r="G83" s="1"/>
      <c r="H83" s="1"/>
      <c r="I83" s="1"/>
      <c r="J83" s="1"/>
      <c r="K83" s="1"/>
      <c r="L83" s="1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2:42" s="4" customFormat="1">
      <c r="B84" s="3"/>
      <c r="C84" s="1"/>
      <c r="D84" s="1"/>
      <c r="E84" s="1"/>
      <c r="F84" s="2"/>
      <c r="G84" s="1"/>
      <c r="H84" s="1"/>
      <c r="I84" s="1"/>
      <c r="J84" s="1"/>
      <c r="K84" s="1"/>
      <c r="L84" s="1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2:42" s="4" customFormat="1">
      <c r="B85" s="3"/>
      <c r="C85" s="1"/>
      <c r="D85" s="1"/>
      <c r="E85" s="1"/>
      <c r="F85" s="2"/>
      <c r="G85" s="1"/>
      <c r="H85" s="1"/>
      <c r="I85" s="1"/>
      <c r="J85" s="1"/>
      <c r="K85" s="1"/>
      <c r="L85" s="1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</sheetData>
  <autoFilter ref="E37:F39" xr:uid="{00000000-0009-0000-0000-000005000000}">
    <sortState xmlns:xlrd2="http://schemas.microsoft.com/office/spreadsheetml/2017/richdata2" ref="E38:F42">
      <sortCondition descending="1" ref="F37:F39"/>
    </sortState>
  </autoFilter>
  <mergeCells count="9">
    <mergeCell ref="L4:M4"/>
    <mergeCell ref="N4:O4"/>
    <mergeCell ref="P4:Q4"/>
    <mergeCell ref="N5:O5"/>
    <mergeCell ref="L1:M1"/>
    <mergeCell ref="L2:M2"/>
    <mergeCell ref="L3:M3"/>
    <mergeCell ref="N3:O3"/>
    <mergeCell ref="P3:Q3"/>
  </mergeCells>
  <phoneticPr fontId="4" type="noConversion"/>
  <conditionalFormatting sqref="F38:F4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4:R3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/>
  <pageMargins left="0" right="0" top="0" bottom="0" header="0.31496062992125984" footer="0.31496062992125984"/>
  <pageSetup paperSize="9"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0C75D-45F3-44CC-842A-D738206A4B11}">
  <sheetPr>
    <tabColor rgb="FF002060"/>
  </sheetPr>
  <dimension ref="A1:BM84"/>
  <sheetViews>
    <sheetView showGridLines="0" zoomScale="130" zoomScaleNormal="130" zoomScaleSheetLayoutView="90" workbookViewId="0">
      <pane xSplit="5" ySplit="9" topLeftCell="F10" activePane="bottomRight" state="frozen"/>
      <selection activeCell="AI20" sqref="AI20"/>
      <selection pane="topRight" activeCell="AI20" sqref="AI20"/>
      <selection pane="bottomLeft" activeCell="AI20" sqref="AI20"/>
      <selection pane="bottomRight" activeCell="J31" sqref="J31"/>
    </sheetView>
  </sheetViews>
  <sheetFormatPr defaultColWidth="7.296875" defaultRowHeight="10.8"/>
  <cols>
    <col min="1" max="1" width="7" style="1" customWidth="1"/>
    <col min="2" max="3" width="3" style="1" customWidth="1"/>
    <col min="4" max="4" width="5.69921875" style="1" customWidth="1"/>
    <col min="5" max="5" width="15.3984375" style="1" customWidth="1"/>
    <col min="6" max="6" width="7.796875" style="2" customWidth="1"/>
    <col min="7" max="8" width="6.19921875" style="1" customWidth="1"/>
    <col min="9" max="9" width="4.59765625" style="1" customWidth="1"/>
    <col min="10" max="11" width="6.19921875" style="1" customWidth="1"/>
    <col min="12" max="12" width="5.3984375" style="1" customWidth="1"/>
    <col min="13" max="13" width="5.3984375" style="2" customWidth="1"/>
    <col min="14" max="14" width="7" style="1" customWidth="1"/>
    <col min="15" max="15" width="5.3984375" style="1" customWidth="1"/>
    <col min="16" max="16" width="6.09765625" style="1" customWidth="1"/>
    <col min="17" max="17" width="5.3984375" style="1" customWidth="1"/>
    <col min="18" max="18" width="41" style="1" customWidth="1"/>
    <col min="19" max="32" width="5.3984375" style="1" customWidth="1"/>
    <col min="33" max="16384" width="7.296875" style="1"/>
  </cols>
  <sheetData>
    <row r="1" spans="1:65" ht="11.1" customHeight="1">
      <c r="A1" s="175"/>
      <c r="I1" s="2"/>
      <c r="J1" s="175"/>
      <c r="K1" s="205">
        <v>100000000</v>
      </c>
      <c r="L1" s="174"/>
      <c r="M1" s="174"/>
    </row>
    <row r="2" spans="1:65" ht="11.1" customHeight="1">
      <c r="I2" s="2"/>
      <c r="J2" s="175"/>
      <c r="K2" s="205">
        <f>K1/1500</f>
        <v>66666.666666666672</v>
      </c>
      <c r="L2" s="171"/>
      <c r="M2" s="171"/>
      <c r="O2" s="176"/>
      <c r="P2" s="176"/>
    </row>
    <row r="3" spans="1:65" ht="11.1" customHeight="1">
      <c r="I3" s="2"/>
      <c r="J3" s="175"/>
      <c r="K3" s="168" t="s">
        <v>55</v>
      </c>
      <c r="L3" s="206">
        <f>K2</f>
        <v>66666.666666666672</v>
      </c>
      <c r="M3" s="206"/>
      <c r="N3" s="163" t="s">
        <v>54</v>
      </c>
      <c r="O3" s="163"/>
      <c r="P3" s="162">
        <f>+Q9</f>
        <v>0</v>
      </c>
      <c r="Q3" s="162"/>
    </row>
    <row r="4" spans="1:65" ht="11.1" customHeight="1">
      <c r="B4" s="167"/>
      <c r="C4" s="166"/>
      <c r="E4" s="165"/>
      <c r="I4" s="2"/>
      <c r="J4" s="175"/>
      <c r="K4" s="159" t="s">
        <v>53</v>
      </c>
      <c r="L4" s="206">
        <f>L3</f>
        <v>66666.666666666672</v>
      </c>
      <c r="M4" s="206"/>
      <c r="N4" s="163" t="s">
        <v>52</v>
      </c>
      <c r="O4" s="163"/>
      <c r="P4" s="162">
        <f>+L4-P3</f>
        <v>66666.666666666672</v>
      </c>
      <c r="Q4" s="162"/>
    </row>
    <row r="5" spans="1:65" ht="26.25" customHeight="1">
      <c r="B5" s="161"/>
      <c r="C5" s="161"/>
      <c r="E5" s="177"/>
      <c r="H5" s="2"/>
      <c r="I5" s="2"/>
      <c r="J5" s="175"/>
      <c r="K5" s="159" t="s">
        <v>51</v>
      </c>
      <c r="L5" s="158">
        <f>+L4/L3*1000</f>
        <v>1000</v>
      </c>
      <c r="M5" s="157">
        <f>+(L5-1000)/1000</f>
        <v>0</v>
      </c>
      <c r="N5" s="163" t="s">
        <v>35</v>
      </c>
      <c r="O5" s="163"/>
      <c r="P5" s="154"/>
      <c r="Q5" s="153">
        <f>P3/L4</f>
        <v>0</v>
      </c>
    </row>
    <row r="6" spans="1:65" ht="21" customHeight="1">
      <c r="B6" s="139"/>
      <c r="C6" s="138"/>
      <c r="D6" s="138"/>
      <c r="E6" s="139"/>
      <c r="F6" s="152" t="s">
        <v>50</v>
      </c>
      <c r="G6" s="151"/>
      <c r="H6" s="150"/>
      <c r="I6" s="2"/>
      <c r="J6" s="146" t="s">
        <v>49</v>
      </c>
      <c r="K6" s="133" t="s">
        <v>48</v>
      </c>
      <c r="L6" s="133" t="s">
        <v>47</v>
      </c>
      <c r="M6" s="133"/>
      <c r="N6" s="133"/>
      <c r="O6" s="133"/>
      <c r="P6" s="133"/>
      <c r="Q6" s="140" t="s">
        <v>46</v>
      </c>
      <c r="R6" s="139"/>
    </row>
    <row r="7" spans="1:65" ht="11.1" customHeight="1">
      <c r="B7" s="139" t="s">
        <v>45</v>
      </c>
      <c r="C7" s="138" t="s">
        <v>45</v>
      </c>
      <c r="D7" s="138" t="s">
        <v>58</v>
      </c>
      <c r="E7" s="139" t="s">
        <v>44</v>
      </c>
      <c r="F7" s="149" t="s">
        <v>43</v>
      </c>
      <c r="G7" s="148" t="s">
        <v>42</v>
      </c>
      <c r="H7" s="147" t="s">
        <v>41</v>
      </c>
      <c r="I7" s="2"/>
      <c r="J7" s="146" t="s">
        <v>40</v>
      </c>
      <c r="K7" s="133" t="s">
        <v>39</v>
      </c>
      <c r="L7" s="133" t="s">
        <v>38</v>
      </c>
      <c r="M7" s="133" t="s">
        <v>37</v>
      </c>
      <c r="N7" s="133" t="s">
        <v>36</v>
      </c>
      <c r="O7" s="133" t="s">
        <v>35</v>
      </c>
      <c r="P7" s="133" t="s">
        <v>34</v>
      </c>
      <c r="Q7" s="140"/>
      <c r="R7" s="139" t="s">
        <v>59</v>
      </c>
    </row>
    <row r="8" spans="1:65" ht="11.1" customHeight="1">
      <c r="B8" s="139"/>
      <c r="C8" s="138"/>
      <c r="D8" s="178"/>
      <c r="E8" s="145"/>
      <c r="F8" s="144"/>
      <c r="G8" s="143"/>
      <c r="H8" s="142"/>
      <c r="I8" s="2"/>
      <c r="J8" s="141" t="s">
        <v>32</v>
      </c>
      <c r="K8" s="133"/>
      <c r="L8" s="133" t="s">
        <v>33</v>
      </c>
      <c r="M8" s="133"/>
      <c r="N8" s="133"/>
      <c r="O8" s="133" t="s">
        <v>32</v>
      </c>
      <c r="P8" s="133" t="s">
        <v>31</v>
      </c>
      <c r="Q8" s="140" t="s">
        <v>60</v>
      </c>
      <c r="R8" s="139"/>
    </row>
    <row r="9" spans="1:65" s="130" customFormat="1" ht="11.1" customHeight="1">
      <c r="B9" s="139"/>
      <c r="C9" s="138"/>
      <c r="D9" s="137"/>
      <c r="E9" s="137"/>
      <c r="F9" s="136"/>
      <c r="G9" s="135">
        <f>SUM(G11:G32)</f>
        <v>1.0000000000000002</v>
      </c>
      <c r="H9" s="135">
        <f>SUM(H11:H32)</f>
        <v>1.0000000000000002</v>
      </c>
      <c r="I9" s="2"/>
      <c r="J9" s="135">
        <f>SUM(J11:J28)</f>
        <v>0</v>
      </c>
      <c r="K9" s="133"/>
      <c r="L9" s="133"/>
      <c r="M9" s="133"/>
      <c r="N9" s="134">
        <f>SUM(N11:N28)</f>
        <v>0</v>
      </c>
      <c r="O9" s="133"/>
      <c r="P9" s="133"/>
      <c r="Q9" s="132">
        <f>SUM(Q11:Q28)</f>
        <v>0</v>
      </c>
      <c r="R9" s="139"/>
      <c r="BD9" s="131"/>
      <c r="BE9" s="131"/>
      <c r="BF9" s="131"/>
      <c r="BG9" s="131"/>
      <c r="BH9" s="131"/>
      <c r="BI9" s="131"/>
      <c r="BJ9" s="131"/>
      <c r="BK9" s="131"/>
      <c r="BL9" s="131"/>
      <c r="BM9" s="131"/>
    </row>
    <row r="10" spans="1:65" ht="12" customHeight="1">
      <c r="B10" s="129"/>
      <c r="C10" s="128"/>
      <c r="D10" s="146"/>
      <c r="E10" s="127"/>
      <c r="F10" s="126"/>
      <c r="G10" s="179"/>
      <c r="H10" s="179">
        <f>SUM(H11:H52)</f>
        <v>1.0000000000000002</v>
      </c>
      <c r="I10" s="125"/>
      <c r="J10" s="179">
        <f>SUM(J11:J28)</f>
        <v>0</v>
      </c>
      <c r="K10" s="123"/>
      <c r="L10" s="121"/>
      <c r="M10" s="121"/>
      <c r="N10" s="122"/>
      <c r="O10" s="121"/>
      <c r="P10" s="120"/>
      <c r="Q10" s="120"/>
      <c r="R10" s="180"/>
    </row>
    <row r="11" spans="1:65" ht="12" customHeight="1">
      <c r="A11" s="40"/>
      <c r="B11" s="181">
        <v>1</v>
      </c>
      <c r="C11" s="181">
        <v>1</v>
      </c>
      <c r="D11" s="182" t="s">
        <v>61</v>
      </c>
      <c r="E11" s="183" t="s">
        <v>62</v>
      </c>
      <c r="F11" s="184">
        <v>501.51499999999999</v>
      </c>
      <c r="G11" s="185">
        <v>0.05</v>
      </c>
      <c r="H11" s="185">
        <v>0.05</v>
      </c>
      <c r="I11" s="34"/>
      <c r="J11" s="33">
        <f t="shared" ref="J11:J28" si="0">+(Q11)/L$4</f>
        <v>0</v>
      </c>
      <c r="K11" s="32">
        <f t="shared" ref="K11:K28" si="1">$F11</f>
        <v>501.51499999999999</v>
      </c>
      <c r="L11" s="31">
        <f t="shared" ref="L11:L28" si="2">+($F11-K11)/K11</f>
        <v>0</v>
      </c>
      <c r="M11" s="30">
        <f t="shared" ref="M11:M28" si="3">+L$4*$H11/$F11</f>
        <v>6.6465276877727169</v>
      </c>
      <c r="N11" s="30">
        <v>0</v>
      </c>
      <c r="O11" s="29">
        <f t="shared" ref="O11:O28" si="4">N11/M11</f>
        <v>0</v>
      </c>
      <c r="P11" s="28">
        <f t="shared" ref="P11:P28" si="5">+M11-N11</f>
        <v>6.6465276877727169</v>
      </c>
      <c r="Q11" s="27">
        <f t="shared" ref="Q11:Q28" si="6">+(N11*$F11)</f>
        <v>0</v>
      </c>
      <c r="R11" s="186"/>
    </row>
    <row r="12" spans="1:65" ht="12" customHeight="1">
      <c r="A12" s="40"/>
      <c r="B12" s="181">
        <f t="shared" ref="B12:C27" si="7">B11+1</f>
        <v>2</v>
      </c>
      <c r="C12" s="181">
        <f t="shared" si="7"/>
        <v>2</v>
      </c>
      <c r="D12" s="182" t="s">
        <v>63</v>
      </c>
      <c r="E12" s="183" t="s">
        <v>64</v>
      </c>
      <c r="F12" s="184">
        <v>340.5</v>
      </c>
      <c r="G12" s="185">
        <v>0.05</v>
      </c>
      <c r="H12" s="185">
        <v>0.05</v>
      </c>
      <c r="I12" s="34"/>
      <c r="J12" s="33">
        <f t="shared" si="0"/>
        <v>0</v>
      </c>
      <c r="K12" s="32">
        <f t="shared" si="1"/>
        <v>340.5</v>
      </c>
      <c r="L12" s="31">
        <f t="shared" si="2"/>
        <v>0</v>
      </c>
      <c r="M12" s="30">
        <f t="shared" si="3"/>
        <v>9.7895252080274133</v>
      </c>
      <c r="N12" s="30">
        <v>0</v>
      </c>
      <c r="O12" s="29">
        <f t="shared" si="4"/>
        <v>0</v>
      </c>
      <c r="P12" s="28">
        <f t="shared" si="5"/>
        <v>9.7895252080274133</v>
      </c>
      <c r="Q12" s="27">
        <f t="shared" si="6"/>
        <v>0</v>
      </c>
      <c r="R12" s="186"/>
    </row>
    <row r="13" spans="1:65" ht="12" customHeight="1">
      <c r="A13" s="40"/>
      <c r="B13" s="181">
        <f t="shared" si="7"/>
        <v>3</v>
      </c>
      <c r="C13" s="181">
        <f t="shared" si="7"/>
        <v>3</v>
      </c>
      <c r="D13" s="182" t="s">
        <v>65</v>
      </c>
      <c r="E13" s="183" t="s">
        <v>66</v>
      </c>
      <c r="F13" s="184">
        <v>860</v>
      </c>
      <c r="G13" s="185">
        <v>0.05</v>
      </c>
      <c r="H13" s="185">
        <v>0.05</v>
      </c>
      <c r="I13" s="34"/>
      <c r="J13" s="33">
        <f t="shared" si="0"/>
        <v>0</v>
      </c>
      <c r="K13" s="32">
        <f t="shared" si="1"/>
        <v>860</v>
      </c>
      <c r="L13" s="31">
        <f t="shared" si="2"/>
        <v>0</v>
      </c>
      <c r="M13" s="30">
        <f t="shared" si="3"/>
        <v>3.8759689922480627</v>
      </c>
      <c r="N13" s="30">
        <v>0</v>
      </c>
      <c r="O13" s="29">
        <f t="shared" si="4"/>
        <v>0</v>
      </c>
      <c r="P13" s="28">
        <f t="shared" si="5"/>
        <v>3.8759689922480627</v>
      </c>
      <c r="Q13" s="27">
        <f t="shared" si="6"/>
        <v>0</v>
      </c>
      <c r="R13" s="186"/>
    </row>
    <row r="14" spans="1:65" ht="12.6" customHeight="1">
      <c r="A14" s="40"/>
      <c r="B14" s="181">
        <f t="shared" si="7"/>
        <v>4</v>
      </c>
      <c r="C14" s="181">
        <f t="shared" si="7"/>
        <v>4</v>
      </c>
      <c r="D14" s="182" t="s">
        <v>67</v>
      </c>
      <c r="E14" s="183" t="s">
        <v>68</v>
      </c>
      <c r="F14" s="184">
        <v>125.09</v>
      </c>
      <c r="G14" s="185">
        <v>0.05</v>
      </c>
      <c r="H14" s="185">
        <v>0.05</v>
      </c>
      <c r="I14" s="34"/>
      <c r="J14" s="33">
        <f t="shared" si="0"/>
        <v>0</v>
      </c>
      <c r="K14" s="32">
        <f t="shared" si="1"/>
        <v>125.09</v>
      </c>
      <c r="L14" s="31">
        <f t="shared" si="2"/>
        <v>0</v>
      </c>
      <c r="M14" s="30">
        <f t="shared" si="3"/>
        <v>26.647480480720553</v>
      </c>
      <c r="N14" s="30">
        <v>0</v>
      </c>
      <c r="O14" s="29">
        <f t="shared" si="4"/>
        <v>0</v>
      </c>
      <c r="P14" s="28">
        <f t="shared" si="5"/>
        <v>26.647480480720553</v>
      </c>
      <c r="Q14" s="27">
        <f t="shared" si="6"/>
        <v>0</v>
      </c>
      <c r="R14" s="186"/>
    </row>
    <row r="15" spans="1:65" ht="12" customHeight="1">
      <c r="A15" s="40"/>
      <c r="B15" s="181">
        <f t="shared" si="7"/>
        <v>5</v>
      </c>
      <c r="C15" s="181">
        <f t="shared" si="7"/>
        <v>5</v>
      </c>
      <c r="D15" s="182" t="s">
        <v>69</v>
      </c>
      <c r="E15" s="183" t="s">
        <v>70</v>
      </c>
      <c r="F15" s="184">
        <v>263.245</v>
      </c>
      <c r="G15" s="185">
        <v>0.05</v>
      </c>
      <c r="H15" s="185">
        <v>0.05</v>
      </c>
      <c r="I15" s="34"/>
      <c r="J15" s="33">
        <f t="shared" si="0"/>
        <v>0</v>
      </c>
      <c r="K15" s="32">
        <f t="shared" si="1"/>
        <v>263.245</v>
      </c>
      <c r="L15" s="31">
        <f t="shared" si="2"/>
        <v>0</v>
      </c>
      <c r="M15" s="30">
        <f t="shared" si="3"/>
        <v>12.662475387313467</v>
      </c>
      <c r="N15" s="30">
        <v>0</v>
      </c>
      <c r="O15" s="29">
        <f t="shared" si="4"/>
        <v>0</v>
      </c>
      <c r="P15" s="28">
        <f t="shared" si="5"/>
        <v>12.662475387313467</v>
      </c>
      <c r="Q15" s="27">
        <f t="shared" si="6"/>
        <v>0</v>
      </c>
      <c r="R15" s="186"/>
    </row>
    <row r="16" spans="1:65" ht="12" customHeight="1">
      <c r="A16" s="40"/>
      <c r="B16" s="181">
        <f t="shared" si="7"/>
        <v>6</v>
      </c>
      <c r="C16" s="181">
        <f t="shared" si="7"/>
        <v>6</v>
      </c>
      <c r="D16" s="182" t="s">
        <v>71</v>
      </c>
      <c r="E16" s="183" t="s">
        <v>72</v>
      </c>
      <c r="F16" s="184">
        <v>1753</v>
      </c>
      <c r="G16" s="185">
        <v>0.05</v>
      </c>
      <c r="H16" s="185">
        <v>0.05</v>
      </c>
      <c r="I16" s="34"/>
      <c r="J16" s="33">
        <f t="shared" si="0"/>
        <v>0</v>
      </c>
      <c r="K16" s="32">
        <f t="shared" si="1"/>
        <v>1753</v>
      </c>
      <c r="L16" s="31">
        <f t="shared" si="2"/>
        <v>0</v>
      </c>
      <c r="M16" s="30">
        <f t="shared" si="3"/>
        <v>1.901502186727515</v>
      </c>
      <c r="N16" s="30">
        <v>0</v>
      </c>
      <c r="O16" s="29">
        <f t="shared" si="4"/>
        <v>0</v>
      </c>
      <c r="P16" s="28">
        <f t="shared" si="5"/>
        <v>1.901502186727515</v>
      </c>
      <c r="Q16" s="27">
        <f t="shared" si="6"/>
        <v>0</v>
      </c>
      <c r="R16" s="186"/>
    </row>
    <row r="17" spans="1:18" ht="12" customHeight="1">
      <c r="A17" s="40"/>
      <c r="B17" s="181">
        <f t="shared" si="7"/>
        <v>7</v>
      </c>
      <c r="C17" s="181">
        <f t="shared" si="7"/>
        <v>7</v>
      </c>
      <c r="D17" s="182" t="s">
        <v>73</v>
      </c>
      <c r="E17" s="183" t="s">
        <v>74</v>
      </c>
      <c r="F17" s="184">
        <v>62.875</v>
      </c>
      <c r="G17" s="185">
        <v>0.05</v>
      </c>
      <c r="H17" s="185">
        <v>0.05</v>
      </c>
      <c r="I17" s="34"/>
      <c r="J17" s="33">
        <f t="shared" si="0"/>
        <v>0</v>
      </c>
      <c r="K17" s="32">
        <f t="shared" si="1"/>
        <v>62.875</v>
      </c>
      <c r="L17" s="31">
        <f t="shared" si="2"/>
        <v>0</v>
      </c>
      <c r="M17" s="30">
        <f t="shared" si="3"/>
        <v>53.015241882041096</v>
      </c>
      <c r="N17" s="30">
        <v>0</v>
      </c>
      <c r="O17" s="29">
        <f t="shared" si="4"/>
        <v>0</v>
      </c>
      <c r="P17" s="28">
        <f t="shared" si="5"/>
        <v>53.015241882041096</v>
      </c>
      <c r="Q17" s="27">
        <f t="shared" si="6"/>
        <v>0</v>
      </c>
      <c r="R17" s="186"/>
    </row>
    <row r="18" spans="1:18" ht="12" customHeight="1">
      <c r="A18" s="40"/>
      <c r="B18" s="181">
        <f t="shared" si="7"/>
        <v>8</v>
      </c>
      <c r="C18" s="181">
        <f t="shared" si="7"/>
        <v>8</v>
      </c>
      <c r="D18" s="182" t="s">
        <v>75</v>
      </c>
      <c r="E18" s="183" t="s">
        <v>76</v>
      </c>
      <c r="F18" s="184">
        <v>229.41</v>
      </c>
      <c r="G18" s="185">
        <v>0.05</v>
      </c>
      <c r="H18" s="185">
        <v>0.05</v>
      </c>
      <c r="I18" s="34"/>
      <c r="J18" s="33">
        <f t="shared" si="0"/>
        <v>0</v>
      </c>
      <c r="K18" s="32">
        <f t="shared" si="1"/>
        <v>229.41</v>
      </c>
      <c r="L18" s="31">
        <f t="shared" si="2"/>
        <v>0</v>
      </c>
      <c r="M18" s="30">
        <f t="shared" si="3"/>
        <v>14.530026299347604</v>
      </c>
      <c r="N18" s="30">
        <v>0</v>
      </c>
      <c r="O18" s="29">
        <f t="shared" si="4"/>
        <v>0</v>
      </c>
      <c r="P18" s="28">
        <f t="shared" si="5"/>
        <v>14.530026299347604</v>
      </c>
      <c r="Q18" s="27">
        <f t="shared" si="6"/>
        <v>0</v>
      </c>
      <c r="R18" s="186"/>
    </row>
    <row r="19" spans="1:18" ht="12" customHeight="1">
      <c r="A19" s="40"/>
      <c r="B19" s="181">
        <f t="shared" si="7"/>
        <v>9</v>
      </c>
      <c r="C19" s="181">
        <f t="shared" si="7"/>
        <v>9</v>
      </c>
      <c r="D19" s="182" t="s">
        <v>77</v>
      </c>
      <c r="E19" s="183" t="s">
        <v>78</v>
      </c>
      <c r="F19" s="184">
        <v>360.9</v>
      </c>
      <c r="G19" s="185">
        <v>0.1</v>
      </c>
      <c r="H19" s="185">
        <v>0.1</v>
      </c>
      <c r="I19" s="34"/>
      <c r="J19" s="33">
        <f t="shared" si="0"/>
        <v>0</v>
      </c>
      <c r="K19" s="32">
        <f t="shared" si="1"/>
        <v>360.9</v>
      </c>
      <c r="L19" s="31">
        <f t="shared" si="2"/>
        <v>0</v>
      </c>
      <c r="M19" s="30">
        <f t="shared" si="3"/>
        <v>18.472337674332692</v>
      </c>
      <c r="N19" s="30">
        <v>0</v>
      </c>
      <c r="O19" s="29">
        <f t="shared" si="4"/>
        <v>0</v>
      </c>
      <c r="P19" s="28">
        <f t="shared" si="5"/>
        <v>18.472337674332692</v>
      </c>
      <c r="Q19" s="27">
        <f t="shared" si="6"/>
        <v>0</v>
      </c>
      <c r="R19" s="186"/>
    </row>
    <row r="20" spans="1:18" ht="12" customHeight="1">
      <c r="A20" s="40"/>
      <c r="B20" s="181">
        <f t="shared" si="7"/>
        <v>10</v>
      </c>
      <c r="C20" s="181">
        <f t="shared" si="7"/>
        <v>10</v>
      </c>
      <c r="D20" s="182" t="s">
        <v>79</v>
      </c>
      <c r="E20" s="183" t="s">
        <v>80</v>
      </c>
      <c r="F20" s="184">
        <v>980.09</v>
      </c>
      <c r="G20" s="185">
        <v>0.05</v>
      </c>
      <c r="H20" s="185">
        <v>0.05</v>
      </c>
      <c r="I20" s="34"/>
      <c r="J20" s="33">
        <f t="shared" si="0"/>
        <v>0</v>
      </c>
      <c r="K20" s="32">
        <f t="shared" si="1"/>
        <v>980.09</v>
      </c>
      <c r="L20" s="31">
        <f t="shared" si="2"/>
        <v>0</v>
      </c>
      <c r="M20" s="30">
        <f t="shared" si="3"/>
        <v>3.4010482030561824</v>
      </c>
      <c r="N20" s="30">
        <v>0</v>
      </c>
      <c r="O20" s="29">
        <f t="shared" si="4"/>
        <v>0</v>
      </c>
      <c r="P20" s="28">
        <f t="shared" si="5"/>
        <v>3.4010482030561824</v>
      </c>
      <c r="Q20" s="27">
        <f t="shared" si="6"/>
        <v>0</v>
      </c>
      <c r="R20" s="186"/>
    </row>
    <row r="21" spans="1:18" ht="12" customHeight="1">
      <c r="A21" s="40"/>
      <c r="B21" s="181">
        <f t="shared" si="7"/>
        <v>11</v>
      </c>
      <c r="C21" s="181">
        <f t="shared" si="7"/>
        <v>11</v>
      </c>
      <c r="D21" s="182" t="s">
        <v>81</v>
      </c>
      <c r="E21" s="183" t="s">
        <v>82</v>
      </c>
      <c r="F21" s="184">
        <v>301</v>
      </c>
      <c r="G21" s="185">
        <v>0.05</v>
      </c>
      <c r="H21" s="185">
        <v>0.05</v>
      </c>
      <c r="I21" s="34"/>
      <c r="J21" s="33">
        <f t="shared" si="0"/>
        <v>0</v>
      </c>
      <c r="K21" s="32">
        <f t="shared" si="1"/>
        <v>301</v>
      </c>
      <c r="L21" s="31">
        <f t="shared" si="2"/>
        <v>0</v>
      </c>
      <c r="M21" s="30">
        <f t="shared" si="3"/>
        <v>11.074197120708751</v>
      </c>
      <c r="N21" s="30">
        <v>0</v>
      </c>
      <c r="O21" s="29">
        <f t="shared" si="4"/>
        <v>0</v>
      </c>
      <c r="P21" s="28">
        <f t="shared" si="5"/>
        <v>11.074197120708751</v>
      </c>
      <c r="Q21" s="27">
        <f t="shared" si="6"/>
        <v>0</v>
      </c>
      <c r="R21" s="186"/>
    </row>
    <row r="22" spans="1:18" ht="12" customHeight="1">
      <c r="A22" s="40"/>
      <c r="B22" s="181">
        <f t="shared" si="7"/>
        <v>12</v>
      </c>
      <c r="C22" s="181">
        <f t="shared" si="7"/>
        <v>12</v>
      </c>
      <c r="D22" s="182" t="s">
        <v>83</v>
      </c>
      <c r="E22" s="183" t="s">
        <v>84</v>
      </c>
      <c r="F22" s="184">
        <v>294.54000000000002</v>
      </c>
      <c r="G22" s="185">
        <v>0.05</v>
      </c>
      <c r="H22" s="185">
        <v>0.05</v>
      </c>
      <c r="I22" s="34"/>
      <c r="J22" s="33">
        <f t="shared" si="0"/>
        <v>0</v>
      </c>
      <c r="K22" s="32">
        <f t="shared" si="1"/>
        <v>294.54000000000002</v>
      </c>
      <c r="L22" s="31">
        <f t="shared" si="2"/>
        <v>0</v>
      </c>
      <c r="M22" s="30">
        <f t="shared" si="3"/>
        <v>11.3170820035762</v>
      </c>
      <c r="N22" s="30">
        <v>0</v>
      </c>
      <c r="O22" s="29">
        <f t="shared" si="4"/>
        <v>0</v>
      </c>
      <c r="P22" s="28">
        <f t="shared" si="5"/>
        <v>11.3170820035762</v>
      </c>
      <c r="Q22" s="27">
        <f t="shared" si="6"/>
        <v>0</v>
      </c>
      <c r="R22" s="186"/>
    </row>
    <row r="23" spans="1:18" ht="12" customHeight="1">
      <c r="A23" s="40"/>
      <c r="B23" s="181">
        <f t="shared" si="7"/>
        <v>13</v>
      </c>
      <c r="C23" s="181">
        <f t="shared" si="7"/>
        <v>13</v>
      </c>
      <c r="D23" s="182" t="s">
        <v>85</v>
      </c>
      <c r="E23" s="183" t="s">
        <v>86</v>
      </c>
      <c r="F23" s="184">
        <v>113.86499999999999</v>
      </c>
      <c r="G23" s="185">
        <v>0.05</v>
      </c>
      <c r="H23" s="185">
        <v>0.05</v>
      </c>
      <c r="I23" s="34"/>
      <c r="J23" s="33">
        <f t="shared" si="0"/>
        <v>0</v>
      </c>
      <c r="K23" s="32">
        <f t="shared" si="1"/>
        <v>113.86499999999999</v>
      </c>
      <c r="L23" s="31">
        <f t="shared" si="2"/>
        <v>0</v>
      </c>
      <c r="M23" s="30">
        <f t="shared" si="3"/>
        <v>29.274433173787678</v>
      </c>
      <c r="N23" s="30">
        <v>0</v>
      </c>
      <c r="O23" s="29">
        <f t="shared" si="4"/>
        <v>0</v>
      </c>
      <c r="P23" s="28">
        <f t="shared" si="5"/>
        <v>29.274433173787678</v>
      </c>
      <c r="Q23" s="27">
        <f t="shared" si="6"/>
        <v>0</v>
      </c>
      <c r="R23" s="186"/>
    </row>
    <row r="24" spans="1:18" ht="12" customHeight="1">
      <c r="A24" s="40"/>
      <c r="B24" s="181">
        <f t="shared" si="7"/>
        <v>14</v>
      </c>
      <c r="C24" s="181">
        <f t="shared" si="7"/>
        <v>14</v>
      </c>
      <c r="D24" s="182" t="s">
        <v>87</v>
      </c>
      <c r="E24" s="183" t="s">
        <v>88</v>
      </c>
      <c r="F24" s="184">
        <v>139.06</v>
      </c>
      <c r="G24" s="185">
        <v>0.05</v>
      </c>
      <c r="H24" s="185">
        <v>0.05</v>
      </c>
      <c r="I24" s="34"/>
      <c r="J24" s="33">
        <f t="shared" si="0"/>
        <v>0</v>
      </c>
      <c r="K24" s="32">
        <f t="shared" si="1"/>
        <v>139.06</v>
      </c>
      <c r="L24" s="31">
        <f t="shared" si="2"/>
        <v>0</v>
      </c>
      <c r="M24" s="30">
        <f t="shared" si="3"/>
        <v>23.970468382952205</v>
      </c>
      <c r="N24" s="30">
        <v>0</v>
      </c>
      <c r="O24" s="29">
        <f t="shared" si="4"/>
        <v>0</v>
      </c>
      <c r="P24" s="28">
        <f t="shared" si="5"/>
        <v>23.970468382952205</v>
      </c>
      <c r="Q24" s="27">
        <f t="shared" si="6"/>
        <v>0</v>
      </c>
      <c r="R24" s="186"/>
    </row>
    <row r="25" spans="1:18" ht="12" customHeight="1">
      <c r="A25" s="40"/>
      <c r="B25" s="181">
        <f t="shared" si="7"/>
        <v>15</v>
      </c>
      <c r="C25" s="181">
        <f t="shared" si="7"/>
        <v>15</v>
      </c>
      <c r="D25" s="182" t="s">
        <v>89</v>
      </c>
      <c r="E25" s="183" t="s">
        <v>90</v>
      </c>
      <c r="F25" s="184">
        <v>170.6</v>
      </c>
      <c r="G25" s="185">
        <v>0.05</v>
      </c>
      <c r="H25" s="185">
        <v>0.05</v>
      </c>
      <c r="I25" s="34"/>
      <c r="J25" s="33">
        <f t="shared" si="0"/>
        <v>0</v>
      </c>
      <c r="K25" s="32">
        <f t="shared" si="1"/>
        <v>170.6</v>
      </c>
      <c r="L25" s="31">
        <f t="shared" si="2"/>
        <v>0</v>
      </c>
      <c r="M25" s="30">
        <f t="shared" si="3"/>
        <v>19.5388823759281</v>
      </c>
      <c r="N25" s="30">
        <v>0</v>
      </c>
      <c r="O25" s="29">
        <f t="shared" si="4"/>
        <v>0</v>
      </c>
      <c r="P25" s="28">
        <f t="shared" si="5"/>
        <v>19.5388823759281</v>
      </c>
      <c r="Q25" s="27">
        <f t="shared" si="6"/>
        <v>0</v>
      </c>
      <c r="R25" s="186"/>
    </row>
    <row r="26" spans="1:18" ht="12" customHeight="1">
      <c r="A26" s="40"/>
      <c r="B26" s="181">
        <f t="shared" si="7"/>
        <v>16</v>
      </c>
      <c r="C26" s="181">
        <f t="shared" si="7"/>
        <v>16</v>
      </c>
      <c r="D26" s="182" t="s">
        <v>91</v>
      </c>
      <c r="E26" s="183" t="s">
        <v>92</v>
      </c>
      <c r="F26" s="184">
        <v>40.479999999999997</v>
      </c>
      <c r="G26" s="185">
        <v>0.05</v>
      </c>
      <c r="H26" s="185">
        <v>0.05</v>
      </c>
      <c r="I26" s="34"/>
      <c r="J26" s="33">
        <f t="shared" si="0"/>
        <v>0</v>
      </c>
      <c r="K26" s="32">
        <f t="shared" si="1"/>
        <v>40.479999999999997</v>
      </c>
      <c r="L26" s="31">
        <f t="shared" si="2"/>
        <v>0</v>
      </c>
      <c r="M26" s="30">
        <f t="shared" si="3"/>
        <v>82.345191040843233</v>
      </c>
      <c r="N26" s="30">
        <v>0</v>
      </c>
      <c r="O26" s="29">
        <f t="shared" si="4"/>
        <v>0</v>
      </c>
      <c r="P26" s="28">
        <f t="shared" si="5"/>
        <v>82.345191040843233</v>
      </c>
      <c r="Q26" s="27">
        <f t="shared" si="6"/>
        <v>0</v>
      </c>
      <c r="R26" s="186"/>
    </row>
    <row r="27" spans="1:18" ht="12" customHeight="1">
      <c r="A27" s="40"/>
      <c r="B27" s="181">
        <f t="shared" si="7"/>
        <v>17</v>
      </c>
      <c r="C27" s="181">
        <f t="shared" si="7"/>
        <v>17</v>
      </c>
      <c r="D27" s="182" t="s">
        <v>93</v>
      </c>
      <c r="E27" s="183" t="s">
        <v>94</v>
      </c>
      <c r="F27" s="184">
        <v>125.675</v>
      </c>
      <c r="G27" s="185">
        <v>0.1</v>
      </c>
      <c r="H27" s="185">
        <v>0.1</v>
      </c>
      <c r="I27" s="34"/>
      <c r="J27" s="33">
        <f t="shared" si="0"/>
        <v>0</v>
      </c>
      <c r="K27" s="32">
        <f t="shared" si="1"/>
        <v>125.675</v>
      </c>
      <c r="L27" s="31">
        <f t="shared" si="2"/>
        <v>0</v>
      </c>
      <c r="M27" s="30">
        <f t="shared" si="3"/>
        <v>53.046880180359402</v>
      </c>
      <c r="N27" s="30">
        <v>0</v>
      </c>
      <c r="O27" s="29">
        <f t="shared" si="4"/>
        <v>0</v>
      </c>
      <c r="P27" s="28">
        <f t="shared" si="5"/>
        <v>53.046880180359402</v>
      </c>
      <c r="Q27" s="27">
        <f t="shared" si="6"/>
        <v>0</v>
      </c>
      <c r="R27" s="186"/>
    </row>
    <row r="28" spans="1:18" ht="12" customHeight="1">
      <c r="A28" s="40"/>
      <c r="B28" s="181">
        <f t="shared" ref="B28:C28" si="8">B27+1</f>
        <v>18</v>
      </c>
      <c r="C28" s="181">
        <f t="shared" si="8"/>
        <v>18</v>
      </c>
      <c r="D28" s="182" t="s">
        <v>95</v>
      </c>
      <c r="E28" s="183" t="s">
        <v>96</v>
      </c>
      <c r="F28" s="184">
        <v>25</v>
      </c>
      <c r="G28" s="185">
        <v>0.05</v>
      </c>
      <c r="H28" s="185">
        <v>0.05</v>
      </c>
      <c r="I28" s="34"/>
      <c r="J28" s="33">
        <f t="shared" si="0"/>
        <v>0</v>
      </c>
      <c r="K28" s="32">
        <f t="shared" si="1"/>
        <v>25</v>
      </c>
      <c r="L28" s="31">
        <f t="shared" si="2"/>
        <v>0</v>
      </c>
      <c r="M28" s="30">
        <f t="shared" si="3"/>
        <v>133.33333333333337</v>
      </c>
      <c r="N28" s="30">
        <v>0</v>
      </c>
      <c r="O28" s="29">
        <f t="shared" si="4"/>
        <v>0</v>
      </c>
      <c r="P28" s="28">
        <f t="shared" si="5"/>
        <v>133.33333333333337</v>
      </c>
      <c r="Q28" s="27">
        <f t="shared" si="6"/>
        <v>0</v>
      </c>
      <c r="R28" s="186"/>
    </row>
    <row r="29" spans="1:18" ht="12" customHeight="1">
      <c r="A29" s="24"/>
      <c r="B29" s="22"/>
      <c r="C29" s="22"/>
      <c r="D29" s="187"/>
      <c r="E29" s="188"/>
      <c r="F29" s="189"/>
      <c r="G29" s="190"/>
      <c r="H29" s="190"/>
      <c r="I29" s="16"/>
      <c r="J29" s="21"/>
      <c r="K29" s="20"/>
      <c r="L29" s="16"/>
      <c r="M29" s="19"/>
      <c r="N29" s="19"/>
      <c r="O29" s="13"/>
      <c r="P29" s="12"/>
      <c r="Q29" s="11"/>
      <c r="R29" s="11"/>
    </row>
    <row r="30" spans="1:18" ht="12" customHeight="1">
      <c r="A30" s="24"/>
      <c r="B30" s="22"/>
      <c r="C30" s="22"/>
      <c r="D30" s="187"/>
      <c r="E30" s="188"/>
      <c r="F30" s="189"/>
      <c r="G30" s="190"/>
      <c r="H30" s="190"/>
      <c r="I30" s="16"/>
      <c r="J30" s="21"/>
      <c r="K30" s="20"/>
      <c r="L30" s="16"/>
      <c r="M30" s="19"/>
      <c r="N30" s="19"/>
      <c r="O30" s="13"/>
      <c r="P30" s="12"/>
      <c r="Q30" s="11"/>
      <c r="R30" s="11"/>
    </row>
    <row r="31" spans="1:18" ht="12" customHeight="1">
      <c r="A31" s="24"/>
      <c r="B31" s="22"/>
      <c r="C31" s="22"/>
      <c r="D31" s="187"/>
      <c r="E31" s="188"/>
      <c r="F31" s="189"/>
      <c r="G31" s="190"/>
      <c r="H31" s="190"/>
      <c r="I31" s="16"/>
      <c r="J31" s="21"/>
      <c r="K31" s="20"/>
      <c r="L31" s="16"/>
      <c r="M31" s="19"/>
      <c r="N31" s="19"/>
      <c r="O31" s="13"/>
      <c r="P31" s="12"/>
      <c r="Q31" s="11"/>
      <c r="R31" s="11"/>
    </row>
    <row r="32" spans="1:18" ht="17.399999999999999">
      <c r="D32" s="191"/>
      <c r="E32" s="192"/>
      <c r="F32" s="193"/>
    </row>
    <row r="33" spans="4:6" ht="17.399999999999999">
      <c r="D33" s="191"/>
      <c r="E33" s="194" t="s">
        <v>97</v>
      </c>
      <c r="F33" s="193"/>
    </row>
    <row r="34" spans="4:6" ht="17.399999999999999">
      <c r="D34" s="191"/>
      <c r="E34" s="192" t="s">
        <v>98</v>
      </c>
      <c r="F34" s="195"/>
    </row>
    <row r="35" spans="4:6" ht="17.399999999999999">
      <c r="D35" s="191"/>
      <c r="E35" s="196"/>
      <c r="F35" s="195"/>
    </row>
    <row r="36" spans="4:6" ht="17.399999999999999">
      <c r="D36" s="191"/>
      <c r="E36" s="197" t="s">
        <v>99</v>
      </c>
      <c r="F36" s="193"/>
    </row>
    <row r="37" spans="4:6" ht="17.399999999999999">
      <c r="D37" s="191"/>
      <c r="E37" s="198" t="s">
        <v>100</v>
      </c>
      <c r="F37" s="193"/>
    </row>
    <row r="38" spans="4:6" ht="17.399999999999999">
      <c r="D38" s="191"/>
      <c r="E38" s="199" t="s">
        <v>101</v>
      </c>
      <c r="F38" s="193"/>
    </row>
    <row r="39" spans="4:6" ht="17.399999999999999">
      <c r="D39" s="191"/>
      <c r="E39" s="196"/>
      <c r="F39" s="193"/>
    </row>
    <row r="40" spans="4:6" ht="17.399999999999999">
      <c r="E40" s="197" t="s">
        <v>102</v>
      </c>
      <c r="F40" s="193"/>
    </row>
    <row r="41" spans="4:6" ht="17.399999999999999">
      <c r="E41" s="198" t="s">
        <v>103</v>
      </c>
      <c r="F41" s="193"/>
    </row>
    <row r="42" spans="4:6" ht="17.399999999999999">
      <c r="E42" s="198" t="s">
        <v>104</v>
      </c>
      <c r="F42" s="193"/>
    </row>
    <row r="43" spans="4:6" ht="17.399999999999999">
      <c r="E43" s="198" t="s">
        <v>105</v>
      </c>
      <c r="F43" s="200"/>
    </row>
    <row r="44" spans="4:6" ht="17.399999999999999">
      <c r="E44" s="196"/>
      <c r="F44" s="200"/>
    </row>
    <row r="45" spans="4:6" ht="17.399999999999999">
      <c r="E45" s="197" t="s">
        <v>106</v>
      </c>
      <c r="F45" s="201"/>
    </row>
    <row r="46" spans="4:6" ht="17.399999999999999">
      <c r="E46" s="198" t="s">
        <v>107</v>
      </c>
      <c r="F46" s="1"/>
    </row>
    <row r="47" spans="4:6" ht="11.4">
      <c r="E47" s="198" t="s">
        <v>108</v>
      </c>
      <c r="F47" s="1"/>
    </row>
    <row r="48" spans="4:6" ht="17.399999999999999">
      <c r="E48" s="198" t="s">
        <v>109</v>
      </c>
      <c r="F48" s="1"/>
    </row>
    <row r="49" spans="5:6" ht="11.4">
      <c r="E49" s="196"/>
      <c r="F49" s="1"/>
    </row>
    <row r="50" spans="5:6" ht="12">
      <c r="E50" s="197" t="s">
        <v>110</v>
      </c>
      <c r="F50" s="1"/>
    </row>
    <row r="51" spans="5:6" ht="17.399999999999999">
      <c r="E51" s="198" t="s">
        <v>111</v>
      </c>
      <c r="F51" s="1"/>
    </row>
    <row r="52" spans="5:6" ht="11.4">
      <c r="E52" s="198" t="s">
        <v>112</v>
      </c>
      <c r="F52" s="1"/>
    </row>
    <row r="53" spans="5:6" ht="11.4">
      <c r="E53" s="198" t="s">
        <v>113</v>
      </c>
      <c r="F53" s="1"/>
    </row>
    <row r="54" spans="5:6" ht="11.4">
      <c r="E54" s="196"/>
      <c r="F54" s="1"/>
    </row>
    <row r="55" spans="5:6" ht="12">
      <c r="E55" s="197" t="s">
        <v>114</v>
      </c>
      <c r="F55" s="1"/>
    </row>
    <row r="56" spans="5:6" ht="11.4">
      <c r="E56" s="198" t="s">
        <v>115</v>
      </c>
      <c r="F56" s="1"/>
    </row>
    <row r="57" spans="5:6" ht="11.4">
      <c r="E57" s="198" t="s">
        <v>116</v>
      </c>
      <c r="F57" s="1"/>
    </row>
    <row r="58" spans="5:6" ht="13.2">
      <c r="E58" s="202" t="s">
        <v>117</v>
      </c>
      <c r="F58" s="1"/>
    </row>
    <row r="59" spans="5:6" ht="17.399999999999999">
      <c r="E59" s="198" t="s">
        <v>118</v>
      </c>
      <c r="F59" s="1"/>
    </row>
    <row r="60" spans="5:6" ht="11.4">
      <c r="E60" s="198" t="s">
        <v>119</v>
      </c>
      <c r="F60" s="1"/>
    </row>
    <row r="61" spans="5:6">
      <c r="F61" s="1"/>
    </row>
    <row r="62" spans="5:6" ht="13.2">
      <c r="E62" s="197" t="s">
        <v>120</v>
      </c>
      <c r="F62" s="1"/>
    </row>
    <row r="63" spans="5:6" ht="13.2">
      <c r="E63" s="203" t="s">
        <v>121</v>
      </c>
      <c r="F63" s="1"/>
    </row>
    <row r="64" spans="5:6" ht="13.2">
      <c r="E64" s="204" t="s">
        <v>122</v>
      </c>
      <c r="F64" s="1"/>
    </row>
    <row r="65" spans="5:6" ht="17.399999999999999">
      <c r="E65" s="198" t="s">
        <v>123</v>
      </c>
      <c r="F65" s="1"/>
    </row>
    <row r="66" spans="5:6" ht="17.399999999999999">
      <c r="E66" s="198" t="s">
        <v>124</v>
      </c>
      <c r="F66" s="1"/>
    </row>
    <row r="67" spans="5:6" ht="11.4">
      <c r="E67" s="198" t="s">
        <v>125</v>
      </c>
      <c r="F67" s="1"/>
    </row>
    <row r="68" spans="5:6" ht="11.4">
      <c r="E68" s="198" t="s">
        <v>126</v>
      </c>
      <c r="F68" s="1"/>
    </row>
    <row r="69" spans="5:6" ht="17.399999999999999">
      <c r="E69" s="198" t="s">
        <v>127</v>
      </c>
      <c r="F69" s="1"/>
    </row>
    <row r="70" spans="5:6" ht="11.4">
      <c r="E70" s="198" t="s">
        <v>128</v>
      </c>
      <c r="F70" s="1"/>
    </row>
    <row r="71" spans="5:6" ht="13.2">
      <c r="E71" s="198" t="s">
        <v>129</v>
      </c>
      <c r="F71" s="1"/>
    </row>
    <row r="72" spans="5:6">
      <c r="F72" s="1"/>
    </row>
    <row r="73" spans="5:6">
      <c r="F73" s="1"/>
    </row>
    <row r="74" spans="5:6">
      <c r="F74" s="1"/>
    </row>
    <row r="75" spans="5:6">
      <c r="F75" s="1"/>
    </row>
    <row r="76" spans="5:6">
      <c r="F76" s="1"/>
    </row>
    <row r="77" spans="5:6">
      <c r="F77" s="1"/>
    </row>
    <row r="78" spans="5:6">
      <c r="F78" s="1"/>
    </row>
    <row r="79" spans="5:6">
      <c r="F79" s="1"/>
    </row>
    <row r="80" spans="5:6">
      <c r="F80" s="1"/>
    </row>
    <row r="81" spans="6:6">
      <c r="F81" s="1"/>
    </row>
    <row r="82" spans="6:6">
      <c r="F82" s="1"/>
    </row>
    <row r="83" spans="6:6">
      <c r="F83" s="1"/>
    </row>
    <row r="84" spans="6:6">
      <c r="F84" s="1"/>
    </row>
  </sheetData>
  <mergeCells count="10">
    <mergeCell ref="L4:M4"/>
    <mergeCell ref="N4:O4"/>
    <mergeCell ref="P4:Q4"/>
    <mergeCell ref="N5:O5"/>
    <mergeCell ref="L1:M1"/>
    <mergeCell ref="L2:M2"/>
    <mergeCell ref="O2:P2"/>
    <mergeCell ref="L3:M3"/>
    <mergeCell ref="N3:O3"/>
    <mergeCell ref="P3:Q3"/>
  </mergeCells>
  <phoneticPr fontId="4" type="noConversion"/>
  <printOptions horizontalCentered="1"/>
  <pageMargins left="0" right="0" top="0" bottom="0" header="0.31496062992125984" footer="0.31496062992125984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국내시장 완전 샘플</vt:lpstr>
      <vt:lpstr>미국시장 완전샘플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병조 김</dc:creator>
  <cp:lastModifiedBy>병조 김</cp:lastModifiedBy>
  <dcterms:created xsi:type="dcterms:W3CDTF">2026-04-11T15:00:45Z</dcterms:created>
  <dcterms:modified xsi:type="dcterms:W3CDTF">2026-04-11T15:05:40Z</dcterms:modified>
</cp:coreProperties>
</file>