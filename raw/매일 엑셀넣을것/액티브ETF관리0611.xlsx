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710019BD-31D9-4C40-ABE5-F79AF6F446D3}" xr6:coauthVersionLast="47" xr6:coauthVersionMax="47" xr10:uidLastSave="{00000000-0000-0000-0000-000000000000}"/>
  <workbookProtection workbookAlgorithmName="SHA-512" workbookHashValue="mFquNGN2xfnvwB1iI7D7U+Y8jdfx7BlgJaPdBTllVogWLOY1eCrYBGbFYs4T1A7nGS5y1XZ4Qq7bUt7cciJeoQ==" workbookSaltValue="9/8b/jV7xfq8bjyvu/cd7A==" workbookSpinCount="100000" lockStructure="1"/>
  <bookViews>
    <workbookView showHorizontalScroll="0" showVerticalScroll="0" xWindow="-108" yWindow="-108" windowWidth="23256" windowHeight="12456" tabRatio="770" xr2:uid="{00000000-000D-0000-FFFF-FFFF00000000}"/>
  </bookViews>
  <sheets>
    <sheet name="코스닥액티브" sheetId="111" r:id="rId1"/>
    <sheet name="반도체" sheetId="102" r:id="rId2"/>
    <sheet name="수급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SOL 코리아메가테크액티브" sheetId="96" state="hidden" r:id="rId23"/>
    <sheet name="SOL 코리아메가테크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22" hidden="1">'SOL 코리아메가테크액티브'!$A$10:$G$10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2" hidden="1">'수급, 배당성장'!$B$4:$R$4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38" l="1"/>
  <c r="J34" i="38" s="1"/>
  <c r="B42" i="53"/>
  <c r="A42" i="53" s="1"/>
  <c r="C42" i="53"/>
  <c r="D42" i="53"/>
  <c r="B39" i="53"/>
  <c r="A39" i="53" s="1"/>
  <c r="B40" i="53"/>
  <c r="A40" i="53" s="1"/>
  <c r="B41" i="53"/>
  <c r="A41" i="53" s="1"/>
  <c r="N31" i="67"/>
  <c r="M31" i="67" s="1"/>
  <c r="B30" i="81"/>
  <c r="A30" i="81" s="1"/>
  <c r="B31" i="81"/>
  <c r="A31" i="81" s="1"/>
  <c r="H28" i="88"/>
  <c r="J28" i="88" s="1"/>
  <c r="N38" i="95"/>
  <c r="M38" i="95" s="1"/>
  <c r="N39" i="95"/>
  <c r="M39" i="95" s="1"/>
  <c r="H70" i="111"/>
  <c r="G70" i="111" s="1"/>
  <c r="H71" i="111"/>
  <c r="G71" i="111" s="1"/>
  <c r="I34" i="38" l="1"/>
  <c r="K34" i="38" s="1"/>
  <c r="E42" i="53"/>
  <c r="P31" i="67"/>
  <c r="O31" i="67"/>
  <c r="D31" i="81"/>
  <c r="C31" i="81"/>
  <c r="P38" i="95"/>
  <c r="O39" i="95"/>
  <c r="P39" i="95"/>
  <c r="O38" i="95"/>
  <c r="J71" i="111"/>
  <c r="I71" i="111"/>
  <c r="G34" i="38"/>
  <c r="F42" i="53"/>
  <c r="D40" i="53"/>
  <c r="C40" i="53"/>
  <c r="D41" i="53"/>
  <c r="D39" i="53"/>
  <c r="C41" i="53"/>
  <c r="C39" i="53"/>
  <c r="D30" i="81"/>
  <c r="C30" i="81"/>
  <c r="G28" i="88"/>
  <c r="I28" i="88"/>
  <c r="J70" i="111"/>
  <c r="I70" i="111"/>
  <c r="B36" i="53"/>
  <c r="A36" i="53" s="1"/>
  <c r="B37" i="53"/>
  <c r="C37" i="53" s="1"/>
  <c r="B38" i="53"/>
  <c r="A38" i="53" s="1"/>
  <c r="N25" i="60"/>
  <c r="P25" i="60" s="1"/>
  <c r="N26" i="60"/>
  <c r="M26" i="60" s="1"/>
  <c r="N27" i="60"/>
  <c r="M27" i="60" s="1"/>
  <c r="N28" i="60"/>
  <c r="O28" i="60" s="1"/>
  <c r="N29" i="60"/>
  <c r="M29" i="60" s="1"/>
  <c r="N30" i="60"/>
  <c r="M30" i="60" s="1"/>
  <c r="H38" i="60"/>
  <c r="G38" i="60" s="1"/>
  <c r="H39" i="60"/>
  <c r="G39" i="60" s="1"/>
  <c r="N23" i="88"/>
  <c r="P23" i="88" s="1"/>
  <c r="N22" i="88"/>
  <c r="P22" i="88" s="1"/>
  <c r="H29" i="102"/>
  <c r="J29" i="102" s="1"/>
  <c r="H28" i="102"/>
  <c r="J28" i="102" s="1"/>
  <c r="B28" i="102"/>
  <c r="D28" i="102" s="1"/>
  <c r="H27" i="102"/>
  <c r="J27" i="102" s="1"/>
  <c r="B27" i="102"/>
  <c r="D27" i="102" s="1"/>
  <c r="H26" i="102"/>
  <c r="J26" i="102" s="1"/>
  <c r="B26" i="102"/>
  <c r="D26" i="102" s="1"/>
  <c r="H25" i="102"/>
  <c r="J25" i="102" s="1"/>
  <c r="B25" i="102"/>
  <c r="D25" i="102" s="1"/>
  <c r="N76" i="111"/>
  <c r="P76" i="111" s="1"/>
  <c r="N75" i="111"/>
  <c r="P75" i="111" s="1"/>
  <c r="N74" i="111"/>
  <c r="P74" i="111" s="1"/>
  <c r="B87" i="111"/>
  <c r="A87" i="111" s="1"/>
  <c r="B88" i="111"/>
  <c r="A88" i="111" s="1"/>
  <c r="L34" i="38" l="1"/>
  <c r="I39" i="60"/>
  <c r="O25" i="60"/>
  <c r="Q25" i="60" s="1"/>
  <c r="R31" i="67"/>
  <c r="Q31" i="67"/>
  <c r="E31" i="81"/>
  <c r="F31" i="81"/>
  <c r="Q38" i="95"/>
  <c r="R38" i="95"/>
  <c r="R39" i="95"/>
  <c r="Q39" i="95"/>
  <c r="G25" i="102"/>
  <c r="A26" i="102"/>
  <c r="K71" i="111"/>
  <c r="L71" i="111"/>
  <c r="E39" i="53"/>
  <c r="F39" i="53"/>
  <c r="E40" i="53"/>
  <c r="F40" i="53"/>
  <c r="E41" i="53"/>
  <c r="F41" i="53"/>
  <c r="E30" i="81"/>
  <c r="F30" i="81"/>
  <c r="L28" i="88"/>
  <c r="K28" i="88"/>
  <c r="K70" i="111"/>
  <c r="L70" i="111"/>
  <c r="A27" i="102"/>
  <c r="O27" i="60"/>
  <c r="A28" i="102"/>
  <c r="A25" i="102"/>
  <c r="D37" i="53"/>
  <c r="F37" i="53" s="1"/>
  <c r="D36" i="53"/>
  <c r="C36" i="53"/>
  <c r="O26" i="60"/>
  <c r="P30" i="60"/>
  <c r="O30" i="60"/>
  <c r="O29" i="60"/>
  <c r="P27" i="60"/>
  <c r="J39" i="60"/>
  <c r="K39" i="60" s="1"/>
  <c r="M23" i="88"/>
  <c r="G28" i="102"/>
  <c r="M74" i="111"/>
  <c r="M75" i="111"/>
  <c r="D38" i="53"/>
  <c r="C38" i="53"/>
  <c r="A37" i="53"/>
  <c r="M25" i="60"/>
  <c r="P29" i="60"/>
  <c r="P26" i="60"/>
  <c r="R25" i="60"/>
  <c r="P28" i="60"/>
  <c r="Q28" i="60" s="1"/>
  <c r="M22" i="88"/>
  <c r="G29" i="102"/>
  <c r="G26" i="102"/>
  <c r="G27" i="102"/>
  <c r="M76" i="111"/>
  <c r="D88" i="111"/>
  <c r="C88" i="111"/>
  <c r="M28" i="60"/>
  <c r="J38" i="60"/>
  <c r="I38" i="60"/>
  <c r="O22" i="88"/>
  <c r="O23" i="88"/>
  <c r="C25" i="102"/>
  <c r="C26" i="102"/>
  <c r="C27" i="102"/>
  <c r="C28" i="102"/>
  <c r="I25" i="102"/>
  <c r="I26" i="102"/>
  <c r="I27" i="102"/>
  <c r="I28" i="102"/>
  <c r="I29" i="102"/>
  <c r="O74" i="111"/>
  <c r="O76" i="111"/>
  <c r="O75" i="111"/>
  <c r="D87" i="111"/>
  <c r="C87" i="111"/>
  <c r="H44" i="53"/>
  <c r="G44" i="53" s="1"/>
  <c r="H45" i="53"/>
  <c r="G45" i="53" s="1"/>
  <c r="H46" i="53"/>
  <c r="G46" i="53" s="1"/>
  <c r="N36" i="81"/>
  <c r="O36" i="81" s="1"/>
  <c r="N37" i="81"/>
  <c r="M37" i="81" s="1"/>
  <c r="N69" i="111"/>
  <c r="M69" i="111" s="1"/>
  <c r="N70" i="111"/>
  <c r="M70" i="111" s="1"/>
  <c r="N71" i="111"/>
  <c r="M71" i="111" s="1"/>
  <c r="N72" i="111"/>
  <c r="M72" i="111" s="1"/>
  <c r="N73" i="111"/>
  <c r="M73" i="111" s="1"/>
  <c r="H69" i="111"/>
  <c r="G69" i="111" s="1"/>
  <c r="R29" i="60" l="1"/>
  <c r="E36" i="53"/>
  <c r="Q26" i="60"/>
  <c r="R27" i="60"/>
  <c r="E37" i="53"/>
  <c r="F36" i="53"/>
  <c r="F38" i="53"/>
  <c r="E38" i="53"/>
  <c r="Q27" i="60"/>
  <c r="R30" i="60"/>
  <c r="Q30" i="60"/>
  <c r="L39" i="60"/>
  <c r="R28" i="60"/>
  <c r="Q29" i="60"/>
  <c r="R26" i="60"/>
  <c r="F88" i="111"/>
  <c r="E88" i="111"/>
  <c r="K38" i="60"/>
  <c r="L38" i="60"/>
  <c r="R23" i="88"/>
  <c r="Q23" i="88"/>
  <c r="R22" i="88"/>
  <c r="Q22" i="88"/>
  <c r="F26" i="102"/>
  <c r="E26" i="102"/>
  <c r="L27" i="102"/>
  <c r="K27" i="102"/>
  <c r="F27" i="102"/>
  <c r="E27" i="102"/>
  <c r="L29" i="102"/>
  <c r="K29" i="102"/>
  <c r="L28" i="102"/>
  <c r="K28" i="102"/>
  <c r="L25" i="102"/>
  <c r="K25" i="102"/>
  <c r="F25" i="102"/>
  <c r="E25" i="102"/>
  <c r="L26" i="102"/>
  <c r="K26" i="102"/>
  <c r="F28" i="102"/>
  <c r="E28" i="102"/>
  <c r="R76" i="111"/>
  <c r="Q76" i="111"/>
  <c r="R75" i="111"/>
  <c r="Q75" i="111"/>
  <c r="R74" i="111"/>
  <c r="Q74" i="111"/>
  <c r="E87" i="111"/>
  <c r="F87" i="111"/>
  <c r="J45" i="53"/>
  <c r="I45" i="53"/>
  <c r="J46" i="53"/>
  <c r="J44" i="53"/>
  <c r="O37" i="81"/>
  <c r="M36" i="81"/>
  <c r="P36" i="81"/>
  <c r="Q36" i="81" s="1"/>
  <c r="P70" i="111"/>
  <c r="O70" i="111"/>
  <c r="P72" i="111"/>
  <c r="O72" i="111"/>
  <c r="I46" i="53"/>
  <c r="I44" i="53"/>
  <c r="P37" i="81"/>
  <c r="P73" i="111"/>
  <c r="P71" i="111"/>
  <c r="P69" i="111"/>
  <c r="O73" i="111"/>
  <c r="O71" i="111"/>
  <c r="O69" i="111"/>
  <c r="J69" i="111"/>
  <c r="I69" i="111"/>
  <c r="L45" i="53" l="1"/>
  <c r="K45" i="53"/>
  <c r="Q37" i="81"/>
  <c r="R70" i="111"/>
  <c r="R36" i="81"/>
  <c r="Q72" i="111"/>
  <c r="Q70" i="111"/>
  <c r="R72" i="111"/>
  <c r="K44" i="53"/>
  <c r="L44" i="53"/>
  <c r="K46" i="53"/>
  <c r="L46" i="53"/>
  <c r="R37" i="81"/>
  <c r="Q71" i="111"/>
  <c r="R71" i="111"/>
  <c r="Q73" i="111"/>
  <c r="R73" i="111"/>
  <c r="Q69" i="111"/>
  <c r="R69" i="111"/>
  <c r="K69" i="111"/>
  <c r="L69" i="111"/>
  <c r="B83" i="88" l="1"/>
  <c r="C83" i="88" s="1"/>
  <c r="N20" i="102"/>
  <c r="M20" i="102" s="1"/>
  <c r="N21" i="102"/>
  <c r="M21" i="102" s="1"/>
  <c r="H66" i="111"/>
  <c r="G66" i="111" s="1"/>
  <c r="H67" i="111"/>
  <c r="G67" i="111" s="1"/>
  <c r="H68" i="111"/>
  <c r="G68" i="111" s="1"/>
  <c r="D83" i="88" l="1"/>
  <c r="E83" i="88" s="1"/>
  <c r="A83" i="88"/>
  <c r="O21" i="102"/>
  <c r="P21" i="102"/>
  <c r="P20" i="102"/>
  <c r="O20" i="102"/>
  <c r="J67" i="111"/>
  <c r="I67" i="111"/>
  <c r="J66" i="111"/>
  <c r="J68" i="111"/>
  <c r="I68" i="111"/>
  <c r="I66" i="111"/>
  <c r="F83" i="88" l="1"/>
  <c r="R21" i="102"/>
  <c r="Q21" i="102"/>
  <c r="Q20" i="102"/>
  <c r="R20" i="102"/>
  <c r="K68" i="111"/>
  <c r="L68" i="111"/>
  <c r="L67" i="111"/>
  <c r="K67" i="11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33" i="38"/>
  <c r="G33" i="38" s="1"/>
  <c r="H27" i="67"/>
  <c r="G27" i="67" s="1"/>
  <c r="H28" i="67"/>
  <c r="G28" i="67" s="1"/>
  <c r="H29" i="67"/>
  <c r="G29" i="67" s="1"/>
  <c r="N20" i="88"/>
  <c r="O20" i="88" s="1"/>
  <c r="N21" i="88"/>
  <c r="M21" i="88" s="1"/>
  <c r="N35" i="95"/>
  <c r="O35" i="95" s="1"/>
  <c r="N36" i="95"/>
  <c r="M36" i="95" s="1"/>
  <c r="N37" i="95"/>
  <c r="O37" i="95" s="1"/>
  <c r="H77" i="95"/>
  <c r="G77" i="95" s="1"/>
  <c r="H78" i="95"/>
  <c r="G78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D21" i="102" l="1"/>
  <c r="D16" i="102"/>
  <c r="J31" i="38"/>
  <c r="I31" i="38"/>
  <c r="J29" i="67"/>
  <c r="I29" i="67"/>
  <c r="J28" i="67"/>
  <c r="I28" i="67"/>
  <c r="J27" i="67"/>
  <c r="J78" i="95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0" i="88"/>
  <c r="Q20" i="88" s="1"/>
  <c r="P36" i="95"/>
  <c r="O36" i="95"/>
  <c r="I78" i="95"/>
  <c r="J77" i="95"/>
  <c r="I77" i="95"/>
  <c r="C16" i="102"/>
  <c r="D19" i="102"/>
  <c r="C19" i="102"/>
  <c r="D22" i="102"/>
  <c r="C22" i="102"/>
  <c r="O65" i="111"/>
  <c r="P67" i="111"/>
  <c r="O67" i="111"/>
  <c r="G32" i="38"/>
  <c r="G30" i="38"/>
  <c r="J33" i="38"/>
  <c r="I33" i="38"/>
  <c r="M20" i="88"/>
  <c r="P21" i="88"/>
  <c r="O21" i="88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B85" i="111"/>
  <c r="C85" i="111" s="1"/>
  <c r="B86" i="111"/>
  <c r="A86" i="111" s="1"/>
  <c r="H22" i="102"/>
  <c r="G22" i="102" s="1"/>
  <c r="H23" i="102"/>
  <c r="I23" i="102" s="1"/>
  <c r="H24" i="102"/>
  <c r="G24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H71" i="95"/>
  <c r="G71" i="95" s="1"/>
  <c r="H72" i="95"/>
  <c r="G72" i="95" s="1"/>
  <c r="H73" i="95"/>
  <c r="G73" i="95" s="1"/>
  <c r="H74" i="95"/>
  <c r="G74" i="95" s="1"/>
  <c r="H75" i="95"/>
  <c r="G75" i="95" s="1"/>
  <c r="H76" i="95"/>
  <c r="G76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A39" i="81"/>
  <c r="N34" i="81"/>
  <c r="M34" i="81" s="1"/>
  <c r="N35" i="81"/>
  <c r="P35" i="81" s="1"/>
  <c r="N30" i="67"/>
  <c r="O30" i="67" s="1"/>
  <c r="B29" i="67"/>
  <c r="A29" i="67" s="1"/>
  <c r="B30" i="67"/>
  <c r="C30" i="67" s="1"/>
  <c r="B35" i="53"/>
  <c r="A35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L77" i="95"/>
  <c r="E21" i="102"/>
  <c r="F16" i="102"/>
  <c r="K31" i="38"/>
  <c r="K28" i="67"/>
  <c r="K29" i="67"/>
  <c r="Q36" i="95"/>
  <c r="F21" i="102"/>
  <c r="R65" i="111"/>
  <c r="K65" i="111"/>
  <c r="L31" i="38"/>
  <c r="L28" i="67"/>
  <c r="L29" i="67"/>
  <c r="L27" i="67"/>
  <c r="K78" i="95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33" i="38"/>
  <c r="K27" i="67"/>
  <c r="R20" i="88"/>
  <c r="Q21" i="88"/>
  <c r="R36" i="95"/>
  <c r="K77" i="95"/>
  <c r="L78" i="95"/>
  <c r="F19" i="102"/>
  <c r="E19" i="102"/>
  <c r="F22" i="102"/>
  <c r="Q67" i="111"/>
  <c r="R28" i="38"/>
  <c r="L33" i="38"/>
  <c r="R21" i="88"/>
  <c r="C77" i="88"/>
  <c r="E20" i="102"/>
  <c r="F18" i="102"/>
  <c r="E18" i="102"/>
  <c r="F23" i="102"/>
  <c r="Q65" i="111"/>
  <c r="R30" i="38"/>
  <c r="K30" i="38"/>
  <c r="L32" i="38"/>
  <c r="Q35" i="95"/>
  <c r="Q37" i="95"/>
  <c r="K64" i="111"/>
  <c r="L64" i="111"/>
  <c r="C81" i="88"/>
  <c r="I76" i="95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J72" i="95"/>
  <c r="I41" i="53"/>
  <c r="D30" i="67"/>
  <c r="F30" i="67" s="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71" i="95"/>
  <c r="J76" i="95"/>
  <c r="I71" i="95"/>
  <c r="J75" i="95"/>
  <c r="I75" i="95"/>
  <c r="I73" i="95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J42" i="53"/>
  <c r="J43" i="53"/>
  <c r="I43" i="53"/>
  <c r="I42" i="53"/>
  <c r="J41" i="53"/>
  <c r="C35" i="53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J74" i="95"/>
  <c r="I74" i="95"/>
  <c r="J73" i="95"/>
  <c r="P58" i="111"/>
  <c r="O58" i="111"/>
  <c r="G62" i="111"/>
  <c r="J61" i="111"/>
  <c r="J62" i="111"/>
  <c r="K62" i="111" s="1"/>
  <c r="A85" i="111"/>
  <c r="D86" i="111"/>
  <c r="C86" i="111"/>
  <c r="D85" i="111"/>
  <c r="E85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G23" i="102"/>
  <c r="I24" i="102"/>
  <c r="I22" i="102"/>
  <c r="J23" i="102"/>
  <c r="K23" i="102" s="1"/>
  <c r="P29" i="95"/>
  <c r="Q29" i="95" s="1"/>
  <c r="P26" i="95"/>
  <c r="R26" i="95" s="1"/>
  <c r="I72" i="95"/>
  <c r="O34" i="81"/>
  <c r="O35" i="81"/>
  <c r="M35" i="81"/>
  <c r="P34" i="81"/>
  <c r="M30" i="67"/>
  <c r="P30" i="67"/>
  <c r="Q30" i="67" s="1"/>
  <c r="A30" i="67"/>
  <c r="D29" i="67"/>
  <c r="C29" i="67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84" i="111"/>
  <c r="D84" i="111" s="1"/>
  <c r="B83" i="111"/>
  <c r="A83" i="111" s="1"/>
  <c r="B82" i="11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L76" i="95"/>
  <c r="F81" i="88"/>
  <c r="E82" i="88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L71" i="95"/>
  <c r="Q60" i="111"/>
  <c r="L60" i="111"/>
  <c r="L61" i="111"/>
  <c r="F78" i="88"/>
  <c r="E71" i="88"/>
  <c r="R31" i="95"/>
  <c r="K75" i="95"/>
  <c r="K63" i="111"/>
  <c r="A70" i="111"/>
  <c r="K42" i="53"/>
  <c r="E35" i="53"/>
  <c r="E30" i="67"/>
  <c r="R28" i="95"/>
  <c r="R30" i="95"/>
  <c r="L75" i="95"/>
  <c r="K76" i="95"/>
  <c r="K71" i="95"/>
  <c r="L73" i="95"/>
  <c r="Q57" i="111"/>
  <c r="R59" i="111"/>
  <c r="R62" i="111"/>
  <c r="R60" i="111"/>
  <c r="K60" i="111"/>
  <c r="L63" i="111"/>
  <c r="L59" i="111"/>
  <c r="L58" i="111"/>
  <c r="K43" i="53"/>
  <c r="L42" i="53"/>
  <c r="L41" i="53"/>
  <c r="E69" i="88"/>
  <c r="F69" i="88"/>
  <c r="F75" i="88"/>
  <c r="E75" i="88"/>
  <c r="F73" i="88"/>
  <c r="E73" i="88"/>
  <c r="F79" i="88"/>
  <c r="Q27" i="95"/>
  <c r="Q26" i="95"/>
  <c r="Q34" i="95"/>
  <c r="K73" i="95"/>
  <c r="L74" i="95"/>
  <c r="K74" i="95"/>
  <c r="R61" i="111"/>
  <c r="R58" i="111"/>
  <c r="Q58" i="111"/>
  <c r="K61" i="111"/>
  <c r="L62" i="111"/>
  <c r="F85" i="111"/>
  <c r="A11" i="111"/>
  <c r="F86" i="111"/>
  <c r="E86" i="111"/>
  <c r="R63" i="111"/>
  <c r="K22" i="102"/>
  <c r="L22" i="102"/>
  <c r="K24" i="102"/>
  <c r="L24" i="102"/>
  <c r="L23" i="102"/>
  <c r="R29" i="95"/>
  <c r="K72" i="95"/>
  <c r="L72" i="95"/>
  <c r="Q35" i="81"/>
  <c r="R35" i="81"/>
  <c r="Q34" i="81"/>
  <c r="R34" i="81"/>
  <c r="R30" i="67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84" i="11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C82" i="111"/>
  <c r="A82" i="111"/>
  <c r="C83" i="111"/>
  <c r="C84" i="111"/>
  <c r="I57" i="111"/>
  <c r="A65" i="111"/>
  <c r="C70" i="111"/>
  <c r="A77" i="111"/>
  <c r="A79" i="111"/>
  <c r="D82" i="111"/>
  <c r="D83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E84" i="111"/>
  <c r="F84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83" i="111"/>
  <c r="E83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E82" i="111"/>
  <c r="F82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B39" i="60"/>
  <c r="D39" i="60" s="1"/>
  <c r="B38" i="60"/>
  <c r="D38" i="60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H29" i="60"/>
  <c r="J29" i="60" s="1"/>
  <c r="B29" i="60"/>
  <c r="D29" i="60" s="1"/>
  <c r="H28" i="60"/>
  <c r="G28" i="60" s="1"/>
  <c r="B28" i="60"/>
  <c r="D28" i="60" s="1"/>
  <c r="H27" i="60"/>
  <c r="J27" i="60" s="1"/>
  <c r="B27" i="60"/>
  <c r="C27" i="60" s="1"/>
  <c r="H26" i="60"/>
  <c r="J26" i="60" s="1"/>
  <c r="B26" i="60"/>
  <c r="D26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N31" i="81"/>
  <c r="P31" i="81" s="1"/>
  <c r="N30" i="81"/>
  <c r="O30" i="81" s="1"/>
  <c r="N29" i="81"/>
  <c r="P29" i="81" s="1"/>
  <c r="B29" i="81"/>
  <c r="D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H27" i="88"/>
  <c r="G27" i="88" s="1"/>
  <c r="B27" i="88"/>
  <c r="D27" i="88" s="1"/>
  <c r="H26" i="88"/>
  <c r="G26" i="88" s="1"/>
  <c r="B26" i="88"/>
  <c r="A26" i="88" s="1"/>
  <c r="H25" i="88"/>
  <c r="G25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B49" i="95"/>
  <c r="D49" i="95" s="1"/>
  <c r="H48" i="95"/>
  <c r="J48" i="95" s="1"/>
  <c r="B48" i="95"/>
  <c r="D48" i="95" s="1"/>
  <c r="H47" i="95"/>
  <c r="J47" i="95" s="1"/>
  <c r="B47" i="95"/>
  <c r="D47" i="95" s="1"/>
  <c r="H46" i="95"/>
  <c r="J46" i="95" s="1"/>
  <c r="B46" i="95"/>
  <c r="H45" i="95"/>
  <c r="J45" i="95" s="1"/>
  <c r="B45" i="95"/>
  <c r="C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A39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38" i="60"/>
  <c r="A13" i="60"/>
  <c r="A28" i="60"/>
  <c r="C38" i="60"/>
  <c r="F38" i="60" s="1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O20" i="60"/>
  <c r="R20" i="60" s="1"/>
  <c r="O18" i="60"/>
  <c r="Q18" i="60" s="1"/>
  <c r="M15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8" i="60"/>
  <c r="E8" i="60" s="1"/>
  <c r="D11" i="60"/>
  <c r="F11" i="60" s="1"/>
  <c r="C20" i="60"/>
  <c r="F20" i="60" s="1"/>
  <c r="A21" i="60"/>
  <c r="C32" i="60"/>
  <c r="F32" i="60" s="1"/>
  <c r="C12" i="60"/>
  <c r="E12" i="60" s="1"/>
  <c r="C26" i="60"/>
  <c r="E26" i="60" s="1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10" i="81"/>
  <c r="A18" i="81"/>
  <c r="A24" i="81"/>
  <c r="A28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I26" i="88"/>
  <c r="J26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8" i="95"/>
  <c r="F48" i="95" s="1"/>
  <c r="C41" i="95"/>
  <c r="F41" i="95" s="1"/>
  <c r="C7" i="95"/>
  <c r="C11" i="95"/>
  <c r="F11" i="95" s="1"/>
  <c r="C32" i="95"/>
  <c r="F32" i="95" s="1"/>
  <c r="A49" i="95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F22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I20" i="60"/>
  <c r="J14" i="60"/>
  <c r="I14" i="60"/>
  <c r="J20" i="60"/>
  <c r="C23" i="60"/>
  <c r="C33" i="60"/>
  <c r="C39" i="60"/>
  <c r="D9" i="60"/>
  <c r="C9" i="60"/>
  <c r="P11" i="60"/>
  <c r="O11" i="60"/>
  <c r="Q13" i="60"/>
  <c r="I30" i="60"/>
  <c r="J30" i="60"/>
  <c r="J6" i="60"/>
  <c r="I6" i="60"/>
  <c r="A9" i="60"/>
  <c r="D23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A29" i="81"/>
  <c r="M29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C29" i="81"/>
  <c r="O29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J25" i="88"/>
  <c r="I25" i="88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J27" i="88"/>
  <c r="I27" i="88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D45" i="95"/>
  <c r="E45" i="95" s="1"/>
  <c r="A45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C49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A48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C47" i="95"/>
  <c r="A47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D46" i="95"/>
  <c r="C46" i="95"/>
  <c r="A46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F8" i="38" l="1"/>
  <c r="Q17" i="88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E48" i="95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L8" i="60"/>
  <c r="F14" i="60"/>
  <c r="E38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K26" i="88"/>
  <c r="Q17" i="95"/>
  <c r="Q7" i="95"/>
  <c r="R18" i="95"/>
  <c r="F45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F24" i="60"/>
  <c r="E36" i="60"/>
  <c r="L6" i="67"/>
  <c r="R20" i="81"/>
  <c r="Q9" i="88"/>
  <c r="L24" i="88"/>
  <c r="L22" i="88"/>
  <c r="L26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F39" i="60"/>
  <c r="E39" i="60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K7" i="81"/>
  <c r="E28" i="81"/>
  <c r="E12" i="81"/>
  <c r="F29" i="81"/>
  <c r="E29" i="81"/>
  <c r="F21" i="81"/>
  <c r="E21" i="81"/>
  <c r="F13" i="81"/>
  <c r="E13" i="81"/>
  <c r="L6" i="81"/>
  <c r="K6" i="81"/>
  <c r="E16" i="81"/>
  <c r="K15" i="81"/>
  <c r="K9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L25" i="88"/>
  <c r="K25" i="88"/>
  <c r="F35" i="88"/>
  <c r="E35" i="88"/>
  <c r="E14" i="88"/>
  <c r="L27" i="88"/>
  <c r="K27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47" i="95"/>
  <c r="E47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46" i="95"/>
  <c r="E46" i="95"/>
  <c r="F14" i="95"/>
  <c r="E14" i="95"/>
  <c r="F13" i="95"/>
  <c r="E13" i="95"/>
  <c r="L50" i="95"/>
  <c r="F49" i="95"/>
  <c r="E49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70" i="95" l="1"/>
  <c r="G70" i="95" s="1"/>
  <c r="H69" i="95"/>
  <c r="G69" i="95" s="1"/>
  <c r="H68" i="95"/>
  <c r="H67" i="95"/>
  <c r="G67" i="95" s="1"/>
  <c r="H66" i="95"/>
  <c r="J66" i="95" s="1"/>
  <c r="H65" i="95"/>
  <c r="G66" i="95" l="1"/>
  <c r="I66" i="95"/>
  <c r="K66" i="95" s="1"/>
  <c r="J67" i="95"/>
  <c r="I67" i="95"/>
  <c r="I69" i="95"/>
  <c r="J69" i="95"/>
  <c r="J70" i="95"/>
  <c r="I70" i="95"/>
  <c r="J68" i="95"/>
  <c r="I68" i="95"/>
  <c r="G68" i="95"/>
  <c r="G65" i="95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6" i="95" l="1"/>
  <c r="K67" i="95"/>
  <c r="L67" i="95"/>
  <c r="K69" i="95"/>
  <c r="L69" i="95"/>
  <c r="L70" i="95"/>
  <c r="K70" i="95"/>
  <c r="L65" i="95"/>
  <c r="K65" i="95"/>
  <c r="K68" i="95"/>
  <c r="L68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68DEE43-F20F-4884-BF86-795C1D1947F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638FFAC-1C25-4C51-BE54-F2224CAEE1A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811C4DA-2DF9-4985-9BBF-F03ABC221CF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B4CE97E-142B-4E39-B65F-38B9688545C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E77FAEA-E222-4EBB-BF8E-1B88EC17587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C6450A5-4434-44B8-A763-71CBD436D21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2F508D-8DFB-400C-974B-BFE5C00557B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833E094-E761-4F5F-909B-DD8DD78CC5D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CF0DBDC-9AD9-47E6-85C8-4B458F70258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AEF7DA0-4BE4-4B18-A913-018EA49B06A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77B4963-5FE5-4D29-960E-4D29AEC136E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D1A9E54-60AB-4692-8D3C-706F3AA80BC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09EFF4F-3B2C-4440-9562-BB0DA7A3C4C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0E956F5-C4F5-41D8-AB18-833B51143BD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378C709-8FFF-413C-AECB-E57D79459D1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EA0988B-C9D0-4643-81A7-9ED788D6297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C5F41B-D010-4D31-AD54-B501F3E9083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E6F7BB1-2251-49B8-B220-E736B5AB24E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358C384-0628-49D4-A655-2C3ECC88872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958F5EB-BC36-486E-8BE1-C038717D265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54B2338-20C4-4BF4-9744-33A435FD0E3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9B0C70B-B794-426D-9E67-52E8CD3B27E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B4EF67-5AC5-45F7-B84E-BEF585690E7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44A872D-49AE-4798-AF54-E0452618130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1B7EC92-BA07-4084-BC01-15C7B25B3D4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63F9149-8998-4E6E-99D2-B1A8B9A15A7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E62E452-8E5D-44A8-BD2F-C3529E00F15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6494BBF-A29A-4731-857C-407DF24FF5E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14DC99F-3F20-4A3F-BE58-D768DA04359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9F539AF-1A0A-43E0-ACF9-B14735F51C6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75E650B-33CB-4DDC-838B-7CB295C9CC9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E44F2EE-ED5D-48F7-BD38-25B180F8DAE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A496489-D7EF-494B-92CF-0F0F6900085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89A0F08-700E-4CF1-8D41-4EB6B060C60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C2D1C4D-ACF5-487B-AA92-3F66ADC44BA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22D9106-652E-4548-B8F5-1DDE077089F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8573874-AA7E-4CBC-97BC-BFD0EEEE2E6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624452B-798F-4CBD-B05B-C8A31D784DA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4B01442-7CCA-4B9B-8A17-A7A303976D7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906BC3D-4D4E-418A-9CC5-D764057F471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4E7503B-52B2-48EE-A52A-FBF447209E5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C8B9116-E329-49BB-B320-31CB1FE281B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9BF6D1B-D344-4E30-A99A-244E0D815B8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68A8715-2824-4871-8F67-136FFB64796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1871551-2C89-436D-AE2F-4FA48C04A4D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D8424E6-A500-4AE3-B7B9-8983D944C14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1CD12B7-9B58-45DB-B426-12A4A2D6255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1E2BCE5-E1C5-4B43-B36B-C1795F1C7F0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775E9EC-2AB8-4398-9F35-F240FCDB678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2554AF4-9663-4848-A4D4-218C5D8C6B2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D480DDF-573F-4F6C-9EE3-D6D4375AA0F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6E3144B-0235-42B9-A02B-CA12A93FD72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3CFF965-C87D-4A14-9A9D-D8A2A4EAB5F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945B03B-3AA3-49DB-85B0-358FC9C5F5E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C3EBA2B-4E84-445D-A959-C960EC2BEA8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D3F5BCC-D9A2-4F4E-BB9A-510C987DB51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6FDAE3D-B53A-4F27-80FF-DFED4490794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D4CDDFB-EE0A-4505-9454-2F6E6A7295C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4BCDF5-7A29-4F1E-9286-03596C901E1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9E519D1-3C6C-45E0-A9C5-BE09669DB7B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C929149-2D1F-414C-A55B-BDDE5ACB789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323891A-754E-48E6-AF0D-116601E2D66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4372EA9-1EA5-4987-A210-5FF7A288165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8AD8547-494F-40DD-822C-5CBB2A63974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A9BBA6E-FBCF-4C50-A8FD-70CA90D589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3E0DFA4-E1A1-4F51-A9A6-6551F169739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61A69D9-8D68-4B29-8CF5-2A1D0D9BF0A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966F31D-31DA-4D6D-91FC-A65DBA12926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82FDCC8-8599-40A7-BD31-CA3F7486141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B8115D3-9C1B-4D6A-B1BE-CDAE3BF9A5D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A485FE4-E777-46A2-8FF4-2042D3BD5D9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A90E746-9A94-4B3A-B5B5-C01A9DC04C0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AB6899D-0939-4CE4-BE7E-85D0A2847F3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22E409B-C910-40DB-8160-2B48D1293B9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D2A0481-84A7-4D35-B3FD-C4A2A337050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31F34F4-94F2-4384-BE10-655E6EABF0B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917AED4-1611-4C29-9758-CEC77DA5BCD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95C3FC1-1474-41C6-BA5D-A2D9A8F022C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EC267D8-09CD-4FAE-BC78-A25D885464C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E5B33AC-A1E1-4547-BB13-0F2F304C7C5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50D9DC2-5F0C-4DBE-8003-B08095D746A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6915A15-0677-48E4-9779-65E2E55C865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7A0ED2B-CC11-414C-A155-1ABC54CA53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FFE918-2BC5-402F-815E-9BEC5A3A9D9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F874E91-4D89-4CB6-B2D4-43BCC2838CB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ECC60D3-3387-41B8-8EEB-A882D02901F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FE4C3C-9D3A-4DD0-87E3-B0408234D86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8687CAC-09BE-46D8-8C07-A0B63CDFA21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1AA337C-0258-4F43-AC61-1E874E19795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7E9D620-5C7B-40A7-95B7-AA1D8D2F25A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F5D323A-641E-4115-A26F-DA195C4DC3E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56A90DE-1777-48C0-B6EB-8001C19D8A2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15D5EA1-92C8-490C-BB06-44EA9636C24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4E43ABF-8C87-43E7-B0BE-01181D380DE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529D961-EEA3-4F02-98AF-0D7CB4170B6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127A534-4568-4568-BCE4-A49457E35D8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41A13B3-13B9-49EB-99F8-F148DD13532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E529C88-9160-45A1-AF56-ACEE73B4E83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52C8D92-6141-4972-9CF7-B8D6583402C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89549E0-0BF1-4EDF-A390-4FE27942D6B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5BFB253-B059-4AF9-88CC-2C1710F6D62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12C5990-3D29-4A48-B4F8-C6915BFF0FD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EAA6054-E9A6-4268-94DD-3501B174EEE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8B6966C-A972-4804-957D-3378FF2F4FF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92C67A9-0C6A-41E2-A37D-D5A5F0C046B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29081CF-0A24-43D7-9590-91BD129609C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168B8DB-E09C-4A82-9AFC-C792F0DFBBB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C695EC2-2C9D-4331-A93D-D765D4DC91A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987209-A54D-4DCB-80F7-9FA819194EB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0D0E57-94FB-4316-89EE-88908031BC0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E1BDA16-EC91-4CC2-8494-ACD461D9BAD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36A56A7-FFEE-4AB5-B78D-8C5DA84E7C2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631F768-9031-4DD7-92CA-A7DFB8B2961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F700812-72CD-440A-845E-5C1DFB494A2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3D3D86F-AC24-47F2-99F7-69152592894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B9F01AC-E3E3-4CEB-A5E0-99304B658BD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CA015A8-2ABB-43D7-8398-0A0667DB7E5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129E9C2-DF67-4802-8CF9-31801C1F827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42E7F71-B1A4-4E2F-BF5A-80D8C75385A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FCF0742-FC87-41A2-B486-DE6B0DE5867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2D5882F-382F-4B0C-9409-E5713DDB10C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ACE007A-5379-413F-A918-9661A8B1225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BEAF508-DEA4-4D52-99AE-266782D18E1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09DCD53-79ED-4F8A-AFC6-010567BBE2B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E68AF23-39E4-4148-9A45-D80C2471F37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AC8FC8A-332E-4EF9-9C43-84F2DF6BCDD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E27F1C4-9688-4755-9368-B3CD3DA7526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B7ED7A7-D591-4A3E-AA8F-CE36138D85A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5A4DBD3-C65B-41AD-A6C9-33F89B3CA74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EF0F35F-D5CE-476F-B554-EB4D6F988ED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C5D1184-79BA-4FE2-A548-28994F379CE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A628A38-9ED6-471B-9844-6C331C31CBA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B50A736-9429-41A2-BF94-673D118A7D6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5E708C5-3DFF-4490-BBB5-A241C360525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3399335-605D-4873-B3D1-1691BDCF0F3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EA53830-BB61-47C7-9693-B79C155EDD8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5F23EC-21B8-45A6-B370-0A7FF7AD4A2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5E06725-D0FE-4ECF-BE78-B128CD4BAC2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257BFEB-A127-4D75-B593-1220247B02A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2CB98E0-2CC3-471D-980C-4325AF3B874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96D6315-292C-4D0C-B25F-1B4DDBA6EF1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86FAE38-98DE-4BE5-965C-06AE60DC726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D49F6FB-9BB6-4246-9272-98E74967042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141116B-01A9-4B18-9682-4242BA5721E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A946025-42C7-45FC-8243-F1A8512F55E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E6FD2E0-75C1-48DB-8678-47D680F9D43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051966B-CD7A-4A59-8AB3-2BD85DA2260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F863769-43D4-480E-8078-F3B7A28134B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7225C9B-FA54-4727-AF73-5A175643A8F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4A3CBCD-29E4-41E7-9161-47415DAEB24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04E981A-EAFF-4F2A-B8E4-CEE17FA858E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2960261-CDF4-4931-943C-7C405C5C9B6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9CCCEAF-450B-4BD9-8E64-15806DD8D39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66789D6-DBCB-4C9A-BAD8-0D573BA63D1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58469C4-846B-43C2-A617-4ECCF6930B6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0129ED1-66FF-4F09-B5A5-B8FC6C9545A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312675B-215B-46C9-84F9-A15FE812576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0040DAA-7E33-4FDB-B7DF-B6DE8CE6EED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748182A-0E6B-4F8B-9705-632CE91D99B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D2503E8-3093-4C1E-A8E4-13D1040D339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878D459-5AD9-47E0-8678-E531D0516AE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456DF2A-2BB3-4B28-8DC5-DF36D40D7A9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99FC8D9-4D55-4A21-8837-DEC6C72AB11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8DBAE2D-2711-42FA-9B94-ECC6DCC135E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44D4562-9810-4C83-AF4B-45FF37DF42A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9B14A1A-A529-4F3F-BA09-C83009DDCCF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C5F78D5-CECD-4BE5-A050-9A10E3A5E93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0DB6964-D7D0-4408-898E-D86390F9FB2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1EECF3E-99CB-4F24-86E0-CA202E235F3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B3110B2-3443-4EAC-82C5-38490186068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69F5666-422F-48D1-8E92-4CAE252FCD8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6FFC0A6-8A8D-44E7-B84C-E605A083895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8862F5E-30CB-4815-8E91-BAE1F0E63D6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C75ED8B-22B6-4170-B915-F8007522D46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A11F4B-48BB-4209-888E-C12043C328C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EB938E2-C2EF-40E1-84AB-EA85481BE51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B459674-8F14-4CFD-B782-C2D9679A756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77E30BA-7362-4E13-8C54-3053B0FBDB8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6D6EDF3-E4CB-40DE-9CFC-C2552E7758A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8EC2A7-84A2-4255-BC51-385FE8AC43E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C67754B-33AD-4991-AE0C-F05EF1729DA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2703CDA-E856-410D-AD4F-5A6E8767051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3B65A69-1E38-4178-98C8-BB62DF85C4A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FACED79-BA26-41DF-B0C9-5E3E615525A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232A01C-6E6C-4995-944D-E0FEAE4ABBD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4514F78-11FD-4948-8A26-3515D0CBFB9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FE2CE26-9AF8-4F1D-AF90-116E021D396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3EA9B70-FE0A-4A1F-ACEC-47449CF5418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8C946FD-37A5-4D60-B735-BE5002F6AAC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F87F3EB-2C4E-46A2-9D20-83776B5CA91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134386E-8AF0-4DF8-8D45-5FC30E4241B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0AAFA87-E041-47A9-AEAE-C05D1DFBBFE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5FDF575-8759-4ABC-A20A-CD4BB26DC99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5609B7F-F730-475E-9C22-4AE57EC246E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CAD7AE3-A391-4EAE-9EC9-24A280895CF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E81675A-67FC-4A70-8A66-A88C6D3967D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F2E1175-8F4A-4725-B32A-F66BDD3A0F3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DBDB90D-97DD-4D4F-A4F7-6C3D8746CDD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86EEB08-0A64-497A-9C5B-31480F1B531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E2B188D-F18A-4388-A37F-1A41F3C9993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1FF58C1-9291-4096-9623-B95CD332717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1F658C4-3766-4531-B24F-D55C2DC4529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395B53A-E072-47EB-A62A-A6277058B64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601E7F9-D615-4635-B435-F7D7AA5C36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46547B4-1909-4D8F-8557-0F28748AE78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7E2AB2A-FF6A-4CCE-ADCA-4B319C481F6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646794-B3E2-4D09-B075-2C4FC0B97FC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8CAFB26-4893-4BF8-BA36-92F03FE855A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BBB9E7A-5483-478C-8D31-C64895EABFF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B798CF1-F538-4B49-AA73-96AE259999C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A248EB1-EA26-4767-A281-3B388CC9B52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2DC25F1-8D5D-40BD-A45E-86882B4D2F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41712BE-DA10-46A4-8DCD-33BE23E928A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D8DA7F6-19D5-454D-A629-CC07CD270CD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72FF606-AD77-4AD4-A877-93FB2CF9804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C82D615-CCA7-4011-896C-AC0BF1A1D9E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<sst xmlns="http://schemas.openxmlformats.org/spreadsheetml/2006/main" count="13371" uniqueCount="5274">
  <si>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</si>
  <si>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</si>
  <si>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</si>
  <si>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</si>
  <si>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</si>
  <si>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</si>
  <si>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</si>
  <si>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</si>
  <si>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</si>
  <si>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</si>
  <si>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</si>
  <si>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</si>
  <si>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</si>
  <si>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</si>
  <si>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</si>
  <si>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</si>
  <si>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</si>
  <si>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</si>
  <si>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</si>
  <si>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</si>
  <si>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</si>
  <si>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</si>
  <si>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</si>
  <si>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</si>
  <si>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</si>
  <si>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</si>
  <si>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</si>
  <si>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</si>
  <si>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</si>
  <si>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</si>
  <si>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</si>
  <si>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</si>
  <si>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</si>
  <si>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</si>
  <si>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</si>
  <si>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</si>
  <si>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</si>
  <si>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</si>
  <si>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</si>
  <si>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</si>
  <si>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</si>
  <si>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</si>
  <si>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</si>
  <si>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</si>
  <si>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</si>
  <si>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</si>
  <si>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</si>
  <si>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</si>
  <si>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</si>
  <si>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</si>
  <si>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</si>
  <si>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</si>
  <si>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</si>
  <si>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</si>
  <si>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</si>
  <si>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</si>
  <si>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</si>
  <si>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</si>
  <si>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</si>
  <si>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</si>
  <si>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</si>
  <si>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</si>
  <si>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</si>
  <si>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</si>
  <si>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</si>
  <si>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</si>
  <si>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</si>
  <si>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</si>
  <si>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</si>
  <si>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</si>
  <si>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</si>
  <si>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</si>
  <si>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</si>
  <si>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</si>
  <si>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</si>
  <si>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</si>
  <si>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</si>
  <si>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</si>
  <si>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</si>
  <si>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</si>
  <si>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</si>
  <si>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</si>
  <si>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</si>
  <si>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</si>
  <si>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</si>
  <si>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</si>
  <si>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</si>
  <si>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</si>
  <si>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</si>
  <si>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</si>
  <si>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</si>
  <si>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</si>
  <si>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</si>
  <si>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</si>
  <si>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</si>
  <si>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</si>
  <si>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</si>
  <si>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</si>
  <si>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</si>
  <si>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</si>
  <si>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</si>
  <si>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</si>
  <si>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</si>
  <si>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</si>
  <si>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</si>
  <si>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</si>
  <si>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</si>
  <si>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</si>
  <si>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</si>
  <si>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</si>
  <si>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</si>
  <si>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</si>
  <si>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</si>
  <si>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</si>
  <si>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</si>
  <si>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</si>
  <si>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</si>
  <si>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</si>
  <si>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</si>
  <si>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</si>
  <si>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</si>
  <si>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</si>
  <si>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</si>
  <si>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</si>
  <si>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</si>
  <si>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</si>
  <si>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</si>
  <si>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</si>
  <si>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</si>
  <si>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</si>
  <si>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</si>
  <si>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</si>
  <si>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</si>
  <si>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</si>
  <si>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</si>
  <si>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</si>
  <si>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</si>
  <si>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</si>
  <si>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</si>
  <si>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</si>
  <si>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</si>
  <si>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</si>
  <si>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</si>
  <si>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</si>
  <si>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</si>
  <si>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</si>
  <si>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</si>
  <si>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</si>
  <si>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</si>
  <si>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</si>
  <si>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</si>
  <si>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</si>
  <si>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</si>
  <si>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</si>
  <si>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</si>
  <si>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</si>
  <si>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</si>
  <si>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</si>
  <si>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</si>
  <si>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</si>
  <si>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</si>
  <si>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</si>
  <si>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</si>
  <si>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</si>
  <si>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</si>
  <si>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</si>
  <si>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</si>
  <si>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</si>
  <si>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</si>
  <si>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</si>
  <si>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</si>
  <si>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</si>
  <si>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</si>
  <si>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</si>
  <si>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</si>
  <si>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</si>
  <si>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</si>
  <si>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</si>
  <si>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</si>
  <si>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</si>
  <si>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</si>
  <si>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</si>
  <si>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</si>
  <si>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</si>
  <si>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</si>
  <si>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</si>
  <si>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</si>
  <si>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</si>
  <si>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</si>
  <si>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</si>
  <si>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</si>
  <si>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</si>
  <si>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</si>
  <si>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</si>
  <si>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</si>
  <si>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</si>
  <si>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</si>
  <si>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</si>
  <si>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</si>
  <si>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</si>
  <si>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</si>
  <si>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</si>
  <si>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</si>
  <si>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</si>
  <si>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</si>
  <si>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</si>
  <si>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</si>
  <si>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</si>
  <si>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</si>
  <si>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</si>
  <si>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</si>
  <si>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</si>
  <si>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</si>
  <si>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</si>
  <si>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</si>
  <si>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</si>
  <si>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</si>
  <si>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</si>
  <si>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</si>
  <si>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</si>
  <si>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</si>
  <si>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</si>
  <si>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</si>
  <si>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</si>
  <si>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</si>
  <si>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</si>
  <si>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</si>
  <si>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</si>
  <si>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</si>
  <si>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</si>
  <si>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</si>
  <si>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</si>
  <si>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</si>
  <si>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</si>
  <si>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</si>
  <si>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</si>
  <si>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</si>
  <si>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</si>
  <si>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</si>
  <si>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</si>
  <si>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</si>
  <si>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</si>
  <si>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</si>
  <si>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</si>
  <si>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</si>
  <si>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</si>
  <si>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</si>
  <si>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</si>
  <si>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</si>
  <si>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</si>
  <si>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</si>
  <si>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</si>
  <si>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</si>
  <si>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</si>
  <si>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</si>
  <si>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</si>
  <si>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</si>
  <si>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</si>
  <si>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</si>
  <si>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</si>
  <si>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</si>
  <si>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</si>
  <si>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</si>
  <si>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</si>
  <si>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</si>
  <si>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</si>
  <si>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</si>
  <si>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</si>
  <si>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</si>
  <si>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</si>
  <si>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</si>
  <si>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</si>
  <si>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</si>
  <si>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</si>
  <si>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</si>
  <si>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</si>
  <si>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</si>
  <si>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</si>
  <si>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</si>
  <si>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</si>
  <si>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</si>
  <si>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</si>
  <si>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</si>
  <si>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</si>
  <si>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</si>
  <si>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</si>
  <si>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</si>
  <si>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</si>
  <si>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</si>
  <si>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</si>
  <si>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</si>
  <si>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</si>
  <si>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</si>
  <si>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</si>
  <si>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</si>
  <si>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</si>
  <si>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</si>
  <si>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</si>
  <si>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</si>
  <si>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</si>
  <si>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</si>
  <si>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</si>
  <si>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</si>
  <si>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</si>
  <si>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</si>
  <si>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</si>
  <si>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</si>
  <si>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</si>
  <si>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</si>
  <si>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</si>
  <si>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</si>
  <si>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</si>
  <si>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</si>
  <si>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</si>
  <si>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</si>
  <si>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</si>
  <si>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</si>
  <si>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</si>
  <si>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</si>
  <si>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</si>
  <si>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</si>
  <si>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</si>
  <si>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</si>
  <si>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</si>
  <si>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</si>
  <si>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</si>
  <si>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</si>
  <si>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</si>
  <si>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</si>
  <si>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</si>
  <si>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</si>
  <si>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</si>
  <si>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</si>
  <si>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</si>
  <si>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</si>
  <si>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</si>
  <si>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</si>
  <si>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</si>
  <si>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</si>
  <si>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</si>
  <si>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</si>
  <si>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</si>
  <si>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</si>
  <si>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</si>
  <si>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</si>
  <si>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</si>
  <si>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</si>
  <si>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</si>
  <si>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</si>
  <si>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</si>
  <si>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</si>
  <si>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</si>
  <si>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</si>
  <si>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</si>
  <si>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</si>
  <si>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</si>
  <si>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</si>
  <si>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</si>
  <si>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</si>
  <si>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</si>
  <si>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</si>
  <si>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</si>
  <si>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</si>
  <si>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</si>
  <si>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</si>
  <si>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</si>
  <si>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</si>
  <si>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</si>
  <si>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</si>
  <si>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</si>
  <si>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</si>
  <si>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</si>
  <si>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</si>
  <si>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</si>
  <si>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</si>
  <si>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</si>
  <si>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</si>
  <si>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</si>
  <si>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</si>
  <si>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</si>
  <si>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</si>
  <si>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</si>
  <si>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</si>
  <si>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</si>
  <si>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</si>
  <si>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</si>
  <si>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</si>
  <si>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</si>
  <si>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</si>
  <si>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</si>
  <si>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</si>
  <si>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</si>
  <si>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</si>
  <si>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</si>
  <si>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</si>
  <si>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</si>
  <si>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</si>
  <si>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</si>
  <si>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</si>
  <si>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</si>
  <si>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</si>
  <si>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</si>
  <si>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</si>
  <si>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</si>
  <si>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</si>
  <si>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</si>
  <si>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</si>
  <si>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</si>
  <si>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</si>
  <si>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</si>
  <si>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</si>
  <si>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</si>
  <si>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</si>
  <si>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</si>
  <si>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</si>
  <si>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</si>
  <si>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</si>
  <si>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</si>
  <si>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</si>
  <si>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</si>
  <si>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</si>
  <si>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</si>
  <si>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</si>
  <si>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</si>
  <si>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</si>
  <si>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</si>
  <si>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</si>
  <si>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</si>
  <si>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</si>
  <si>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</si>
  <si>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</si>
  <si>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</si>
  <si>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</si>
  <si>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</si>
  <si>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</si>
  <si>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</si>
  <si>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</si>
  <si>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</si>
  <si>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</si>
  <si>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</si>
  <si>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</si>
  <si>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</si>
  <si>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</si>
  <si>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</si>
  <si>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</si>
  <si>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</si>
  <si>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</si>
  <si>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</si>
  <si>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</si>
  <si>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</si>
  <si>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</si>
  <si>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</si>
  <si>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</si>
  <si>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</si>
  <si>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</si>
  <si>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</si>
  <si>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</si>
  <si>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</si>
  <si>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</si>
  <si>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</si>
  <si>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</si>
  <si>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</si>
  <si>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</si>
  <si>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</si>
  <si>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</si>
  <si>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</si>
  <si>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</si>
  <si>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</si>
  <si>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</si>
  <si>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</si>
  <si>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</si>
  <si>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</si>
  <si>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</si>
  <si>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</si>
  <si>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</si>
  <si>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</si>
  <si>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</si>
  <si>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</si>
  <si>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</si>
  <si>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</si>
  <si>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</si>
  <si>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</si>
  <si>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</si>
  <si>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</si>
  <si>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</si>
  <si>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</si>
  <si>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</si>
  <si>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</si>
  <si>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</si>
  <si>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</si>
  <si>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</si>
  <si>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</si>
  <si>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</si>
  <si>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</si>
  <si>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</si>
  <si>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</si>
  <si>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</si>
  <si>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</si>
  <si>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</si>
  <si>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</si>
  <si>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</si>
  <si>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</si>
  <si>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</si>
  <si>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</si>
  <si>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</si>
  <si>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</si>
  <si>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</si>
  <si>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</si>
  <si>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</si>
  <si>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</si>
  <si>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</si>
  <si>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</si>
  <si>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</si>
  <si>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</si>
  <si>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</si>
  <si>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</si>
  <si>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</si>
  <si>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</si>
  <si>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</si>
  <si>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</si>
  <si>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</si>
  <si>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</si>
  <si>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</si>
  <si>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</si>
  <si>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</si>
  <si>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</si>
  <si>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</si>
  <si>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</si>
  <si>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</si>
  <si>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</si>
  <si>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</si>
  <si>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</si>
  <si>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</si>
  <si>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</si>
  <si>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</si>
  <si>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</si>
  <si>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</si>
  <si>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</si>
  <si>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</si>
  <si>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</si>
  <si>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</si>
  <si>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</si>
  <si>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</si>
  <si>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</si>
  <si>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</si>
  <si>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</si>
  <si>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</si>
  <si>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</si>
  <si>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</si>
  <si>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</si>
  <si>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</si>
  <si>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</si>
  <si>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</si>
  <si>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</si>
  <si>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</si>
  <si>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</si>
  <si>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</si>
  <si>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</si>
  <si>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</si>
  <si>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</si>
  <si>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</si>
  <si>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</si>
  <si>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</si>
  <si>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</si>
  <si>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</si>
  <si>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</si>
  <si>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</si>
  <si>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</si>
  <si>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</si>
  <si>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</si>
  <si>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</si>
  <si>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</si>
  <si>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</si>
  <si>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</si>
  <si>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</si>
  <si>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</si>
  <si>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</si>
  <si>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</si>
  <si>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</si>
  <si>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</si>
  <si>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</si>
  <si>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</si>
  <si>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</si>
  <si>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</si>
  <si>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</si>
  <si>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</si>
  <si>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</si>
  <si>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</si>
  <si>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</si>
  <si>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</si>
  <si>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</si>
  <si>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</si>
  <si>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</si>
  <si>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</si>
  <si>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</si>
  <si>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</si>
  <si>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</si>
  <si>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</si>
  <si>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</si>
  <si>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</si>
  <si>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</si>
  <si>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</si>
  <si>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</si>
  <si>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</si>
  <si>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</si>
  <si>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</si>
  <si>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</si>
  <si>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</si>
  <si>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</si>
  <si>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</si>
  <si>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</si>
  <si>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</si>
  <si>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</si>
  <si>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</si>
  <si>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</si>
  <si>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</si>
  <si>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</si>
  <si>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</si>
  <si>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</si>
  <si>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</si>
  <si>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</si>
  <si>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</si>
  <si>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</si>
  <si>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</si>
  <si>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</si>
  <si>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</si>
  <si>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</si>
  <si>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</si>
  <si>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</si>
  <si>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</si>
  <si>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</si>
  <si>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</si>
  <si>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</si>
  <si>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</si>
  <si>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</si>
  <si>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</si>
  <si>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</si>
  <si>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</si>
  <si>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</si>
  <si>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</si>
  <si>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</si>
  <si>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</si>
  <si>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</si>
  <si>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</si>
  <si>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</si>
  <si>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</si>
  <si>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</si>
  <si>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</si>
  <si>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</si>
  <si>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</si>
  <si>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</si>
  <si>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</si>
  <si>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</si>
  <si>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</si>
  <si>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</si>
  <si>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</si>
  <si>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</si>
  <si>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</si>
  <si>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</si>
  <si>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</si>
  <si>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</si>
  <si>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</si>
  <si>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</si>
  <si>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</si>
  <si>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</si>
  <si>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</si>
  <si>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</si>
  <si>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</si>
  <si>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</si>
  <si>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</si>
  <si>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</si>
  <si>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</si>
  <si>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</si>
  <si>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</si>
  <si>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</si>
  <si>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</si>
  <si>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</si>
  <si>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</si>
  <si>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</si>
  <si>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</si>
  <si>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</si>
  <si>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</si>
  <si>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</si>
  <si>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</si>
  <si>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</si>
  <si>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</si>
  <si>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</si>
  <si>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</si>
  <si>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</si>
  <si>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</si>
  <si>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</si>
  <si>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</si>
  <si>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</si>
  <si>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</si>
  <si>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</si>
  <si>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</si>
  <si>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</si>
  <si>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</si>
  <si>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</si>
  <si>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</si>
  <si>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</si>
  <si>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</si>
  <si>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</si>
  <si>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</si>
  <si>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</si>
  <si>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</si>
  <si>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</si>
  <si>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</si>
  <si>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</si>
  <si>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</si>
  <si>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</si>
  <si>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</si>
  <si>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</si>
  <si>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</si>
  <si>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</si>
  <si>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</si>
  <si>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</si>
  <si>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</si>
  <si>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</si>
  <si>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</si>
  <si>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</si>
  <si>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</si>
  <si>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</si>
  <si>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</si>
  <si>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</si>
  <si>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</si>
  <si>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</si>
  <si>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</si>
  <si>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</si>
  <si>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</si>
  <si>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</si>
  <si>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</si>
  <si>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</si>
  <si>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</si>
  <si>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</si>
  <si>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</si>
  <si>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</si>
  <si>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</si>
  <si>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</si>
  <si>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</si>
  <si>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</si>
  <si>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</si>
  <si>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</si>
  <si>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</si>
  <si>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</si>
  <si>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</si>
  <si>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</si>
  <si>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</si>
  <si>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</si>
  <si>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A444200</t>
    <phoneticPr fontId="2" type="noConversion"/>
  </si>
  <si>
    <t>SOL 코리아메가테크액티브</t>
    <phoneticPr fontId="2" type="noConversion"/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</si>
  <si>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</si>
  <si>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</si>
  <si>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</si>
  <si>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</si>
  <si>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</si>
  <si>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</si>
  <si>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</si>
  <si>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</si>
  <si>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</si>
  <si>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</si>
  <si>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</si>
  <si>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</si>
  <si>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</si>
  <si>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</si>
  <si>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</si>
  <si>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</si>
  <si>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</si>
  <si>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</si>
  <si>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</si>
  <si>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</si>
  <si>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</si>
  <si>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</si>
  <si>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</si>
  <si>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</si>
  <si>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</si>
  <si>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</si>
  <si>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</si>
  <si>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</si>
  <si>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</si>
  <si>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</si>
  <si>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</si>
  <si>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</si>
  <si>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</si>
  <si>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</si>
  <si>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</si>
  <si>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</si>
  <si>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</si>
  <si>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</si>
  <si>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</si>
  <si>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</si>
  <si>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</si>
  <si>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</si>
  <si>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</si>
  <si>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</si>
  <si>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</si>
  <si>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</si>
  <si>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</si>
  <si>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</si>
  <si>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</si>
  <si>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</si>
  <si>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</si>
  <si>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</si>
  <si>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</si>
  <si>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</si>
  <si>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</si>
  <si>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</si>
  <si>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</si>
  <si>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</si>
  <si>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</si>
  <si>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</si>
  <si>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</si>
  <si>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</si>
  <si>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</si>
  <si>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</si>
  <si>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</si>
  <si>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</si>
  <si>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</si>
  <si>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</si>
  <si>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</si>
  <si>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</si>
  <si>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</si>
  <si>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</si>
  <si>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</si>
  <si>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</si>
  <si>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</si>
  <si>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</si>
  <si>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</si>
  <si>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</si>
  <si>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</si>
  <si>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</si>
  <si>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</si>
  <si>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</si>
  <si>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</si>
  <si>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</si>
  <si>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</si>
  <si>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</si>
  <si>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</si>
  <si>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</si>
  <si>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</si>
  <si>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</si>
  <si>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</si>
  <si>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</si>
  <si>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</si>
  <si>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</si>
  <si>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</si>
  <si>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</si>
  <si>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</si>
  <si>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</si>
  <si>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</si>
  <si>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</si>
  <si>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</si>
  <si>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</si>
  <si>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</si>
  <si>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</si>
  <si>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</si>
  <si>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</si>
  <si>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</si>
  <si>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</si>
  <si>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</si>
  <si>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</si>
  <si>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</si>
  <si>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</si>
  <si>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</si>
  <si>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</si>
  <si>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</si>
  <si>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</si>
  <si>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</si>
  <si>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</si>
  <si>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</si>
  <si>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</si>
  <si>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</si>
  <si>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</si>
  <si>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</si>
  <si>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</si>
  <si>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</si>
  <si>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</si>
  <si>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</si>
  <si>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</si>
  <si>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</si>
  <si>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</si>
  <si>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</si>
  <si>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</si>
  <si>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</si>
  <si>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</si>
  <si>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</si>
  <si>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</si>
  <si>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</si>
  <si>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</si>
  <si>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</si>
  <si>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</si>
  <si>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</si>
  <si>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</si>
  <si>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</si>
  <si>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</si>
  <si>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</si>
  <si>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</si>
  <si>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</si>
  <si>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</si>
  <si>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</si>
  <si>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</si>
  <si>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</si>
  <si>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</si>
  <si>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</si>
  <si>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</si>
  <si>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</si>
  <si>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</si>
  <si>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</si>
  <si>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</si>
  <si>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</si>
  <si>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</si>
  <si>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</si>
  <si>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</si>
  <si>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</si>
  <si>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</si>
  <si>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</si>
  <si>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</si>
  <si>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</si>
  <si>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</si>
  <si>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</si>
  <si>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</si>
  <si>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</si>
  <si>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</si>
  <si>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</si>
  <si>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</si>
  <si>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</si>
  <si>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</si>
  <si>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</si>
  <si>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</si>
  <si>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</si>
  <si>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</si>
  <si>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</si>
  <si>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</si>
  <si>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</si>
  <si>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</si>
  <si>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</si>
  <si>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</si>
  <si>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</si>
  <si>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</si>
  <si>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</si>
  <si>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</si>
  <si>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</si>
  <si>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</si>
  <si>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</si>
  <si>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</si>
  <si>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</si>
  <si>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</si>
  <si>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</si>
  <si>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</si>
  <si>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</si>
  <si>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</si>
  <si>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</si>
  <si>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</si>
  <si>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</si>
  <si>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</si>
  <si>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</si>
  <si>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</si>
  <si>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</si>
  <si>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</si>
  <si>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</si>
  <si>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</si>
  <si>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</si>
  <si>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</si>
  <si>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</si>
  <si>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</si>
  <si>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</si>
  <si>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</si>
  <si>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</si>
  <si>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</si>
  <si>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</si>
  <si>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</si>
  <si>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</si>
  <si>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</si>
  <si>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</si>
  <si>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</si>
  <si>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</si>
  <si>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</si>
  <si>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</si>
  <si>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</si>
  <si>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</si>
  <si>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</si>
  <si>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</si>
  <si>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</si>
  <si>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</si>
  <si>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</si>
  <si>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</si>
  <si>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</si>
  <si>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</si>
  <si>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</si>
  <si>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</si>
  <si>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</si>
  <si>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</si>
  <si>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</si>
  <si>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</si>
  <si>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</si>
  <si>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</si>
  <si>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</si>
  <si>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</si>
  <si>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</si>
  <si>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</si>
  <si>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</si>
  <si>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</si>
  <si>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</si>
  <si>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</si>
  <si>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</si>
  <si>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</si>
  <si>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</si>
  <si>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</si>
  <si>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</si>
  <si>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</si>
  <si>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</si>
  <si>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</si>
  <si>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</si>
  <si>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</si>
  <si>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</si>
  <si>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</si>
  <si>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</si>
  <si>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</si>
  <si>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</si>
  <si>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</si>
  <si>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</si>
  <si>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</si>
  <si>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</si>
  <si>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</si>
  <si>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</si>
  <si>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</si>
  <si>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</si>
  <si>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</si>
  <si>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</si>
  <si>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</si>
  <si>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</si>
  <si>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</si>
  <si>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</si>
  <si>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</si>
  <si>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</si>
  <si>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</si>
  <si>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</si>
  <si>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</si>
  <si>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</si>
  <si>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</si>
  <si>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</si>
  <si>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</si>
  <si>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</si>
  <si>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</si>
  <si>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</si>
  <si>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</si>
  <si>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</si>
  <si>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</si>
  <si>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</si>
  <si>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</si>
  <si>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</si>
  <si>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</si>
  <si>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</si>
  <si>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</si>
  <si>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</si>
  <si>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</si>
  <si>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</si>
  <si>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</si>
  <si>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</si>
  <si>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</si>
  <si>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</si>
  <si>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</si>
  <si>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</si>
  <si>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</si>
  <si>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</si>
  <si>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</si>
  <si>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</si>
  <si>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</si>
  <si>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</si>
  <si>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</si>
  <si>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</si>
  <si>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</si>
  <si>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</si>
  <si>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</si>
  <si>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</si>
  <si>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</si>
  <si>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</si>
  <si>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</si>
  <si>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</si>
  <si>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</si>
  <si>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</si>
  <si>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</si>
  <si>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</si>
  <si>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</si>
  <si>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</si>
  <si>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</si>
  <si>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</si>
  <si>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</si>
  <si>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</si>
  <si>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</si>
  <si>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</si>
  <si>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</si>
  <si>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</si>
  <si>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</si>
  <si>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</si>
  <si>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</si>
  <si>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</si>
  <si>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</si>
  <si>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</si>
  <si>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</si>
  <si>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</si>
  <si>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</si>
  <si>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</si>
  <si>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</si>
  <si>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</si>
  <si>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</si>
  <si>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</si>
  <si>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</si>
  <si>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</si>
  <si>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</si>
  <si>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</si>
  <si>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</si>
  <si>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</si>
  <si>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</si>
  <si>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</si>
  <si>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</si>
  <si>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</si>
  <si>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</si>
  <si>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</si>
  <si>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</si>
  <si>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</si>
  <si>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</si>
  <si>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</si>
  <si>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</si>
  <si>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</si>
  <si>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</si>
  <si>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</si>
  <si>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</si>
  <si>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</si>
  <si>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</si>
  <si>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</si>
  <si>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</si>
  <si>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</si>
  <si>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</si>
  <si>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</si>
  <si>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</si>
  <si>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</si>
  <si>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</si>
  <si>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</si>
  <si>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</si>
  <si>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</si>
  <si>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</si>
  <si>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</si>
  <si>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</si>
  <si>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</si>
  <si>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</si>
  <si>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</si>
  <si>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</si>
  <si>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</si>
  <si>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</si>
  <si>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</si>
  <si>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</si>
  <si>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</si>
  <si>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</si>
  <si>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</si>
  <si>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</si>
  <si>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</si>
  <si>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</si>
  <si>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</si>
  <si>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</si>
  <si>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</si>
  <si>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</si>
  <si>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</si>
  <si>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</si>
  <si>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</si>
  <si>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</si>
  <si>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</si>
  <si>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</si>
  <si>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</si>
  <si>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</si>
  <si>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</si>
  <si>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</si>
  <si>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</si>
  <si>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</si>
  <si>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</si>
  <si>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</si>
  <si>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</si>
  <si>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</si>
  <si>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</si>
  <si>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</si>
  <si>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</si>
  <si>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</si>
  <si>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</si>
  <si>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</si>
  <si>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</si>
  <si>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</si>
  <si>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</si>
  <si>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</si>
  <si>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</si>
  <si>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</si>
  <si>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</si>
  <si>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</si>
  <si>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</si>
  <si>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</si>
  <si>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</si>
  <si>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</si>
  <si>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</si>
  <si>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</si>
  <si>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</si>
  <si>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</si>
  <si>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</si>
  <si>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</si>
  <si>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</si>
  <si>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</si>
  <si>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</si>
  <si>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</si>
  <si>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</si>
  <si>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</si>
  <si>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</si>
  <si>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</si>
  <si>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</si>
  <si>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</si>
  <si>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</si>
  <si>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</si>
  <si>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</si>
  <si>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</si>
  <si>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</si>
  <si>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</si>
  <si>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</si>
  <si>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</si>
  <si>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</si>
  <si>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</si>
  <si>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</si>
  <si>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</si>
  <si>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</si>
  <si>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</si>
  <si>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</si>
  <si>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</si>
  <si>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</si>
  <si>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</si>
  <si>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</si>
  <si>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</si>
  <si>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</si>
  <si>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</si>
  <si>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</si>
  <si>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</si>
  <si>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</si>
  <si>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</si>
  <si>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</si>
  <si>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</si>
  <si>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</si>
  <si>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</si>
  <si>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</si>
  <si>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</si>
  <si>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</si>
  <si>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</si>
  <si>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</si>
  <si>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</si>
  <si>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</si>
  <si>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</si>
  <si>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</si>
  <si>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</si>
  <si>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</si>
  <si>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</si>
  <si>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</si>
  <si>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</si>
  <si>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</si>
  <si>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</si>
  <si>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</si>
  <si>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</si>
  <si>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</si>
  <si>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</si>
  <si>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</si>
  <si>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</si>
  <si>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</si>
  <si>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</si>
  <si>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</si>
  <si>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</si>
  <si>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</si>
  <si>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</si>
  <si>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</si>
  <si>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</si>
  <si>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</si>
  <si>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</si>
  <si>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</si>
  <si>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</si>
  <si>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</si>
  <si>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</si>
  <si>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</si>
  <si>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</si>
  <si>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</si>
  <si>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</si>
  <si>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</si>
  <si>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</si>
  <si>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</si>
  <si>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</si>
  <si>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</si>
  <si>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</si>
  <si>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</si>
  <si>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</si>
  <si>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</si>
  <si>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</si>
  <si>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</si>
  <si>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</si>
  <si>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</si>
  <si>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</si>
  <si>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</si>
  <si>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</si>
  <si>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</si>
  <si>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</si>
  <si>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</si>
  <si>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</si>
  <si>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</si>
  <si>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</si>
  <si>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</si>
  <si>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</si>
  <si>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</si>
  <si>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</si>
  <si>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</si>
  <si>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</si>
  <si>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</si>
  <si>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</si>
  <si>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</si>
  <si>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</si>
  <si>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</si>
  <si>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</si>
  <si>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</si>
  <si>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</si>
  <si>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</si>
  <si>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</si>
  <si>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</si>
  <si>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</si>
  <si>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</si>
  <si>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</si>
  <si>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</si>
  <si>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</si>
  <si>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</si>
  <si>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</si>
  <si>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</si>
  <si>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</si>
  <si>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</si>
  <si>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</si>
  <si>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</si>
  <si>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</si>
  <si>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</si>
  <si>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</si>
  <si>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</si>
  <si>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</si>
  <si>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</si>
  <si>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</si>
  <si>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</si>
  <si>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</si>
  <si>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</si>
  <si>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</si>
  <si>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</si>
  <si>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</si>
  <si>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</si>
  <si>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</si>
  <si>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</si>
  <si>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</si>
  <si>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</si>
  <si>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</si>
  <si>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</si>
  <si>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</si>
  <si>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</si>
  <si>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</si>
  <si>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</si>
  <si>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</si>
  <si>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</si>
  <si>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</si>
  <si>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</si>
  <si>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</si>
  <si>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</si>
  <si>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</si>
  <si>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</si>
  <si>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</si>
  <si>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</si>
  <si>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</si>
  <si>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</si>
  <si>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</si>
  <si>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</si>
  <si>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</si>
  <si>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</si>
  <si>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</si>
  <si>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</si>
  <si>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</si>
  <si>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</si>
  <si>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</si>
  <si>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</si>
  <si>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</si>
  <si>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</si>
  <si>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</si>
  <si>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</si>
  <si>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</si>
  <si>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</si>
  <si>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</si>
  <si>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</si>
  <si>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</si>
  <si>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</si>
  <si>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</si>
  <si>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</si>
  <si>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</si>
  <si>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</si>
  <si>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</si>
  <si>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</si>
  <si>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</si>
  <si>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</si>
  <si>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</si>
  <si>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</si>
  <si>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</si>
  <si>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</si>
  <si>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</si>
  <si>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</si>
  <si>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</si>
  <si>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</si>
  <si>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</si>
  <si>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</si>
  <si>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</si>
  <si>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</si>
  <si>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</si>
  <si>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</si>
  <si>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</si>
  <si>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</si>
  <si>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</si>
  <si>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</si>
  <si>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</si>
  <si>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</si>
  <si>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</si>
  <si>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</si>
  <si>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</si>
  <si>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</si>
  <si>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</si>
  <si>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</si>
  <si>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</si>
  <si>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</si>
  <si>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</si>
  <si>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</si>
  <si>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</si>
  <si>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</si>
  <si>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</si>
  <si>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</si>
  <si>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</si>
  <si>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</si>
  <si>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</si>
  <si>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</si>
  <si>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</si>
  <si>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</si>
  <si>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</si>
  <si>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</si>
  <si>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</si>
  <si>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</si>
  <si>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</si>
  <si>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</si>
  <si>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</si>
  <si>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</si>
  <si>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</si>
  <si>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</si>
  <si>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</si>
  <si>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</si>
  <si>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</si>
  <si>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</si>
  <si>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</si>
  <si>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</si>
  <si>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</si>
  <si>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</si>
  <si>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</si>
  <si>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</si>
  <si>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</si>
  <si>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</si>
  <si>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</si>
  <si>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</si>
  <si>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</si>
  <si>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</si>
  <si>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</si>
  <si>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</si>
  <si>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</si>
  <si>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</si>
  <si>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</si>
  <si>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</si>
  <si>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</si>
  <si>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</si>
  <si>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</si>
  <si>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</si>
  <si>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</si>
  <si>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</si>
  <si>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</si>
  <si>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</si>
  <si>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</si>
  <si>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</si>
  <si>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</si>
  <si>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</si>
  <si>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</si>
  <si>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</si>
  <si>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</si>
  <si>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</si>
  <si>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</si>
  <si>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</si>
  <si>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</si>
  <si>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</si>
  <si>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</si>
  <si>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</si>
  <si>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</si>
  <si>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</si>
  <si>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</si>
  <si>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</si>
  <si>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</si>
  <si>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</si>
  <si>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</si>
  <si>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</si>
  <si>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</si>
  <si>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</si>
  <si>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</si>
  <si>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</si>
  <si>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</si>
  <si>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</si>
  <si>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</si>
  <si>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</si>
  <si>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</si>
  <si>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</si>
  <si>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</si>
  <si>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</si>
  <si>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</si>
  <si>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</si>
  <si>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</si>
  <si>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</si>
  <si>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</si>
  <si>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</si>
  <si>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</si>
  <si>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</si>
  <si>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</si>
  <si>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</si>
  <si>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</si>
  <si>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</si>
  <si>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</si>
  <si>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</si>
  <si>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</si>
  <si>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</si>
  <si>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</si>
  <si>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</si>
  <si>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</si>
  <si>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</si>
  <si>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</si>
  <si>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</si>
  <si>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</si>
  <si>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</si>
  <si>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</si>
  <si>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</si>
  <si>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</si>
  <si>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</si>
  <si>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</si>
  <si>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</si>
  <si>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</si>
  <si>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</si>
  <si>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</si>
  <si>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</si>
  <si>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</si>
  <si>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</si>
  <si>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</si>
  <si>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</si>
  <si>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</si>
  <si>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</si>
  <si>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</si>
  <si>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</si>
  <si>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</si>
  <si>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</si>
  <si>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</si>
  <si>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</si>
  <si>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</si>
  <si>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</si>
  <si>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</si>
  <si>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</si>
  <si>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</si>
  <si>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</si>
  <si>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</si>
  <si>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</si>
  <si>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</si>
  <si>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</si>
  <si>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</si>
  <si>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</si>
  <si>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</si>
  <si>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</si>
  <si>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</si>
  <si>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</si>
  <si>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</si>
  <si>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</si>
  <si>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</si>
  <si>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</si>
  <si>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</si>
  <si>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</si>
  <si>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</si>
  <si>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</si>
  <si>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</si>
  <si>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</si>
  <si>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</si>
  <si>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</si>
  <si>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</si>
  <si>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</si>
  <si>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</si>
  <si>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</si>
  <si>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</si>
  <si>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</si>
  <si>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</si>
  <si>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</si>
  <si>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</si>
  <si>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</si>
  <si>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</si>
  <si>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</si>
  <si>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</si>
  <si>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</si>
  <si>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</si>
  <si>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</si>
  <si>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</si>
  <si>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</si>
  <si>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</si>
  <si>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</si>
  <si>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</si>
  <si>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</si>
  <si>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</si>
  <si>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</si>
  <si>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</si>
  <si>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</si>
  <si>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</si>
  <si>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</si>
  <si>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</si>
  <si>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</si>
  <si>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</si>
  <si>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</si>
  <si>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</si>
  <si>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</si>
  <si>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</si>
  <si>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</si>
  <si>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</si>
  <si>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</si>
  <si>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</si>
  <si>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</si>
  <si>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</si>
  <si>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</si>
  <si>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</si>
  <si>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</si>
  <si>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</si>
  <si>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</si>
  <si>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</si>
  <si>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</si>
  <si>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</si>
  <si>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</si>
  <si>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</si>
  <si>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</si>
  <si>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</si>
  <si>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</si>
  <si>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</si>
  <si>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</si>
  <si>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</si>
  <si>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</si>
  <si>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</si>
  <si>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</si>
  <si>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</si>
  <si>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</si>
  <si>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</si>
  <si>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</si>
  <si>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</si>
  <si>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</si>
  <si>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</si>
  <si>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</si>
  <si>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</si>
  <si>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</si>
  <si>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</si>
  <si>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</si>
  <si>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</si>
  <si>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</si>
  <si>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</si>
  <si>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</si>
  <si>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</si>
  <si>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</si>
  <si>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</si>
  <si>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</si>
  <si>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</si>
  <si>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</si>
  <si>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</si>
  <si>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</si>
  <si>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</si>
  <si>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</si>
  <si>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</si>
  <si>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</si>
  <si>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</si>
  <si>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</si>
  <si>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</si>
  <si>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</si>
  <si>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</si>
  <si>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</si>
  <si>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</si>
  <si>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</si>
  <si>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</si>
  <si>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</si>
  <si>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</si>
  <si>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</si>
  <si>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</si>
  <si>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</si>
  <si>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</si>
  <si>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</si>
  <si>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</si>
  <si>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</si>
  <si>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</si>
  <si>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</si>
  <si>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</si>
  <si>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</si>
  <si>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</si>
  <si>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</si>
  <si>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</si>
  <si>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</si>
  <si>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</si>
  <si>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</si>
  <si>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</si>
  <si>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</si>
  <si>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</si>
  <si>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</si>
  <si>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</si>
  <si>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</si>
  <si>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</si>
  <si>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</si>
  <si>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</si>
  <si>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</si>
  <si>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</si>
  <si>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</si>
  <si>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</si>
  <si>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</si>
  <si>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</si>
  <si>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</si>
  <si>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</si>
  <si>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</si>
  <si>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</si>
  <si>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</si>
  <si>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</si>
  <si>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</si>
  <si>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</si>
  <si>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</si>
  <si>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</si>
  <si>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</si>
  <si>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</si>
  <si>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</si>
  <si>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</si>
  <si>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</si>
  <si>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</si>
  <si>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</si>
  <si>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</si>
  <si>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</si>
  <si>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</si>
  <si>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</si>
  <si>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</si>
  <si>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</si>
  <si>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</si>
  <si>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</si>
  <si>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</si>
  <si>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</si>
  <si>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</si>
  <si>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</si>
  <si>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</si>
  <si>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</si>
  <si>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</si>
  <si>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</si>
  <si>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</si>
  <si>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</si>
  <si>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</si>
  <si>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</si>
  <si>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</si>
  <si>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</si>
  <si>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</si>
  <si>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</si>
  <si>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</si>
  <si>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</si>
  <si>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</si>
  <si>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</si>
  <si>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</si>
  <si>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</si>
  <si>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</si>
  <si>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</si>
  <si>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</si>
  <si>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</si>
  <si>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</si>
  <si>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</si>
  <si>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</si>
  <si>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</si>
  <si>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</si>
  <si>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</si>
  <si>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</si>
  <si>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</si>
  <si>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</si>
  <si>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</si>
  <si>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</si>
  <si>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</si>
  <si>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</si>
  <si>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</si>
  <si>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</si>
  <si>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</si>
  <si>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</si>
  <si>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</si>
  <si>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</si>
  <si>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</si>
  <si>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</si>
  <si>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</si>
  <si>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</si>
  <si>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</si>
  <si>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</si>
  <si>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</si>
  <si>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</si>
  <si>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</si>
  <si>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</si>
  <si>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</si>
  <si>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</si>
  <si>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</si>
  <si>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</si>
  <si>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</si>
  <si>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</si>
  <si>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</si>
  <si>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</si>
  <si>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</si>
  <si>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</si>
  <si>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</si>
  <si>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</si>
  <si>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</si>
  <si>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</si>
  <si>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</si>
  <si>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</si>
  <si>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</si>
  <si>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</si>
  <si>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</si>
  <si>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</si>
  <si>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</si>
  <si>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</si>
  <si>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</si>
  <si>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</si>
  <si>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</si>
  <si>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</si>
  <si>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</si>
  <si>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</si>
  <si>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</si>
  <si>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</si>
  <si>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</si>
  <si>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</si>
  <si>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</si>
  <si>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</si>
  <si>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</si>
  <si>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</si>
  <si>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</si>
  <si>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</si>
  <si>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</si>
  <si>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</si>
  <si>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</si>
  <si>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</si>
  <si>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</si>
  <si>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</si>
  <si>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</si>
  <si>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</si>
  <si>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</si>
  <si>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</si>
  <si>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</si>
  <si>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</si>
  <si>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</si>
  <si>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</si>
  <si>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</si>
  <si>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</si>
  <si>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</si>
  <si>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</si>
  <si>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</si>
  <si>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</si>
  <si>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</si>
  <si>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</si>
  <si>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</si>
  <si>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</si>
  <si>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</si>
  <si>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</si>
  <si>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</si>
  <si>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</si>
  <si>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</si>
  <si>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</si>
  <si>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</si>
  <si>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</si>
  <si>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</si>
  <si>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</si>
  <si>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</si>
  <si>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</si>
  <si>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</si>
  <si>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</si>
  <si>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</si>
  <si>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</si>
  <si>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</si>
  <si>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</si>
  <si>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</si>
  <si>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</si>
  <si>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</si>
  <si>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</si>
  <si>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</si>
  <si>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</si>
  <si>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</si>
  <si>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</si>
  <si>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</si>
  <si>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</si>
  <si>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</si>
  <si>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</si>
  <si>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</si>
  <si>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</si>
  <si>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</si>
  <si>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</si>
  <si>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</si>
  <si>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</si>
  <si>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</si>
  <si>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</si>
  <si>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</si>
  <si>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</si>
  <si>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</si>
  <si>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</si>
  <si>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</si>
  <si>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</si>
  <si>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</si>
  <si>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</si>
  <si>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</si>
  <si>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</si>
  <si>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</si>
  <si>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</si>
  <si>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</si>
  <si>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</si>
  <si>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</si>
  <si>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</si>
  <si>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</si>
  <si>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</si>
  <si>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</si>
  <si>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</si>
  <si>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</si>
  <si>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</si>
  <si>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</si>
  <si>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</si>
  <si>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</si>
  <si>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</si>
  <si>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</si>
  <si>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</si>
  <si>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</si>
  <si>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</si>
  <si>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</si>
  <si>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</si>
  <si>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</si>
  <si>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</si>
  <si>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</si>
  <si>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</si>
  <si>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</si>
  <si>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</si>
  <si>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</si>
  <si>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</si>
  <si>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</si>
  <si>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</si>
  <si>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</si>
  <si>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</si>
  <si>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</si>
  <si>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</si>
  <si>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</si>
  <si>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</si>
  <si>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</si>
  <si>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</si>
  <si>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</si>
  <si>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</si>
  <si>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</si>
  <si>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</si>
  <si>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</si>
  <si>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</si>
  <si>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</si>
  <si>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</si>
  <si>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</si>
  <si>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</si>
  <si>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</si>
  <si>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</si>
  <si>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</si>
  <si>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</si>
  <si>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</si>
  <si>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</si>
  <si>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</si>
  <si>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</si>
  <si>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</si>
  <si>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</si>
  <si>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</si>
  <si>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</si>
  <si>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</si>
  <si>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</si>
  <si>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</si>
  <si>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</si>
  <si>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</si>
  <si>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</si>
  <si>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</si>
  <si>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</si>
  <si>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</si>
  <si>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</si>
  <si>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</si>
  <si>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</si>
  <si>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</si>
  <si>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</si>
  <si>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</si>
  <si>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</si>
  <si>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</si>
  <si>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</si>
  <si>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</si>
  <si>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</si>
  <si>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</si>
  <si>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</si>
  <si>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</si>
  <si>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</si>
  <si>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</si>
  <si>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</si>
  <si>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</si>
  <si>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</si>
  <si>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</si>
  <si>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</si>
  <si>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</si>
  <si>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</si>
  <si>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</si>
  <si>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</si>
  <si>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</si>
  <si>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</si>
  <si>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</si>
  <si>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</si>
  <si>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</si>
  <si>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</si>
  <si>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</si>
  <si>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</si>
  <si>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</si>
  <si>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</si>
  <si>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</si>
  <si>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</si>
  <si>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</si>
  <si>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</si>
  <si>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</si>
  <si>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</si>
  <si>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</si>
  <si>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</si>
  <si>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</si>
  <si>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</si>
  <si>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</si>
  <si>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</si>
  <si>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</si>
  <si>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</si>
  <si>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</si>
  <si>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</si>
  <si>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</si>
  <si>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</si>
  <si>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</si>
  <si>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</si>
  <si>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</si>
  <si>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</si>
  <si>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</si>
  <si>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</si>
  <si>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</si>
  <si>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</si>
  <si>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</si>
  <si>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</si>
  <si>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</si>
  <si>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</si>
  <si>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</si>
  <si>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</si>
  <si>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</si>
  <si>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</si>
  <si>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</si>
  <si>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</si>
  <si>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</si>
  <si>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</si>
  <si>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</si>
  <si>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</si>
  <si>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</si>
  <si>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</si>
  <si>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</si>
  <si>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</si>
  <si>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</si>
  <si>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</si>
  <si>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</si>
  <si>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</si>
  <si>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</si>
  <si>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</si>
  <si>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</si>
  <si>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</si>
  <si>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</si>
  <si>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</si>
  <si>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</si>
  <si>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</si>
  <si>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</si>
  <si>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</si>
  <si>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</si>
  <si>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</si>
  <si>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</si>
  <si>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</si>
  <si>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</si>
  <si>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</si>
  <si>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</si>
  <si>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</si>
  <si>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</si>
  <si>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</si>
  <si>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</si>
  <si>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</si>
  <si>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</si>
  <si>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</si>
  <si>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</si>
  <si>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</si>
  <si>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</si>
  <si>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</si>
  <si>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</si>
  <si>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</si>
  <si>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</si>
  <si>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</si>
  <si>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</si>
  <si>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</si>
  <si>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</si>
  <si>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</si>
  <si>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</si>
  <si>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</si>
  <si>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</si>
  <si>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</si>
  <si>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</si>
  <si>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</si>
  <si>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</si>
  <si>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</si>
  <si>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</si>
  <si>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</si>
  <si>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</si>
  <si>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</si>
  <si>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</si>
  <si>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</si>
  <si>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</si>
  <si>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</si>
  <si>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</si>
  <si>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</si>
  <si>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</si>
  <si>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</si>
  <si>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</si>
  <si>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</si>
  <si>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</si>
  <si>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</si>
  <si>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</si>
  <si>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</si>
  <si>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</si>
  <si>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</si>
  <si>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</si>
  <si>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</si>
  <si>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</si>
  <si>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</si>
  <si>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</si>
  <si>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</si>
  <si>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</si>
  <si>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</si>
  <si>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</si>
  <si>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</si>
  <si>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</si>
  <si>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</si>
  <si>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</si>
  <si>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</si>
  <si>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</si>
  <si>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</si>
  <si>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</si>
  <si>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</si>
  <si>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</si>
  <si>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</si>
  <si>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</si>
  <si>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</si>
  <si>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</si>
  <si>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</si>
  <si>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</si>
  <si>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</si>
  <si>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</si>
  <si>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</si>
  <si>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</si>
  <si>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</si>
  <si>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</si>
  <si>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</si>
  <si>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</si>
  <si>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</si>
  <si>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</si>
  <si>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</si>
  <si>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</si>
  <si>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</si>
  <si>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</si>
  <si>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</si>
  <si>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</si>
  <si>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</si>
  <si>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</si>
  <si>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</si>
  <si>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</si>
  <si>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</si>
  <si>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</si>
  <si>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</si>
  <si>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</si>
  <si>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</si>
  <si>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</si>
  <si>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</si>
  <si>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</si>
  <si>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</si>
  <si>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</si>
  <si>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</si>
  <si>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</si>
  <si>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</si>
  <si>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</si>
  <si>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</si>
  <si>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</si>
  <si>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</si>
  <si>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</si>
  <si>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</si>
  <si>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</si>
  <si>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</si>
  <si>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</si>
  <si>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</si>
  <si>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</si>
  <si>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</si>
  <si>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</si>
  <si>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</si>
  <si>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</si>
  <si>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</si>
  <si>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</si>
  <si>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</si>
  <si>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</si>
  <si>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</si>
  <si>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</si>
  <si>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</si>
  <si>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</si>
  <si>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</si>
  <si>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</si>
  <si>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</si>
  <si>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</si>
  <si>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</si>
  <si>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</si>
  <si>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</si>
  <si>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</si>
  <si>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</si>
  <si>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</si>
  <si>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</si>
  <si>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</si>
  <si>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</si>
  <si>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</si>
  <si>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</si>
  <si>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</si>
  <si>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</si>
  <si>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</si>
  <si>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</si>
  <si>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</si>
  <si>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</si>
  <si>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</si>
  <si>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</si>
  <si>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</si>
  <si>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</si>
  <si>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</si>
  <si>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</si>
  <si>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</si>
  <si>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</si>
  <si>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</si>
  <si>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</si>
  <si>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</si>
  <si>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</si>
  <si>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</si>
  <si>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</si>
  <si>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</si>
  <si>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</si>
  <si>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</si>
  <si>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</si>
  <si>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</si>
  <si>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</si>
  <si>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</si>
  <si>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</si>
  <si>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</si>
  <si>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</si>
  <si>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</si>
  <si>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</si>
  <si>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</si>
  <si>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</si>
  <si>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</si>
  <si>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</si>
  <si>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</si>
  <si>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</si>
  <si>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</si>
  <si>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</si>
  <si>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</si>
  <si>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</si>
  <si>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</si>
  <si>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</si>
  <si>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</si>
  <si>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</si>
  <si>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</si>
  <si>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</si>
  <si>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</si>
  <si>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</si>
  <si>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</si>
  <si>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</si>
  <si>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</si>
  <si>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</si>
  <si>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</si>
  <si>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</si>
  <si>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</si>
  <si>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</si>
  <si>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</si>
  <si>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</si>
  <si>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</si>
  <si>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</si>
  <si>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</si>
  <si>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</si>
  <si>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</si>
  <si>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</si>
  <si>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</si>
  <si>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</si>
  <si>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</si>
  <si>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</si>
  <si>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</si>
  <si>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</si>
  <si>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</si>
  <si>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</si>
  <si>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</si>
  <si>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</si>
  <si>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</si>
  <si>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</si>
  <si>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</si>
  <si>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</si>
  <si>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</si>
  <si>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</si>
  <si>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</si>
  <si>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</si>
  <si>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</si>
  <si>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</si>
  <si>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</si>
  <si>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</si>
  <si>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</si>
  <si>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</si>
  <si>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</si>
  <si>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</si>
  <si>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</si>
  <si>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</si>
  <si>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</si>
  <si>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</si>
  <si>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</si>
  <si>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</si>
  <si>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</si>
  <si>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</si>
  <si>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</si>
  <si>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</si>
  <si>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</si>
  <si>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</si>
  <si>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</si>
  <si>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</si>
  <si>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</si>
  <si>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</si>
  <si>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</si>
  <si>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</si>
  <si>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</si>
  <si>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</si>
  <si>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</si>
  <si>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</si>
  <si>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</si>
  <si>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</si>
  <si>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</si>
  <si>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</si>
  <si>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</si>
  <si>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</si>
  <si>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</si>
  <si>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</si>
  <si>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</si>
  <si>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</si>
  <si>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</si>
  <si>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</si>
  <si>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</si>
  <si>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</si>
  <si>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</si>
  <si>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</si>
  <si>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</si>
  <si>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</si>
  <si>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</si>
  <si>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</si>
  <si>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</si>
  <si>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</si>
  <si>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</si>
  <si>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</si>
  <si>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</si>
  <si>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</si>
  <si>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</si>
  <si>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</si>
  <si>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</si>
  <si>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</si>
  <si>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</si>
  <si>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</si>
  <si>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</si>
  <si>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</si>
  <si>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</si>
  <si>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</si>
  <si>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</si>
  <si>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</si>
  <si>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</si>
  <si>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</si>
  <si>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</si>
  <si>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</si>
  <si>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</si>
  <si>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</si>
  <si>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</si>
  <si>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</si>
  <si>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</si>
  <si>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</si>
  <si>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</si>
  <si>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</si>
  <si>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</si>
  <si>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</si>
  <si>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</si>
  <si>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</si>
  <si>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</si>
  <si>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</si>
  <si>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</si>
  <si>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</si>
  <si>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</si>
  <si>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</si>
  <si>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</si>
  <si>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</si>
  <si>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</si>
  <si>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</si>
  <si>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</si>
  <si>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</si>
  <si>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</si>
  <si>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</si>
  <si>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</si>
  <si>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</si>
  <si>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</si>
  <si>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</si>
  <si>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</si>
  <si>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</si>
  <si>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</si>
  <si>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</si>
  <si>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</si>
  <si>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</si>
  <si>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</si>
  <si>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</si>
  <si>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</si>
  <si>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</si>
  <si>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</si>
  <si>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</si>
  <si>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</si>
  <si>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</si>
  <si>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</si>
  <si>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</si>
  <si>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</si>
  <si>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</si>
  <si>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</si>
  <si>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</si>
  <si>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</si>
  <si>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</si>
  <si>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</si>
  <si>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</si>
  <si>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</si>
  <si>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</si>
  <si>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</si>
  <si>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</si>
  <si>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</si>
  <si>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</si>
  <si>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</si>
  <si>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</si>
  <si>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</si>
  <si>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</si>
  <si>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</si>
  <si>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</si>
  <si>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</si>
  <si>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</si>
  <si>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</si>
  <si>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</si>
  <si>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</si>
  <si>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</si>
  <si>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</si>
  <si>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</si>
  <si>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</si>
  <si>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</si>
  <si>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</si>
  <si>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</si>
  <si>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</si>
  <si>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</si>
  <si>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</si>
  <si>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</si>
  <si>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</si>
  <si>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</si>
  <si>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</si>
  <si>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</si>
  <si>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</si>
  <si>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</si>
  <si>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</si>
  <si>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</si>
  <si>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</si>
  <si>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</si>
  <si>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</si>
  <si>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</si>
  <si>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</si>
  <si>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</si>
  <si>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</si>
  <si>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</si>
  <si>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</si>
  <si>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</si>
  <si>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</si>
  <si>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</si>
  <si>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</si>
  <si>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</si>
  <si>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</si>
  <si>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</si>
  <si>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</si>
  <si>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</si>
  <si>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</si>
  <si>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</si>
  <si>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</si>
  <si>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</si>
  <si>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</si>
  <si>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</si>
  <si>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</si>
  <si>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</si>
  <si>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</si>
  <si>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</si>
  <si>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</si>
  <si>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</si>
  <si>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</si>
  <si>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</si>
  <si>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</si>
  <si>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</si>
  <si>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</si>
  <si>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</si>
  <si>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</si>
  <si>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</si>
  <si>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</si>
  <si>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</si>
  <si>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</si>
  <si>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</si>
  <si>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</si>
  <si>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</si>
  <si>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</si>
  <si>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</si>
  <si>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</si>
  <si>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</si>
  <si>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</si>
  <si>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</si>
  <si>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</si>
  <si>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</si>
  <si>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</si>
  <si>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</si>
  <si>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</si>
  <si>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</si>
  <si>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</si>
  <si>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</si>
  <si>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</si>
  <si>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</si>
  <si>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</si>
  <si>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</si>
  <si>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</si>
  <si>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</si>
  <si>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</si>
  <si>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</si>
  <si>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</si>
  <si>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</si>
  <si>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</si>
  <si>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</si>
  <si>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</si>
  <si>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</si>
  <si>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</si>
  <si>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</si>
  <si>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</si>
  <si>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</si>
  <si>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</si>
  <si>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</si>
  <si>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</si>
  <si>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</si>
  <si>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</si>
  <si>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</si>
  <si>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</si>
  <si>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</si>
  <si>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</si>
  <si>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</si>
  <si>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</si>
  <si>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</si>
  <si>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</si>
  <si>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</si>
  <si>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</si>
  <si>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</si>
  <si>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</si>
  <si>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</si>
  <si>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</si>
  <si>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</si>
  <si>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</si>
  <si>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</si>
  <si>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</si>
  <si>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</si>
  <si>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</si>
  <si>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</si>
  <si>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</si>
  <si>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</si>
  <si>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</si>
  <si>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</si>
  <si>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</si>
  <si>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</si>
  <si>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</si>
  <si>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</si>
  <si>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</si>
  <si>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</si>
  <si>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</si>
  <si>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</si>
  <si>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</si>
  <si>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</si>
  <si>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</si>
  <si>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</si>
  <si>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</si>
  <si>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</si>
  <si>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</si>
  <si>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</si>
  <si>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</si>
  <si>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</si>
  <si>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</si>
  <si>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</si>
  <si>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</si>
  <si>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</si>
  <si>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</si>
  <si>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</si>
  <si>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</si>
  <si>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</si>
  <si>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</si>
  <si>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</si>
  <si>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</si>
  <si>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</si>
  <si>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</si>
  <si>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</si>
  <si>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</si>
  <si>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</si>
  <si>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</si>
  <si>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</si>
  <si>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</si>
  <si>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</si>
  <si>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</si>
  <si>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</si>
  <si>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</si>
  <si>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</si>
  <si>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</si>
  <si>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</si>
  <si>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</si>
  <si>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</si>
  <si>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</si>
  <si>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</si>
  <si>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</si>
  <si>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</si>
  <si>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</si>
  <si>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</si>
  <si>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</si>
  <si>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</si>
  <si>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</si>
  <si>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</si>
  <si>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</si>
  <si>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</si>
  <si>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</si>
  <si>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</si>
  <si>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</si>
  <si>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</si>
  <si>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</si>
  <si>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</si>
  <si>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</si>
  <si>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</si>
  <si>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</si>
  <si>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</si>
  <si>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</si>
  <si>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</si>
  <si>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</si>
  <si>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</si>
  <si>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</si>
  <si>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</si>
  <si>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</si>
  <si>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</si>
  <si>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</si>
  <si>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</si>
  <si>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</si>
  <si>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</si>
  <si>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</si>
  <si>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</si>
  <si>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</si>
  <si>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</si>
  <si>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</si>
  <si>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</si>
  <si>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</si>
  <si>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</si>
  <si>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</si>
  <si>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</si>
  <si>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</si>
  <si>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</si>
  <si>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</si>
  <si>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</si>
  <si>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</si>
  <si>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</si>
  <si>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</si>
  <si>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</si>
  <si>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</si>
  <si>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</si>
  <si>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</si>
  <si>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</si>
  <si>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</si>
  <si>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</si>
  <si>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</si>
  <si>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</si>
  <si>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</si>
  <si>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</si>
  <si>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</si>
  <si>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</si>
  <si>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</si>
  <si>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</si>
  <si>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</si>
  <si>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</si>
  <si>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</si>
  <si>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</si>
  <si>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</si>
  <si>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</si>
  <si>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</si>
  <si>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</si>
  <si>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</si>
  <si>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</si>
  <si>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</si>
  <si>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</si>
  <si>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</si>
  <si>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</si>
  <si>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</si>
  <si>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</si>
  <si>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</si>
  <si>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</si>
  <si>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</si>
  <si>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</si>
  <si>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</si>
  <si>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</si>
  <si>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</si>
  <si>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</si>
  <si>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</si>
  <si>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</si>
  <si>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</si>
  <si>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</si>
  <si>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</si>
  <si>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</si>
  <si>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</si>
  <si>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</si>
  <si>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</si>
  <si>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</si>
  <si>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</si>
  <si>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</si>
  <si>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</si>
  <si>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</si>
  <si>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</si>
  <si>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</si>
  <si>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</si>
  <si>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</si>
  <si>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</si>
  <si>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</si>
  <si>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</si>
  <si>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</si>
  <si>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</si>
  <si>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</si>
  <si>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</si>
  <si>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</si>
  <si>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</si>
  <si>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</si>
  <si>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</si>
  <si>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</si>
  <si>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</si>
  <si>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</si>
  <si>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</si>
  <si>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</si>
  <si>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</si>
  <si>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</si>
  <si>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</si>
  <si>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</si>
  <si>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</si>
  <si>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</si>
  <si>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</si>
  <si>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</si>
  <si>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</si>
  <si>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</si>
  <si>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</si>
  <si>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</si>
  <si>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</si>
  <si>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</si>
  <si>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</si>
  <si>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</si>
  <si>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</si>
  <si>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</si>
  <si>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</si>
  <si>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</si>
  <si>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</si>
  <si>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</si>
  <si>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</si>
  <si>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</si>
  <si>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</si>
  <si>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</si>
  <si>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</si>
  <si>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</si>
  <si>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</si>
  <si>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</si>
  <si>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</si>
  <si>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</si>
  <si>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</si>
  <si>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</si>
  <si>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</si>
  <si>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</si>
  <si>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</si>
  <si>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</si>
  <si>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</si>
  <si>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</si>
  <si>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</si>
  <si>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</si>
  <si>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</si>
  <si>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</si>
  <si>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</si>
  <si>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</si>
  <si>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</si>
  <si>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</si>
  <si>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</si>
  <si>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</si>
  <si>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</si>
  <si>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</si>
  <si>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</si>
  <si>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</si>
  <si>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</si>
  <si>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</si>
  <si>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</si>
  <si>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</si>
  <si>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</si>
  <si>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</si>
  <si>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</si>
  <si>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</si>
  <si>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</si>
  <si>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</si>
  <si>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</si>
  <si>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</si>
  <si>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</si>
  <si>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</si>
  <si>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</si>
  <si>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</si>
  <si>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</si>
  <si>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</si>
  <si>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</si>
  <si>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</si>
  <si>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</si>
  <si>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</si>
  <si>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</si>
  <si>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</si>
  <si>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</si>
  <si>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</si>
  <si>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</si>
  <si>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</si>
  <si>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</si>
  <si>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</si>
  <si>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</si>
  <si>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</si>
  <si>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</si>
  <si>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</si>
  <si>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</si>
  <si>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</si>
  <si>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</si>
  <si>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</si>
  <si>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</si>
  <si>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</si>
  <si>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</si>
  <si>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</si>
  <si>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</si>
  <si>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</si>
  <si>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</si>
  <si>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</si>
  <si>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</si>
  <si>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</si>
  <si>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</si>
  <si>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</si>
  <si>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</si>
  <si>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</si>
  <si>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</si>
  <si>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</si>
  <si>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</si>
  <si>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</si>
  <si>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</si>
  <si>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</si>
  <si>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</si>
  <si>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</si>
  <si>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</si>
  <si>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</si>
  <si>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</si>
  <si>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</si>
  <si>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</si>
  <si>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</si>
  <si>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</si>
  <si>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</si>
  <si>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</si>
  <si>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</si>
  <si>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</si>
  <si>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</si>
  <si>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</si>
  <si>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</si>
  <si>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</si>
  <si>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</si>
  <si>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</si>
  <si>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</si>
  <si>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</si>
  <si>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</si>
  <si>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</si>
  <si>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</si>
  <si>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</si>
  <si>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</si>
  <si>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</si>
  <si>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</si>
  <si>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</si>
  <si>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</si>
  <si>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</si>
  <si>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</si>
  <si>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</si>
  <si>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</si>
  <si>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</si>
  <si>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</si>
  <si>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</si>
  <si>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</si>
  <si>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</si>
  <si>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</si>
  <si>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</si>
  <si>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</si>
  <si>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</si>
  <si>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</si>
  <si>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</si>
  <si>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</si>
  <si>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</si>
  <si>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</si>
  <si>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</si>
  <si>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</si>
  <si>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</si>
  <si>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</si>
  <si>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</si>
  <si>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</si>
  <si>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</si>
  <si>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</si>
  <si>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</si>
  <si>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</si>
  <si>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</si>
  <si>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</si>
  <si>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</si>
  <si>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</si>
  <si>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</si>
  <si>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</si>
  <si>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</si>
  <si>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</si>
  <si>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</si>
  <si>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</si>
  <si>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</si>
  <si>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</si>
  <si>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</si>
  <si>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</si>
  <si>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</si>
  <si>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</si>
  <si>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</si>
  <si>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</si>
  <si>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</si>
  <si>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</si>
  <si>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</si>
  <si>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</si>
  <si>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</si>
  <si>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</si>
  <si>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</si>
  <si>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</si>
  <si>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</si>
  <si>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</si>
  <si>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</si>
  <si>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</si>
  <si>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</si>
  <si>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</si>
  <si>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</si>
  <si>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</si>
  <si>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</si>
  <si>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</si>
  <si>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</si>
  <si>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</si>
  <si>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</si>
  <si>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</si>
  <si>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</si>
  <si>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</si>
  <si>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</si>
  <si>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</si>
  <si>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</si>
  <si>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</si>
  <si>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</si>
  <si>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</si>
  <si>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</si>
  <si>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</si>
  <si>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</si>
  <si>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</si>
  <si>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</si>
  <si>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</si>
  <si>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</si>
  <si>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</si>
  <si>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</si>
  <si>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</si>
  <si>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</si>
  <si>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</si>
  <si>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</si>
  <si>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</si>
  <si>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</si>
  <si>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</si>
  <si>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</si>
  <si>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</si>
  <si>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</si>
  <si>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</si>
  <si>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</si>
  <si>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</si>
  <si>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</si>
  <si>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</si>
  <si>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</si>
  <si>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</si>
  <si>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</si>
  <si>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</si>
  <si>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</si>
  <si>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</si>
  <si>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</si>
  <si>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</si>
  <si>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</si>
  <si>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</si>
  <si>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</si>
  <si>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</si>
  <si>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</si>
  <si>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</si>
  <si>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</si>
  <si>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</si>
  <si>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</si>
  <si>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</si>
  <si>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</si>
  <si>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</si>
  <si>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</si>
  <si>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</si>
  <si>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</si>
  <si>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</si>
  <si>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</si>
  <si>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</si>
  <si>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</si>
  <si>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</si>
  <si>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</si>
  <si>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</si>
  <si>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</si>
  <si>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</si>
  <si>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</si>
  <si>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</si>
  <si>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</si>
  <si>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</si>
  <si>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</si>
  <si>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</si>
  <si>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</si>
  <si>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</si>
  <si>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</si>
  <si>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</si>
  <si>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</si>
  <si>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</si>
  <si>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</si>
  <si>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</si>
  <si>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</si>
  <si>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</si>
  <si>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</si>
  <si>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</si>
  <si>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</si>
  <si>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</si>
  <si>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</si>
  <si>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</si>
  <si>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</si>
  <si>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</si>
  <si>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</si>
  <si>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</si>
  <si>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</si>
  <si>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</si>
  <si>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</si>
  <si>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</si>
  <si>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</si>
  <si>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</si>
  <si>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</si>
  <si>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</si>
  <si>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</si>
  <si>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</si>
  <si>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</si>
  <si>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</si>
  <si>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</si>
  <si>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</si>
  <si>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</si>
  <si>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</si>
  <si>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</si>
  <si>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</si>
  <si>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</si>
  <si>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</si>
  <si>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</si>
  <si>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</si>
  <si>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</si>
  <si>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</si>
  <si>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</si>
  <si>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</si>
  <si>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</si>
  <si>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</si>
  <si>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</si>
  <si>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</si>
  <si>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</si>
  <si>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</si>
  <si>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</si>
  <si>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</si>
  <si>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</si>
  <si>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</si>
  <si>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</si>
  <si>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</si>
  <si>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</si>
  <si>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</si>
  <si>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</si>
  <si>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</si>
  <si>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</si>
  <si>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</si>
  <si>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</si>
  <si>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</si>
  <si>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</si>
  <si>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</si>
  <si>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</si>
  <si>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</si>
  <si>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</si>
  <si>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</si>
  <si>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</si>
  <si>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</si>
  <si>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</si>
  <si>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</si>
  <si>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</si>
  <si>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</si>
  <si>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</si>
  <si>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</si>
  <si>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</si>
  <si>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</si>
  <si>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</si>
  <si>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</si>
  <si>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</si>
  <si>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</si>
  <si>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</si>
  <si>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</si>
  <si>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</si>
  <si>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</si>
  <si>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</si>
  <si>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</si>
  <si>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</si>
  <si>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</si>
  <si>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</si>
  <si>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</si>
  <si>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</si>
  <si>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</si>
  <si>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</si>
  <si>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</si>
  <si>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</si>
  <si>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</si>
  <si>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</si>
  <si>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</si>
  <si>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</si>
  <si>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</si>
  <si>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</si>
  <si>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</si>
  <si>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</si>
  <si>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</si>
  <si>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</si>
  <si>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</si>
  <si>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</si>
  <si>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</si>
  <si>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</si>
  <si>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</si>
  <si>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</si>
  <si>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</si>
  <si>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</si>
  <si>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</si>
  <si>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</si>
  <si>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</si>
  <si>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</si>
  <si>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</si>
  <si>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</si>
  <si>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</si>
  <si>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</si>
  <si>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</si>
  <si>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</si>
  <si>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</si>
  <si>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</si>
  <si>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</si>
  <si>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</si>
  <si>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</si>
  <si>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</si>
  <si>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</si>
  <si>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</si>
  <si>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</si>
  <si>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</si>
  <si>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</si>
  <si>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</si>
  <si>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</si>
  <si>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</si>
  <si>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</si>
  <si>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</si>
  <si>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</si>
  <si>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</si>
  <si>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</si>
  <si>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</si>
  <si>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</si>
  <si>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</si>
  <si>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</si>
  <si>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</si>
  <si>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</si>
  <si>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</si>
  <si>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</si>
  <si>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</si>
  <si>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</si>
  <si>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</si>
  <si>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</si>
  <si>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</si>
  <si>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</si>
  <si>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</si>
  <si>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</si>
  <si>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</si>
  <si>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</si>
  <si>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</si>
  <si>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</si>
  <si>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</si>
  <si>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</si>
  <si>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</si>
  <si>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</si>
  <si>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</si>
  <si>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</si>
  <si>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</si>
  <si>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</si>
  <si>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</si>
  <si>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</si>
  <si>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</si>
  <si>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</si>
  <si>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</si>
  <si>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</si>
  <si>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</si>
  <si>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</si>
  <si>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</si>
  <si>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</si>
  <si>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</si>
  <si>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</si>
  <si>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</si>
  <si>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</si>
  <si>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</si>
  <si>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</si>
  <si>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</si>
  <si>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</si>
  <si>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</si>
  <si>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</si>
  <si>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</si>
  <si>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</si>
  <si>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</si>
  <si>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</si>
  <si>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</si>
  <si>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</si>
  <si>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</si>
  <si>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</si>
  <si>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</si>
  <si>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</si>
  <si>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</si>
  <si>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</si>
  <si>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</si>
  <si>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</si>
  <si>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</si>
  <si>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</si>
  <si>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</si>
  <si>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</si>
  <si>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</si>
  <si>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</si>
  <si>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</si>
  <si>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</si>
  <si>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</si>
  <si>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</si>
  <si>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</si>
  <si>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</si>
  <si>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</si>
  <si>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</si>
  <si>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</si>
  <si>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</si>
  <si>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</si>
  <si>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</si>
  <si>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</si>
  <si>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</si>
  <si>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</si>
  <si>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</si>
  <si>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</si>
  <si>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</si>
  <si>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</si>
  <si>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</si>
  <si>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</si>
  <si>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</si>
  <si>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</si>
  <si>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</si>
  <si>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</si>
  <si>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</si>
  <si>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</si>
  <si>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</si>
  <si>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</si>
  <si>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</si>
  <si>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</si>
  <si>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</si>
  <si>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</si>
  <si>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</si>
  <si>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</si>
  <si>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</si>
  <si>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</si>
  <si>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</si>
  <si>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</si>
  <si>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</si>
  <si>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</si>
  <si>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</si>
  <si>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</si>
  <si>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</si>
  <si>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</si>
  <si>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</si>
  <si>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</si>
  <si>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</si>
  <si>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</si>
  <si>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</si>
  <si>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</si>
  <si>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</si>
  <si>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</si>
  <si>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</si>
  <si>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</si>
  <si>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</si>
  <si>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</si>
  <si>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</si>
  <si>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</si>
  <si>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</si>
  <si>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</si>
  <si>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</si>
  <si>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</si>
  <si>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</si>
  <si>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</si>
  <si>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</si>
  <si>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</si>
  <si>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</si>
  <si>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</si>
  <si>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</si>
  <si>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</si>
  <si>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</si>
  <si>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</si>
  <si>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</si>
  <si>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</si>
  <si>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</si>
  <si>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</si>
  <si>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</si>
  <si>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</si>
  <si>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</si>
  <si>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</si>
  <si>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</si>
  <si>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</si>
  <si>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</si>
  <si>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</si>
  <si>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</si>
  <si>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</si>
  <si>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</si>
  <si>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</si>
  <si>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</si>
  <si>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</si>
  <si>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</si>
  <si>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</si>
  <si>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</si>
  <si>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</si>
  <si>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</si>
  <si>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</si>
  <si>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</si>
  <si>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</si>
  <si>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</si>
  <si>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</si>
  <si>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</si>
  <si>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</si>
  <si>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</si>
  <si>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</si>
  <si>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</si>
  <si>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</si>
  <si>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</si>
  <si>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</si>
  <si>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</si>
  <si>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</si>
  <si>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</si>
  <si>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</si>
  <si>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</si>
  <si>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</si>
  <si>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</si>
  <si>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</si>
  <si>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</si>
  <si>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</si>
  <si>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</si>
  <si>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</si>
  <si>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</si>
  <si>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</si>
  <si>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</si>
  <si>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</si>
  <si>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</si>
  <si>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</si>
  <si>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</si>
  <si>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</si>
  <si>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</si>
  <si>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</si>
  <si>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</si>
  <si>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</si>
  <si>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</si>
  <si>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</si>
  <si>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</si>
  <si>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</si>
  <si>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</si>
  <si>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</si>
  <si>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</si>
  <si>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</si>
  <si>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</si>
  <si>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</si>
  <si>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</si>
  <si>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</si>
  <si>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</si>
  <si>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</si>
  <si>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</si>
  <si>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</si>
  <si>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</si>
  <si>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</si>
  <si>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</si>
  <si>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</si>
  <si>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</si>
  <si>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</si>
  <si>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</si>
  <si>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</si>
  <si>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</si>
  <si>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</si>
  <si>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</si>
  <si>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</si>
  <si>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</si>
  <si>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</si>
  <si>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</si>
  <si>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</si>
  <si>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</si>
  <si>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</si>
  <si>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</si>
  <si>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</si>
  <si>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</si>
  <si>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</si>
  <si>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</si>
  <si>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</si>
  <si>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</si>
  <si>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</si>
  <si>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</si>
  <si>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</si>
  <si>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</si>
  <si>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</si>
  <si>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</si>
  <si>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</si>
  <si>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</si>
  <si>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</si>
  <si>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</si>
  <si>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</si>
  <si>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</si>
  <si>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</si>
  <si>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</si>
  <si>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</si>
  <si>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</si>
  <si>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</si>
  <si>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</si>
  <si>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</si>
  <si>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</si>
  <si>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</si>
  <si>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</si>
  <si>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</si>
  <si>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</si>
  <si>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</si>
  <si>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</si>
  <si>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</si>
  <si>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</si>
  <si>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</si>
  <si>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</si>
  <si>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</si>
  <si>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</si>
  <si>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</si>
  <si>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</si>
  <si>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</si>
  <si>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</si>
  <si>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</si>
  <si>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</si>
  <si>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</si>
  <si>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</si>
  <si>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</si>
  <si>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</si>
  <si>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</si>
  <si>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</si>
  <si>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</si>
  <si>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</si>
  <si>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</si>
  <si>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</si>
  <si>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</si>
  <si>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</si>
  <si>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</si>
  <si>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</si>
  <si>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</si>
  <si>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</si>
  <si>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</si>
  <si>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</si>
  <si>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</si>
  <si>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</si>
  <si>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</si>
  <si>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</si>
  <si>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</si>
  <si>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</si>
  <si>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</si>
  <si>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</si>
  <si>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</si>
  <si>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</si>
  <si>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</si>
  <si>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</si>
  <si>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</si>
  <si>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</si>
  <si>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</si>
  <si>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</si>
  <si>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</si>
  <si>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</si>
  <si>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</si>
  <si>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</si>
  <si>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</si>
  <si>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</si>
  <si>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</si>
  <si>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</si>
  <si>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</si>
  <si>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</si>
  <si>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</si>
  <si>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</si>
  <si>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</si>
  <si>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</si>
  <si>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</si>
  <si>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</si>
  <si>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</si>
  <si>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</si>
  <si>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</si>
  <si>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</si>
  <si>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</si>
  <si>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</si>
  <si>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</si>
  <si>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</si>
  <si>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</si>
  <si>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</si>
  <si>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</si>
  <si>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</si>
  <si>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</si>
  <si>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</si>
  <si>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</si>
  <si>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</si>
  <si>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</si>
  <si>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</si>
  <si>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</si>
  <si>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</si>
  <si>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</si>
  <si>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</si>
  <si>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</si>
  <si>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</si>
  <si>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</si>
  <si>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</si>
  <si>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</si>
  <si>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</si>
  <si>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</si>
  <si>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</si>
  <si>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</si>
  <si>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</si>
  <si>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</si>
  <si>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</si>
  <si>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</si>
  <si>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</si>
  <si>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</si>
  <si>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</si>
  <si>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</si>
  <si>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</si>
  <si>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</si>
  <si>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</si>
  <si>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</si>
  <si>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</si>
  <si>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</si>
  <si>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</si>
  <si>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</si>
  <si>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</si>
  <si>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</si>
  <si>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</si>
  <si>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</si>
  <si>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</si>
  <si>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</si>
  <si>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</si>
  <si>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</si>
  <si>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</si>
  <si>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</si>
  <si>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</si>
  <si>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</si>
  <si>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</si>
  <si>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</si>
  <si>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</si>
  <si>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</si>
  <si>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</si>
  <si>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</si>
  <si>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</si>
  <si>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</si>
  <si>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</si>
  <si>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</si>
  <si>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</si>
  <si>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</si>
  <si>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</si>
  <si>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</si>
  <si>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</si>
  <si>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</si>
  <si>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</si>
  <si>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</si>
  <si>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</si>
  <si>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</si>
  <si>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</si>
  <si>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</si>
  <si>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</si>
  <si>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</si>
  <si>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</si>
  <si>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</si>
  <si>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</si>
  <si>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</si>
  <si>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</si>
  <si>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</si>
  <si>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</si>
  <si>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</si>
  <si>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</si>
  <si>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</si>
  <si>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</si>
  <si>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</si>
  <si>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</si>
  <si>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</si>
  <si>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</si>
  <si>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</si>
  <si>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</si>
  <si>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</si>
  <si>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</si>
  <si>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</si>
  <si>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</si>
  <si>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</si>
  <si>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</si>
  <si>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</si>
  <si>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</si>
  <si>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</si>
  <si>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</si>
  <si>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</si>
  <si>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</si>
  <si>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</si>
  <si>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</si>
  <si>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</si>
  <si>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</si>
  <si>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</si>
  <si>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</si>
  <si>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</si>
  <si>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</si>
  <si>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</si>
  <si>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</si>
  <si>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</si>
  <si>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</si>
  <si>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</si>
  <si>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</si>
  <si>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</si>
  <si>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</si>
  <si>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</si>
  <si>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</si>
  <si>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</si>
  <si>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</si>
  <si>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</si>
  <si>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</si>
  <si>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</si>
  <si>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</si>
  <si>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</si>
  <si>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</si>
  <si>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</si>
  <si>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</si>
  <si>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</si>
  <si>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</si>
  <si>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</si>
  <si>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</si>
  <si>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</si>
  <si>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</si>
  <si>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</si>
  <si>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</si>
  <si>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</si>
  <si>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</si>
  <si>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</si>
  <si>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</si>
  <si>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</si>
  <si>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</si>
  <si>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</si>
  <si>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</si>
  <si>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</si>
  <si>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</si>
  <si>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</si>
  <si>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</si>
  <si>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</si>
  <si>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</si>
  <si>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</si>
  <si>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</si>
  <si>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</si>
  <si>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</si>
  <si>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</si>
  <si>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</si>
  <si>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</si>
  <si>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</si>
  <si>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</si>
  <si>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</si>
  <si>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</si>
  <si>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</si>
  <si>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</si>
  <si>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</si>
  <si>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</si>
  <si>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</si>
  <si>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</si>
  <si>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</si>
  <si>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</si>
  <si>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</si>
  <si>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</si>
  <si>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</si>
  <si>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</si>
  <si>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</si>
  <si>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</si>
  <si>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</si>
  <si>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</si>
  <si>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</si>
  <si>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</si>
  <si>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</si>
  <si>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</si>
  <si>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</si>
  <si>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</si>
  <si>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</si>
  <si>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</si>
  <si>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</si>
  <si>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</si>
  <si>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</si>
  <si>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</si>
  <si>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</si>
  <si>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</si>
  <si>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</si>
  <si>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</si>
  <si>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</si>
  <si>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</si>
  <si>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</si>
  <si>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</si>
  <si>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</si>
  <si>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</si>
  <si>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</si>
  <si>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</si>
  <si>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</si>
  <si>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</si>
  <si>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</si>
  <si>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</si>
  <si>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</si>
  <si>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</si>
  <si>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</si>
  <si>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</si>
  <si>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</si>
  <si>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</si>
  <si>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</si>
  <si>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</si>
  <si>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</si>
  <si>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</si>
  <si>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</si>
  <si>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</si>
  <si>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</si>
  <si>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</si>
  <si>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</si>
  <si>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</si>
  <si>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</si>
  <si>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</si>
  <si>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</si>
  <si>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</si>
  <si>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</si>
  <si>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</si>
  <si>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</si>
  <si>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</si>
  <si>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</si>
  <si>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</si>
  <si>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</si>
  <si>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</si>
  <si>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</si>
  <si>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</si>
  <si>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</si>
  <si>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</si>
  <si>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</si>
  <si>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</si>
  <si>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</si>
  <si>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</si>
  <si>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</si>
  <si>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</si>
  <si>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</si>
  <si>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</si>
  <si>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</si>
  <si>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</si>
  <si>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</si>
  <si>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</si>
  <si>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</si>
  <si>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</si>
  <si>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</si>
  <si>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</si>
  <si>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</si>
  <si>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</si>
  <si>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</si>
  <si>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</si>
  <si>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</si>
  <si>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</si>
  <si>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</si>
  <si>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</si>
  <si>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</si>
  <si>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</si>
  <si>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</si>
  <si>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</si>
  <si>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</si>
  <si>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</si>
  <si>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</si>
  <si>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</si>
  <si>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</si>
  <si>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</si>
  <si>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</si>
  <si>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</si>
  <si>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</si>
  <si>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</si>
  <si>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</si>
  <si>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</si>
  <si>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</si>
  <si>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</si>
  <si>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</si>
  <si>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</si>
  <si>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</si>
  <si>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</si>
  <si>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</si>
  <si>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</si>
  <si>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</si>
  <si>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</si>
  <si>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</si>
  <si>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</si>
  <si>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</si>
  <si>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</si>
  <si>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</si>
  <si>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</si>
  <si>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</si>
  <si>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</si>
  <si>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</si>
  <si>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</si>
  <si>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</si>
  <si>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</si>
  <si>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</si>
  <si>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</si>
  <si>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</si>
  <si>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</si>
  <si>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</si>
  <si>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</si>
  <si>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</si>
  <si>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</si>
  <si>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</si>
  <si>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</si>
  <si>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</si>
  <si>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</si>
  <si>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</si>
  <si>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</si>
  <si>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</si>
  <si>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</si>
  <si>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</si>
  <si>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</si>
  <si>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</si>
  <si>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</si>
  <si>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</si>
  <si>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</si>
  <si>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</si>
  <si>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</si>
  <si>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</si>
  <si>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</si>
  <si>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</si>
  <si>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</si>
  <si>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</si>
  <si>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</si>
  <si>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</si>
  <si>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</si>
  <si>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</si>
  <si>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</si>
  <si>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</si>
  <si>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</si>
  <si>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</si>
  <si>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</si>
  <si>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</si>
  <si>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</si>
  <si>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</si>
  <si>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</si>
  <si>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</si>
  <si>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</si>
  <si>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</si>
  <si>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</si>
  <si>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</si>
  <si>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</si>
  <si>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</si>
  <si>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</si>
  <si>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</si>
  <si>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</si>
  <si>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</si>
  <si>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</si>
  <si>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</si>
  <si>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</si>
  <si>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</si>
  <si>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</si>
  <si>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</si>
  <si>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</si>
  <si>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</si>
  <si>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</si>
  <si>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</si>
  <si>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</si>
  <si>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</si>
  <si>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</si>
  <si>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</si>
  <si>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</si>
  <si>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</si>
  <si>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</si>
  <si>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</si>
  <si>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</si>
  <si>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</si>
  <si>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</si>
  <si>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</si>
  <si>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</si>
  <si>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</si>
  <si>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</si>
  <si>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</si>
  <si>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</si>
  <si>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</si>
  <si>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</si>
  <si>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</si>
  <si>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</si>
  <si>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</si>
  <si>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</si>
  <si>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</si>
  <si>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</si>
  <si>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</si>
  <si>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</si>
  <si>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</si>
  <si>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</si>
  <si>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</si>
  <si>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</si>
  <si>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</si>
  <si>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</si>
  <si>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</si>
  <si>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</si>
  <si>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</si>
  <si>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</si>
  <si>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</si>
  <si>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</si>
  <si>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</si>
  <si>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</si>
  <si>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</si>
  <si>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</si>
  <si>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</si>
  <si>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</si>
  <si>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</si>
  <si>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</si>
  <si>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</si>
  <si>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</si>
  <si>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</si>
  <si>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</si>
  <si>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</si>
  <si>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</si>
  <si>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</si>
  <si>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</si>
  <si>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</si>
  <si>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</si>
  <si>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</si>
  <si>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</si>
  <si>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</si>
  <si>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</si>
  <si>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</si>
  <si>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</si>
  <si>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</si>
  <si>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</si>
  <si>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</si>
  <si>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</si>
  <si>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</si>
  <si>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</si>
  <si>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</si>
  <si>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</si>
  <si>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</si>
  <si>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</si>
  <si>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</si>
  <si>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</si>
  <si>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</si>
  <si>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</si>
  <si>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</si>
  <si>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</si>
  <si>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</si>
  <si>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</si>
  <si>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</si>
  <si>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</si>
  <si>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</si>
  <si>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</si>
  <si>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</si>
  <si>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</si>
  <si>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</si>
  <si>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</si>
  <si>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</si>
  <si>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</si>
  <si>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</si>
  <si>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</si>
  <si>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</si>
  <si>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</si>
  <si>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</si>
  <si>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</si>
  <si>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</si>
  <si>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</si>
  <si>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</si>
  <si>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</si>
  <si>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</si>
  <si>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</si>
  <si>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</si>
  <si>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</si>
  <si>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</si>
  <si>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</si>
  <si>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</si>
  <si>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</si>
  <si>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</si>
  <si>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</si>
  <si>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</si>
  <si>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</si>
  <si>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</si>
  <si>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</si>
  <si>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</si>
  <si>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</si>
  <si>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</si>
  <si>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</si>
  <si>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</si>
  <si>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</si>
  <si>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</si>
  <si>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</si>
  <si>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</si>
  <si>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</si>
  <si>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</si>
  <si>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</si>
  <si>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</si>
  <si>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</si>
  <si>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</si>
  <si>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</si>
  <si>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</si>
  <si>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</si>
  <si>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</si>
  <si>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</si>
  <si>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</si>
  <si>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</si>
  <si>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</si>
  <si>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</si>
  <si>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</si>
  <si>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</si>
  <si>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</si>
  <si>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</si>
  <si>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</si>
  <si>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</si>
  <si>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</si>
  <si>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</si>
  <si>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</si>
  <si>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</si>
  <si>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</si>
  <si>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</si>
  <si>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</si>
  <si>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</si>
  <si>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</si>
  <si>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</si>
  <si>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</si>
  <si>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</si>
  <si>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</si>
  <si>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</si>
  <si>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</si>
  <si>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</si>
  <si>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</si>
  <si>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</si>
  <si>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</si>
  <si>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</si>
  <si>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</si>
  <si>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</si>
  <si>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</si>
  <si>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</si>
  <si>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</si>
  <si>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</si>
  <si>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</si>
  <si>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</si>
  <si>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</si>
  <si>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</si>
  <si>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</si>
  <si>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</si>
  <si>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</si>
  <si>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</si>
  <si>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</si>
  <si>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</si>
  <si>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</si>
  <si>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</si>
  <si>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</si>
  <si>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</si>
  <si>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</si>
  <si>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</si>
  <si>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</si>
  <si>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</si>
  <si>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</si>
  <si>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</si>
  <si>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</si>
  <si>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</si>
  <si>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</si>
  <si>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</si>
  <si>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</si>
  <si>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</si>
  <si>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</si>
  <si>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</si>
  <si>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</si>
  <si>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</si>
  <si>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</si>
  <si>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</si>
  <si>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</si>
  <si>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</si>
  <si>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</si>
  <si>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</si>
  <si>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</si>
  <si>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</si>
  <si>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</si>
  <si>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</si>
  <si>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</si>
  <si>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</si>
  <si>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</si>
  <si>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</si>
  <si>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</si>
  <si>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</si>
  <si>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</si>
  <si>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</si>
  <si>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</si>
  <si>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</si>
  <si>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</si>
  <si>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</si>
  <si>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</si>
  <si>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</si>
  <si>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</si>
  <si>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</si>
  <si>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</si>
  <si>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</si>
  <si>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</si>
  <si>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</si>
  <si>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</si>
  <si>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</si>
  <si>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</si>
  <si>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</si>
  <si>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</si>
  <si>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</si>
  <si>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</si>
  <si>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</si>
  <si>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</si>
  <si>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</si>
  <si>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</si>
  <si>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</si>
  <si>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</si>
  <si>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</si>
  <si>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</si>
  <si>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</si>
  <si>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</si>
  <si>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</si>
  <si>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</si>
  <si>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</si>
  <si>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</si>
  <si>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</si>
  <si>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</si>
  <si>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</si>
  <si>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</si>
  <si>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</si>
  <si>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</si>
  <si>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</si>
  <si>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</si>
  <si>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</si>
  <si>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</si>
  <si>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</si>
  <si>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</si>
  <si>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</si>
  <si>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</si>
  <si>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</si>
  <si>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</si>
  <si>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</si>
  <si>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</si>
  <si>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</si>
  <si>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</si>
  <si>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</si>
  <si>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</si>
  <si>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</si>
  <si>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</si>
  <si>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</si>
  <si>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</si>
  <si>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</si>
  <si>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</si>
  <si>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</si>
  <si>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</si>
  <si>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</si>
  <si>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</si>
  <si>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</si>
  <si>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</si>
  <si>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</si>
  <si>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</si>
  <si>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</si>
  <si>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</si>
  <si>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</si>
  <si>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</si>
  <si>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</si>
  <si>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</si>
  <si>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</si>
  <si>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</si>
  <si>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</si>
  <si>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</si>
  <si>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</si>
  <si>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</si>
  <si>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</si>
  <si>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</si>
  <si>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</si>
  <si>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</si>
  <si>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</si>
  <si>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</si>
  <si>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</si>
  <si>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</si>
  <si>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</si>
  <si>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</si>
  <si>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</si>
  <si>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</si>
  <si>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</si>
  <si>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</si>
  <si>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</si>
  <si>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</si>
  <si>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</si>
  <si>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</si>
  <si>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</si>
  <si>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</si>
  <si>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</si>
  <si>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</si>
  <si>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</si>
  <si>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</si>
  <si>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</si>
  <si>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</si>
  <si>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</si>
  <si>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</si>
  <si>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</si>
  <si>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</si>
  <si>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</si>
  <si>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</si>
  <si>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</si>
  <si>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</si>
  <si>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</si>
  <si>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</si>
  <si>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</si>
  <si>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</si>
  <si>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</si>
  <si>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</si>
  <si>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</si>
  <si>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</si>
  <si>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</si>
  <si>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</si>
  <si>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</si>
  <si>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</si>
  <si>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</si>
  <si>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</si>
  <si>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</si>
  <si>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</si>
  <si>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</si>
  <si>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</si>
  <si>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</si>
  <si>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</si>
  <si>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</si>
  <si>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</si>
  <si>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</si>
  <si>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</si>
  <si>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</si>
  <si>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</si>
  <si>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</si>
  <si>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</si>
  <si>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</si>
  <si>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</si>
  <si>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</si>
  <si>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</si>
  <si>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</si>
  <si>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</si>
  <si>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</si>
  <si>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</si>
  <si>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</si>
  <si>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</si>
  <si>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</si>
  <si>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</si>
  <si>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</si>
  <si>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</si>
  <si>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</si>
  <si>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</si>
  <si>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</si>
  <si>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</si>
  <si>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</si>
  <si>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</si>
  <si>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</si>
  <si>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</si>
  <si>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</si>
  <si>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</si>
  <si>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</si>
  <si>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</si>
  <si>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</si>
  <si>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</si>
  <si>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</si>
  <si>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</si>
  <si>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</si>
  <si>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</si>
  <si>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</si>
  <si>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</si>
  <si>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</si>
  <si>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</si>
  <si>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</si>
  <si>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</si>
  <si>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</si>
  <si>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</si>
  <si>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</si>
  <si>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</si>
  <si>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</si>
  <si>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</si>
  <si>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</si>
  <si>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</si>
  <si>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</si>
  <si>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</si>
  <si>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</si>
  <si>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</si>
  <si>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</si>
  <si>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</si>
  <si>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</si>
  <si>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</si>
  <si>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</si>
  <si>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</si>
  <si>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</si>
  <si>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</si>
  <si>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</si>
  <si>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</si>
  <si>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</si>
  <si>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</si>
  <si>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</si>
  <si>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</si>
  <si>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</si>
  <si>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</si>
  <si>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</si>
  <si>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</si>
  <si>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</si>
  <si>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</si>
  <si>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</si>
  <si>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</si>
  <si>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</si>
  <si>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</si>
  <si>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</si>
  <si>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</si>
  <si>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</si>
  <si>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</si>
  <si>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</si>
  <si>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</si>
  <si>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</si>
  <si>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</si>
  <si>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</si>
  <si>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</si>
  <si>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</si>
  <si>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</si>
  <si>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</si>
  <si>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</si>
  <si>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</si>
  <si>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</si>
  <si>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</si>
  <si>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</si>
  <si>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</si>
  <si>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</si>
  <si>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</si>
  <si>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</si>
  <si>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</si>
  <si>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</si>
  <si>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</si>
  <si>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</si>
  <si>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</si>
  <si>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</si>
  <si>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</si>
  <si>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</si>
  <si>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</si>
  <si>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</si>
  <si>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</si>
  <si>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</si>
  <si>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</si>
  <si>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</si>
  <si>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</si>
  <si>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</si>
  <si>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</si>
  <si>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</si>
  <si>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</si>
  <si>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</si>
  <si>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</si>
  <si>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</si>
  <si>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</si>
  <si>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</si>
  <si>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</si>
  <si>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</si>
  <si>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</si>
  <si>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</si>
  <si>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</si>
  <si>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</si>
  <si>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</si>
  <si>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</si>
  <si>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</si>
  <si>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</si>
  <si>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</si>
  <si>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</si>
  <si>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</si>
  <si>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</si>
  <si>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</si>
  <si>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</si>
  <si>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</si>
  <si>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</si>
  <si>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</si>
  <si>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</si>
  <si>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</si>
  <si>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</si>
  <si>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</si>
  <si>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</si>
  <si>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</si>
  <si>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</si>
  <si>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</si>
  <si>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</si>
  <si>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</si>
  <si>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</si>
  <si>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</si>
  <si>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</si>
  <si>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</si>
  <si>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</si>
  <si>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</si>
  <si>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</si>
  <si>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</si>
  <si>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</si>
  <si>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</si>
  <si>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</si>
  <si>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</si>
  <si>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</si>
  <si>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</si>
  <si>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</si>
  <si>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</si>
  <si>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</si>
  <si>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</si>
  <si>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</si>
  <si>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</si>
  <si>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</si>
  <si>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</si>
  <si>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</si>
  <si>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</si>
  <si>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</si>
  <si>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</si>
  <si>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</si>
  <si>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</si>
  <si>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</si>
  <si>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</si>
  <si>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</si>
  <si>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</si>
  <si>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</si>
  <si>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</si>
  <si>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</si>
  <si>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</si>
  <si>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</si>
  <si>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</si>
  <si>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</si>
  <si>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</si>
  <si>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</si>
  <si>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</si>
  <si>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</si>
  <si>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</si>
  <si>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</si>
  <si>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</si>
  <si>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</si>
  <si>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</si>
  <si>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</si>
  <si>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</si>
  <si>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</si>
  <si>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</si>
  <si>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</si>
  <si>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</si>
  <si>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</si>
  <si>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</si>
  <si>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</si>
  <si>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</si>
  <si>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</si>
  <si>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</si>
  <si>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</si>
  <si>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</si>
  <si>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</si>
  <si>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</si>
  <si>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</si>
  <si>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</si>
  <si>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</si>
  <si>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</si>
  <si>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</si>
  <si>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</si>
  <si>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</si>
  <si>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</si>
  <si>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</si>
  <si>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</si>
  <si>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</si>
  <si>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</si>
  <si>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</si>
  <si>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</si>
  <si>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</si>
  <si>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</si>
  <si>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</si>
  <si>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</si>
  <si>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</si>
  <si>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</si>
  <si>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</si>
  <si>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</si>
  <si>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</si>
  <si>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</si>
  <si>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</si>
  <si>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</si>
  <si>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</si>
  <si>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</si>
  <si>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</si>
  <si>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</si>
  <si>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</si>
  <si>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</si>
  <si>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</si>
  <si>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</si>
  <si>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</si>
  <si>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</si>
  <si>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</si>
  <si>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</si>
  <si>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</si>
  <si>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</si>
  <si>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</si>
  <si>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</si>
  <si>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</si>
  <si>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</si>
  <si>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</si>
  <si>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</si>
  <si>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</si>
  <si>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</si>
  <si>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</si>
  <si>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</si>
  <si>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</si>
  <si>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</si>
  <si>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</si>
  <si>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</si>
  <si>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</si>
  <si>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</si>
  <si>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</si>
  <si>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</si>
  <si>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</si>
  <si>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</si>
  <si>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</si>
  <si>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</si>
  <si>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</si>
  <si>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</si>
  <si>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</si>
  <si>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</si>
  <si>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</si>
  <si>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</si>
  <si>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</si>
  <si>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</si>
  <si>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</si>
  <si>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</si>
  <si>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</si>
  <si>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</si>
  <si>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</si>
  <si>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</si>
  <si>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</si>
  <si>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</si>
  <si>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</si>
  <si>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</si>
  <si>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</si>
  <si>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</si>
  <si>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</si>
  <si>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</si>
  <si>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</si>
  <si>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</si>
  <si>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</si>
  <si>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</si>
  <si>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</si>
  <si>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</si>
  <si>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</si>
  <si>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</si>
  <si>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</si>
  <si>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</si>
  <si>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</si>
  <si>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</si>
  <si>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</si>
  <si>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</si>
  <si>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</si>
  <si>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</si>
  <si>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</si>
  <si>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</si>
  <si>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</si>
  <si>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</si>
  <si>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</si>
  <si>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</si>
  <si>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</si>
  <si>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</si>
  <si>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</si>
  <si>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</si>
  <si>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</si>
  <si>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</si>
  <si>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</si>
  <si>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</si>
  <si>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</si>
  <si>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</si>
  <si>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</si>
  <si>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</si>
  <si>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</si>
  <si>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</si>
  <si>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</si>
  <si>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</si>
  <si>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</si>
  <si>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</si>
  <si>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</si>
  <si>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</si>
  <si>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</si>
  <si>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</si>
  <si>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</si>
  <si>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</si>
  <si>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</si>
  <si>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</si>
  <si>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</si>
  <si>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</si>
  <si>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</si>
  <si>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</si>
  <si>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</si>
  <si>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</si>
  <si>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</si>
  <si>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</si>
  <si>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</si>
  <si>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</si>
  <si>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</si>
  <si>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</si>
  <si>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</si>
  <si>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</si>
  <si>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</si>
  <si>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</si>
  <si>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</si>
  <si>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</si>
  <si>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</si>
  <si>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</si>
  <si>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</si>
  <si>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</si>
  <si>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</si>
  <si>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</si>
  <si>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</si>
  <si>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</si>
  <si>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</si>
  <si>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</si>
  <si>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</si>
  <si>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</si>
  <si>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</si>
  <si>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</si>
  <si>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</si>
  <si>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</si>
  <si>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</si>
  <si>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</si>
  <si>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</si>
  <si>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</si>
  <si>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</si>
  <si>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</si>
  <si>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</si>
  <si>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</si>
  <si>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</si>
  <si>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</si>
  <si>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</si>
  <si>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</si>
  <si>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</si>
  <si>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</si>
  <si>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</si>
  <si>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</si>
  <si>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</si>
  <si>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</si>
  <si>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</si>
  <si>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</si>
  <si>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</si>
  <si>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</si>
  <si>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</si>
  <si>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</si>
  <si>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</si>
  <si>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</si>
  <si>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</si>
  <si>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</si>
  <si>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</si>
  <si>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</si>
  <si>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</si>
  <si>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</si>
  <si>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</si>
  <si>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</si>
  <si>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</si>
  <si>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</si>
  <si>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</si>
  <si>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</si>
  <si>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</si>
  <si>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</si>
  <si>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</si>
  <si>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</si>
  <si>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</si>
  <si>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</si>
  <si>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</si>
  <si>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</si>
  <si>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</si>
  <si>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</si>
  <si>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</si>
  <si>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</si>
  <si>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</si>
  <si>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</si>
  <si>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</si>
  <si>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</si>
  <si>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</si>
  <si>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</si>
  <si>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</si>
  <si>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</si>
  <si>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</si>
  <si>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</si>
  <si>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</si>
  <si>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</si>
  <si>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</si>
  <si>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</si>
  <si>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</si>
  <si>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</si>
  <si>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</si>
  <si>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</si>
  <si>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</si>
  <si>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</si>
  <si>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</si>
  <si>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</si>
  <si>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</si>
  <si>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</si>
  <si>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</si>
  <si>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</si>
  <si>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</si>
  <si>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</si>
  <si>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</si>
  <si>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</si>
  <si>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</si>
  <si>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</si>
  <si>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</si>
  <si>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</si>
  <si>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</si>
  <si>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</si>
  <si>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</si>
  <si>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</si>
  <si>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</si>
  <si>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</si>
  <si>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</si>
  <si>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</si>
  <si>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</si>
  <si>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</si>
  <si>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</si>
  <si>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</si>
  <si>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</si>
  <si>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</si>
  <si>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</si>
  <si>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</si>
  <si>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</si>
  <si>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</si>
  <si>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</si>
  <si>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</si>
  <si>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</si>
  <si>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</si>
  <si>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</si>
  <si>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</si>
  <si>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</si>
  <si>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</si>
  <si>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</si>
  <si>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</si>
  <si>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</si>
  <si>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</si>
  <si>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</si>
  <si>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</si>
  <si>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</si>
  <si>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</si>
  <si>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</si>
  <si>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</si>
  <si>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</si>
  <si>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</si>
  <si>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</si>
  <si>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</si>
  <si>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</si>
  <si>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</si>
  <si>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</si>
  <si>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</si>
  <si>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</si>
  <si>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</si>
  <si>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</si>
  <si>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</si>
  <si>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</si>
  <si>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</si>
  <si>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</si>
  <si>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</si>
  <si>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</si>
  <si>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</si>
  <si>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</si>
  <si>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</si>
  <si>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</si>
  <si>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</si>
  <si>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</si>
  <si>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</si>
  <si>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</si>
  <si>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</si>
  <si>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</si>
  <si>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</si>
  <si>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</si>
  <si>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</si>
  <si>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</si>
  <si>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</si>
  <si>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</si>
  <si>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</si>
  <si>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</si>
  <si>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</si>
  <si>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</si>
  <si>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</si>
  <si>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</si>
  <si>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</si>
  <si>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</si>
  <si>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</si>
  <si>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</si>
  <si>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</si>
  <si>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</si>
  <si>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</si>
  <si>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</si>
  <si>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</si>
  <si>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</si>
  <si>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</si>
  <si>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</si>
  <si>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</si>
  <si>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</si>
  <si>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</si>
  <si>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</si>
  <si>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</si>
  <si>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</si>
  <si>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</si>
  <si>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</si>
  <si>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</si>
  <si>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</si>
  <si>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</si>
  <si>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</si>
  <si>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</si>
  <si>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</si>
  <si>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</si>
  <si>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</si>
  <si>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</si>
  <si>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</si>
  <si>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</si>
  <si>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</si>
  <si>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</si>
  <si>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</si>
  <si>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</si>
  <si>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</si>
  <si>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</si>
  <si>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</si>
  <si>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</si>
  <si>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</si>
  <si>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</si>
  <si>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</si>
  <si>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</si>
  <si>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</si>
  <si>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</si>
  <si>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</si>
  <si>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</si>
  <si>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</si>
  <si>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</si>
  <si>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</si>
  <si>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</si>
  <si>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</si>
  <si>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</si>
  <si>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</si>
  <si>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</si>
  <si>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</si>
  <si>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</si>
  <si>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</si>
  <si>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</si>
  <si>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</si>
  <si>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</si>
  <si>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</si>
  <si>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</si>
  <si>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</si>
  <si>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</si>
  <si>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</si>
  <si>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</si>
  <si>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</si>
  <si>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</si>
  <si>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</si>
  <si>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</si>
  <si>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</si>
  <si>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</si>
  <si>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</si>
  <si>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</si>
  <si>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</si>
  <si>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</si>
  <si>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</si>
  <si>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</si>
  <si>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</si>
  <si>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</si>
  <si>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</si>
  <si>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</si>
  <si>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</si>
  <si>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</si>
  <si>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</si>
  <si>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</si>
  <si>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</si>
  <si>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</si>
  <si>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</si>
  <si>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</si>
  <si>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</si>
  <si>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</si>
  <si>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</si>
  <si>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</si>
  <si>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</si>
  <si>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</si>
  <si>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</si>
  <si>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</si>
  <si>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</si>
  <si>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</si>
  <si>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</si>
  <si>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</si>
  <si>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</si>
  <si>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</si>
  <si>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</si>
  <si>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</si>
  <si>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</si>
  <si>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</si>
  <si>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</si>
  <si>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</si>
  <si>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</si>
  <si>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</si>
  <si>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</si>
  <si>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</si>
  <si>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</si>
  <si>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</si>
  <si>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</si>
  <si>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</si>
  <si>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</si>
  <si>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</si>
  <si>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</si>
  <si>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</si>
  <si>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</si>
  <si>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</si>
  <si>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</si>
  <si>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</si>
  <si>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</si>
  <si>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</si>
  <si>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</si>
  <si>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</si>
  <si>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</si>
  <si>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</si>
  <si>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</si>
  <si>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</si>
  <si>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</si>
  <si>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</si>
  <si>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</si>
  <si>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</si>
  <si>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</si>
  <si>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</si>
  <si>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</si>
  <si>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</si>
  <si>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</si>
  <si>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</si>
  <si>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</si>
  <si>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</si>
  <si>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</si>
  <si>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</si>
  <si>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</si>
  <si>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</si>
  <si>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</si>
  <si>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</si>
  <si>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</si>
  <si>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</si>
  <si>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</si>
  <si>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</si>
  <si>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</si>
  <si>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</si>
  <si>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</si>
  <si>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</si>
  <si>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</si>
  <si>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</si>
  <si>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</si>
  <si>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</si>
  <si>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</si>
  <si>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</si>
  <si>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</si>
  <si>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</si>
  <si>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</si>
  <si>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</si>
  <si>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</si>
  <si>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</si>
  <si>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</si>
  <si>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</si>
  <si>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</si>
  <si>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</si>
  <si>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</si>
  <si>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</si>
  <si>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</si>
  <si>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</si>
  <si>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</si>
  <si>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</si>
  <si>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</si>
  <si>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</si>
  <si>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</si>
  <si>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</si>
  <si>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</si>
  <si>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</si>
  <si>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</si>
  <si>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</si>
  <si>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</si>
  <si>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</si>
  <si>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</si>
  <si>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</si>
  <si>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</si>
  <si>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</si>
  <si>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</si>
  <si>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</si>
  <si>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</si>
  <si>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</si>
  <si>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</si>
  <si>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</si>
  <si>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</si>
  <si>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</si>
  <si>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</si>
  <si>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</si>
  <si>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</si>
  <si>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</si>
  <si>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</si>
  <si>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</si>
  <si>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</si>
  <si>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</si>
  <si>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</si>
  <si>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</si>
  <si>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</si>
  <si>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</si>
  <si>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</si>
  <si>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</si>
  <si>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</si>
  <si>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</si>
  <si>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</si>
  <si>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</si>
  <si>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</si>
  <si>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</si>
  <si>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</si>
  <si>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</si>
  <si>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</si>
  <si>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</si>
  <si>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</si>
  <si>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</si>
  <si>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</si>
  <si>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</si>
  <si>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</si>
  <si>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</si>
  <si>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</si>
  <si>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</si>
  <si>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</si>
  <si>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</si>
  <si>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</si>
  <si>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</si>
  <si>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</si>
  <si>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</si>
  <si>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</si>
  <si>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</si>
  <si>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</si>
  <si>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</si>
  <si>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</si>
  <si>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</si>
  <si>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</si>
  <si>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</si>
  <si>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</si>
  <si>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</si>
  <si>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</si>
  <si>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</si>
  <si>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</si>
  <si>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</si>
  <si>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</si>
  <si>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</si>
  <si>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</si>
  <si>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</si>
  <si>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</si>
  <si>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</si>
  <si>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</si>
  <si>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</si>
  <si>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</si>
  <si>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</si>
  <si>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</si>
  <si>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</si>
  <si>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</si>
  <si>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</si>
  <si>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</si>
  <si>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</si>
  <si>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</si>
  <si>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</si>
  <si>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</si>
  <si>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</si>
  <si>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</si>
  <si>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</si>
  <si>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</si>
  <si>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</si>
  <si>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</si>
  <si>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</si>
  <si>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</si>
  <si>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</si>
  <si>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</si>
  <si>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</si>
  <si>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</si>
  <si>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</si>
  <si>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</si>
  <si>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</si>
  <si>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</si>
  <si>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</si>
  <si>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</si>
  <si>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</si>
  <si>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</si>
  <si>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</si>
  <si>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</si>
  <si>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</si>
  <si>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</si>
  <si>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</si>
  <si>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</si>
  <si>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</si>
  <si>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</si>
  <si>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</si>
  <si>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</si>
  <si>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</si>
  <si>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</si>
  <si>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</si>
  <si>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</si>
  <si>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</si>
  <si>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</si>
  <si>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</si>
  <si>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</si>
  <si>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</si>
  <si>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</si>
  <si>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</si>
  <si>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</si>
  <si>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</si>
  <si>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</si>
  <si>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</si>
  <si>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</si>
  <si>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</si>
  <si>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</si>
  <si>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</si>
  <si>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</si>
  <si>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</si>
  <si>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</si>
  <si>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</si>
  <si>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</si>
  <si>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</si>
  <si>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</si>
  <si>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</si>
  <si>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</si>
  <si>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</si>
  <si>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</si>
  <si>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</si>
  <si>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</si>
  <si>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</si>
  <si>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</si>
  <si>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</si>
  <si>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</si>
  <si>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</si>
  <si>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</si>
  <si>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</si>
  <si>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</si>
  <si>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</si>
  <si>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</si>
  <si>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</si>
  <si>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</si>
  <si>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</si>
  <si>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</si>
  <si>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</si>
  <si>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</si>
  <si>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</si>
  <si>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</si>
  <si>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</si>
  <si>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</si>
  <si>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</si>
  <si>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</si>
  <si>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</si>
  <si>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</si>
  <si>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</si>
  <si>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</si>
  <si>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</si>
  <si>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</si>
  <si>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</si>
  <si>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</si>
  <si>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</si>
  <si>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</si>
  <si>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</si>
  <si>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</si>
  <si>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</si>
  <si>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</si>
  <si>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</si>
  <si>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</si>
  <si>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</si>
  <si>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</si>
  <si>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</si>
  <si>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</si>
  <si>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</si>
  <si>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</si>
  <si>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</si>
  <si>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</si>
  <si>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</si>
  <si>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</si>
  <si>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</si>
  <si>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</si>
  <si>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</si>
  <si>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</si>
  <si>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</si>
  <si>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</si>
  <si>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</si>
  <si>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</si>
  <si>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</si>
  <si>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</si>
  <si>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</si>
  <si>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</si>
  <si>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</si>
  <si>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</si>
  <si>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</si>
  <si>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</si>
  <si>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</si>
  <si>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</si>
  <si>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</si>
  <si>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</si>
  <si>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</si>
  <si>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</si>
  <si>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</si>
  <si>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</si>
  <si>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</si>
  <si>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</si>
  <si>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</si>
  <si>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</si>
  <si>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</si>
  <si>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</si>
  <si>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</si>
  <si>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</si>
  <si>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</si>
  <si>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</si>
  <si>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</si>
  <si>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</si>
  <si>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</si>
  <si>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</si>
  <si>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</si>
  <si>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</si>
  <si>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</si>
  <si>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</si>
  <si>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</si>
  <si>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</si>
  <si>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</si>
  <si>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</si>
  <si>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</si>
  <si>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</si>
  <si>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</si>
  <si>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</si>
  <si>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</si>
  <si>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</si>
  <si>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</si>
  <si>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</si>
  <si>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</si>
  <si>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푸른로보틱스</t>
  </si>
  <si>
    <t>아리바이오랩</t>
  </si>
  <si>
    <t>20260529</t>
    <phoneticPr fontId="2" type="noConversion"/>
  </si>
  <si>
    <t>Last Update : 2026-06-11 17:02:17</t>
    <phoneticPr fontId="18" type="noConversion"/>
  </si>
  <si>
    <t>Last Update : 2026-06-11 17:02:31</t>
    <phoneticPr fontId="2" type="noConversion"/>
  </si>
  <si>
    <t>CPD [20260611]</t>
    <phoneticPr fontId="2" type="noConversion"/>
  </si>
  <si>
    <t>Last Update : 2026-06-11 17:02:35</t>
    <phoneticPr fontId="2" type="noConversion"/>
  </si>
  <si>
    <t>Last Update : 2026-06-11 17:02:37</t>
    <phoneticPr fontId="2" type="noConversion"/>
  </si>
  <si>
    <t>Last Update : 2026-06-11 17:02:39</t>
    <phoneticPr fontId="2" type="noConversion"/>
  </si>
  <si>
    <t>Last Update : 2026-06-11 17:02:41</t>
    <phoneticPr fontId="2" type="noConversion"/>
  </si>
  <si>
    <t>Last Update : 2026-06-11 17:02:44</t>
    <phoneticPr fontId="2" type="noConversion"/>
  </si>
  <si>
    <t>Last Update : 2026-06-11 17:02:46</t>
    <phoneticPr fontId="2" type="noConversion"/>
  </si>
  <si>
    <t>Last Update : 2026-06-11 17:02:48</t>
    <phoneticPr fontId="2" type="noConversion"/>
  </si>
  <si>
    <t>Last Update : 2026-06-11 17:02:50</t>
    <phoneticPr fontId="2" type="noConversion"/>
  </si>
  <si>
    <t>Last Update : 2026-06-11 17:02:52</t>
    <phoneticPr fontId="2" type="noConversion"/>
  </si>
  <si>
    <t>Last Update : 2026-06-11 17:02:55</t>
    <phoneticPr fontId="2" type="noConversion"/>
  </si>
  <si>
    <t>Last Update : 2026-06-11 17:02:57</t>
    <phoneticPr fontId="2" type="noConversion"/>
  </si>
  <si>
    <t>Last Update : 2026-06-11 17:02:59</t>
    <phoneticPr fontId="2" type="noConversion"/>
  </si>
  <si>
    <t>Last Update : 2026-06-11 17:03:01</t>
    <phoneticPr fontId="2" type="noConversion"/>
  </si>
  <si>
    <t>Last Update : 2026-06-11 17:03:03</t>
    <phoneticPr fontId="2" type="noConversion"/>
  </si>
  <si>
    <t>Last Update : 2026-06-11 17:03:06</t>
    <phoneticPr fontId="2" type="noConversion"/>
  </si>
  <si>
    <t>Last Update : 2026-06-11 17:03:08</t>
    <phoneticPr fontId="2" type="noConversion"/>
  </si>
  <si>
    <t>Last Update : 2026-06-11 17:03:11</t>
    <phoneticPr fontId="2" type="noConversion"/>
  </si>
  <si>
    <t>Last Update : 2026-06-11 17:03:13</t>
    <phoneticPr fontId="2" type="noConversion"/>
  </si>
  <si>
    <t>Last Update : 2026-06-11 17:03:16</t>
    <phoneticPr fontId="2" type="noConversion"/>
  </si>
  <si>
    <t>Last Update : 2026-06-11 17:03:18</t>
    <phoneticPr fontId="2" type="noConversion"/>
  </si>
  <si>
    <t>Last Update : 2026-06-11 17:03:21</t>
    <phoneticPr fontId="2" type="noConversion"/>
  </si>
  <si>
    <t>Last Update : 2026-06-11 17:03:23</t>
    <phoneticPr fontId="2" type="noConversion"/>
  </si>
  <si>
    <t>Last Update : 2026-06-11 17:03:25</t>
    <phoneticPr fontId="2" type="noConversion"/>
  </si>
  <si>
    <t>Last Update : 2026-06-11 17:03:27</t>
    <phoneticPr fontId="2" type="noConversion"/>
  </si>
  <si>
    <t>Last Update : 2026-06-11 17:03:29</t>
    <phoneticPr fontId="2" type="noConversion"/>
  </si>
  <si>
    <t>Last Update : 2026-06-11 17:03:31</t>
    <phoneticPr fontId="2" type="noConversion"/>
  </si>
  <si>
    <t>Last Update : 2026-06-11 17:03:33</t>
    <phoneticPr fontId="2" type="noConversion"/>
  </si>
  <si>
    <t>Last Update : 2026-06-11 17:03:35</t>
    <phoneticPr fontId="2" type="noConversion"/>
  </si>
  <si>
    <t>Last Update : 2026-06-11 17:03:37</t>
    <phoneticPr fontId="2" type="noConversion"/>
  </si>
  <si>
    <t>Last Update : 2026-06-11 17:03:39</t>
    <phoneticPr fontId="2" type="noConversion"/>
  </si>
  <si>
    <t>Last Update : 2026-06-11 17:03:41</t>
    <phoneticPr fontId="2" type="noConversion"/>
  </si>
  <si>
    <t>Last Update : 2026-06-11 17:03:43</t>
    <phoneticPr fontId="2" type="noConversion"/>
  </si>
  <si>
    <t>Last Update : 2026-06-11 17:03:46</t>
    <phoneticPr fontId="2" type="noConversion"/>
  </si>
  <si>
    <t>Last Update : 2026-06-11 17:03:48</t>
    <phoneticPr fontId="2" type="noConversion"/>
  </si>
  <si>
    <t>Last Update : 2026-06-11 17:03:50</t>
    <phoneticPr fontId="2" type="noConversion"/>
  </si>
  <si>
    <t>Last Update : 2026-06-11 17:03:52</t>
    <phoneticPr fontId="2" type="noConversion"/>
  </si>
  <si>
    <t>Last Update : 2026-06-11 17:03:54</t>
    <phoneticPr fontId="2" type="noConversion"/>
  </si>
  <si>
    <t>Last Update : 2026-06-11 17:03:56</t>
    <phoneticPr fontId="2" type="noConversion"/>
  </si>
  <si>
    <t>Last Update : 2026-06-11 17:03:58</t>
    <phoneticPr fontId="2" type="noConversion"/>
  </si>
  <si>
    <t>Last Update : 2026-06-11 17:04:00</t>
    <phoneticPr fontId="2" type="noConversion"/>
  </si>
  <si>
    <t>Last Update : 2026-06-11 17:04:03</t>
    <phoneticPr fontId="2" type="noConversion"/>
  </si>
  <si>
    <t>Last Update : 2026-06-11 17:04:06</t>
    <phoneticPr fontId="2" type="noConversion"/>
  </si>
  <si>
    <t>Last Update : 2026-06-11 17:04:09</t>
    <phoneticPr fontId="2" type="noConversion"/>
  </si>
  <si>
    <t>Last Update : 2026-06-11 17:04:12</t>
    <phoneticPr fontId="2" type="noConversion"/>
  </si>
  <si>
    <t>Last Update : 2026-06-11 17:04:14</t>
    <phoneticPr fontId="2" type="noConversion"/>
  </si>
  <si>
    <t>Last Update : 2026-06-11 17:04:17</t>
    <phoneticPr fontId="2" type="noConversion"/>
  </si>
  <si>
    <t>Last Update : 2026-06-11 17:04:20</t>
    <phoneticPr fontId="2" type="noConversion"/>
  </si>
  <si>
    <t>Last Update : 2026-06-11 17:04:23</t>
    <phoneticPr fontId="2" type="noConversion"/>
  </si>
  <si>
    <t>Last Update : 2026-06-11 17:04:30</t>
    <phoneticPr fontId="2" type="noConversion"/>
  </si>
  <si>
    <t>Last Update : 2026-06-11 17:04:35</t>
    <phoneticPr fontId="2" type="noConversion"/>
  </si>
  <si>
    <t>Last Update : 2026-06-11 17:04:38</t>
    <phoneticPr fontId="2" type="noConversion"/>
  </si>
  <si>
    <t>Last Update : 2026-06-11 17:04:42</t>
    <phoneticPr fontId="2" type="noConversion"/>
  </si>
  <si>
    <t>Last Update : 2026-06-11 17:04:46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</si>
</sst>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79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topLeftCell="B1" zoomScale="115" zoomScaleNormal="115" workbookViewId="0">
      <selection activeCell="G9" sqref="G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[20260611]</v>
      </c>
      <c r="D4" s="66" t="str">
        <f>'코엑트 코스닥액티브(과거)'!B4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64" t="str">
        <f>C4</f>
        <v>CPD [20260611]</v>
      </c>
      <c r="P4" s="64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8.32</v>
      </c>
      <c r="D5" s="65">
        <f>IFERROR(VLOOKUP(B5,'코엑트 코스닥액티브(과거)'!$B$11:$E$1000,4,0),0)</f>
        <v>5.84</v>
      </c>
      <c r="E5" s="20">
        <f>C5-D5</f>
        <v>2.4800000000000004</v>
      </c>
      <c r="F5" s="32">
        <f>IFERROR(C5/D5-1,"신규편입")</f>
        <v>0.42465753424657549</v>
      </c>
      <c r="G5" s="63" t="str">
        <f>VLOOKUP(H5,유니버스!$C$14:$D$2561,2,0)</f>
        <v>KQ</v>
      </c>
      <c r="H5" s="65" t="str">
        <f>'타임 코스닥액티브'!B11</f>
        <v>테스</v>
      </c>
      <c r="I5" s="65">
        <f>VLOOKUP(H5,'타임 코스닥액티브'!$B$11:$E$1000,4,0)</f>
        <v>8.01</v>
      </c>
      <c r="J5" s="65">
        <f>IFERROR(VLOOKUP(H5,'타임코스닥액티브(과거)'!$B$11:$E$1000,4,0),0)</f>
        <v>2.82</v>
      </c>
      <c r="K5" s="20">
        <f t="shared" ref="K5" si="0">I5-J5</f>
        <v>5.1899999999999995</v>
      </c>
      <c r="L5" s="32">
        <f>IFERROR(I5/J5-1,"신규편입")</f>
        <v>1.8404255319148937</v>
      </c>
      <c r="M5" s="62" t="str">
        <f>VLOOKUP(N5,유니버스!$C$14:$D$2561,2,0)</f>
        <v>KQ</v>
      </c>
      <c r="N5" s="26" t="str">
        <f>플러스코스닥액티브!B11</f>
        <v>더블유씨피</v>
      </c>
      <c r="O5" s="26">
        <f>VLOOKUP(N5,플러스코스닥액티브!$B$11:$E$1000,4,0)</f>
        <v>6.38</v>
      </c>
      <c r="P5" s="26">
        <f>IFERROR(VLOOKUP(N5,'플러스코스닥액티브(과거)'!$B$11:$E$1000,4,0),0)</f>
        <v>6.32</v>
      </c>
      <c r="Q5" s="20">
        <f t="shared" ref="Q5" si="1">O5-P5</f>
        <v>5.9999999999999609E-2</v>
      </c>
      <c r="R5" s="32">
        <f t="shared" ref="R5" si="2">IFERROR(O5/P5-1,"신규편입")</f>
        <v>9.4936708860757779E-3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성호전자</v>
      </c>
      <c r="C6" s="65">
        <f>VLOOKUP(B6,'코엑트 코스닥액티브'!$B$11:$E$1000,4,0)</f>
        <v>6.06</v>
      </c>
      <c r="D6" s="65">
        <f>IFERROR(VLOOKUP(B6,'코엑트 코스닥액티브(과거)'!$B$11:$E$1000,4,0),0)</f>
        <v>5.1100000000000003</v>
      </c>
      <c r="E6" s="20">
        <f t="shared" ref="E6:E69" si="3">C6-D6</f>
        <v>0.94999999999999929</v>
      </c>
      <c r="F6" s="32">
        <f t="shared" ref="F6:F69" si="4">IFERROR(C6/D6-1,"신규편입")</f>
        <v>0.1859099804305282</v>
      </c>
      <c r="G6" s="63" t="str">
        <f>VLOOKUP(H6,유니버스!$C$14:$D$2561,2,0)</f>
        <v>KQ</v>
      </c>
      <c r="H6" s="65" t="str">
        <f>'타임 코스닥액티브'!B12</f>
        <v>주성엔지니어링</v>
      </c>
      <c r="I6" s="65">
        <f>VLOOKUP(H6,'타임 코스닥액티브'!$B$11:$E$1000,4,0)</f>
        <v>4.93</v>
      </c>
      <c r="J6" s="65">
        <f>IFERROR(VLOOKUP(H6,'타임코스닥액티브(과거)'!$B$11:$E$1000,4,0),0)</f>
        <v>2.44</v>
      </c>
      <c r="K6" s="20">
        <f t="shared" ref="K6:K57" si="5">I6-J6</f>
        <v>2.4899999999999998</v>
      </c>
      <c r="L6" s="32">
        <f t="shared" ref="L6:L57" si="6">IFERROR(I6/J6-1,"신규편입")</f>
        <v>1.0204918032786883</v>
      </c>
      <c r="M6" s="62" t="str">
        <f>VLOOKUP(N6,유니버스!$C$14:$D$2561,2,0)</f>
        <v>KQ</v>
      </c>
      <c r="N6" s="26" t="str">
        <f>플러스코스닥액티브!B12</f>
        <v>서진시스템</v>
      </c>
      <c r="O6" s="26">
        <f>VLOOKUP(N6,플러스코스닥액티브!$B$11:$E$1000,4,0)</f>
        <v>6.31</v>
      </c>
      <c r="P6" s="26">
        <f>IFERROR(VLOOKUP(N6,'플러스코스닥액티브(과거)'!$B$11:$E$1000,4,0),0)</f>
        <v>5.41</v>
      </c>
      <c r="Q6" s="20">
        <f t="shared" ref="Q6:Q56" si="7">O6-P6</f>
        <v>0.89999999999999947</v>
      </c>
      <c r="R6" s="32">
        <f t="shared" ref="R6:R56" si="8">IFERROR(O6/P6-1,"신규편입")</f>
        <v>0.16635859519408491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리노공업</v>
      </c>
      <c r="C7" s="65">
        <f>VLOOKUP(B7,'코엑트 코스닥액티브'!$B$11:$E$1000,4,0)</f>
        <v>6.03</v>
      </c>
      <c r="D7" s="65">
        <f>IFERROR(VLOOKUP(B7,'코엑트 코스닥액티브(과거)'!$B$11:$E$1000,4,0),0)</f>
        <v>5.24</v>
      </c>
      <c r="E7" s="20">
        <f t="shared" si="3"/>
        <v>0.79</v>
      </c>
      <c r="F7" s="32">
        <f t="shared" si="4"/>
        <v>0.1507633587786259</v>
      </c>
      <c r="G7" s="63" t="str">
        <f>VLOOKUP(H7,유니버스!$C$14:$D$2561,2,0)</f>
        <v>KQ</v>
      </c>
      <c r="H7" s="65" t="str">
        <f>'타임 코스닥액티브'!B13</f>
        <v>인텍플러스</v>
      </c>
      <c r="I7" s="65">
        <f>VLOOKUP(H7,'타임 코스닥액티브'!$B$11:$E$1000,4,0)</f>
        <v>4.8</v>
      </c>
      <c r="J7" s="65">
        <f>IFERROR(VLOOKUP(H7,'타임코스닥액티브(과거)'!$B$11:$E$1000,4,0),0)</f>
        <v>4.3499999999999996</v>
      </c>
      <c r="K7" s="20">
        <f t="shared" si="5"/>
        <v>0.45000000000000018</v>
      </c>
      <c r="L7" s="32">
        <f t="shared" si="6"/>
        <v>0.10344827586206895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5.61</v>
      </c>
      <c r="P7" s="26">
        <f>IFERROR(VLOOKUP(N7,'플러스코스닥액티브(과거)'!$B$11:$E$1000,4,0),0)</f>
        <v>5.6</v>
      </c>
      <c r="Q7" s="20">
        <f t="shared" si="7"/>
        <v>1.0000000000000675E-2</v>
      </c>
      <c r="R7" s="32">
        <f t="shared" si="8"/>
        <v>1.7857142857145014E-3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코미코</v>
      </c>
      <c r="C8" s="65">
        <f>VLOOKUP(B8,'코엑트 코스닥액티브'!$B$11:$E$1000,4,0)</f>
        <v>3.84</v>
      </c>
      <c r="D8" s="65">
        <f>IFERROR(VLOOKUP(B8,'코엑트 코스닥액티브(과거)'!$B$11:$E$1000,4,0),0)</f>
        <v>2.5</v>
      </c>
      <c r="E8" s="20">
        <f t="shared" si="3"/>
        <v>1.3399999999999999</v>
      </c>
      <c r="F8" s="32">
        <f t="shared" si="4"/>
        <v>0.53600000000000003</v>
      </c>
      <c r="G8" s="63" t="str">
        <f>VLOOKUP(H8,유니버스!$C$14:$D$2561,2,0)</f>
        <v>KQ</v>
      </c>
      <c r="H8" s="65" t="str">
        <f>'타임 코스닥액티브'!B14</f>
        <v>HPSP</v>
      </c>
      <c r="I8" s="65">
        <f>VLOOKUP(H8,'타임 코스닥액티브'!$B$11:$E$1000,4,0)</f>
        <v>3.82</v>
      </c>
      <c r="J8" s="65">
        <f>IFERROR(VLOOKUP(H8,'타임코스닥액티브(과거)'!$B$11:$E$1000,4,0),0)</f>
        <v>0.71</v>
      </c>
      <c r="K8" s="20">
        <f t="shared" si="5"/>
        <v>3.11</v>
      </c>
      <c r="L8" s="32">
        <f t="shared" si="6"/>
        <v>4.380281690140845</v>
      </c>
      <c r="M8" s="62" t="str">
        <f>VLOOKUP(N8,유니버스!$C$14:$D$2561,2,0)</f>
        <v>KQ</v>
      </c>
      <c r="N8" s="26" t="str">
        <f>플러스코스닥액티브!B14</f>
        <v>스피어</v>
      </c>
      <c r="O8" s="26">
        <f>VLOOKUP(N8,플러스코스닥액티브!$B$11:$E$1000,4,0)</f>
        <v>4.21</v>
      </c>
      <c r="P8" s="26">
        <f>IFERROR(VLOOKUP(N8,'플러스코스닥액티브(과거)'!$B$11:$E$1000,4,0),0)</f>
        <v>3.49</v>
      </c>
      <c r="Q8" s="20">
        <f t="shared" si="7"/>
        <v>0.71999999999999975</v>
      </c>
      <c r="R8" s="32">
        <f t="shared" si="8"/>
        <v>0.20630372492836657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두산테스나</v>
      </c>
      <c r="C9" s="65">
        <f>VLOOKUP(B9,'코엑트 코스닥액티브'!$B$11:$E$1000,4,0)</f>
        <v>3.65</v>
      </c>
      <c r="D9" s="65">
        <f>IFERROR(VLOOKUP(B9,'코엑트 코스닥액티브(과거)'!$B$11:$E$1000,4,0),0)</f>
        <v>3.79</v>
      </c>
      <c r="E9" s="20">
        <f t="shared" si="3"/>
        <v>-0.14000000000000012</v>
      </c>
      <c r="F9" s="32">
        <f t="shared" si="4"/>
        <v>-3.6939313984168942E-2</v>
      </c>
      <c r="G9" s="63" t="str">
        <f>VLOOKUP(H9,유니버스!$C$14:$D$2561,2,0)</f>
        <v>KQ</v>
      </c>
      <c r="H9" s="65" t="str">
        <f>'타임 코스닥액티브'!B15</f>
        <v>제주반도체</v>
      </c>
      <c r="I9" s="65">
        <f>VLOOKUP(H9,'타임 코스닥액티브'!$B$11:$E$1000,4,0)</f>
        <v>3.47</v>
      </c>
      <c r="J9" s="65">
        <f>IFERROR(VLOOKUP(H9,'타임코스닥액티브(과거)'!$B$11:$E$1000,4,0),0)</f>
        <v>6.17</v>
      </c>
      <c r="K9" s="20">
        <f t="shared" si="5"/>
        <v>-2.6999999999999997</v>
      </c>
      <c r="L9" s="32">
        <f t="shared" si="6"/>
        <v>-0.43760129659643432</v>
      </c>
      <c r="M9" s="62" t="str">
        <f>VLOOKUP(N9,유니버스!$C$14:$D$2561,2,0)</f>
        <v>KQ</v>
      </c>
      <c r="N9" s="26" t="str">
        <f>플러스코스닥액티브!B15</f>
        <v>코미코</v>
      </c>
      <c r="O9" s="26">
        <f>VLOOKUP(N9,플러스코스닥액티브!$B$11:$E$1000,4,0)</f>
        <v>4.08</v>
      </c>
      <c r="P9" s="26">
        <f>IFERROR(VLOOKUP(N9,'플러스코스닥액티브(과거)'!$B$11:$E$1000,4,0),0)</f>
        <v>3.12</v>
      </c>
      <c r="Q9" s="20">
        <f t="shared" si="7"/>
        <v>0.96</v>
      </c>
      <c r="R9" s="32">
        <f t="shared" si="8"/>
        <v>0.30769230769230771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심텍</v>
      </c>
      <c r="C10" s="65">
        <f>VLOOKUP(B10,'코엑트 코스닥액티브'!$B$11:$E$1000,4,0)</f>
        <v>3.55</v>
      </c>
      <c r="D10" s="65">
        <f>IFERROR(VLOOKUP(B10,'코엑트 코스닥액티브(과거)'!$B$11:$E$1000,4,0),0)</f>
        <v>2.87</v>
      </c>
      <c r="E10" s="20">
        <f t="shared" si="3"/>
        <v>0.67999999999999972</v>
      </c>
      <c r="F10" s="32">
        <f t="shared" si="4"/>
        <v>0.2369337979094075</v>
      </c>
      <c r="G10" s="63" t="str">
        <f>VLOOKUP(H10,유니버스!$C$14:$D$2561,2,0)</f>
        <v>KQ</v>
      </c>
      <c r="H10" s="65" t="str">
        <f>'타임 코스닥액티브'!B16</f>
        <v>원익IPS</v>
      </c>
      <c r="I10" s="65">
        <f>VLOOKUP(H10,'타임 코스닥액티브'!$B$11:$E$1000,4,0)</f>
        <v>3.34</v>
      </c>
      <c r="J10" s="65">
        <f>IFERROR(VLOOKUP(H10,'타임코스닥액티브(과거)'!$B$11:$E$1000,4,0),0)</f>
        <v>1.39</v>
      </c>
      <c r="K10" s="20">
        <f t="shared" si="5"/>
        <v>1.95</v>
      </c>
      <c r="L10" s="32">
        <f t="shared" si="6"/>
        <v>1.4028776978417268</v>
      </c>
      <c r="M10" s="62" t="str">
        <f>VLOOKUP(N10,유니버스!$C$14:$D$2561,2,0)</f>
        <v>KQ</v>
      </c>
      <c r="N10" s="26" t="str">
        <f>플러스코스닥액티브!B16</f>
        <v>두산테스나</v>
      </c>
      <c r="O10" s="26">
        <f>VLOOKUP(N10,플러스코스닥액티브!$B$11:$E$1000,4,0)</f>
        <v>3.43</v>
      </c>
      <c r="P10" s="26">
        <f>IFERROR(VLOOKUP(N10,'플러스코스닥액티브(과거)'!$B$11:$E$1000,4,0),0)</f>
        <v>3.4</v>
      </c>
      <c r="Q10" s="20">
        <f t="shared" si="7"/>
        <v>3.0000000000000249E-2</v>
      </c>
      <c r="R10" s="32">
        <f t="shared" si="8"/>
        <v>8.8235294117646745E-3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티엘비</v>
      </c>
      <c r="C11" s="65">
        <f>VLOOKUP(B11,'코엑트 코스닥액티브'!$B$11:$E$1000,4,0)</f>
        <v>3.47</v>
      </c>
      <c r="D11" s="65">
        <f>IFERROR(VLOOKUP(B11,'코엑트 코스닥액티브(과거)'!$B$11:$E$1000,4,0),0)</f>
        <v>3.71</v>
      </c>
      <c r="E11" s="20">
        <f t="shared" si="3"/>
        <v>-0.23999999999999977</v>
      </c>
      <c r="F11" s="32">
        <f t="shared" si="4"/>
        <v>-6.4690026954177804E-2</v>
      </c>
      <c r="G11" s="63" t="str">
        <f>VLOOKUP(H11,유니버스!$C$14:$D$2561,2,0)</f>
        <v>KQ</v>
      </c>
      <c r="H11" s="65" t="str">
        <f>'타임 코스닥액티브'!B17</f>
        <v>기가비스</v>
      </c>
      <c r="I11" s="65">
        <f>VLOOKUP(H11,'타임 코스닥액티브'!$B$11:$E$1000,4,0)</f>
        <v>2.94</v>
      </c>
      <c r="J11" s="65">
        <f>IFERROR(VLOOKUP(H11,'타임코스닥액티브(과거)'!$B$11:$E$1000,4,0),0)</f>
        <v>2.66</v>
      </c>
      <c r="K11" s="20">
        <f t="shared" si="5"/>
        <v>0.2799999999999998</v>
      </c>
      <c r="L11" s="32">
        <f t="shared" si="6"/>
        <v>0.10526315789473673</v>
      </c>
      <c r="M11" s="62" t="str">
        <f>VLOOKUP(N11,유니버스!$C$14:$D$2561,2,0)</f>
        <v>KQ</v>
      </c>
      <c r="N11" s="26" t="str">
        <f>플러스코스닥액티브!B17</f>
        <v>비나텍</v>
      </c>
      <c r="O11" s="26">
        <f>VLOOKUP(N11,플러스코스닥액티브!$B$11:$E$1000,4,0)</f>
        <v>3.04</v>
      </c>
      <c r="P11" s="26">
        <f>IFERROR(VLOOKUP(N11,'플러스코스닥액티브(과거)'!$B$11:$E$1000,4,0),0)</f>
        <v>4.49</v>
      </c>
      <c r="Q11" s="20">
        <f t="shared" si="7"/>
        <v>-1.4500000000000002</v>
      </c>
      <c r="R11" s="32">
        <f t="shared" si="8"/>
        <v>-0.3229398663697105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서진시스템</v>
      </c>
      <c r="C12" s="65">
        <f>VLOOKUP(B12,'코엑트 코스닥액티브'!$B$11:$E$1000,4,0)</f>
        <v>2.92</v>
      </c>
      <c r="D12" s="65">
        <f>IFERROR(VLOOKUP(B12,'코엑트 코스닥액티브(과거)'!$B$11:$E$1000,4,0),0)</f>
        <v>3.06</v>
      </c>
      <c r="E12" s="20">
        <f t="shared" si="3"/>
        <v>-0.14000000000000012</v>
      </c>
      <c r="F12" s="32">
        <f t="shared" si="4"/>
        <v>-4.5751633986928164E-2</v>
      </c>
      <c r="G12" s="63" t="str">
        <f>VLOOKUP(H12,유니버스!$C$14:$D$2561,2,0)</f>
        <v>KQ</v>
      </c>
      <c r="H12" s="65" t="str">
        <f>'타임 코스닥액티브'!B18</f>
        <v>레인보우로보틱스</v>
      </c>
      <c r="I12" s="65">
        <f>VLOOKUP(H12,'타임 코스닥액티브'!$B$11:$E$1000,4,0)</f>
        <v>2.89</v>
      </c>
      <c r="J12" s="65">
        <f>IFERROR(VLOOKUP(H12,'타임코스닥액티브(과거)'!$B$11:$E$1000,4,0),0)</f>
        <v>3.82</v>
      </c>
      <c r="K12" s="20">
        <f t="shared" si="5"/>
        <v>-0.92999999999999972</v>
      </c>
      <c r="L12" s="32">
        <f t="shared" si="6"/>
        <v>-0.24345549738219885</v>
      </c>
      <c r="M12" s="62" t="str">
        <f>VLOOKUP(N12,유니버스!$C$14:$D$2561,2,0)</f>
        <v>KQ</v>
      </c>
      <c r="N12" s="26" t="str">
        <f>플러스코스닥액티브!B18</f>
        <v>에프앤가이드</v>
      </c>
      <c r="O12" s="26">
        <f>VLOOKUP(N12,플러스코스닥액티브!$B$11:$E$1000,4,0)</f>
        <v>2.97</v>
      </c>
      <c r="P12" s="26">
        <f>IFERROR(VLOOKUP(N12,'플러스코스닥액티브(과거)'!$B$11:$E$1000,4,0),0)</f>
        <v>2.95</v>
      </c>
      <c r="Q12" s="20">
        <f t="shared" si="7"/>
        <v>2.0000000000000018E-2</v>
      </c>
      <c r="R12" s="32">
        <f t="shared" si="8"/>
        <v>6.7796610169492677E-3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파두</v>
      </c>
      <c r="C13" s="65">
        <f>VLOOKUP(B13,'코엑트 코스닥액티브'!$B$11:$E$1000,4,0)</f>
        <v>2.74</v>
      </c>
      <c r="D13" s="65">
        <f>IFERROR(VLOOKUP(B13,'코엑트 코스닥액티브(과거)'!$B$11:$E$1000,4,0),0)</f>
        <v>3.96</v>
      </c>
      <c r="E13" s="20">
        <f t="shared" si="3"/>
        <v>-1.2199999999999998</v>
      </c>
      <c r="F13" s="32">
        <f t="shared" si="4"/>
        <v>-0.30808080808080807</v>
      </c>
      <c r="G13" s="63" t="str">
        <f>VLOOKUP(H13,유니버스!$C$14:$D$2561,2,0)</f>
        <v>KQ</v>
      </c>
      <c r="H13" s="65" t="str">
        <f>'타임 코스닥액티브'!B19</f>
        <v>심텍</v>
      </c>
      <c r="I13" s="65">
        <f>VLOOKUP(H13,'타임 코스닥액티브'!$B$11:$E$1000,4,0)</f>
        <v>2.62</v>
      </c>
      <c r="J13" s="65">
        <f>IFERROR(VLOOKUP(H13,'타임코스닥액티브(과거)'!$B$11:$E$1000,4,0),0)</f>
        <v>1.1100000000000001</v>
      </c>
      <c r="K13" s="20">
        <f t="shared" si="5"/>
        <v>1.51</v>
      </c>
      <c r="L13" s="32">
        <f t="shared" si="6"/>
        <v>1.3603603603603602</v>
      </c>
      <c r="M13" s="62" t="str">
        <f>VLOOKUP(N13,유니버스!$C$14:$D$2561,2,0)</f>
        <v>KQ</v>
      </c>
      <c r="N13" s="26" t="str">
        <f>플러스코스닥액티브!B19</f>
        <v>한중엔시에스</v>
      </c>
      <c r="O13" s="26">
        <f>VLOOKUP(N13,플러스코스닥액티브!$B$11:$E$1000,4,0)</f>
        <v>2.82</v>
      </c>
      <c r="P13" s="26">
        <f>IFERROR(VLOOKUP(N13,'플러스코스닥액티브(과거)'!$B$11:$E$1000,4,0),0)</f>
        <v>3.13</v>
      </c>
      <c r="Q13" s="20">
        <f t="shared" si="7"/>
        <v>-0.31000000000000005</v>
      </c>
      <c r="R13" s="32">
        <f t="shared" si="8"/>
        <v>-9.9041533546325944E-2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피에스케이홀딩스</v>
      </c>
      <c r="C14" s="65">
        <f>VLOOKUP(B14,'코엑트 코스닥액티브'!$B$11:$E$1000,4,0)</f>
        <v>2.57</v>
      </c>
      <c r="D14" s="65">
        <f>IFERROR(VLOOKUP(B14,'코엑트 코스닥액티브(과거)'!$B$11:$E$1000,4,0),0)</f>
        <v>1.74</v>
      </c>
      <c r="E14" s="20">
        <f t="shared" si="3"/>
        <v>0.82999999999999985</v>
      </c>
      <c r="F14" s="32">
        <f t="shared" si="4"/>
        <v>0.47701149425287337</v>
      </c>
      <c r="G14" s="63" t="str">
        <f>VLOOKUP(H14,유니버스!$C$14:$D$2561,2,0)</f>
        <v>KQ</v>
      </c>
      <c r="H14" s="65" t="str">
        <f>'타임 코스닥액티브'!B20</f>
        <v>코미코</v>
      </c>
      <c r="I14" s="65">
        <f>VLOOKUP(H14,'타임 코스닥액티브'!$B$11:$E$1000,4,0)</f>
        <v>2.41</v>
      </c>
      <c r="J14" s="65">
        <f>IFERROR(VLOOKUP(H14,'타임코스닥액티브(과거)'!$B$11:$E$1000,4,0),0)</f>
        <v>1.47</v>
      </c>
      <c r="K14" s="20">
        <f t="shared" si="5"/>
        <v>0.94000000000000017</v>
      </c>
      <c r="L14" s="32">
        <f t="shared" si="6"/>
        <v>0.63945578231292521</v>
      </c>
      <c r="M14" s="62" t="str">
        <f>VLOOKUP(N14,유니버스!$C$14:$D$2561,2,0)</f>
        <v>KQ</v>
      </c>
      <c r="N14" s="26" t="str">
        <f>플러스코스닥액티브!B20</f>
        <v>피에스케이홀딩스</v>
      </c>
      <c r="O14" s="26">
        <f>VLOOKUP(N14,플러스코스닥액티브!$B$11:$E$1000,4,0)</f>
        <v>2.7</v>
      </c>
      <c r="P14" s="26">
        <f>IFERROR(VLOOKUP(N14,'플러스코스닥액티브(과거)'!$B$11:$E$1000,4,0),0)</f>
        <v>2.2999999999999998</v>
      </c>
      <c r="Q14" s="20">
        <f t="shared" si="7"/>
        <v>0.40000000000000036</v>
      </c>
      <c r="R14" s="32">
        <f t="shared" si="8"/>
        <v>0.17391304347826098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알테오젠</v>
      </c>
      <c r="C15" s="65">
        <f>VLOOKUP(B15,'코엑트 코스닥액티브'!$B$11:$E$1000,4,0)</f>
        <v>2.56</v>
      </c>
      <c r="D15" s="65">
        <f>IFERROR(VLOOKUP(B15,'코엑트 코스닥액티브(과거)'!$B$11:$E$1000,4,0),0)</f>
        <v>2.44</v>
      </c>
      <c r="E15" s="20">
        <f t="shared" si="3"/>
        <v>0.12000000000000011</v>
      </c>
      <c r="F15" s="32">
        <f t="shared" si="4"/>
        <v>4.9180327868852514E-2</v>
      </c>
      <c r="G15" s="63" t="str">
        <f>VLOOKUP(H15,유니버스!$C$14:$D$2561,2,0)</f>
        <v>KQ</v>
      </c>
      <c r="H15" s="65" t="str">
        <f>'타임 코스닥액티브'!B21</f>
        <v>두산테스나</v>
      </c>
      <c r="I15" s="65">
        <f>VLOOKUP(H15,'타임 코스닥액티브'!$B$11:$E$1000,4,0)</f>
        <v>2.27</v>
      </c>
      <c r="J15" s="65">
        <f>IFERROR(VLOOKUP(H15,'타임코스닥액티브(과거)'!$B$11:$E$1000,4,0),0)</f>
        <v>5.32</v>
      </c>
      <c r="K15" s="20">
        <f t="shared" si="5"/>
        <v>-3.0500000000000003</v>
      </c>
      <c r="L15" s="32">
        <f t="shared" si="6"/>
        <v>-0.57330827067669177</v>
      </c>
      <c r="M15" s="62" t="str">
        <f>VLOOKUP(N15,유니버스!$C$14:$D$2561,2,0)</f>
        <v>KQ</v>
      </c>
      <c r="N15" s="26" t="str">
        <f>플러스코스닥액티브!B21</f>
        <v>씨에스베어링</v>
      </c>
      <c r="O15" s="26">
        <f>VLOOKUP(N15,플러스코스닥액티브!$B$11:$E$1000,4,0)</f>
        <v>2.61</v>
      </c>
      <c r="P15" s="26">
        <f>IFERROR(VLOOKUP(N15,'플러스코스닥액티브(과거)'!$B$11:$E$1000,4,0),0)</f>
        <v>2.69</v>
      </c>
      <c r="Q15" s="20">
        <f t="shared" si="7"/>
        <v>-8.0000000000000071E-2</v>
      </c>
      <c r="R15" s="32">
        <f t="shared" si="8"/>
        <v>-2.9739776951672847E-2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피에스케이</v>
      </c>
      <c r="C16" s="65">
        <f>VLOOKUP(B16,'코엑트 코스닥액티브'!$B$11:$E$1000,4,0)</f>
        <v>2.36</v>
      </c>
      <c r="D16" s="65">
        <f>IFERROR(VLOOKUP(B16,'코엑트 코스닥액티브(과거)'!$B$11:$E$1000,4,0),0)</f>
        <v>1.46</v>
      </c>
      <c r="E16" s="20">
        <f t="shared" si="3"/>
        <v>0.89999999999999991</v>
      </c>
      <c r="F16" s="32">
        <f t="shared" si="4"/>
        <v>0.61643835616438358</v>
      </c>
      <c r="G16" s="63" t="str">
        <f>VLOOKUP(H16,유니버스!$C$14:$D$2561,2,0)</f>
        <v>KQ</v>
      </c>
      <c r="H16" s="65" t="str">
        <f>'타임 코스닥액티브'!B22</f>
        <v>네패스</v>
      </c>
      <c r="I16" s="65">
        <f>VLOOKUP(H16,'타임 코스닥액티브'!$B$11:$E$1000,4,0)</f>
        <v>2.2400000000000002</v>
      </c>
      <c r="J16" s="65">
        <f>IFERROR(VLOOKUP(H16,'타임코스닥액티브(과거)'!$B$11:$E$1000,4,0),0)</f>
        <v>1.77</v>
      </c>
      <c r="K16" s="20">
        <f t="shared" si="5"/>
        <v>0.4700000000000002</v>
      </c>
      <c r="L16" s="32">
        <f t="shared" si="6"/>
        <v>0.26553672316384191</v>
      </c>
      <c r="M16" s="62" t="str">
        <f>VLOOKUP(N16,유니버스!$C$14:$D$2561,2,0)</f>
        <v>KQ</v>
      </c>
      <c r="N16" s="26" t="str">
        <f>플러스코스닥액티브!B22</f>
        <v>브이엠</v>
      </c>
      <c r="O16" s="26">
        <f>VLOOKUP(N16,플러스코스닥액티브!$B$11:$E$1000,4,0)</f>
        <v>2.59</v>
      </c>
      <c r="P16" s="26">
        <f>IFERROR(VLOOKUP(N16,'플러스코스닥액티브(과거)'!$B$11:$E$1000,4,0),0)</f>
        <v>2.39</v>
      </c>
      <c r="Q16" s="20">
        <f t="shared" si="7"/>
        <v>0.19999999999999973</v>
      </c>
      <c r="R16" s="32">
        <f t="shared" si="8"/>
        <v>8.3682008368200611E-2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에이치브이엠</v>
      </c>
      <c r="C17" s="65">
        <f>VLOOKUP(B17,'코엑트 코스닥액티브'!$B$11:$E$1000,4,0)</f>
        <v>2.11</v>
      </c>
      <c r="D17" s="65">
        <f>IFERROR(VLOOKUP(B17,'코엑트 코스닥액티브(과거)'!$B$11:$E$1000,4,0),0)</f>
        <v>2.85</v>
      </c>
      <c r="E17" s="20">
        <f t="shared" si="3"/>
        <v>-0.74000000000000021</v>
      </c>
      <c r="F17" s="32">
        <f t="shared" si="4"/>
        <v>-0.25964912280701757</v>
      </c>
      <c r="G17" s="63" t="str">
        <f>VLOOKUP(H17,유니버스!$C$14:$D$2561,2,0)</f>
        <v>KQ</v>
      </c>
      <c r="H17" s="65" t="str">
        <f>'타임 코스닥액티브'!B23</f>
        <v>서진시스템</v>
      </c>
      <c r="I17" s="65">
        <f>VLOOKUP(H17,'타임 코스닥액티브'!$B$11:$E$1000,4,0)</f>
        <v>2.21</v>
      </c>
      <c r="J17" s="65">
        <f>IFERROR(VLOOKUP(H17,'타임코스닥액티브(과거)'!$B$11:$E$1000,4,0),0)</f>
        <v>2.64</v>
      </c>
      <c r="K17" s="20">
        <f t="shared" si="5"/>
        <v>-0.43000000000000016</v>
      </c>
      <c r="L17" s="32">
        <f t="shared" si="6"/>
        <v>-0.16287878787878796</v>
      </c>
      <c r="M17" s="62" t="str">
        <f>VLOOKUP(N17,유니버스!$C$14:$D$2561,2,0)</f>
        <v>KQ</v>
      </c>
      <c r="N17" s="26" t="str">
        <f>플러스코스닥액티브!B23</f>
        <v>새로닉스</v>
      </c>
      <c r="O17" s="26">
        <f>VLOOKUP(N17,플러스코스닥액티브!$B$11:$E$1000,4,0)</f>
        <v>2.39</v>
      </c>
      <c r="P17" s="26">
        <f>IFERROR(VLOOKUP(N17,'플러스코스닥액티브(과거)'!$B$11:$E$1000,4,0),0)</f>
        <v>3.12</v>
      </c>
      <c r="Q17" s="20">
        <f t="shared" si="7"/>
        <v>-0.73</v>
      </c>
      <c r="R17" s="32">
        <f t="shared" si="8"/>
        <v>-0.23397435897435892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티에스이</v>
      </c>
      <c r="C18" s="65">
        <f>VLOOKUP(B18,'코엑트 코스닥액티브'!$B$11:$E$1000,4,0)</f>
        <v>1.88</v>
      </c>
      <c r="D18" s="65">
        <f>IFERROR(VLOOKUP(B18,'코엑트 코스닥액티브(과거)'!$B$11:$E$1000,4,0),0)</f>
        <v>1.19</v>
      </c>
      <c r="E18" s="20">
        <f t="shared" si="3"/>
        <v>0.69</v>
      </c>
      <c r="F18" s="32">
        <f t="shared" si="4"/>
        <v>0.57983193277310918</v>
      </c>
      <c r="G18" s="63" t="str">
        <f>VLOOKUP(H18,유니버스!$C$14:$D$2561,2,0)</f>
        <v>KQ</v>
      </c>
      <c r="H18" s="65" t="str">
        <f>'타임 코스닥액티브'!B24</f>
        <v>대주전자재료</v>
      </c>
      <c r="I18" s="65">
        <f>VLOOKUP(H18,'타임 코스닥액티브'!$B$11:$E$1000,4,0)</f>
        <v>2.17</v>
      </c>
      <c r="J18" s="65">
        <f>IFERROR(VLOOKUP(H18,'타임코스닥액티브(과거)'!$B$11:$E$1000,4,0),0)</f>
        <v>2.67</v>
      </c>
      <c r="K18" s="20">
        <f t="shared" si="5"/>
        <v>-0.5</v>
      </c>
      <c r="L18" s="32">
        <f t="shared" si="6"/>
        <v>-0.18726591760299627</v>
      </c>
      <c r="M18" s="62" t="str">
        <f>VLOOKUP(N18,유니버스!$C$14:$D$2561,2,0)</f>
        <v>KQ</v>
      </c>
      <c r="N18" s="26" t="str">
        <f>플러스코스닥액티브!B24</f>
        <v>심텍</v>
      </c>
      <c r="O18" s="26">
        <f>VLOOKUP(N18,플러스코스닥액티브!$B$11:$E$1000,4,0)</f>
        <v>2.37</v>
      </c>
      <c r="P18" s="26">
        <f>IFERROR(VLOOKUP(N18,'플러스코스닥액티브(과거)'!$B$11:$E$1000,4,0),0)</f>
        <v>2.02</v>
      </c>
      <c r="Q18" s="20">
        <f t="shared" si="7"/>
        <v>0.35000000000000009</v>
      </c>
      <c r="R18" s="32">
        <f t="shared" si="8"/>
        <v>0.1732673267326732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에이비엘바이오</v>
      </c>
      <c r="C19" s="65">
        <f>VLOOKUP(B19,'코엑트 코스닥액티브'!$B$11:$E$1000,4,0)</f>
        <v>1.86</v>
      </c>
      <c r="D19" s="65">
        <f>IFERROR(VLOOKUP(B19,'코엑트 코스닥액티브(과거)'!$B$11:$E$1000,4,0),0)</f>
        <v>2.25</v>
      </c>
      <c r="E19" s="20">
        <f t="shared" si="3"/>
        <v>-0.3899999999999999</v>
      </c>
      <c r="F19" s="32">
        <f t="shared" si="4"/>
        <v>-0.17333333333333334</v>
      </c>
      <c r="G19" s="63" t="str">
        <f>VLOOKUP(H19,유니버스!$C$14:$D$2561,2,0)</f>
        <v>KQ</v>
      </c>
      <c r="H19" s="65" t="str">
        <f>'타임 코스닥액티브'!B25</f>
        <v>한선엔지니어링</v>
      </c>
      <c r="I19" s="65">
        <f>VLOOKUP(H19,'타임 코스닥액티브'!$B$11:$E$1000,4,0)</f>
        <v>2.11</v>
      </c>
      <c r="J19" s="65">
        <f>IFERROR(VLOOKUP(H19,'타임코스닥액티브(과거)'!$B$11:$E$1000,4,0),0)</f>
        <v>2.63</v>
      </c>
      <c r="K19" s="20">
        <f t="shared" si="5"/>
        <v>-0.52</v>
      </c>
      <c r="L19" s="32">
        <f t="shared" si="6"/>
        <v>-0.19771863117870725</v>
      </c>
      <c r="M19" s="62" t="str">
        <f>VLOOKUP(N19,유니버스!$C$14:$D$2561,2,0)</f>
        <v>KQ</v>
      </c>
      <c r="N19" s="26" t="str">
        <f>플러스코스닥액티브!B25</f>
        <v>원익머트리얼즈</v>
      </c>
      <c r="O19" s="26">
        <f>VLOOKUP(N19,플러스코스닥액티브!$B$11:$E$1000,4,0)</f>
        <v>2.3199999999999998</v>
      </c>
      <c r="P19" s="26">
        <f>IFERROR(VLOOKUP(N19,'플러스코스닥액티브(과거)'!$B$11:$E$1000,4,0),0)</f>
        <v>2.1800000000000002</v>
      </c>
      <c r="Q19" s="20">
        <f t="shared" si="7"/>
        <v>0.13999999999999968</v>
      </c>
      <c r="R19" s="32">
        <f t="shared" si="8"/>
        <v>6.4220183486238369E-2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리가켐바이오</v>
      </c>
      <c r="C20" s="65">
        <f>VLOOKUP(B20,'코엑트 코스닥액티브'!$B$11:$E$1000,4,0)</f>
        <v>1.81</v>
      </c>
      <c r="D20" s="65">
        <f>IFERROR(VLOOKUP(B20,'코엑트 코스닥액티브(과거)'!$B$11:$E$1000,4,0),0)</f>
        <v>2.0499999999999998</v>
      </c>
      <c r="E20" s="20">
        <f t="shared" si="3"/>
        <v>-0.23999999999999977</v>
      </c>
      <c r="F20" s="32">
        <f t="shared" si="4"/>
        <v>-0.1170731707317072</v>
      </c>
      <c r="G20" s="63" t="str">
        <f>VLOOKUP(H20,유니버스!$C$14:$D$2561,2,0)</f>
        <v>KQ</v>
      </c>
      <c r="H20" s="65" t="str">
        <f>'타임 코스닥액티브'!B26</f>
        <v>티엘비</v>
      </c>
      <c r="I20" s="65">
        <f>VLOOKUP(H20,'타임 코스닥액티브'!$B$11:$E$1000,4,0)</f>
        <v>2.09</v>
      </c>
      <c r="J20" s="65">
        <f>IFERROR(VLOOKUP(H20,'타임코스닥액티브(과거)'!$B$11:$E$1000,4,0),0)</f>
        <v>3.07</v>
      </c>
      <c r="K20" s="20">
        <f t="shared" si="5"/>
        <v>-0.98</v>
      </c>
      <c r="L20" s="32">
        <f t="shared" si="6"/>
        <v>-0.31921824104234531</v>
      </c>
      <c r="M20" s="62" t="str">
        <f>VLOOKUP(N20,유니버스!$C$14:$D$2561,2,0)</f>
        <v>KQ</v>
      </c>
      <c r="N20" s="26" t="str">
        <f>플러스코스닥액티브!B26</f>
        <v>티씨케이</v>
      </c>
      <c r="O20" s="26">
        <f>VLOOKUP(N20,플러스코스닥액티브!$B$11:$E$1000,4,0)</f>
        <v>2.25</v>
      </c>
      <c r="P20" s="26">
        <f>IFERROR(VLOOKUP(N20,'플러스코스닥액티브(과거)'!$B$11:$E$1000,4,0),0)</f>
        <v>1.76</v>
      </c>
      <c r="Q20" s="20">
        <f t="shared" si="7"/>
        <v>0.49</v>
      </c>
      <c r="R20" s="32">
        <f t="shared" si="8"/>
        <v>0.27840909090909083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로보티즈</v>
      </c>
      <c r="C21" s="65">
        <f>VLOOKUP(B21,'코엑트 코스닥액티브'!$B$11:$E$1000,4,0)</f>
        <v>1.79</v>
      </c>
      <c r="D21" s="65">
        <f>IFERROR(VLOOKUP(B21,'코엑트 코스닥액티브(과거)'!$B$11:$E$1000,4,0),0)</f>
        <v>1.99</v>
      </c>
      <c r="E21" s="20">
        <f t="shared" si="3"/>
        <v>-0.19999999999999996</v>
      </c>
      <c r="F21" s="32">
        <f t="shared" si="4"/>
        <v>-0.10050251256281406</v>
      </c>
      <c r="G21" s="63" t="str">
        <f>VLOOKUP(H21,유니버스!$C$14:$D$2561,2,0)</f>
        <v>KQ</v>
      </c>
      <c r="H21" s="65" t="str">
        <f>'타임 코스닥액티브'!B27</f>
        <v>로보티즈</v>
      </c>
      <c r="I21" s="65">
        <f>VLOOKUP(H21,'타임 코스닥액티브'!$B$11:$E$1000,4,0)</f>
        <v>2.0499999999999998</v>
      </c>
      <c r="J21" s="65">
        <f>IFERROR(VLOOKUP(H21,'타임코스닥액티브(과거)'!$B$11:$E$1000,4,0),0)</f>
        <v>2.38</v>
      </c>
      <c r="K21" s="20">
        <f t="shared" si="5"/>
        <v>-0.33000000000000007</v>
      </c>
      <c r="L21" s="32">
        <f t="shared" si="6"/>
        <v>-0.13865546218487401</v>
      </c>
      <c r="M21" s="62" t="str">
        <f>VLOOKUP(N21,유니버스!$C$14:$D$2561,2,0)</f>
        <v>KQ</v>
      </c>
      <c r="N21" s="26" t="str">
        <f>플러스코스닥액티브!B27</f>
        <v>리노공업</v>
      </c>
      <c r="O21" s="26">
        <f>VLOOKUP(N21,플러스코스닥액티브!$B$11:$E$1000,4,0)</f>
        <v>2.21</v>
      </c>
      <c r="P21" s="26">
        <f>IFERROR(VLOOKUP(N21,'플러스코스닥액티브(과거)'!$B$11:$E$1000,4,0),0)</f>
        <v>2.23</v>
      </c>
      <c r="Q21" s="20">
        <f t="shared" si="7"/>
        <v>-2.0000000000000018E-2</v>
      </c>
      <c r="R21" s="32">
        <f t="shared" si="8"/>
        <v>-8.9686098654708779E-3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한중엔시에스</v>
      </c>
      <c r="C22" s="65">
        <f>VLOOKUP(B22,'코엑트 코스닥액티브'!$B$11:$E$1000,4,0)</f>
        <v>1.71</v>
      </c>
      <c r="D22" s="65">
        <f>IFERROR(VLOOKUP(B22,'코엑트 코스닥액티브(과거)'!$B$11:$E$1000,4,0),0)</f>
        <v>2.16</v>
      </c>
      <c r="E22" s="20">
        <f t="shared" si="3"/>
        <v>-0.45000000000000018</v>
      </c>
      <c r="F22" s="32">
        <f t="shared" si="4"/>
        <v>-0.20833333333333337</v>
      </c>
      <c r="G22" s="63" t="str">
        <f>VLOOKUP(H22,유니버스!$C$14:$D$2561,2,0)</f>
        <v>KQ</v>
      </c>
      <c r="H22" s="65" t="str">
        <f>'타임 코스닥액티브'!B28</f>
        <v>파두</v>
      </c>
      <c r="I22" s="65">
        <f>VLOOKUP(H22,'타임 코스닥액티브'!$B$11:$E$1000,4,0)</f>
        <v>2.0299999999999998</v>
      </c>
      <c r="J22" s="65">
        <f>IFERROR(VLOOKUP(H22,'타임코스닥액티브(과거)'!$B$11:$E$1000,4,0),0)</f>
        <v>7.37</v>
      </c>
      <c r="K22" s="20">
        <f t="shared" si="5"/>
        <v>-5.34</v>
      </c>
      <c r="L22" s="32">
        <f t="shared" si="6"/>
        <v>-0.72455902306648579</v>
      </c>
      <c r="M22" s="62" t="str">
        <f>VLOOKUP(N22,유니버스!$C$14:$D$2561,2,0)</f>
        <v>KQ</v>
      </c>
      <c r="N22" s="26" t="str">
        <f>플러스코스닥액티브!B28</f>
        <v>테스</v>
      </c>
      <c r="O22" s="26">
        <f>VLOOKUP(N22,플러스코스닥액티브!$B$11:$E$1000,4,0)</f>
        <v>2.16</v>
      </c>
      <c r="P22" s="26">
        <f>IFERROR(VLOOKUP(N22,'플러스코스닥액티브(과거)'!$B$11:$E$1000,4,0),0)</f>
        <v>2.2400000000000002</v>
      </c>
      <c r="Q22" s="20">
        <f t="shared" si="7"/>
        <v>-8.0000000000000071E-2</v>
      </c>
      <c r="R22" s="32">
        <f t="shared" si="8"/>
        <v>-3.5714285714285698E-2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올릭스</v>
      </c>
      <c r="C23" s="65">
        <f>VLOOKUP(B23,'코엑트 코스닥액티브'!$B$11:$E$1000,4,0)</f>
        <v>1.65</v>
      </c>
      <c r="D23" s="65">
        <f>IFERROR(VLOOKUP(B23,'코엑트 코스닥액티브(과거)'!$B$11:$E$1000,4,0),0)</f>
        <v>2.34</v>
      </c>
      <c r="E23" s="20">
        <f t="shared" si="3"/>
        <v>-0.69</v>
      </c>
      <c r="F23" s="32">
        <f t="shared" si="4"/>
        <v>-0.29487179487179482</v>
      </c>
      <c r="G23" s="63" t="str">
        <f>VLOOKUP(H23,유니버스!$C$14:$D$2561,2,0)</f>
        <v>KQ</v>
      </c>
      <c r="H23" s="65" t="str">
        <f>'타임 코스닥액티브'!B29</f>
        <v>피에스케이홀딩스</v>
      </c>
      <c r="I23" s="65">
        <f>VLOOKUP(H23,'타임 코스닥액티브'!$B$11:$E$1000,4,0)</f>
        <v>1.84</v>
      </c>
      <c r="J23" s="65">
        <f>IFERROR(VLOOKUP(H23,'타임코스닥액티브(과거)'!$B$11:$E$1000,4,0),0)</f>
        <v>0.57999999999999996</v>
      </c>
      <c r="K23" s="20">
        <f t="shared" si="5"/>
        <v>1.2600000000000002</v>
      </c>
      <c r="L23" s="32">
        <f t="shared" si="6"/>
        <v>2.1724137931034488</v>
      </c>
      <c r="M23" s="62" t="str">
        <f>VLOOKUP(N23,유니버스!$C$14:$D$2561,2,0)</f>
        <v>KQ</v>
      </c>
      <c r="N23" s="26" t="str">
        <f>플러스코스닥액티브!B29</f>
        <v>파크시스템스</v>
      </c>
      <c r="O23" s="26">
        <f>VLOOKUP(N23,플러스코스닥액티브!$B$11:$E$1000,4,0)</f>
        <v>2.14</v>
      </c>
      <c r="P23" s="26">
        <f>IFERROR(VLOOKUP(N23,'플러스코스닥액티브(과거)'!$B$11:$E$1000,4,0),0)</f>
        <v>2.2999999999999998</v>
      </c>
      <c r="Q23" s="20">
        <f t="shared" si="7"/>
        <v>-0.1599999999999997</v>
      </c>
      <c r="R23" s="32">
        <f t="shared" si="8"/>
        <v>-6.9565217391304168E-2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에코프로</v>
      </c>
      <c r="C24" s="65">
        <f>VLOOKUP(B24,'코엑트 코스닥액티브'!$B$11:$E$1000,4,0)</f>
        <v>1.63</v>
      </c>
      <c r="D24" s="65">
        <f>IFERROR(VLOOKUP(B24,'코엑트 코스닥액티브(과거)'!$B$11:$E$1000,4,0),0)</f>
        <v>2.09</v>
      </c>
      <c r="E24" s="20">
        <f t="shared" si="3"/>
        <v>-0.45999999999999996</v>
      </c>
      <c r="F24" s="32">
        <f t="shared" si="4"/>
        <v>-0.22009569377990434</v>
      </c>
      <c r="G24" s="63" t="str">
        <f>VLOOKUP(H24,유니버스!$C$14:$D$2561,2,0)</f>
        <v>KQ</v>
      </c>
      <c r="H24" s="65" t="str">
        <f>'타임 코스닥액티브'!B30</f>
        <v>필옵틱스</v>
      </c>
      <c r="I24" s="65">
        <f>VLOOKUP(H24,'타임 코스닥액티브'!$B$11:$E$1000,4,0)</f>
        <v>1.8</v>
      </c>
      <c r="J24" s="65">
        <f>IFERROR(VLOOKUP(H24,'타임코스닥액티브(과거)'!$B$11:$E$1000,4,0),0)</f>
        <v>1.79</v>
      </c>
      <c r="K24" s="20">
        <f t="shared" si="5"/>
        <v>1.0000000000000009E-2</v>
      </c>
      <c r="L24" s="32">
        <f t="shared" si="6"/>
        <v>5.5865921787709993E-3</v>
      </c>
      <c r="M24" s="62" t="str">
        <f>VLOOKUP(N24,유니버스!$C$14:$D$2561,2,0)</f>
        <v>KQ</v>
      </c>
      <c r="N24" s="26" t="str">
        <f>플러스코스닥액티브!B30</f>
        <v>솔브레인</v>
      </c>
      <c r="O24" s="26">
        <f>VLOOKUP(N24,플러스코스닥액티브!$B$11:$E$1000,4,0)</f>
        <v>1.76</v>
      </c>
      <c r="P24" s="26">
        <f>IFERROR(VLOOKUP(N24,'플러스코스닥액티브(과거)'!$B$11:$E$1000,4,0),0)</f>
        <v>1.81</v>
      </c>
      <c r="Q24" s="20">
        <f t="shared" si="7"/>
        <v>-5.0000000000000044E-2</v>
      </c>
      <c r="R24" s="32">
        <f t="shared" si="8"/>
        <v>-2.7624309392265234E-2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에코프로비엠</v>
      </c>
      <c r="C25" s="65">
        <f>VLOOKUP(B25,'코엑트 코스닥액티브'!$B$11:$E$1000,4,0)</f>
        <v>1.51</v>
      </c>
      <c r="D25" s="65">
        <f>IFERROR(VLOOKUP(B25,'코엑트 코스닥액티브(과거)'!$B$11:$E$1000,4,0),0)</f>
        <v>2.0099999999999998</v>
      </c>
      <c r="E25" s="20">
        <f t="shared" si="3"/>
        <v>-0.49999999999999978</v>
      </c>
      <c r="F25" s="32">
        <f t="shared" si="4"/>
        <v>-0.2487562189054725</v>
      </c>
      <c r="G25" s="63" t="str">
        <f>VLOOKUP(H25,유니버스!$C$14:$D$2561,2,0)</f>
        <v>KQ</v>
      </c>
      <c r="H25" s="65" t="str">
        <f>'타임 코스닥액티브'!B31</f>
        <v>피에스케이</v>
      </c>
      <c r="I25" s="65">
        <f>VLOOKUP(H25,'타임 코스닥액티브'!$B$11:$E$1000,4,0)</f>
        <v>1.76</v>
      </c>
      <c r="J25" s="65">
        <f>IFERROR(VLOOKUP(H25,'타임코스닥액티브(과거)'!$B$11:$E$1000,4,0),0)</f>
        <v>0.55000000000000004</v>
      </c>
      <c r="K25" s="20">
        <f t="shared" si="5"/>
        <v>1.21</v>
      </c>
      <c r="L25" s="32">
        <f t="shared" si="6"/>
        <v>2.1999999999999997</v>
      </c>
      <c r="M25" s="62" t="str">
        <f>VLOOKUP(N25,유니버스!$C$14:$D$2561,2,0)</f>
        <v>KQ</v>
      </c>
      <c r="N25" s="26" t="str">
        <f>플러스코스닥액티브!B31</f>
        <v>코오롱티슈진</v>
      </c>
      <c r="O25" s="26">
        <f>VLOOKUP(N25,플러스코스닥액티브!$B$11:$E$1000,4,0)</f>
        <v>1.63</v>
      </c>
      <c r="P25" s="26">
        <f>IFERROR(VLOOKUP(N25,'플러스코스닥액티브(과거)'!$B$11:$E$1000,4,0),0)</f>
        <v>1.5</v>
      </c>
      <c r="Q25" s="20">
        <f t="shared" si="7"/>
        <v>0.12999999999999989</v>
      </c>
      <c r="R25" s="32">
        <f t="shared" si="8"/>
        <v>8.666666666666667E-2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대주전자재료</v>
      </c>
      <c r="C26" s="65">
        <f>VLOOKUP(B26,'코엑트 코스닥액티브'!$B$11:$E$1000,4,0)</f>
        <v>1.4</v>
      </c>
      <c r="D26" s="65">
        <f>IFERROR(VLOOKUP(B26,'코엑트 코스닥액티브(과거)'!$B$11:$E$1000,4,0),0)</f>
        <v>1.85</v>
      </c>
      <c r="E26" s="20">
        <f t="shared" si="3"/>
        <v>-0.45000000000000018</v>
      </c>
      <c r="F26" s="32">
        <f t="shared" si="4"/>
        <v>-0.24324324324324331</v>
      </c>
      <c r="G26" s="63" t="str">
        <f>VLOOKUP(H26,유니버스!$C$14:$D$2561,2,0)</f>
        <v>KQ</v>
      </c>
      <c r="H26" s="65" t="str">
        <f>'타임 코스닥액티브'!B32</f>
        <v>에코프로</v>
      </c>
      <c r="I26" s="65">
        <f>VLOOKUP(H26,'타임 코스닥액티브'!$B$11:$E$1000,4,0)</f>
        <v>1.64</v>
      </c>
      <c r="J26" s="65">
        <f>IFERROR(VLOOKUP(H26,'타임코스닥액티브(과거)'!$B$11:$E$1000,4,0),0)</f>
        <v>1.98</v>
      </c>
      <c r="K26" s="20">
        <f t="shared" si="5"/>
        <v>-0.34000000000000008</v>
      </c>
      <c r="L26" s="32">
        <f t="shared" si="6"/>
        <v>-0.17171717171717171</v>
      </c>
      <c r="M26" s="62" t="str">
        <f>VLOOKUP(N26,유니버스!$C$14:$D$2561,2,0)</f>
        <v>KQ</v>
      </c>
      <c r="N26" s="26" t="str">
        <f>플러스코스닥액티브!B32</f>
        <v>대주전자재료</v>
      </c>
      <c r="O26" s="26">
        <f>VLOOKUP(N26,플러스코스닥액티브!$B$11:$E$1000,4,0)</f>
        <v>1.55</v>
      </c>
      <c r="P26" s="26">
        <f>IFERROR(VLOOKUP(N26,'플러스코스닥액티브(과거)'!$B$11:$E$1000,4,0),0)</f>
        <v>1.94</v>
      </c>
      <c r="Q26" s="20">
        <f t="shared" si="7"/>
        <v>-0.3899999999999999</v>
      </c>
      <c r="R26" s="32">
        <f t="shared" si="8"/>
        <v>-0.2010309278350515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비나텍</v>
      </c>
      <c r="C27" s="65">
        <f>VLOOKUP(B27,'코엑트 코스닥액티브'!$B$11:$E$1000,4,0)</f>
        <v>1.31</v>
      </c>
      <c r="D27" s="65">
        <f>IFERROR(VLOOKUP(B27,'코엑트 코스닥액티브(과거)'!$B$11:$E$1000,4,0),0)</f>
        <v>1.89</v>
      </c>
      <c r="E27" s="20">
        <f t="shared" si="3"/>
        <v>-0.57999999999999985</v>
      </c>
      <c r="F27" s="32">
        <f t="shared" si="4"/>
        <v>-0.30687830687830686</v>
      </c>
      <c r="G27" s="63" t="str">
        <f>VLOOKUP(H27,유니버스!$C$14:$D$2561,2,0)</f>
        <v>KQ</v>
      </c>
      <c r="H27" s="65" t="str">
        <f>'타임 코스닥액티브'!B33</f>
        <v>에스피지</v>
      </c>
      <c r="I27" s="65">
        <f>VLOOKUP(H27,'타임 코스닥액티브'!$B$11:$E$1000,4,0)</f>
        <v>1.64</v>
      </c>
      <c r="J27" s="65">
        <f>IFERROR(VLOOKUP(H27,'타임코스닥액티브(과거)'!$B$11:$E$1000,4,0),0)</f>
        <v>1.75</v>
      </c>
      <c r="K27" s="20">
        <f t="shared" si="5"/>
        <v>-0.1100000000000001</v>
      </c>
      <c r="L27" s="32">
        <f t="shared" si="6"/>
        <v>-6.2857142857142945E-2</v>
      </c>
      <c r="M27" s="62" t="str">
        <f>VLOOKUP(N27,유니버스!$C$14:$D$2561,2,0)</f>
        <v>KQ</v>
      </c>
      <c r="N27" s="26" t="str">
        <f>플러스코스닥액티브!B33</f>
        <v>피에스케이</v>
      </c>
      <c r="O27" s="26">
        <f>VLOOKUP(N27,플러스코스닥액티브!$B$11:$E$1000,4,0)</f>
        <v>1.54</v>
      </c>
      <c r="P27" s="26">
        <f>IFERROR(VLOOKUP(N27,'플러스코스닥액티브(과거)'!$B$11:$E$1000,4,0),0)</f>
        <v>1.21</v>
      </c>
      <c r="Q27" s="20">
        <f t="shared" si="7"/>
        <v>0.33000000000000007</v>
      </c>
      <c r="R27" s="32">
        <f t="shared" si="8"/>
        <v>0.27272727272727271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엘티씨</v>
      </c>
      <c r="C28" s="65">
        <f>VLOOKUP(B28,'코엑트 코스닥액티브'!$B$11:$E$1000,4,0)</f>
        <v>1.24</v>
      </c>
      <c r="D28" s="65">
        <f>IFERROR(VLOOKUP(B28,'코엑트 코스닥액티브(과거)'!$B$11:$E$1000,4,0),0)</f>
        <v>0.74</v>
      </c>
      <c r="E28" s="20">
        <f t="shared" si="3"/>
        <v>0.5</v>
      </c>
      <c r="F28" s="32">
        <f t="shared" si="4"/>
        <v>0.67567567567567566</v>
      </c>
      <c r="G28" s="63" t="str">
        <f>VLOOKUP(H28,유니버스!$C$14:$D$2561,2,0)</f>
        <v>KQ</v>
      </c>
      <c r="H28" s="65" t="str">
        <f>'타임 코스닥액티브'!B34</f>
        <v>LS머트리얼즈</v>
      </c>
      <c r="I28" s="65">
        <f>VLOOKUP(H28,'타임 코스닥액티브'!$B$11:$E$1000,4,0)</f>
        <v>1.59</v>
      </c>
      <c r="J28" s="65">
        <f>IFERROR(VLOOKUP(H28,'타임코스닥액티브(과거)'!$B$11:$E$1000,4,0),0)</f>
        <v>1.97</v>
      </c>
      <c r="K28" s="20">
        <f t="shared" si="5"/>
        <v>-0.37999999999999989</v>
      </c>
      <c r="L28" s="32">
        <f t="shared" si="6"/>
        <v>-0.19289340101522834</v>
      </c>
      <c r="M28" s="62" t="str">
        <f>VLOOKUP(N28,유니버스!$C$14:$D$2561,2,0)</f>
        <v>KQ</v>
      </c>
      <c r="N28" s="26" t="str">
        <f>플러스코스닥액티브!B34</f>
        <v>알지노믹스</v>
      </c>
      <c r="O28" s="26">
        <f>VLOOKUP(N28,플러스코스닥액티브!$B$11:$E$1000,4,0)</f>
        <v>1.51</v>
      </c>
      <c r="P28" s="26">
        <f>IFERROR(VLOOKUP(N28,'플러스코스닥액티브(과거)'!$B$11:$E$1000,4,0),0)</f>
        <v>1.75</v>
      </c>
      <c r="Q28" s="20">
        <f t="shared" si="7"/>
        <v>-0.24</v>
      </c>
      <c r="R28" s="32">
        <f t="shared" si="8"/>
        <v>-0.13714285714285712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오스코텍</v>
      </c>
      <c r="C29" s="65">
        <f>VLOOKUP(B29,'코엑트 코스닥액티브'!$B$11:$E$1000,4,0)</f>
        <v>1.21</v>
      </c>
      <c r="D29" s="65">
        <f>IFERROR(VLOOKUP(B29,'코엑트 코스닥액티브(과거)'!$B$11:$E$1000,4,0),0)</f>
        <v>1.36</v>
      </c>
      <c r="E29" s="20">
        <f t="shared" si="3"/>
        <v>-0.15000000000000013</v>
      </c>
      <c r="F29" s="32">
        <f t="shared" si="4"/>
        <v>-0.11029411764705888</v>
      </c>
      <c r="G29" s="63" t="str">
        <f>VLOOKUP(H29,유니버스!$C$14:$D$2561,2,0)</f>
        <v>KQ</v>
      </c>
      <c r="H29" s="65" t="str">
        <f>'타임 코스닥액티브'!B35</f>
        <v>알테오젠</v>
      </c>
      <c r="I29" s="65">
        <f>VLOOKUP(H29,'타임 코스닥액티브'!$B$11:$E$1000,4,0)</f>
        <v>1.59</v>
      </c>
      <c r="J29" s="65">
        <f>IFERROR(VLOOKUP(H29,'타임코스닥액티브(과거)'!$B$11:$E$1000,4,0),0)</f>
        <v>2.0099999999999998</v>
      </c>
      <c r="K29" s="20">
        <f t="shared" si="5"/>
        <v>-0.41999999999999971</v>
      </c>
      <c r="L29" s="32">
        <f t="shared" si="6"/>
        <v>-0.20895522388059684</v>
      </c>
      <c r="M29" s="62" t="str">
        <f>VLOOKUP(N29,유니버스!$C$14:$D$2561,2,0)</f>
        <v>KQ</v>
      </c>
      <c r="N29" s="26" t="str">
        <f>플러스코스닥액티브!B35</f>
        <v>ISC</v>
      </c>
      <c r="O29" s="26">
        <f>VLOOKUP(N29,플러스코스닥액티브!$B$11:$E$1000,4,0)</f>
        <v>1.47</v>
      </c>
      <c r="P29" s="26">
        <f>IFERROR(VLOOKUP(N29,'플러스코스닥액티브(과거)'!$B$11:$E$1000,4,0),0)</f>
        <v>1.5</v>
      </c>
      <c r="Q29" s="20">
        <f t="shared" si="7"/>
        <v>-3.0000000000000027E-2</v>
      </c>
      <c r="R29" s="32">
        <f t="shared" si="8"/>
        <v>-2.0000000000000018E-2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주성엔지니어링</v>
      </c>
      <c r="C30" s="65">
        <f>VLOOKUP(B30,'코엑트 코스닥액티브'!$B$11:$E$1000,4,0)</f>
        <v>1.17</v>
      </c>
      <c r="D30" s="65">
        <f>IFERROR(VLOOKUP(B30,'코엑트 코스닥액티브(과거)'!$B$11:$E$1000,4,0),0)</f>
        <v>1.75</v>
      </c>
      <c r="E30" s="20">
        <f t="shared" si="3"/>
        <v>-0.58000000000000007</v>
      </c>
      <c r="F30" s="32">
        <f t="shared" si="4"/>
        <v>-0.33142857142857152</v>
      </c>
      <c r="G30" s="63" t="str">
        <f>VLOOKUP(H30,유니버스!$C$14:$D$2561,2,0)</f>
        <v>KQ</v>
      </c>
      <c r="H30" s="65" t="str">
        <f>'타임 코스닥액티브'!B36</f>
        <v>선익시스템</v>
      </c>
      <c r="I30" s="65">
        <f>VLOOKUP(H30,'타임 코스닥액티브'!$B$11:$E$1000,4,0)</f>
        <v>1.55</v>
      </c>
      <c r="J30" s="65">
        <f>IFERROR(VLOOKUP(H30,'타임코스닥액티브(과거)'!$B$11:$E$1000,4,0),0)</f>
        <v>1.5</v>
      </c>
      <c r="K30" s="20">
        <f t="shared" si="5"/>
        <v>5.0000000000000044E-2</v>
      </c>
      <c r="L30" s="32">
        <f t="shared" si="6"/>
        <v>3.3333333333333437E-2</v>
      </c>
      <c r="M30" s="62" t="str">
        <f>VLOOKUP(N30,유니버스!$C$14:$D$2561,2,0)</f>
        <v>KQ</v>
      </c>
      <c r="N30" s="26" t="str">
        <f>플러스코스닥액티브!B36</f>
        <v>동진쎄미켐</v>
      </c>
      <c r="O30" s="26">
        <f>VLOOKUP(N30,플러스코스닥액티브!$B$11:$E$1000,4,0)</f>
        <v>1.47</v>
      </c>
      <c r="P30" s="26">
        <f>IFERROR(VLOOKUP(N30,'플러스코스닥액티브(과거)'!$B$11:$E$1000,4,0),0)</f>
        <v>1.39</v>
      </c>
      <c r="Q30" s="20">
        <f t="shared" si="7"/>
        <v>8.0000000000000071E-2</v>
      </c>
      <c r="R30" s="32">
        <f t="shared" si="8"/>
        <v>5.755395683453246E-2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알멕</v>
      </c>
      <c r="C31" s="65">
        <f>VLOOKUP(B31,'코엑트 코스닥액티브'!$B$11:$E$1000,4,0)</f>
        <v>1.1599999999999999</v>
      </c>
      <c r="D31" s="65">
        <f>IFERROR(VLOOKUP(B31,'코엑트 코스닥액티브(과거)'!$B$11:$E$1000,4,0),0)</f>
        <v>1.62</v>
      </c>
      <c r="E31" s="20">
        <f t="shared" si="3"/>
        <v>-0.46000000000000019</v>
      </c>
      <c r="F31" s="32">
        <f t="shared" si="4"/>
        <v>-0.28395061728395077</v>
      </c>
      <c r="G31" s="63" t="str">
        <f>VLOOKUP(H31,유니버스!$C$14:$D$2561,2,0)</f>
        <v>KQ</v>
      </c>
      <c r="H31" s="65" t="str">
        <f>'타임 코스닥액티브'!B37</f>
        <v>미코</v>
      </c>
      <c r="I31" s="65">
        <f>VLOOKUP(H31,'타임 코스닥액티브'!$B$11:$E$1000,4,0)</f>
        <v>1.54</v>
      </c>
      <c r="J31" s="65">
        <f>IFERROR(VLOOKUP(H31,'타임코스닥액티브(과거)'!$B$11:$E$1000,4,0),0)</f>
        <v>1.35</v>
      </c>
      <c r="K31" s="20">
        <f t="shared" si="5"/>
        <v>0.18999999999999995</v>
      </c>
      <c r="L31" s="32">
        <f t="shared" si="6"/>
        <v>0.14074074074074061</v>
      </c>
      <c r="M31" s="62" t="str">
        <f>VLOOKUP(N31,유니버스!$C$14:$D$2561,2,0)</f>
        <v>KQ</v>
      </c>
      <c r="N31" s="26" t="str">
        <f>플러스코스닥액티브!B37</f>
        <v>올릭스</v>
      </c>
      <c r="O31" s="26">
        <f>VLOOKUP(N31,플러스코스닥액티브!$B$11:$E$1000,4,0)</f>
        <v>1.43</v>
      </c>
      <c r="P31" s="26">
        <f>IFERROR(VLOOKUP(N31,'플러스코스닥액티브(과거)'!$B$11:$E$1000,4,0),0)</f>
        <v>2.29</v>
      </c>
      <c r="Q31" s="20">
        <f t="shared" si="7"/>
        <v>-0.8600000000000001</v>
      </c>
      <c r="R31" s="32">
        <f t="shared" si="8"/>
        <v>-0.37554585152838427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레인보우로보틱스</v>
      </c>
      <c r="C32" s="65">
        <f>VLOOKUP(B32,'코엑트 코스닥액티브'!$B$11:$E$1000,4,0)</f>
        <v>1.0900000000000001</v>
      </c>
      <c r="D32" s="65">
        <f>IFERROR(VLOOKUP(B32,'코엑트 코스닥액티브(과거)'!$B$11:$E$1000,4,0),0)</f>
        <v>1.28</v>
      </c>
      <c r="E32" s="20">
        <f t="shared" si="3"/>
        <v>-0.18999999999999995</v>
      </c>
      <c r="F32" s="32">
        <f t="shared" si="4"/>
        <v>-0.1484375</v>
      </c>
      <c r="G32" s="63" t="str">
        <f>VLOOKUP(H32,유니버스!$C$14:$D$2561,2,0)</f>
        <v>KQ</v>
      </c>
      <c r="H32" s="65" t="str">
        <f>'타임 코스닥액티브'!B38</f>
        <v>ISC</v>
      </c>
      <c r="I32" s="65">
        <f>VLOOKUP(H32,'타임 코스닥액티브'!$B$11:$E$1000,4,0)</f>
        <v>1.52</v>
      </c>
      <c r="J32" s="65">
        <f>IFERROR(VLOOKUP(H32,'타임코스닥액티브(과거)'!$B$11:$E$1000,4,0),0)</f>
        <v>1.1399999999999999</v>
      </c>
      <c r="K32" s="20">
        <f t="shared" si="5"/>
        <v>0.38000000000000012</v>
      </c>
      <c r="L32" s="32">
        <f t="shared" si="6"/>
        <v>0.33333333333333348</v>
      </c>
      <c r="M32" s="62" t="str">
        <f>VLOOKUP(N32,유니버스!$C$14:$D$2561,2,0)</f>
        <v>KQ</v>
      </c>
      <c r="N32" s="26" t="str">
        <f>플러스코스닥액티브!B38</f>
        <v>기가비스</v>
      </c>
      <c r="O32" s="26">
        <f>VLOOKUP(N32,플러스코스닥액티브!$B$11:$E$1000,4,0)</f>
        <v>1.37</v>
      </c>
      <c r="P32" s="26">
        <f>IFERROR(VLOOKUP(N32,'플러스코스닥액티브(과거)'!$B$11:$E$1000,4,0),0)</f>
        <v>1.42</v>
      </c>
      <c r="Q32" s="20">
        <f t="shared" si="7"/>
        <v>-4.9999999999999822E-2</v>
      </c>
      <c r="R32" s="32">
        <f t="shared" si="8"/>
        <v>-3.5211267605633645E-2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코나아이</v>
      </c>
      <c r="C33" s="65">
        <f>VLOOKUP(B33,'코엑트 코스닥액티브'!$B$11:$E$1000,4,0)</f>
        <v>1.07</v>
      </c>
      <c r="D33" s="65">
        <f>IFERROR(VLOOKUP(B33,'코엑트 코스닥액티브(과거)'!$B$11:$E$1000,4,0),0)</f>
        <v>1.2</v>
      </c>
      <c r="E33" s="20">
        <f t="shared" si="3"/>
        <v>-0.12999999999999989</v>
      </c>
      <c r="F33" s="32">
        <f t="shared" si="4"/>
        <v>-0.10833333333333328</v>
      </c>
      <c r="G33" s="63" t="str">
        <f>VLOOKUP(H33,유니버스!$C$14:$D$2561,2,0)</f>
        <v>KQ</v>
      </c>
      <c r="H33" s="65" t="str">
        <f>'타임 코스닥액티브'!B39</f>
        <v>에코프로비엠</v>
      </c>
      <c r="I33" s="65">
        <f>VLOOKUP(H33,'타임 코스닥액티브'!$B$11:$E$1000,4,0)</f>
        <v>1.44</v>
      </c>
      <c r="J33" s="65">
        <f>IFERROR(VLOOKUP(H33,'타임코스닥액티브(과거)'!$B$11:$E$1000,4,0),0)</f>
        <v>1.75</v>
      </c>
      <c r="K33" s="20">
        <f t="shared" si="5"/>
        <v>-0.31000000000000005</v>
      </c>
      <c r="L33" s="32">
        <f t="shared" si="6"/>
        <v>-0.17714285714285716</v>
      </c>
      <c r="M33" s="62" t="str">
        <f>VLOOKUP(N33,유니버스!$C$14:$D$2561,2,0)</f>
        <v>KQ</v>
      </c>
      <c r="N33" s="26" t="str">
        <f>플러스코스닥액티브!B39</f>
        <v>클래시스</v>
      </c>
      <c r="O33" s="26">
        <f>VLOOKUP(N33,플러스코스닥액티브!$B$11:$E$1000,4,0)</f>
        <v>1.3</v>
      </c>
      <c r="P33" s="26">
        <f>IFERROR(VLOOKUP(N33,'플러스코스닥액티브(과거)'!$B$11:$E$1000,4,0),0)</f>
        <v>1.19</v>
      </c>
      <c r="Q33" s="20">
        <f t="shared" si="7"/>
        <v>0.1100000000000001</v>
      </c>
      <c r="R33" s="32">
        <f t="shared" si="8"/>
        <v>9.2436974789916082E-2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덕산하이메탈</v>
      </c>
      <c r="C34" s="65">
        <f>VLOOKUP(B34,'코엑트 코스닥액티브'!$B$11:$E$1000,4,0)</f>
        <v>1.05</v>
      </c>
      <c r="D34" s="65">
        <f>IFERROR(VLOOKUP(B34,'코엑트 코스닥액티브(과거)'!$B$11:$E$1000,4,0),0)</f>
        <v>0.85</v>
      </c>
      <c r="E34" s="20">
        <f t="shared" si="3"/>
        <v>0.20000000000000007</v>
      </c>
      <c r="F34" s="32">
        <f t="shared" si="4"/>
        <v>0.23529411764705888</v>
      </c>
      <c r="G34" s="63" t="str">
        <f>VLOOKUP(H34,유니버스!$C$14:$D$2561,2,0)</f>
        <v>KQ</v>
      </c>
      <c r="H34" s="65" t="str">
        <f>'타임 코스닥액티브'!B40</f>
        <v>덕산하이메탈</v>
      </c>
      <c r="I34" s="65">
        <f>VLOOKUP(H34,'타임 코스닥액티브'!$B$11:$E$1000,4,0)</f>
        <v>1.42</v>
      </c>
      <c r="J34" s="65">
        <f>IFERROR(VLOOKUP(H34,'타임코스닥액티브(과거)'!$B$11:$E$1000,4,0),0)</f>
        <v>0.84</v>
      </c>
      <c r="K34" s="20">
        <f t="shared" si="5"/>
        <v>0.57999999999999996</v>
      </c>
      <c r="L34" s="32">
        <f t="shared" si="6"/>
        <v>0.69047619047619047</v>
      </c>
      <c r="M34" s="62" t="str">
        <f>VLOOKUP(N34,유니버스!$C$14:$D$2561,2,0)</f>
        <v>KQ</v>
      </c>
      <c r="N34" s="26" t="str">
        <f>플러스코스닥액티브!B40</f>
        <v>상신이디피</v>
      </c>
      <c r="O34" s="26">
        <f>VLOOKUP(N34,플러스코스닥액티브!$B$11:$E$1000,4,0)</f>
        <v>1.2</v>
      </c>
      <c r="P34" s="26">
        <f>IFERROR(VLOOKUP(N34,'플러스코스닥액티브(과거)'!$B$11:$E$1000,4,0),0)</f>
        <v>0.94</v>
      </c>
      <c r="Q34" s="20">
        <f t="shared" si="7"/>
        <v>0.26</v>
      </c>
      <c r="R34" s="32">
        <f t="shared" si="8"/>
        <v>0.27659574468085113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큐리언트</v>
      </c>
      <c r="C35" s="65">
        <f>VLOOKUP(B35,'코엑트 코스닥액티브'!$B$11:$E$1000,4,0)</f>
        <v>1.03</v>
      </c>
      <c r="D35" s="65">
        <f>IFERROR(VLOOKUP(B35,'코엑트 코스닥액티브(과거)'!$B$11:$E$1000,4,0),0)</f>
        <v>1.06</v>
      </c>
      <c r="E35" s="20">
        <f t="shared" si="3"/>
        <v>-3.0000000000000027E-2</v>
      </c>
      <c r="F35" s="32">
        <f t="shared" si="4"/>
        <v>-2.8301886792452824E-2</v>
      </c>
      <c r="G35" s="63" t="str">
        <f>VLOOKUP(H35,유니버스!$C$14:$D$2561,2,0)</f>
        <v>KQ</v>
      </c>
      <c r="H35" s="65" t="str">
        <f>'타임 코스닥액티브'!B41</f>
        <v>하나마이크론</v>
      </c>
      <c r="I35" s="65">
        <f>VLOOKUP(H35,'타임 코스닥액티브'!$B$11:$E$1000,4,0)</f>
        <v>1.37</v>
      </c>
      <c r="J35" s="65">
        <f>IFERROR(VLOOKUP(H35,'타임코스닥액티브(과거)'!$B$11:$E$1000,4,0),0)</f>
        <v>0</v>
      </c>
      <c r="K35" s="20">
        <f t="shared" si="5"/>
        <v>1.37</v>
      </c>
      <c r="L35" s="32" t="str">
        <f t="shared" si="6"/>
        <v>신규편입</v>
      </c>
      <c r="M35" s="62" t="str">
        <f>VLOOKUP(N35,유니버스!$C$14:$D$2561,2,0)</f>
        <v>KQ</v>
      </c>
      <c r="N35" s="26" t="str">
        <f>플러스코스닥액티브!B41</f>
        <v>에이프릴바이오</v>
      </c>
      <c r="O35" s="26">
        <f>VLOOKUP(N35,플러스코스닥액티브!$B$11:$E$1000,4,0)</f>
        <v>1.19</v>
      </c>
      <c r="P35" s="26">
        <f>IFERROR(VLOOKUP(N35,'플러스코스닥액티브(과거)'!$B$11:$E$1000,4,0),0)</f>
        <v>1.89</v>
      </c>
      <c r="Q35" s="20">
        <f t="shared" si="7"/>
        <v>-0.7</v>
      </c>
      <c r="R35" s="32">
        <f t="shared" si="8"/>
        <v>-0.37037037037037035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파마리서치</v>
      </c>
      <c r="C36" s="65">
        <f>VLOOKUP(B36,'코엑트 코스닥액티브'!$B$11:$E$1000,4,0)</f>
        <v>0.95</v>
      </c>
      <c r="D36" s="65">
        <f>IFERROR(VLOOKUP(B36,'코엑트 코스닥액티브(과거)'!$B$11:$E$1000,4,0),0)</f>
        <v>0.88</v>
      </c>
      <c r="E36" s="20">
        <f t="shared" si="3"/>
        <v>6.9999999999999951E-2</v>
      </c>
      <c r="F36" s="32">
        <f t="shared" si="4"/>
        <v>7.9545454545454586E-2</v>
      </c>
      <c r="G36" s="63" t="str">
        <f>VLOOKUP(H36,유니버스!$C$14:$D$2561,2,0)</f>
        <v>KQ</v>
      </c>
      <c r="H36" s="65" t="str">
        <f>'타임 코스닥액티브'!B42</f>
        <v>비츠로셀</v>
      </c>
      <c r="I36" s="65">
        <f>VLOOKUP(H36,'타임 코스닥액티브'!$B$11:$E$1000,4,0)</f>
        <v>1.33</v>
      </c>
      <c r="J36" s="65">
        <f>IFERROR(VLOOKUP(H36,'타임코스닥액티브(과거)'!$B$11:$E$1000,4,0),0)</f>
        <v>1.44</v>
      </c>
      <c r="K36" s="20">
        <f t="shared" si="5"/>
        <v>-0.10999999999999988</v>
      </c>
      <c r="L36" s="32">
        <f t="shared" si="6"/>
        <v>-7.638888888888884E-2</v>
      </c>
      <c r="M36" s="62" t="str">
        <f>VLOOKUP(N36,유니버스!$C$14:$D$2561,2,0)</f>
        <v>KQ</v>
      </c>
      <c r="N36" s="26" t="str">
        <f>플러스코스닥액티브!B42</f>
        <v>원익IPS</v>
      </c>
      <c r="O36" s="26">
        <f>VLOOKUP(N36,플러스코스닥액티브!$B$11:$E$1000,4,0)</f>
        <v>1</v>
      </c>
      <c r="P36" s="26">
        <f>IFERROR(VLOOKUP(N36,'플러스코스닥액티브(과거)'!$B$11:$E$1000,4,0),0)</f>
        <v>0.3</v>
      </c>
      <c r="Q36" s="20">
        <f t="shared" si="7"/>
        <v>0.7</v>
      </c>
      <c r="R36" s="32">
        <f t="shared" si="8"/>
        <v>2.3333333333333335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한양디지텍</v>
      </c>
      <c r="C37" s="65">
        <f>VLOOKUP(B37,'코엑트 코스닥액티브'!$B$11:$E$1000,4,0)</f>
        <v>0.94</v>
      </c>
      <c r="D37" s="65">
        <f>IFERROR(VLOOKUP(B37,'코엑트 코스닥액티브(과거)'!$B$11:$E$1000,4,0),0)</f>
        <v>0.89</v>
      </c>
      <c r="E37" s="20">
        <f t="shared" si="3"/>
        <v>4.9999999999999933E-2</v>
      </c>
      <c r="F37" s="32">
        <f t="shared" si="4"/>
        <v>5.6179775280898792E-2</v>
      </c>
      <c r="G37" s="63" t="str">
        <f>VLOOKUP(H37,유니버스!$C$14:$D$2561,2,0)</f>
        <v>KQ</v>
      </c>
      <c r="H37" s="65" t="str">
        <f>'타임 코스닥액티브'!B43</f>
        <v>켐트로닉스</v>
      </c>
      <c r="I37" s="65">
        <f>VLOOKUP(H37,'타임 코스닥액티브'!$B$11:$E$1000,4,0)</f>
        <v>1.24</v>
      </c>
      <c r="J37" s="65">
        <f>IFERROR(VLOOKUP(H37,'타임코스닥액티브(과거)'!$B$11:$E$1000,4,0),0)</f>
        <v>1.43</v>
      </c>
      <c r="K37" s="20">
        <f t="shared" si="5"/>
        <v>-0.18999999999999995</v>
      </c>
      <c r="L37" s="32">
        <f t="shared" si="6"/>
        <v>-0.13286713286713281</v>
      </c>
      <c r="M37" s="62" t="str">
        <f>VLOOKUP(N37,유니버스!$C$14:$D$2561,2,0)</f>
        <v>KQ</v>
      </c>
      <c r="N37" s="26" t="str">
        <f>플러스코스닥액티브!B43</f>
        <v>실리콘투</v>
      </c>
      <c r="O37" s="26">
        <f>VLOOKUP(N37,플러스코스닥액티브!$B$11:$E$1000,4,0)</f>
        <v>0.99</v>
      </c>
      <c r="P37" s="26">
        <f>IFERROR(VLOOKUP(N37,'플러스코스닥액티브(과거)'!$B$11:$E$1000,4,0),0)</f>
        <v>1.32</v>
      </c>
      <c r="Q37" s="20">
        <f t="shared" si="7"/>
        <v>-0.33000000000000007</v>
      </c>
      <c r="R37" s="32">
        <f t="shared" si="8"/>
        <v>-0.25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코세스</v>
      </c>
      <c r="C38" s="65">
        <f>VLOOKUP(B38,'코엑트 코스닥액티브'!$B$11:$E$1000,4,0)</f>
        <v>0.94</v>
      </c>
      <c r="D38" s="65">
        <f>IFERROR(VLOOKUP(B38,'코엑트 코스닥액티브(과거)'!$B$11:$E$1000,4,0),0)</f>
        <v>0.98</v>
      </c>
      <c r="E38" s="20">
        <f t="shared" si="3"/>
        <v>-4.0000000000000036E-2</v>
      </c>
      <c r="F38" s="32">
        <f t="shared" si="4"/>
        <v>-4.081632653061229E-2</v>
      </c>
      <c r="G38" s="63" t="str">
        <f>VLOOKUP(H38,유니버스!$C$14:$D$2561,2,0)</f>
        <v>KQ</v>
      </c>
      <c r="H38" s="65" t="str">
        <f>'타임 코스닥액티브'!B44</f>
        <v>오이솔루션</v>
      </c>
      <c r="I38" s="65">
        <f>VLOOKUP(H38,'타임 코스닥액티브'!$B$11:$E$1000,4,0)</f>
        <v>1.17</v>
      </c>
      <c r="J38" s="65">
        <f>IFERROR(VLOOKUP(H38,'타임코스닥액티브(과거)'!$B$11:$E$1000,4,0),0)</f>
        <v>1.25</v>
      </c>
      <c r="K38" s="20">
        <f t="shared" si="5"/>
        <v>-8.0000000000000071E-2</v>
      </c>
      <c r="L38" s="32">
        <f t="shared" si="6"/>
        <v>-6.4000000000000057E-2</v>
      </c>
      <c r="M38" s="62" t="str">
        <f>VLOOKUP(N38,유니버스!$C$14:$D$2561,2,0)</f>
        <v>KQ</v>
      </c>
      <c r="N38" s="26" t="str">
        <f>플러스코스닥액티브!B44</f>
        <v>금양그린파워</v>
      </c>
      <c r="O38" s="26">
        <f>VLOOKUP(N38,플러스코스닥액티브!$B$11:$E$1000,4,0)</f>
        <v>0.89</v>
      </c>
      <c r="P38" s="26">
        <f>IFERROR(VLOOKUP(N38,'플러스코스닥액티브(과거)'!$B$11:$E$1000,4,0),0)</f>
        <v>0.79</v>
      </c>
      <c r="Q38" s="20">
        <f t="shared" si="7"/>
        <v>9.9999999999999978E-2</v>
      </c>
      <c r="R38" s="32">
        <f t="shared" si="8"/>
        <v>0.12658227848101267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RFHIC</v>
      </c>
      <c r="C39" s="65">
        <f>VLOOKUP(B39,'코엑트 코스닥액티브'!$B$11:$E$1000,4,0)</f>
        <v>0.93</v>
      </c>
      <c r="D39" s="65">
        <f>IFERROR(VLOOKUP(B39,'코엑트 코스닥액티브(과거)'!$B$11:$E$1000,4,0),0)</f>
        <v>1.1299999999999999</v>
      </c>
      <c r="E39" s="20">
        <f t="shared" si="3"/>
        <v>-0.19999999999999984</v>
      </c>
      <c r="F39" s="32">
        <f t="shared" si="4"/>
        <v>-0.17699115044247771</v>
      </c>
      <c r="G39" s="63" t="str">
        <f>VLOOKUP(H39,유니버스!$C$14:$D$2561,2,0)</f>
        <v>KQ</v>
      </c>
      <c r="H39" s="65" t="str">
        <f>'타임 코스닥액티브'!B45</f>
        <v>디앤디파마텍</v>
      </c>
      <c r="I39" s="65">
        <f>VLOOKUP(H39,'타임 코스닥액티브'!$B$11:$E$1000,4,0)</f>
        <v>1.1599999999999999</v>
      </c>
      <c r="J39" s="65">
        <f>IFERROR(VLOOKUP(H39,'타임코스닥액티브(과거)'!$B$11:$E$1000,4,0),0)</f>
        <v>0</v>
      </c>
      <c r="K39" s="20">
        <f t="shared" si="5"/>
        <v>1.1599999999999999</v>
      </c>
      <c r="L39" s="32" t="str">
        <f t="shared" si="6"/>
        <v>신규편입</v>
      </c>
      <c r="M39" s="62" t="str">
        <f>VLOOKUP(N39,유니버스!$C$14:$D$2561,2,0)</f>
        <v>KQ</v>
      </c>
      <c r="N39" s="26" t="str">
        <f>플러스코스닥액티브!B45</f>
        <v>지투지바이오</v>
      </c>
      <c r="O39" s="26">
        <f>VLOOKUP(N39,플러스코스닥액티브!$B$11:$E$1000,4,0)</f>
        <v>0.86</v>
      </c>
      <c r="P39" s="26">
        <f>IFERROR(VLOOKUP(N39,'플러스코스닥액티브(과거)'!$B$11:$E$1000,4,0),0)</f>
        <v>1.04</v>
      </c>
      <c r="Q39" s="20">
        <f t="shared" si="7"/>
        <v>-0.18000000000000005</v>
      </c>
      <c r="R39" s="32">
        <f t="shared" si="8"/>
        <v>-0.17307692307692313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가온칩스</v>
      </c>
      <c r="C40" s="65">
        <f>VLOOKUP(B40,'코엑트 코스닥액티브'!$B$11:$E$1000,4,0)</f>
        <v>0.91</v>
      </c>
      <c r="D40" s="65">
        <f>IFERROR(VLOOKUP(B40,'코엑트 코스닥액티브(과거)'!$B$11:$E$1000,4,0),0)</f>
        <v>1.06</v>
      </c>
      <c r="E40" s="20">
        <f t="shared" si="3"/>
        <v>-0.15000000000000002</v>
      </c>
      <c r="F40" s="32">
        <f t="shared" si="4"/>
        <v>-0.14150943396226412</v>
      </c>
      <c r="G40" s="63" t="str">
        <f>VLOOKUP(H40,유니버스!$C$14:$D$2561,2,0)</f>
        <v>KQ</v>
      </c>
      <c r="H40" s="65" t="str">
        <f>'타임 코스닥액티브'!B46</f>
        <v>리가켐바이오</v>
      </c>
      <c r="I40" s="65">
        <f>VLOOKUP(H40,'타임 코스닥액티브'!$B$11:$E$1000,4,0)</f>
        <v>1.1299999999999999</v>
      </c>
      <c r="J40" s="65">
        <f>IFERROR(VLOOKUP(H40,'타임코스닥액티브(과거)'!$B$11:$E$1000,4,0),0)</f>
        <v>1.19</v>
      </c>
      <c r="K40" s="20">
        <f t="shared" si="5"/>
        <v>-6.0000000000000053E-2</v>
      </c>
      <c r="L40" s="32">
        <f t="shared" si="6"/>
        <v>-5.0420168067226934E-2</v>
      </c>
      <c r="M40" s="62" t="str">
        <f>VLOOKUP(N40,유니버스!$C$14:$D$2561,2,0)</f>
        <v>KQ</v>
      </c>
      <c r="N40" s="26" t="str">
        <f>플러스코스닥액티브!B46</f>
        <v>씨엠티엑스</v>
      </c>
      <c r="O40" s="26">
        <f>VLOOKUP(N40,플러스코스닥액티브!$B$11:$E$1000,4,0)</f>
        <v>0.86</v>
      </c>
      <c r="P40" s="26">
        <f>IFERROR(VLOOKUP(N40,'플러스코스닥액티브(과거)'!$B$11:$E$1000,4,0),0)</f>
        <v>0.5</v>
      </c>
      <c r="Q40" s="20">
        <f t="shared" si="7"/>
        <v>0.36</v>
      </c>
      <c r="R40" s="32">
        <f t="shared" si="8"/>
        <v>0.72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제주반도체</v>
      </c>
      <c r="C41" s="65">
        <f>VLOOKUP(B41,'코엑트 코스닥액티브'!$B$11:$E$1000,4,0)</f>
        <v>0.89</v>
      </c>
      <c r="D41" s="65">
        <f>IFERROR(VLOOKUP(B41,'코엑트 코스닥액티브(과거)'!$B$11:$E$1000,4,0),0)</f>
        <v>0.9</v>
      </c>
      <c r="E41" s="20">
        <f t="shared" si="3"/>
        <v>-1.0000000000000009E-2</v>
      </c>
      <c r="F41" s="32">
        <f t="shared" si="4"/>
        <v>-1.1111111111111072E-2</v>
      </c>
      <c r="G41" s="63" t="str">
        <f>VLOOKUP(H41,유니버스!$C$14:$D$2561,2,0)</f>
        <v>KQ</v>
      </c>
      <c r="H41" s="65" t="str">
        <f>'타임 코스닥액티브'!B47</f>
        <v>미래에셋벤처투자</v>
      </c>
      <c r="I41" s="65">
        <f>VLOOKUP(H41,'타임 코스닥액티브'!$B$11:$E$1000,4,0)</f>
        <v>1.0900000000000001</v>
      </c>
      <c r="J41" s="65">
        <f>IFERROR(VLOOKUP(H41,'타임코스닥액티브(과거)'!$B$11:$E$1000,4,0),0)</f>
        <v>1.83</v>
      </c>
      <c r="K41" s="20">
        <f t="shared" si="5"/>
        <v>-0.74</v>
      </c>
      <c r="L41" s="32">
        <f t="shared" si="6"/>
        <v>-0.40437158469945356</v>
      </c>
      <c r="M41" s="62" t="str">
        <f>VLOOKUP(N41,유니버스!$C$14:$D$2561,2,0)</f>
        <v>KQ</v>
      </c>
      <c r="N41" s="26" t="str">
        <f>플러스코스닥액티브!B47</f>
        <v>한선엔지니어링</v>
      </c>
      <c r="O41" s="26">
        <f>VLOOKUP(N41,플러스코스닥액티브!$B$11:$E$1000,4,0)</f>
        <v>0.76</v>
      </c>
      <c r="P41" s="26">
        <f>IFERROR(VLOOKUP(N41,'플러스코스닥액티브(과거)'!$B$11:$E$1000,4,0),0)</f>
        <v>0.74</v>
      </c>
      <c r="Q41" s="20">
        <f t="shared" si="7"/>
        <v>2.0000000000000018E-2</v>
      </c>
      <c r="R41" s="32">
        <f t="shared" si="8"/>
        <v>2.7027027027026973E-2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네패스</v>
      </c>
      <c r="C42" s="65">
        <f>VLOOKUP(B42,'코엑트 코스닥액티브'!$B$11:$E$1000,4,0)</f>
        <v>0.83</v>
      </c>
      <c r="D42" s="65">
        <f>IFERROR(VLOOKUP(B42,'코엑트 코스닥액티브(과거)'!$B$11:$E$1000,4,0),0)</f>
        <v>0.48</v>
      </c>
      <c r="E42" s="20">
        <f t="shared" si="3"/>
        <v>0.35</v>
      </c>
      <c r="F42" s="32">
        <f t="shared" si="4"/>
        <v>0.72916666666666674</v>
      </c>
      <c r="G42" s="63" t="str">
        <f>VLOOKUP(H42,유니버스!$C$14:$D$2561,2,0)</f>
        <v>KQ</v>
      </c>
      <c r="H42" s="65" t="str">
        <f>'타임 코스닥액티브'!B48</f>
        <v>대한광통신</v>
      </c>
      <c r="I42" s="65">
        <f>VLOOKUP(H42,'타임 코스닥액티브'!$B$11:$E$1000,4,0)</f>
        <v>1.05</v>
      </c>
      <c r="J42" s="65">
        <f>IFERROR(VLOOKUP(H42,'타임코스닥액티브(과거)'!$B$11:$E$1000,4,0),0)</f>
        <v>1.31</v>
      </c>
      <c r="K42" s="20">
        <f t="shared" si="5"/>
        <v>-0.26</v>
      </c>
      <c r="L42" s="32">
        <f t="shared" si="6"/>
        <v>-0.19847328244274809</v>
      </c>
      <c r="M42" s="62" t="str">
        <f>VLOOKUP(N42,유니버스!$C$14:$D$2561,2,0)</f>
        <v>KQ</v>
      </c>
      <c r="N42" s="26" t="str">
        <f>플러스코스닥액티브!B48</f>
        <v>솔브레인홀딩스</v>
      </c>
      <c r="O42" s="26">
        <f>VLOOKUP(N42,플러스코스닥액티브!$B$11:$E$1000,4,0)</f>
        <v>0.72</v>
      </c>
      <c r="P42" s="26">
        <f>IFERROR(VLOOKUP(N42,'플러스코스닥액티브(과거)'!$B$11:$E$1000,4,0),0)</f>
        <v>0.78</v>
      </c>
      <c r="Q42" s="20">
        <f t="shared" si="7"/>
        <v>-6.0000000000000053E-2</v>
      </c>
      <c r="R42" s="32">
        <f t="shared" si="8"/>
        <v>-7.6923076923076983E-2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인텔리안테크</v>
      </c>
      <c r="C43" s="65">
        <f>VLOOKUP(B43,'코엑트 코스닥액티브'!$B$11:$E$1000,4,0)</f>
        <v>0.82</v>
      </c>
      <c r="D43" s="65">
        <f>IFERROR(VLOOKUP(B43,'코엑트 코스닥액티브(과거)'!$B$11:$E$1000,4,0),0)</f>
        <v>1.3</v>
      </c>
      <c r="E43" s="20">
        <f t="shared" si="3"/>
        <v>-0.48000000000000009</v>
      </c>
      <c r="F43" s="32">
        <f t="shared" si="4"/>
        <v>-0.36923076923076925</v>
      </c>
      <c r="G43" s="63" t="str">
        <f>VLOOKUP(H43,유니버스!$C$14:$D$2561,2,0)</f>
        <v>KQ</v>
      </c>
      <c r="H43" s="65" t="str">
        <f>'타임 코스닥액티브'!B49</f>
        <v>브이엠</v>
      </c>
      <c r="I43" s="65">
        <f>VLOOKUP(H43,'타임 코스닥액티브'!$B$11:$E$1000,4,0)</f>
        <v>1.02</v>
      </c>
      <c r="J43" s="65">
        <f>IFERROR(VLOOKUP(H43,'타임코스닥액티브(과거)'!$B$11:$E$1000,4,0),0)</f>
        <v>0</v>
      </c>
      <c r="K43" s="20">
        <f t="shared" si="5"/>
        <v>1.02</v>
      </c>
      <c r="L43" s="32" t="str">
        <f t="shared" si="6"/>
        <v>신규편입</v>
      </c>
      <c r="M43" s="62" t="str">
        <f>VLOOKUP(N43,유니버스!$C$14:$D$2561,2,0)</f>
        <v>KQ</v>
      </c>
      <c r="N43" s="26" t="str">
        <f>플러스코스닥액티브!B49</f>
        <v>앱클론</v>
      </c>
      <c r="O43" s="26">
        <f>VLOOKUP(N43,플러스코스닥액티브!$B$11:$E$1000,4,0)</f>
        <v>0.71</v>
      </c>
      <c r="P43" s="26">
        <f>IFERROR(VLOOKUP(N43,'플러스코스닥액티브(과거)'!$B$11:$E$1000,4,0),0)</f>
        <v>0.86</v>
      </c>
      <c r="Q43" s="20">
        <f t="shared" si="7"/>
        <v>-0.15000000000000002</v>
      </c>
      <c r="R43" s="32">
        <f t="shared" si="8"/>
        <v>-0.17441860465116277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HPSP</v>
      </c>
      <c r="C44" s="65">
        <f>VLOOKUP(B44,'코엑트 코스닥액티브'!$B$11:$E$1000,4,0)</f>
        <v>0.79</v>
      </c>
      <c r="D44" s="65">
        <f>IFERROR(VLOOKUP(B44,'코엑트 코스닥액티브(과거)'!$B$11:$E$1000,4,0),0)</f>
        <v>0.71</v>
      </c>
      <c r="E44" s="20">
        <f t="shared" si="3"/>
        <v>8.0000000000000071E-2</v>
      </c>
      <c r="F44" s="32">
        <f t="shared" si="4"/>
        <v>0.11267605633802824</v>
      </c>
      <c r="G44" s="63" t="str">
        <f>VLOOKUP(H44,유니버스!$C$14:$D$2561,2,0)</f>
        <v>KQ</v>
      </c>
      <c r="H44" s="65" t="str">
        <f>'타임 코스닥액티브'!B50</f>
        <v>파크시스템스</v>
      </c>
      <c r="I44" s="65">
        <f>VLOOKUP(H44,'타임 코스닥액티브'!$B$11:$E$1000,4,0)</f>
        <v>1</v>
      </c>
      <c r="J44" s="65">
        <f>IFERROR(VLOOKUP(H44,'타임코스닥액티브(과거)'!$B$11:$E$1000,4,0),0)</f>
        <v>0.98</v>
      </c>
      <c r="K44" s="20">
        <f t="shared" si="5"/>
        <v>2.0000000000000018E-2</v>
      </c>
      <c r="L44" s="32">
        <f t="shared" si="6"/>
        <v>2.0408163265306145E-2</v>
      </c>
      <c r="M44" s="62" t="str">
        <f>VLOOKUP(N44,유니버스!$C$14:$D$2561,2,0)</f>
        <v>KQ</v>
      </c>
      <c r="N44" s="26" t="str">
        <f>플러스코스닥액티브!B50</f>
        <v>디앤디파마텍</v>
      </c>
      <c r="O44" s="26">
        <f>VLOOKUP(N44,플러스코스닥액티브!$B$11:$E$1000,4,0)</f>
        <v>0.71</v>
      </c>
      <c r="P44" s="26">
        <f>IFERROR(VLOOKUP(N44,'플러스코스닥액티브(과거)'!$B$11:$E$1000,4,0),0)</f>
        <v>0.45</v>
      </c>
      <c r="Q44" s="20">
        <f t="shared" si="7"/>
        <v>0.25999999999999995</v>
      </c>
      <c r="R44" s="32">
        <f t="shared" si="8"/>
        <v>0.57777777777777772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알지노믹스</v>
      </c>
      <c r="C45" s="65">
        <f>VLOOKUP(B45,'코엑트 코스닥액티브'!$B$11:$E$1000,4,0)</f>
        <v>0.73</v>
      </c>
      <c r="D45" s="65">
        <f>IFERROR(VLOOKUP(B45,'코엑트 코스닥액티브(과거)'!$B$11:$E$1000,4,0),0)</f>
        <v>1</v>
      </c>
      <c r="E45" s="20">
        <f t="shared" si="3"/>
        <v>-0.27</v>
      </c>
      <c r="F45" s="32">
        <f t="shared" si="4"/>
        <v>-0.27</v>
      </c>
      <c r="G45" s="63" t="str">
        <f>VLOOKUP(H45,유니버스!$C$14:$D$2561,2,0)</f>
        <v>KQ</v>
      </c>
      <c r="H45" s="65" t="str">
        <f>'타임 코스닥액티브'!B51</f>
        <v>HLB</v>
      </c>
      <c r="I45" s="65">
        <f>VLOOKUP(H45,'타임 코스닥액티브'!$B$11:$E$1000,4,0)</f>
        <v>0.83</v>
      </c>
      <c r="J45" s="65">
        <f>IFERROR(VLOOKUP(H45,'타임코스닥액티브(과거)'!$B$11:$E$1000,4,0),0)</f>
        <v>0.84</v>
      </c>
      <c r="K45" s="20">
        <f t="shared" si="5"/>
        <v>-1.0000000000000009E-2</v>
      </c>
      <c r="L45" s="32">
        <f t="shared" si="6"/>
        <v>-1.1904761904761862E-2</v>
      </c>
      <c r="M45" s="62" t="str">
        <f>VLOOKUP(N45,유니버스!$C$14:$D$2561,2,0)</f>
        <v>KQ</v>
      </c>
      <c r="N45" s="26" t="str">
        <f>플러스코스닥액티브!B51</f>
        <v>코세스</v>
      </c>
      <c r="O45" s="26">
        <f>VLOOKUP(N45,플러스코스닥액티브!$B$11:$E$1000,4,0)</f>
        <v>0.71</v>
      </c>
      <c r="P45" s="26">
        <f>IFERROR(VLOOKUP(N45,'플러스코스닥액티브(과거)'!$B$11:$E$1000,4,0),0)</f>
        <v>0.71</v>
      </c>
      <c r="Q45" s="20">
        <f t="shared" si="7"/>
        <v>0</v>
      </c>
      <c r="R45" s="32">
        <f t="shared" si="8"/>
        <v>0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티에프이</v>
      </c>
      <c r="C46" s="65">
        <f>VLOOKUP(B46,'코엑트 코스닥액티브'!$B$11:$E$1000,4,0)</f>
        <v>0.71</v>
      </c>
      <c r="D46" s="65">
        <f>IFERROR(VLOOKUP(B46,'코엑트 코스닥액티브(과거)'!$B$11:$E$1000,4,0),0)</f>
        <v>0.49</v>
      </c>
      <c r="E46" s="20">
        <f t="shared" si="3"/>
        <v>0.21999999999999997</v>
      </c>
      <c r="F46" s="32">
        <f t="shared" si="4"/>
        <v>0.44897959183673475</v>
      </c>
      <c r="G46" s="63" t="str">
        <f>VLOOKUP(H46,유니버스!$C$14:$D$2561,2,0)</f>
        <v>KQ</v>
      </c>
      <c r="H46" s="65" t="str">
        <f>'타임 코스닥액티브'!B52</f>
        <v>리브스메드</v>
      </c>
      <c r="I46" s="65">
        <f>VLOOKUP(H46,'타임 코스닥액티브'!$B$11:$E$1000,4,0)</f>
        <v>0.81</v>
      </c>
      <c r="J46" s="65">
        <f>IFERROR(VLOOKUP(H46,'타임코스닥액티브(과거)'!$B$11:$E$1000,4,0),0)</f>
        <v>0.96</v>
      </c>
      <c r="K46" s="20">
        <f t="shared" si="5"/>
        <v>-0.14999999999999991</v>
      </c>
      <c r="L46" s="32">
        <f t="shared" si="6"/>
        <v>-0.15624999999999989</v>
      </c>
      <c r="M46" s="62" t="str">
        <f>VLOOKUP(N46,유니버스!$C$14:$D$2561,2,0)</f>
        <v>KQ</v>
      </c>
      <c r="N46" s="26" t="str">
        <f>플러스코스닥액티브!B52</f>
        <v>LS증권</v>
      </c>
      <c r="O46" s="26">
        <f>VLOOKUP(N46,플러스코스닥액티브!$B$11:$E$1000,4,0)</f>
        <v>0.65</v>
      </c>
      <c r="P46" s="26">
        <f>IFERROR(VLOOKUP(N46,'플러스코스닥액티브(과거)'!$B$11:$E$1000,4,0),0)</f>
        <v>0.68</v>
      </c>
      <c r="Q46" s="20">
        <f t="shared" si="7"/>
        <v>-3.0000000000000027E-2</v>
      </c>
      <c r="R46" s="32">
        <f t="shared" si="8"/>
        <v>-4.4117647058823595E-2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비츠로셀</v>
      </c>
      <c r="C47" s="65">
        <f>VLOOKUP(B47,'코엑트 코스닥액티브'!$B$11:$E$1000,4,0)</f>
        <v>0.69</v>
      </c>
      <c r="D47" s="65">
        <f>IFERROR(VLOOKUP(B47,'코엑트 코스닥액티브(과거)'!$B$11:$E$1000,4,0),0)</f>
        <v>0.8</v>
      </c>
      <c r="E47" s="20">
        <f t="shared" si="3"/>
        <v>-0.1100000000000001</v>
      </c>
      <c r="F47" s="32">
        <f t="shared" si="4"/>
        <v>-0.13750000000000007</v>
      </c>
      <c r="G47" s="63" t="str">
        <f>VLOOKUP(H47,유니버스!$C$14:$D$2561,2,0)</f>
        <v>KQ</v>
      </c>
      <c r="H47" s="65" t="str">
        <f>'타임 코스닥액티브'!B53</f>
        <v>스피어</v>
      </c>
      <c r="I47" s="65">
        <f>VLOOKUP(H47,'타임 코스닥액티브'!$B$11:$E$1000,4,0)</f>
        <v>0.77</v>
      </c>
      <c r="J47" s="65">
        <f>IFERROR(VLOOKUP(H47,'타임코스닥액티브(과거)'!$B$11:$E$1000,4,0),0)</f>
        <v>0.73</v>
      </c>
      <c r="K47" s="20">
        <f t="shared" si="5"/>
        <v>4.0000000000000036E-2</v>
      </c>
      <c r="L47" s="32">
        <f t="shared" si="6"/>
        <v>5.4794520547945202E-2</v>
      </c>
      <c r="M47" s="62" t="str">
        <f>VLOOKUP(N47,유니버스!$C$14:$D$2561,2,0)</f>
        <v>KQ</v>
      </c>
      <c r="N47" s="26" t="str">
        <f>플러스코스닥액티브!B53</f>
        <v>덕산하이메탈</v>
      </c>
      <c r="O47" s="26">
        <f>VLOOKUP(N47,플러스코스닥액티브!$B$11:$E$1000,4,0)</f>
        <v>0.64</v>
      </c>
      <c r="P47" s="26">
        <f>IFERROR(VLOOKUP(N47,'플러스코스닥액티브(과거)'!$B$11:$E$1000,4,0),0)</f>
        <v>0.56000000000000005</v>
      </c>
      <c r="Q47" s="20">
        <f t="shared" si="7"/>
        <v>7.999999999999996E-2</v>
      </c>
      <c r="R47" s="32">
        <f t="shared" si="8"/>
        <v>0.14285714285714279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에스앤에스텍</v>
      </c>
      <c r="C48" s="65">
        <f>VLOOKUP(B48,'코엑트 코스닥액티브'!$B$11:$E$1000,4,0)</f>
        <v>0.67</v>
      </c>
      <c r="D48" s="65">
        <f>IFERROR(VLOOKUP(B48,'코엑트 코스닥액티브(과거)'!$B$11:$E$1000,4,0),0)</f>
        <v>0.61</v>
      </c>
      <c r="E48" s="20">
        <f t="shared" si="3"/>
        <v>6.0000000000000053E-2</v>
      </c>
      <c r="F48" s="32">
        <f t="shared" si="4"/>
        <v>9.8360655737705027E-2</v>
      </c>
      <c r="G48" s="63" t="str">
        <f>VLOOKUP(H48,유니버스!$C$14:$D$2561,2,0)</f>
        <v>KQ</v>
      </c>
      <c r="H48" s="65" t="str">
        <f>'타임 코스닥액티브'!B54</f>
        <v>RFHIC</v>
      </c>
      <c r="I48" s="65">
        <f>VLOOKUP(H48,'타임 코스닥액티브'!$B$11:$E$1000,4,0)</f>
        <v>0.74</v>
      </c>
      <c r="J48" s="65">
        <f>IFERROR(VLOOKUP(H48,'타임코스닥액티브(과거)'!$B$11:$E$1000,4,0),0)</f>
        <v>0.85</v>
      </c>
      <c r="K48" s="20">
        <f t="shared" si="5"/>
        <v>-0.10999999999999999</v>
      </c>
      <c r="L48" s="32">
        <f t="shared" si="6"/>
        <v>-0.12941176470588234</v>
      </c>
      <c r="M48" s="62" t="str">
        <f>VLOOKUP(N48,유니버스!$C$14:$D$2561,2,0)</f>
        <v>KQ</v>
      </c>
      <c r="N48" s="26" t="str">
        <f>플러스코스닥액티브!B54</f>
        <v>HPSP</v>
      </c>
      <c r="O48" s="26">
        <f>VLOOKUP(N48,플러스코스닥액티브!$B$11:$E$1000,4,0)</f>
        <v>0.59</v>
      </c>
      <c r="P48" s="26">
        <f>IFERROR(VLOOKUP(N48,'플러스코스닥액티브(과거)'!$B$11:$E$1000,4,0),0)</f>
        <v>0.3</v>
      </c>
      <c r="Q48" s="20">
        <f t="shared" si="7"/>
        <v>0.28999999999999998</v>
      </c>
      <c r="R48" s="32">
        <f t="shared" si="8"/>
        <v>0.96666666666666656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ISC</v>
      </c>
      <c r="C49" s="65">
        <f>VLOOKUP(B49,'코엑트 코스닥액티브'!$B$11:$E$1000,4,0)</f>
        <v>0.66</v>
      </c>
      <c r="D49" s="65">
        <f>IFERROR(VLOOKUP(B49,'코엑트 코스닥액티브(과거)'!$B$11:$E$1000,4,0),0)</f>
        <v>0.7</v>
      </c>
      <c r="E49" s="20">
        <f t="shared" si="3"/>
        <v>-3.9999999999999925E-2</v>
      </c>
      <c r="F49" s="32">
        <f t="shared" si="4"/>
        <v>-5.7142857142857051E-2</v>
      </c>
      <c r="G49" s="63" t="str">
        <f>VLOOKUP(H49,유니버스!$C$14:$D$2561,2,0)</f>
        <v>KQ</v>
      </c>
      <c r="H49" s="65" t="str">
        <f>'타임 코스닥액티브'!B55</f>
        <v>알지노믹스</v>
      </c>
      <c r="I49" s="65">
        <f>VLOOKUP(H49,'타임 코스닥액티브'!$B$11:$E$1000,4,0)</f>
        <v>0.74</v>
      </c>
      <c r="J49" s="65">
        <f>IFERROR(VLOOKUP(H49,'타임코스닥액티브(과거)'!$B$11:$E$1000,4,0),0)</f>
        <v>0.95</v>
      </c>
      <c r="K49" s="20">
        <f t="shared" si="5"/>
        <v>-0.20999999999999996</v>
      </c>
      <c r="L49" s="32">
        <f t="shared" si="6"/>
        <v>-0.22105263157894739</v>
      </c>
      <c r="M49" s="62" t="str">
        <f>VLOOKUP(N49,유니버스!$C$14:$D$2561,2,0)</f>
        <v>KQ</v>
      </c>
      <c r="N49" s="26" t="str">
        <f>플러스코스닥액티브!B55</f>
        <v>리가켐바이오</v>
      </c>
      <c r="O49" s="26">
        <f>VLOOKUP(N49,플러스코스닥액티브!$B$11:$E$1000,4,0)</f>
        <v>0.56000000000000005</v>
      </c>
      <c r="P49" s="26">
        <f>IFERROR(VLOOKUP(N49,'플러스코스닥액티브(과거)'!$B$11:$E$1000,4,0),0)</f>
        <v>0.6</v>
      </c>
      <c r="Q49" s="20">
        <f t="shared" si="7"/>
        <v>-3.9999999999999925E-2</v>
      </c>
      <c r="R49" s="32">
        <f t="shared" si="8"/>
        <v>-6.6666666666666541E-2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지투지바이오</v>
      </c>
      <c r="C50" s="65">
        <f>VLOOKUP(B50,'코엑트 코스닥액티브'!$B$11:$E$1000,4,0)</f>
        <v>0.64</v>
      </c>
      <c r="D50" s="65">
        <f>IFERROR(VLOOKUP(B50,'코엑트 코스닥액티브(과거)'!$B$11:$E$1000,4,0),0)</f>
        <v>0.82</v>
      </c>
      <c r="E50" s="20">
        <f t="shared" si="3"/>
        <v>-0.17999999999999994</v>
      </c>
      <c r="F50" s="32">
        <f t="shared" si="4"/>
        <v>-0.21951219512195119</v>
      </c>
      <c r="G50" s="63" t="str">
        <f>VLOOKUP(H50,유니버스!$C$14:$D$2561,2,0)</f>
        <v>KQ</v>
      </c>
      <c r="H50" s="65" t="str">
        <f>'타임 코스닥액티브'!B56</f>
        <v>에이치브이엠</v>
      </c>
      <c r="I50" s="65">
        <f>VLOOKUP(H50,'타임 코스닥액티브'!$B$11:$E$1000,4,0)</f>
        <v>0.7</v>
      </c>
      <c r="J50" s="65">
        <f>IFERROR(VLOOKUP(H50,'타임코스닥액티브(과거)'!$B$11:$E$1000,4,0),0)</f>
        <v>0.66</v>
      </c>
      <c r="K50" s="20">
        <f t="shared" si="5"/>
        <v>3.9999999999999925E-2</v>
      </c>
      <c r="L50" s="32">
        <f t="shared" si="6"/>
        <v>6.0606060606060552E-2</v>
      </c>
      <c r="M50" s="62" t="str">
        <f>VLOOKUP(N50,유니버스!$C$14:$D$2561,2,0)</f>
        <v>KQ</v>
      </c>
      <c r="N50" s="26" t="str">
        <f>플러스코스닥액티브!B56</f>
        <v>엘티씨</v>
      </c>
      <c r="O50" s="26">
        <f>VLOOKUP(N50,플러스코스닥액티브!$B$11:$E$1000,4,0)</f>
        <v>0.55000000000000004</v>
      </c>
      <c r="P50" s="26">
        <f>IFERROR(VLOOKUP(N50,'플러스코스닥액티브(과거)'!$B$11:$E$1000,4,0),0)</f>
        <v>0.35</v>
      </c>
      <c r="Q50" s="20">
        <f t="shared" si="7"/>
        <v>0.20000000000000007</v>
      </c>
      <c r="R50" s="32">
        <f t="shared" si="8"/>
        <v>0.57142857142857162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고영</v>
      </c>
      <c r="C51" s="65">
        <f>VLOOKUP(B51,'코엑트 코스닥액티브'!$B$11:$E$1000,4,0)</f>
        <v>0.63</v>
      </c>
      <c r="D51" s="65">
        <f>IFERROR(VLOOKUP(B51,'코엑트 코스닥액티브(과거)'!$B$11:$E$1000,4,0),0)</f>
        <v>0.63</v>
      </c>
      <c r="E51" s="20">
        <f t="shared" si="3"/>
        <v>0</v>
      </c>
      <c r="F51" s="32">
        <f t="shared" si="4"/>
        <v>0</v>
      </c>
      <c r="G51" s="63" t="str">
        <f>VLOOKUP(H51,유니버스!$C$14:$D$2561,2,0)</f>
        <v>KQ</v>
      </c>
      <c r="H51" s="65" t="str">
        <f>'타임 코스닥액티브'!B57</f>
        <v>쎄트렉아이</v>
      </c>
      <c r="I51" s="65">
        <f>VLOOKUP(H51,'타임 코스닥액티브'!$B$11:$E$1000,4,0)</f>
        <v>0.68</v>
      </c>
      <c r="J51" s="65">
        <f>IFERROR(VLOOKUP(H51,'타임코스닥액티브(과거)'!$B$11:$E$1000,4,0),0)</f>
        <v>0.75</v>
      </c>
      <c r="K51" s="20">
        <f t="shared" si="5"/>
        <v>-6.9999999999999951E-2</v>
      </c>
      <c r="L51" s="32">
        <f t="shared" si="6"/>
        <v>-9.3333333333333268E-2</v>
      </c>
      <c r="M51" s="62" t="str">
        <f>VLOOKUP(N51,유니버스!$C$14:$D$2561,2,0)</f>
        <v>KQ</v>
      </c>
      <c r="N51" s="26" t="str">
        <f>플러스코스닥액티브!B57</f>
        <v>인텍플러스</v>
      </c>
      <c r="O51" s="26">
        <f>VLOOKUP(N51,플러스코스닥액티브!$B$11:$E$1000,4,0)</f>
        <v>0.52</v>
      </c>
      <c r="P51" s="26">
        <f>IFERROR(VLOOKUP(N51,'플러스코스닥액티브(과거)'!$B$11:$E$1000,4,0),0)</f>
        <v>0.33</v>
      </c>
      <c r="Q51" s="20">
        <f t="shared" si="7"/>
        <v>0.19</v>
      </c>
      <c r="R51" s="32">
        <f t="shared" si="8"/>
        <v>0.57575757575757569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하나마이크론</v>
      </c>
      <c r="C52" s="65">
        <f>VLOOKUP(B52,'코엑트 코스닥액티브'!$B$11:$E$1000,4,0)</f>
        <v>0.61</v>
      </c>
      <c r="D52" s="65">
        <f>IFERROR(VLOOKUP(B52,'코엑트 코스닥액티브(과거)'!$B$11:$E$1000,4,0),0)</f>
        <v>0</v>
      </c>
      <c r="E52" s="20">
        <f t="shared" si="3"/>
        <v>0.61</v>
      </c>
      <c r="F52" s="32" t="str">
        <f t="shared" si="4"/>
        <v>신규편입</v>
      </c>
      <c r="G52" s="63" t="str">
        <f>VLOOKUP(H52,유니버스!$C$14:$D$2561,2,0)</f>
        <v>KQ</v>
      </c>
      <c r="H52" s="65" t="str">
        <f>'타임 코스닥액티브'!B58</f>
        <v>태성</v>
      </c>
      <c r="I52" s="65">
        <f>VLOOKUP(H52,'타임 코스닥액티브'!$B$11:$E$1000,4,0)</f>
        <v>0.67</v>
      </c>
      <c r="J52" s="65">
        <f>IFERROR(VLOOKUP(H52,'타임코스닥액티브(과거)'!$B$11:$E$1000,4,0),0)</f>
        <v>0.7</v>
      </c>
      <c r="K52" s="20">
        <f t="shared" si="5"/>
        <v>-2.9999999999999916E-2</v>
      </c>
      <c r="L52" s="32">
        <f t="shared" si="6"/>
        <v>-4.2857142857142705E-2</v>
      </c>
      <c r="M52" s="62" t="str">
        <f>VLOOKUP(N52,유니버스!$C$14:$D$2561,2,0)</f>
        <v>KQ</v>
      </c>
      <c r="N52" s="26" t="str">
        <f>플러스코스닥액티브!B58</f>
        <v>알테오젠</v>
      </c>
      <c r="O52" s="26">
        <f>VLOOKUP(N52,플러스코스닥액티브!$B$11:$E$1000,4,0)</f>
        <v>0.48</v>
      </c>
      <c r="P52" s="26">
        <f>IFERROR(VLOOKUP(N52,'플러스코스닥액티브(과거)'!$B$11:$E$1000,4,0),0)</f>
        <v>0.49</v>
      </c>
      <c r="Q52" s="20">
        <f t="shared" si="7"/>
        <v>-1.0000000000000009E-2</v>
      </c>
      <c r="R52" s="32">
        <f t="shared" si="8"/>
        <v>-2.0408163265306145E-2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서부T&amp;D</v>
      </c>
      <c r="C53" s="65">
        <f>VLOOKUP(B53,'코엑트 코스닥액티브'!$B$11:$E$1000,4,0)</f>
        <v>0.61</v>
      </c>
      <c r="D53" s="65">
        <f>IFERROR(VLOOKUP(B53,'코엑트 코스닥액티브(과거)'!$B$11:$E$1000,4,0),0)</f>
        <v>0.56000000000000005</v>
      </c>
      <c r="E53" s="20">
        <f t="shared" si="3"/>
        <v>4.9999999999999933E-2</v>
      </c>
      <c r="F53" s="32">
        <f t="shared" si="4"/>
        <v>8.9285714285714191E-2</v>
      </c>
      <c r="G53" s="63" t="str">
        <f>VLOOKUP(H53,유니버스!$C$14:$D$2561,2,0)</f>
        <v>KQ</v>
      </c>
      <c r="H53" s="65" t="str">
        <f>'타임 코스닥액티브'!B59</f>
        <v>인텔리안테크</v>
      </c>
      <c r="I53" s="65">
        <f>VLOOKUP(H53,'타임 코스닥액티브'!$B$11:$E$1000,4,0)</f>
        <v>0.62</v>
      </c>
      <c r="J53" s="65">
        <f>IFERROR(VLOOKUP(H53,'타임코스닥액티브(과거)'!$B$11:$E$1000,4,0),0)</f>
        <v>0.75</v>
      </c>
      <c r="K53" s="20">
        <f t="shared" si="5"/>
        <v>-0.13</v>
      </c>
      <c r="L53" s="32">
        <f t="shared" si="6"/>
        <v>-0.17333333333333334</v>
      </c>
      <c r="M53" s="62" t="str">
        <f>VLOOKUP(N53,유니버스!$C$14:$D$2561,2,0)</f>
        <v>KQ</v>
      </c>
      <c r="N53" s="26" t="str">
        <f>플러스코스닥액티브!B59</f>
        <v>알멕</v>
      </c>
      <c r="O53" s="26">
        <f>VLOOKUP(N53,플러스코스닥액티브!$B$11:$E$1000,4,0)</f>
        <v>0.47</v>
      </c>
      <c r="P53" s="26">
        <f>IFERROR(VLOOKUP(N53,'플러스코스닥액티브(과거)'!$B$11:$E$1000,4,0),0)</f>
        <v>0.47</v>
      </c>
      <c r="Q53" s="20">
        <f t="shared" si="7"/>
        <v>0</v>
      </c>
      <c r="R53" s="32">
        <f t="shared" si="8"/>
        <v>0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솔브레인홀딩스</v>
      </c>
      <c r="C54" s="65">
        <f>VLOOKUP(B54,'코엑트 코스닥액티브'!$B$11:$E$1000,4,0)</f>
        <v>0.56999999999999995</v>
      </c>
      <c r="D54" s="65">
        <f>IFERROR(VLOOKUP(B54,'코엑트 코스닥액티브(과거)'!$B$11:$E$1000,4,0),0)</f>
        <v>0.65</v>
      </c>
      <c r="E54" s="20">
        <f t="shared" si="3"/>
        <v>-8.0000000000000071E-2</v>
      </c>
      <c r="F54" s="32">
        <f t="shared" si="4"/>
        <v>-0.12307692307692319</v>
      </c>
      <c r="G54" s="63" t="str">
        <f>VLOOKUP(H54,유니버스!$C$14:$D$2561,2,0)</f>
        <v>KQ</v>
      </c>
      <c r="H54" s="65" t="str">
        <f>'타임 코스닥액티브'!B60</f>
        <v>리노공업</v>
      </c>
      <c r="I54" s="65">
        <f>VLOOKUP(H54,'타임 코스닥액티브'!$B$11:$E$1000,4,0)</f>
        <v>0.57999999999999996</v>
      </c>
      <c r="J54" s="65">
        <f>IFERROR(VLOOKUP(H54,'타임코스닥액티브(과거)'!$B$11:$E$1000,4,0),0)</f>
        <v>0.53</v>
      </c>
      <c r="K54" s="20">
        <f t="shared" si="5"/>
        <v>4.9999999999999933E-2</v>
      </c>
      <c r="L54" s="32">
        <f t="shared" si="6"/>
        <v>9.4339622641509413E-2</v>
      </c>
      <c r="M54" s="62" t="str">
        <f>VLOOKUP(N54,유니버스!$C$14:$D$2561,2,0)</f>
        <v>KQ</v>
      </c>
      <c r="N54" s="26" t="str">
        <f>플러스코스닥액티브!B60</f>
        <v>에이프로</v>
      </c>
      <c r="O54" s="26">
        <f>VLOOKUP(N54,플러스코스닥액티브!$B$11:$E$1000,4,0)</f>
        <v>0.47</v>
      </c>
      <c r="P54" s="26">
        <f>IFERROR(VLOOKUP(N54,'플러스코스닥액티브(과거)'!$B$11:$E$1000,4,0),0)</f>
        <v>0.04</v>
      </c>
      <c r="Q54" s="20">
        <f t="shared" si="7"/>
        <v>0.43</v>
      </c>
      <c r="R54" s="32">
        <f t="shared" si="8"/>
        <v>10.749999999999998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에스티팜</v>
      </c>
      <c r="C55" s="65">
        <f>VLOOKUP(B55,'코엑트 코스닥액티브'!$B$11:$E$1000,4,0)</f>
        <v>0.56999999999999995</v>
      </c>
      <c r="D55" s="65">
        <f>IFERROR(VLOOKUP(B55,'코엑트 코스닥액티브(과거)'!$B$11:$E$1000,4,0),0)</f>
        <v>0.62</v>
      </c>
      <c r="E55" s="20">
        <f t="shared" si="3"/>
        <v>-5.0000000000000044E-2</v>
      </c>
      <c r="F55" s="32">
        <f t="shared" si="4"/>
        <v>-8.064516129032262E-2</v>
      </c>
      <c r="G55" s="63" t="str">
        <f>VLOOKUP(H55,유니버스!$C$14:$D$2561,2,0)</f>
        <v>KQ</v>
      </c>
      <c r="H55" s="65" t="str">
        <f>'타임 코스닥액티브'!B61</f>
        <v>올릭스</v>
      </c>
      <c r="I55" s="65">
        <f>VLOOKUP(H55,'타임 코스닥액티브'!$B$11:$E$1000,4,0)</f>
        <v>0.47</v>
      </c>
      <c r="J55" s="65">
        <f>IFERROR(VLOOKUP(H55,'타임코스닥액티브(과거)'!$B$11:$E$1000,4,0),0)</f>
        <v>0.62</v>
      </c>
      <c r="K55" s="20">
        <f t="shared" si="5"/>
        <v>-0.15000000000000002</v>
      </c>
      <c r="L55" s="32">
        <f t="shared" si="6"/>
        <v>-0.24193548387096775</v>
      </c>
      <c r="M55" s="62" t="str">
        <f>VLOOKUP(N55,유니버스!$C$14:$D$2561,2,0)</f>
        <v>KQ</v>
      </c>
      <c r="N55" s="26" t="str">
        <f>플러스코스닥액티브!B61</f>
        <v>에이비엘바이오</v>
      </c>
      <c r="O55" s="26">
        <f>VLOOKUP(N55,플러스코스닥액티브!$B$11:$E$1000,4,0)</f>
        <v>0.44</v>
      </c>
      <c r="P55" s="26">
        <f>IFERROR(VLOOKUP(N55,'플러스코스닥액티브(과거)'!$B$11:$E$1000,4,0),0)</f>
        <v>0.51</v>
      </c>
      <c r="Q55" s="20">
        <f t="shared" si="7"/>
        <v>-7.0000000000000007E-2</v>
      </c>
      <c r="R55" s="32">
        <f t="shared" si="8"/>
        <v>-0.13725490196078427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동진쎄미켐</v>
      </c>
      <c r="C56" s="65">
        <f>VLOOKUP(B56,'코엑트 코스닥액티브'!$B$11:$E$1000,4,0)</f>
        <v>0.55000000000000004</v>
      </c>
      <c r="D56" s="65">
        <f>IFERROR(VLOOKUP(B56,'코엑트 코스닥액티브(과거)'!$B$11:$E$1000,4,0),0)</f>
        <v>0.32</v>
      </c>
      <c r="E56" s="20">
        <f t="shared" si="3"/>
        <v>0.23000000000000004</v>
      </c>
      <c r="F56" s="32">
        <f t="shared" si="4"/>
        <v>0.71875</v>
      </c>
      <c r="G56" s="63" t="str">
        <f>VLOOKUP(H56,유니버스!$C$14:$D$2561,2,0)</f>
        <v>KQ</v>
      </c>
      <c r="H56" s="65" t="str">
        <f>'타임 코스닥액티브'!B62</f>
        <v>에이비엘바이오</v>
      </c>
      <c r="I56" s="65">
        <f>VLOOKUP(H56,'타임 코스닥액티브'!$B$11:$E$1000,4,0)</f>
        <v>0.46</v>
      </c>
      <c r="J56" s="65">
        <f>IFERROR(VLOOKUP(H56,'타임코스닥액티브(과거)'!$B$11:$E$1000,4,0),0)</f>
        <v>0.53</v>
      </c>
      <c r="K56" s="20">
        <f t="shared" si="5"/>
        <v>-7.0000000000000007E-2</v>
      </c>
      <c r="L56" s="32">
        <f t="shared" si="6"/>
        <v>-0.13207547169811318</v>
      </c>
      <c r="M56" s="62" t="str">
        <f>VLOOKUP(N56,유니버스!$C$14:$D$2561,2,0)</f>
        <v>KQ</v>
      </c>
      <c r="N56" s="26" t="str">
        <f>플러스코스닥액티브!B62</f>
        <v>더핑크퐁컴퍼니</v>
      </c>
      <c r="O56" s="26">
        <f>VLOOKUP(N56,플러스코스닥액티브!$B$11:$E$1000,4,0)</f>
        <v>0.43</v>
      </c>
      <c r="P56" s="26">
        <f>IFERROR(VLOOKUP(N56,'플러스코스닥액티브(과거)'!$B$11:$E$1000,4,0),0)</f>
        <v>0.44</v>
      </c>
      <c r="Q56" s="20">
        <f t="shared" si="7"/>
        <v>-1.0000000000000009E-2</v>
      </c>
      <c r="R56" s="32">
        <f t="shared" si="8"/>
        <v>-2.2727272727272707E-2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선익시스템</v>
      </c>
      <c r="C57" s="65">
        <f>VLOOKUP(B57,'코엑트 코스닥액티브'!$B$11:$E$1000,4,0)</f>
        <v>0.54</v>
      </c>
      <c r="D57" s="65">
        <f>IFERROR(VLOOKUP(B57,'코엑트 코스닥액티브(과거)'!$B$11:$E$1000,4,0),0)</f>
        <v>0.55000000000000004</v>
      </c>
      <c r="E57" s="20">
        <f t="shared" si="3"/>
        <v>-1.0000000000000009E-2</v>
      </c>
      <c r="F57" s="32">
        <f t="shared" si="4"/>
        <v>-1.8181818181818188E-2</v>
      </c>
      <c r="G57" s="63" t="str">
        <f>VLOOKUP(H57,유니버스!$C$14:$D$2561,2,0)</f>
        <v>KQ</v>
      </c>
      <c r="H57" s="65" t="str">
        <f>'타임 코스닥액티브'!B63</f>
        <v>한중엔시에스</v>
      </c>
      <c r="I57" s="65">
        <f>VLOOKUP(H57,'타임 코스닥액티브'!$B$11:$E$1000,4,0)</f>
        <v>0.42</v>
      </c>
      <c r="J57" s="65">
        <f>IFERROR(VLOOKUP(H57,'타임코스닥액티브(과거)'!$B$11:$E$1000,4,0),0)</f>
        <v>0.5</v>
      </c>
      <c r="K57" s="20">
        <f t="shared" si="5"/>
        <v>-8.0000000000000016E-2</v>
      </c>
      <c r="L57" s="32">
        <f t="shared" si="6"/>
        <v>-0.16000000000000003</v>
      </c>
      <c r="M57" s="62" t="str">
        <f>VLOOKUP(N57,유니버스!$C$14:$D$2561,2,0)</f>
        <v>KQ</v>
      </c>
      <c r="N57" s="26" t="str">
        <f>플러스코스닥액티브!B63</f>
        <v>RF머트리얼즈</v>
      </c>
      <c r="O57" s="26">
        <f>VLOOKUP(N57,플러스코스닥액티브!$B$11:$E$1000,4,0)</f>
        <v>0.42</v>
      </c>
      <c r="P57" s="26">
        <f>IFERROR(VLOOKUP(N57,'플러스코스닥액티브(과거)'!$B$11:$E$1000,4,0),0)</f>
        <v>0.49</v>
      </c>
      <c r="Q57" s="20">
        <f t="shared" ref="Q57:Q63" si="9">O57-P57</f>
        <v>-7.0000000000000007E-2</v>
      </c>
      <c r="R57" s="32">
        <f t="shared" ref="R57:R63" si="10">IFERROR(O57/P57-1,"신규편입")</f>
        <v>-0.1428571428571429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에이프릴바이오</v>
      </c>
      <c r="C58" s="65">
        <f>VLOOKUP(B58,'코엑트 코스닥액티브'!$B$11:$E$1000,4,0)</f>
        <v>0.49</v>
      </c>
      <c r="D58" s="65">
        <f>IFERROR(VLOOKUP(B58,'코엑트 코스닥액티브(과거)'!$B$11:$E$1000,4,0),0)</f>
        <v>0</v>
      </c>
      <c r="E58" s="20">
        <f t="shared" si="3"/>
        <v>0.49</v>
      </c>
      <c r="F58" s="32" t="str">
        <f t="shared" si="4"/>
        <v>신규편입</v>
      </c>
      <c r="G58" s="63" t="str">
        <f>VLOOKUP(H58,유니버스!$C$14:$D$2561,2,0)</f>
        <v>KQ</v>
      </c>
      <c r="H58" s="65" t="str">
        <f>'타임 코스닥액티브'!B64</f>
        <v>씨어스</v>
      </c>
      <c r="I58" s="65">
        <f>VLOOKUP(H58,'타임 코스닥액티브'!$B$11:$E$1000,4,0)</f>
        <v>0.41</v>
      </c>
      <c r="J58" s="65">
        <f>IFERROR(VLOOKUP(H58,'타임코스닥액티브(과거)'!$B$11:$E$1000,4,0),0)</f>
        <v>0.42</v>
      </c>
      <c r="K58" s="20">
        <f t="shared" ref="K58:K63" si="11">I58-J58</f>
        <v>-1.0000000000000009E-2</v>
      </c>
      <c r="L58" s="32">
        <f t="shared" ref="L58:L63" si="12">IFERROR(I58/J58-1,"신규편입")</f>
        <v>-2.3809523809523836E-2</v>
      </c>
      <c r="M58" s="62" t="str">
        <f>VLOOKUP(N58,유니버스!$C$14:$D$2561,2,0)</f>
        <v>KQ</v>
      </c>
      <c r="N58" s="26" t="str">
        <f>플러스코스닥액티브!B64</f>
        <v>액트로</v>
      </c>
      <c r="O58" s="26">
        <f>VLOOKUP(N58,플러스코스닥액티브!$B$11:$E$1000,4,0)</f>
        <v>0.42</v>
      </c>
      <c r="P58" s="26">
        <f>IFERROR(VLOOKUP(N58,'플러스코스닥액티브(과거)'!$B$11:$E$1000,4,0),0)</f>
        <v>0.47</v>
      </c>
      <c r="Q58" s="20">
        <f t="shared" si="9"/>
        <v>-4.9999999999999989E-2</v>
      </c>
      <c r="R58" s="32">
        <f t="shared" si="10"/>
        <v>-0.10638297872340419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성일하이텍</v>
      </c>
      <c r="C59" s="65">
        <f>VLOOKUP(B59,'코엑트 코스닥액티브'!$B$11:$E$1000,4,0)</f>
        <v>0.47</v>
      </c>
      <c r="D59" s="65">
        <f>IFERROR(VLOOKUP(B59,'코엑트 코스닥액티브(과거)'!$B$11:$E$1000,4,0),0)</f>
        <v>0.56000000000000005</v>
      </c>
      <c r="E59" s="20">
        <f t="shared" si="3"/>
        <v>-9.000000000000008E-2</v>
      </c>
      <c r="F59" s="32">
        <f t="shared" si="4"/>
        <v>-0.16071428571428581</v>
      </c>
      <c r="G59" s="63" t="e">
        <f>VLOOKUP(H59,유니버스!$C$14:$D$2561,2,0)</f>
        <v>#N/A</v>
      </c>
      <c r="H59" s="65" t="str">
        <f>'타임 코스닥액티브'!B65</f>
        <v>메쥬</v>
      </c>
      <c r="I59" s="65">
        <f>VLOOKUP(H59,'타임 코스닥액티브'!$B$11:$E$1000,4,0)</f>
        <v>0.39</v>
      </c>
      <c r="J59" s="65">
        <f>IFERROR(VLOOKUP(H59,'타임코스닥액티브(과거)'!$B$11:$E$1000,4,0),0)</f>
        <v>0.48</v>
      </c>
      <c r="K59" s="20">
        <f t="shared" si="11"/>
        <v>-8.9999999999999969E-2</v>
      </c>
      <c r="L59" s="32">
        <f t="shared" si="12"/>
        <v>-0.18749999999999989</v>
      </c>
      <c r="M59" s="62" t="str">
        <f>VLOOKUP(N59,유니버스!$C$14:$D$2561,2,0)</f>
        <v>KQ</v>
      </c>
      <c r="N59" s="26" t="str">
        <f>플러스코스닥액티브!B65</f>
        <v>다우데이타</v>
      </c>
      <c r="O59" s="26">
        <f>VLOOKUP(N59,플러스코스닥액티브!$B$11:$E$1000,4,0)</f>
        <v>0.39</v>
      </c>
      <c r="P59" s="26">
        <f>IFERROR(VLOOKUP(N59,'플러스코스닥액티브(과거)'!$B$11:$E$1000,4,0),0)</f>
        <v>0.41</v>
      </c>
      <c r="Q59" s="20">
        <f t="shared" si="9"/>
        <v>-1.9999999999999962E-2</v>
      </c>
      <c r="R59" s="32">
        <f t="shared" si="10"/>
        <v>-4.8780487804877981E-2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태웅</v>
      </c>
      <c r="C60" s="65">
        <f>VLOOKUP(B60,'코엑트 코스닥액티브'!$B$11:$E$1000,4,0)</f>
        <v>0.44</v>
      </c>
      <c r="D60" s="65">
        <f>IFERROR(VLOOKUP(B60,'코엑트 코스닥액티브(과거)'!$B$11:$E$1000,4,0),0)</f>
        <v>0.51</v>
      </c>
      <c r="E60" s="20">
        <f t="shared" si="3"/>
        <v>-7.0000000000000007E-2</v>
      </c>
      <c r="F60" s="32">
        <f t="shared" si="4"/>
        <v>-0.13725490196078427</v>
      </c>
      <c r="G60" s="63" t="str">
        <f>VLOOKUP(H60,유니버스!$C$14:$D$2561,2,0)</f>
        <v>KQ</v>
      </c>
      <c r="H60" s="65" t="str">
        <f>'타임 코스닥액티브'!B66</f>
        <v>케어젠</v>
      </c>
      <c r="I60" s="65">
        <f>VLOOKUP(H60,'타임 코스닥액티브'!$B$11:$E$1000,4,0)</f>
        <v>0.38</v>
      </c>
      <c r="J60" s="65">
        <f>IFERROR(VLOOKUP(H60,'타임코스닥액티브(과거)'!$B$11:$E$1000,4,0),0)</f>
        <v>0.38</v>
      </c>
      <c r="K60" s="20">
        <f t="shared" si="11"/>
        <v>0</v>
      </c>
      <c r="L60" s="32">
        <f t="shared" si="12"/>
        <v>0</v>
      </c>
      <c r="M60" s="62" t="str">
        <f>VLOOKUP(N60,유니버스!$C$14:$D$2561,2,0)</f>
        <v>KQ</v>
      </c>
      <c r="N60" s="26" t="str">
        <f>플러스코스닥액티브!B66</f>
        <v>상아프론테크</v>
      </c>
      <c r="O60" s="26">
        <f>VLOOKUP(N60,플러스코스닥액티브!$B$11:$E$1000,4,0)</f>
        <v>0.38</v>
      </c>
      <c r="P60" s="26">
        <f>IFERROR(VLOOKUP(N60,'플러스코스닥액티브(과거)'!$B$11:$E$1000,4,0),0)</f>
        <v>0.41</v>
      </c>
      <c r="Q60" s="20">
        <f t="shared" si="9"/>
        <v>-2.9999999999999971E-2</v>
      </c>
      <c r="R60" s="32">
        <f t="shared" si="10"/>
        <v>-7.3170731707317027E-2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저스템</v>
      </c>
      <c r="C61" s="65">
        <f>VLOOKUP(B61,'코엑트 코스닥액티브'!$B$11:$E$1000,4,0)</f>
        <v>0.44</v>
      </c>
      <c r="D61" s="65">
        <f>IFERROR(VLOOKUP(B61,'코엑트 코스닥액티브(과거)'!$B$11:$E$1000,4,0),0)</f>
        <v>0.39</v>
      </c>
      <c r="E61" s="20">
        <f t="shared" si="3"/>
        <v>4.9999999999999989E-2</v>
      </c>
      <c r="F61" s="32">
        <f t="shared" si="4"/>
        <v>0.12820512820512819</v>
      </c>
      <c r="G61" s="63" t="str">
        <f>VLOOKUP(H61,유니버스!$C$14:$D$2561,2,0)</f>
        <v>KQ</v>
      </c>
      <c r="H61" s="65" t="str">
        <f>'타임 코스닥액티브'!B67</f>
        <v>실리콘투</v>
      </c>
      <c r="I61" s="65">
        <f>VLOOKUP(H61,'타임 코스닥액티브'!$B$11:$E$1000,4,0)</f>
        <v>0.37</v>
      </c>
      <c r="J61" s="65">
        <f>IFERROR(VLOOKUP(H61,'타임코스닥액티브(과거)'!$B$11:$E$1000,4,0),0)</f>
        <v>0.36</v>
      </c>
      <c r="K61" s="20">
        <f t="shared" si="11"/>
        <v>1.0000000000000009E-2</v>
      </c>
      <c r="L61" s="32">
        <f t="shared" si="12"/>
        <v>2.7777777777777901E-2</v>
      </c>
      <c r="M61" s="62" t="str">
        <f>VLOOKUP(N61,유니버스!$C$14:$D$2561,2,0)</f>
        <v>KQ</v>
      </c>
      <c r="N61" s="26" t="str">
        <f>플러스코스닥액티브!B67</f>
        <v>하이록코리아</v>
      </c>
      <c r="O61" s="26">
        <f>VLOOKUP(N61,플러스코스닥액티브!$B$11:$E$1000,4,0)</f>
        <v>0.34</v>
      </c>
      <c r="P61" s="26">
        <f>IFERROR(VLOOKUP(N61,'플러스코스닥액티브(과거)'!$B$11:$E$1000,4,0),0)</f>
        <v>0.35</v>
      </c>
      <c r="Q61" s="20">
        <f t="shared" si="9"/>
        <v>-9.9999999999999534E-3</v>
      </c>
      <c r="R61" s="32">
        <f t="shared" si="10"/>
        <v>-2.857142857142847E-2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기가비스</v>
      </c>
      <c r="C62" s="65">
        <f>VLOOKUP(B62,'코엑트 코스닥액티브'!$B$11:$E$1000,4,0)</f>
        <v>0.44</v>
      </c>
      <c r="D62" s="65">
        <f>IFERROR(VLOOKUP(B62,'코엑트 코스닥액티브(과거)'!$B$11:$E$1000,4,0),0)</f>
        <v>0.33</v>
      </c>
      <c r="E62" s="20">
        <f t="shared" si="3"/>
        <v>0.10999999999999999</v>
      </c>
      <c r="F62" s="32">
        <f t="shared" si="4"/>
        <v>0.33333333333333326</v>
      </c>
      <c r="G62" s="63" t="str">
        <f>VLOOKUP(H62,유니버스!$C$14:$D$2561,2,0)</f>
        <v>KQ</v>
      </c>
      <c r="H62" s="65" t="str">
        <f>'타임 코스닥액티브'!B68</f>
        <v>오킨스전자</v>
      </c>
      <c r="I62" s="65">
        <f>VLOOKUP(H62,'타임 코스닥액티브'!$B$11:$E$1000,4,0)</f>
        <v>0.36</v>
      </c>
      <c r="J62" s="65">
        <f>IFERROR(VLOOKUP(H62,'타임코스닥액티브(과거)'!$B$11:$E$1000,4,0),0)</f>
        <v>0.33</v>
      </c>
      <c r="K62" s="20">
        <f t="shared" si="11"/>
        <v>2.9999999999999971E-2</v>
      </c>
      <c r="L62" s="32">
        <f t="shared" si="12"/>
        <v>9.0909090909090828E-2</v>
      </c>
      <c r="M62" s="62" t="str">
        <f>VLOOKUP(N62,유니버스!$C$14:$D$2561,2,0)</f>
        <v>KQ</v>
      </c>
      <c r="N62" s="26" t="str">
        <f>플러스코스닥액티브!B68</f>
        <v>씨젠</v>
      </c>
      <c r="O62" s="26">
        <f>VLOOKUP(N62,플러스코스닥액티브!$B$11:$E$1000,4,0)</f>
        <v>0.34</v>
      </c>
      <c r="P62" s="26">
        <f>IFERROR(VLOOKUP(N62,'플러스코스닥액티브(과거)'!$B$11:$E$1000,4,0),0)</f>
        <v>0.35</v>
      </c>
      <c r="Q62" s="20">
        <f t="shared" si="9"/>
        <v>-9.9999999999999534E-3</v>
      </c>
      <c r="R62" s="32">
        <f t="shared" si="10"/>
        <v>-2.857142857142847E-2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노바렉스</v>
      </c>
      <c r="C63" s="65">
        <f>VLOOKUP(B63,'코엑트 코스닥액티브'!$B$11:$E$1000,4,0)</f>
        <v>0.43</v>
      </c>
      <c r="D63" s="65">
        <f>IFERROR(VLOOKUP(B63,'코엑트 코스닥액티브(과거)'!$B$11:$E$1000,4,0),0)</f>
        <v>0.35</v>
      </c>
      <c r="E63" s="20">
        <f t="shared" si="3"/>
        <v>8.0000000000000016E-2</v>
      </c>
      <c r="F63" s="32">
        <f t="shared" si="4"/>
        <v>0.22857142857142865</v>
      </c>
      <c r="G63" s="63" t="str">
        <f>VLOOKUP(H63,유니버스!$C$14:$D$2561,2,0)</f>
        <v>KQ</v>
      </c>
      <c r="H63" s="65" t="str">
        <f>'타임 코스닥액티브'!B69</f>
        <v>더블유씨피</v>
      </c>
      <c r="I63" s="65">
        <f>VLOOKUP(H63,'타임 코스닥액티브'!$B$11:$E$1000,4,0)</f>
        <v>0.36</v>
      </c>
      <c r="J63" s="65">
        <f>IFERROR(VLOOKUP(H63,'타임코스닥액티브(과거)'!$B$11:$E$1000,4,0),0)</f>
        <v>0.43</v>
      </c>
      <c r="K63" s="20">
        <f t="shared" si="11"/>
        <v>-7.0000000000000007E-2</v>
      </c>
      <c r="L63" s="32">
        <f t="shared" si="12"/>
        <v>-0.16279069767441867</v>
      </c>
      <c r="M63" s="62" t="str">
        <f>VLOOKUP(N63,유니버스!$C$14:$D$2561,2,0)</f>
        <v>KQ</v>
      </c>
      <c r="N63" s="26" t="str">
        <f>플러스코스닥액티브!B69</f>
        <v>오로스테크놀로지</v>
      </c>
      <c r="O63" s="26">
        <f>VLOOKUP(N63,플러스코스닥액티브!$B$11:$E$1000,4,0)</f>
        <v>0.32</v>
      </c>
      <c r="P63" s="26">
        <f>IFERROR(VLOOKUP(N63,'플러스코스닥액티브(과거)'!$B$11:$E$1000,4,0),0)</f>
        <v>0.28999999999999998</v>
      </c>
      <c r="Q63" s="20">
        <f t="shared" si="9"/>
        <v>3.0000000000000027E-2</v>
      </c>
      <c r="R63" s="32">
        <f t="shared" si="10"/>
        <v>0.10344827586206917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이오테크닉스</v>
      </c>
      <c r="C64" s="65">
        <f>VLOOKUP(B64,'코엑트 코스닥액티브'!$B$11:$E$1000,4,0)</f>
        <v>0.41</v>
      </c>
      <c r="D64" s="65">
        <f>IFERROR(VLOOKUP(B64,'코엑트 코스닥액티브(과거)'!$B$11:$E$1000,4,0),0)</f>
        <v>0.38</v>
      </c>
      <c r="E64" s="20">
        <f t="shared" si="3"/>
        <v>2.9999999999999971E-2</v>
      </c>
      <c r="F64" s="32">
        <f t="shared" si="4"/>
        <v>7.8947368421052655E-2</v>
      </c>
      <c r="G64" s="63" t="str">
        <f>VLOOKUP(H64,유니버스!$C$14:$D$2561,2,0)</f>
        <v>KQ</v>
      </c>
      <c r="H64" s="65" t="str">
        <f>'타임 코스닥액티브'!B70</f>
        <v>RF머트리얼즈</v>
      </c>
      <c r="I64" s="65">
        <f>VLOOKUP(H64,'타임 코스닥액티브'!$B$11:$E$1000,4,0)</f>
        <v>0.34</v>
      </c>
      <c r="J64" s="65">
        <f>IFERROR(VLOOKUP(H64,'타임코스닥액티브(과거)'!$B$11:$E$1000,4,0),0)</f>
        <v>0.38</v>
      </c>
      <c r="K64" s="20">
        <f t="shared" ref="K64:K65" si="13">I64-J64</f>
        <v>-3.999999999999998E-2</v>
      </c>
      <c r="L64" s="32">
        <f t="shared" ref="L64:L65" si="14">IFERROR(I64/J64-1,"신규편입")</f>
        <v>-0.10526315789473684</v>
      </c>
      <c r="M64" s="62" t="str">
        <f>VLOOKUP(N64,유니버스!$C$14:$D$2561,2,0)</f>
        <v>KQ</v>
      </c>
      <c r="N64" s="26" t="str">
        <f>플러스코스닥액티브!B70</f>
        <v>덕산네오룩스</v>
      </c>
      <c r="O64" s="26">
        <f>VLOOKUP(N64,플러스코스닥액티브!$B$11:$E$1000,4,0)</f>
        <v>0.31</v>
      </c>
      <c r="P64" s="26">
        <f>IFERROR(VLOOKUP(N64,'플러스코스닥액티브(과거)'!$B$11:$E$1000,4,0),0)</f>
        <v>0.62</v>
      </c>
      <c r="Q64" s="20">
        <f t="shared" ref="Q64:Q68" si="15">O64-P64</f>
        <v>-0.31</v>
      </c>
      <c r="R64" s="32">
        <f t="shared" ref="R64:R68" si="16">IFERROR(O64/P64-1,"신규편입")</f>
        <v>-0.5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씨메스로보틱스</v>
      </c>
      <c r="C65" s="65">
        <f>VLOOKUP(B65,'코엑트 코스닥액티브'!$B$11:$E$1000,4,0)</f>
        <v>0.41</v>
      </c>
      <c r="D65" s="65">
        <f>IFERROR(VLOOKUP(B65,'코엑트 코스닥액티브(과거)'!$B$11:$E$1000,4,0),0)</f>
        <v>0.44</v>
      </c>
      <c r="E65" s="20">
        <f t="shared" si="3"/>
        <v>-3.0000000000000027E-2</v>
      </c>
      <c r="F65" s="32">
        <f t="shared" si="4"/>
        <v>-6.8181818181818232E-2</v>
      </c>
      <c r="G65" s="63" t="str">
        <f>VLOOKUP(H65,유니버스!$C$14:$D$2561,2,0)</f>
        <v>KQ</v>
      </c>
      <c r="H65" s="65" t="str">
        <f>'타임 코스닥액티브'!B71</f>
        <v>보로노이</v>
      </c>
      <c r="I65" s="65">
        <f>VLOOKUP(H65,'타임 코스닥액티브'!$B$11:$E$1000,4,0)</f>
        <v>0.28999999999999998</v>
      </c>
      <c r="J65" s="65">
        <f>IFERROR(VLOOKUP(H65,'타임코스닥액티브(과거)'!$B$11:$E$1000,4,0),0)</f>
        <v>0.38</v>
      </c>
      <c r="K65" s="20">
        <f t="shared" si="13"/>
        <v>-9.0000000000000024E-2</v>
      </c>
      <c r="L65" s="32">
        <f t="shared" si="14"/>
        <v>-0.23684210526315796</v>
      </c>
      <c r="M65" s="62" t="str">
        <f>VLOOKUP(N65,유니버스!$C$14:$D$2561,2,0)</f>
        <v>KQ</v>
      </c>
      <c r="N65" s="26" t="str">
        <f>플러스코스닥액티브!B71</f>
        <v>이오테크닉스</v>
      </c>
      <c r="O65" s="26">
        <f>VLOOKUP(N65,플러스코스닥액티브!$B$11:$E$1000,4,0)</f>
        <v>0.3</v>
      </c>
      <c r="P65" s="26">
        <f>IFERROR(VLOOKUP(N65,'플러스코스닥액티브(과거)'!$B$11:$E$1000,4,0),0)</f>
        <v>0.26</v>
      </c>
      <c r="Q65" s="20">
        <f t="shared" si="15"/>
        <v>3.999999999999998E-2</v>
      </c>
      <c r="R65" s="32">
        <f t="shared" si="16"/>
        <v>0.15384615384615374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에스엔시스</v>
      </c>
      <c r="C66" s="65">
        <f>VLOOKUP(B66,'코엑트 코스닥액티브'!$B$11:$E$1000,4,0)</f>
        <v>0.4</v>
      </c>
      <c r="D66" s="65">
        <f>IFERROR(VLOOKUP(B66,'코엑트 코스닥액티브(과거)'!$B$11:$E$1000,4,0),0)</f>
        <v>0.22</v>
      </c>
      <c r="E66" s="20">
        <f t="shared" si="3"/>
        <v>0.18000000000000002</v>
      </c>
      <c r="F66" s="32">
        <f t="shared" si="4"/>
        <v>0.81818181818181834</v>
      </c>
      <c r="G66" s="63" t="e">
        <f>VLOOKUP(H66,유니버스!$C$14:$D$2561,2,0)</f>
        <v>#N/A</v>
      </c>
      <c r="H66" s="65" t="str">
        <f>'타임 코스닥액티브'!B72</f>
        <v>원화현금</v>
      </c>
      <c r="I66" s="65">
        <f>VLOOKUP(H66,'타임 코스닥액티브'!$B$11:$E$1000,4,0)</f>
        <v>1.38</v>
      </c>
      <c r="J66" s="65">
        <f>IFERROR(VLOOKUP(H66,'타임코스닥액티브(과거)'!$B$11:$E$1000,4,0),0)</f>
        <v>0.9</v>
      </c>
      <c r="K66" s="20">
        <f t="shared" ref="K66:K68" si="17">I66-J66</f>
        <v>0.47999999999999987</v>
      </c>
      <c r="L66" s="32">
        <f t="shared" ref="L66:L68" si="18">IFERROR(I66/J66-1,"신규편입")</f>
        <v>0.53333333333333321</v>
      </c>
      <c r="M66" s="62" t="str">
        <f>VLOOKUP(N66,유니버스!$C$14:$D$2561,2,0)</f>
        <v>KQ</v>
      </c>
      <c r="N66" s="26" t="str">
        <f>플러스코스닥액티브!B72</f>
        <v>선익시스템</v>
      </c>
      <c r="O66" s="26">
        <f>VLOOKUP(N66,플러스코스닥액티브!$B$11:$E$1000,4,0)</f>
        <v>0.28999999999999998</v>
      </c>
      <c r="P66" s="26">
        <f>IFERROR(VLOOKUP(N66,'플러스코스닥액티브(과거)'!$B$11:$E$1000,4,0),0)</f>
        <v>0.44</v>
      </c>
      <c r="Q66" s="20">
        <f t="shared" si="15"/>
        <v>-0.15000000000000002</v>
      </c>
      <c r="R66" s="32">
        <f t="shared" si="16"/>
        <v>-0.34090909090909094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삼현</v>
      </c>
      <c r="C67" s="65">
        <f>VLOOKUP(B67,'코엑트 코스닥액티브'!$B$11:$E$1000,4,0)</f>
        <v>0.4</v>
      </c>
      <c r="D67" s="65">
        <f>IFERROR(VLOOKUP(B67,'코엑트 코스닥액티브(과거)'!$B$11:$E$1000,4,0),0)</f>
        <v>0.28999999999999998</v>
      </c>
      <c r="E67" s="20">
        <f t="shared" si="3"/>
        <v>0.11000000000000004</v>
      </c>
      <c r="F67" s="32">
        <f t="shared" si="4"/>
        <v>0.3793103448275863</v>
      </c>
      <c r="G67" s="63" t="e">
        <f>VLOOKUP(H67,유니버스!$C$14:$D$2561,2,0)</f>
        <v>#N/A</v>
      </c>
      <c r="H67" s="65">
        <f>'타임 코스닥액티브'!B73</f>
        <v>0</v>
      </c>
      <c r="I67" s="65" t="e">
        <f>VLOOKUP(H67,'타임 코스닥액티브'!$B$11:$E$1000,4,0)</f>
        <v>#N/A</v>
      </c>
      <c r="J67" s="65">
        <f>IFERROR(VLOOKUP(H67,'타임코스닥액티브(과거)'!$B$11:$E$1000,4,0),0)</f>
        <v>0</v>
      </c>
      <c r="K67" s="20" t="e">
        <f t="shared" si="17"/>
        <v>#N/A</v>
      </c>
      <c r="L67" s="32" t="str">
        <f t="shared" si="18"/>
        <v>신규편입</v>
      </c>
      <c r="M67" s="62" t="str">
        <f>VLOOKUP(N67,유니버스!$C$14:$D$2561,2,0)</f>
        <v>KQ</v>
      </c>
      <c r="N67" s="26" t="str">
        <f>플러스코스닥액티브!B73</f>
        <v>코스메카코리아</v>
      </c>
      <c r="O67" s="26">
        <f>VLOOKUP(N67,플러스코스닥액티브!$B$11:$E$1000,4,0)</f>
        <v>0.26</v>
      </c>
      <c r="P67" s="26">
        <f>IFERROR(VLOOKUP(N67,'플러스코스닥액티브(과거)'!$B$11:$E$1000,4,0),0)</f>
        <v>0.26</v>
      </c>
      <c r="Q67" s="20">
        <f t="shared" si="15"/>
        <v>0</v>
      </c>
      <c r="R67" s="32">
        <f t="shared" si="16"/>
        <v>0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보로노이</v>
      </c>
      <c r="C68" s="65">
        <f>VLOOKUP(B68,'코엑트 코스닥액티브'!$B$11:$E$1000,4,0)</f>
        <v>0.37</v>
      </c>
      <c r="D68" s="65">
        <f>IFERROR(VLOOKUP(B68,'코엑트 코스닥액티브(과거)'!$B$11:$E$1000,4,0),0)</f>
        <v>0.52</v>
      </c>
      <c r="E68" s="20">
        <f t="shared" si="3"/>
        <v>-0.15000000000000002</v>
      </c>
      <c r="F68" s="32">
        <f t="shared" si="4"/>
        <v>-0.28846153846153855</v>
      </c>
      <c r="G68" s="63" t="e">
        <f>VLOOKUP(H68,유니버스!$C$14:$D$2561,2,0)</f>
        <v>#N/A</v>
      </c>
      <c r="H68" s="65">
        <f>'타임 코스닥액티브'!B74</f>
        <v>0</v>
      </c>
      <c r="I68" s="65" t="e">
        <f>VLOOKUP(H68,'타임 코스닥액티브'!$B$11:$E$1000,4,0)</f>
        <v>#N/A</v>
      </c>
      <c r="J68" s="65">
        <f>IFERROR(VLOOKUP(H68,'타임코스닥액티브(과거)'!$B$11:$E$1000,4,0),0)</f>
        <v>0</v>
      </c>
      <c r="K68" s="20" t="e">
        <f t="shared" si="17"/>
        <v>#N/A</v>
      </c>
      <c r="L68" s="32" t="str">
        <f t="shared" si="18"/>
        <v>신규편입</v>
      </c>
      <c r="M68" s="62" t="str">
        <f>VLOOKUP(N68,유니버스!$C$14:$D$2561,2,0)</f>
        <v>KQ</v>
      </c>
      <c r="N68" s="26" t="str">
        <f>플러스코스닥액티브!B74</f>
        <v>디아이티</v>
      </c>
      <c r="O68" s="26">
        <f>VLOOKUP(N68,플러스코스닥액티브!$B$11:$E$1000,4,0)</f>
        <v>0.23</v>
      </c>
      <c r="P68" s="26">
        <f>IFERROR(VLOOKUP(N68,'플러스코스닥액티브(과거)'!$B$11:$E$1000,4,0),0)</f>
        <v>0.2</v>
      </c>
      <c r="Q68" s="20">
        <f t="shared" si="15"/>
        <v>0.03</v>
      </c>
      <c r="R68" s="32">
        <f t="shared" si="16"/>
        <v>0.14999999999999991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코오롱생명과학</v>
      </c>
      <c r="C69" s="65">
        <f>VLOOKUP(B69,'코엑트 코스닥액티브'!$B$11:$E$1000,4,0)</f>
        <v>0.37</v>
      </c>
      <c r="D69" s="65">
        <f>IFERROR(VLOOKUP(B69,'코엑트 코스닥액티브(과거)'!$B$11:$E$1000,4,0),0)</f>
        <v>0.18</v>
      </c>
      <c r="E69" s="20">
        <f t="shared" si="3"/>
        <v>0.19</v>
      </c>
      <c r="F69" s="32">
        <f t="shared" si="4"/>
        <v>1.0555555555555558</v>
      </c>
      <c r="G69" s="63" t="e">
        <f>VLOOKUP(H69,유니버스!$C$14:$D$2561,2,0)</f>
        <v>#N/A</v>
      </c>
      <c r="H69" s="65">
        <f>'타임 코스닥액티브'!B75</f>
        <v>0</v>
      </c>
      <c r="I69" s="65" t="e">
        <f>VLOOKUP(H69,'타임 코스닥액티브'!$B$11:$E$1000,4,0)</f>
        <v>#N/A</v>
      </c>
      <c r="J69" s="65">
        <f>IFERROR(VLOOKUP(H69,'타임코스닥액티브(과거)'!$B$11:$E$1000,4,0),0)</f>
        <v>0</v>
      </c>
      <c r="K69" s="20" t="e">
        <f t="shared" ref="K69" si="19">I69-J69</f>
        <v>#N/A</v>
      </c>
      <c r="L69" s="32" t="str">
        <f t="shared" ref="L69" si="20">IFERROR(I69/J69-1,"신규편입")</f>
        <v>신규편입</v>
      </c>
      <c r="M69" s="62" t="str">
        <f>VLOOKUP(N69,유니버스!$C$14:$D$2561,2,0)</f>
        <v>KQ</v>
      </c>
      <c r="N69" s="26" t="str">
        <f>플러스코스닥액티브!B75</f>
        <v>레이크머티리얼즈</v>
      </c>
      <c r="O69" s="26">
        <f>VLOOKUP(N69,플러스코스닥액티브!$B$11:$E$1000,4,0)</f>
        <v>0.23</v>
      </c>
      <c r="P69" s="26">
        <f>IFERROR(VLOOKUP(N69,'플러스코스닥액티브(과거)'!$B$11:$E$1000,4,0),0)</f>
        <v>0.25</v>
      </c>
      <c r="Q69" s="20">
        <f t="shared" ref="Q69:Q73" si="21">O69-P69</f>
        <v>-1.999999999999999E-2</v>
      </c>
      <c r="R69" s="32">
        <f t="shared" ref="R69:R73" si="22">IFERROR(O69/P69-1,"신규편입")</f>
        <v>-7.999999999999996E-2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이랜텍</v>
      </c>
      <c r="C70" s="65">
        <f>VLOOKUP(B70,'코엑트 코스닥액티브'!$B$11:$E$1000,4,0)</f>
        <v>0.36</v>
      </c>
      <c r="D70" s="65">
        <f>IFERROR(VLOOKUP(B70,'코엑트 코스닥액티브(과거)'!$B$11:$E$1000,4,0),0)</f>
        <v>0.33</v>
      </c>
      <c r="E70" s="20">
        <f t="shared" ref="E70:E84" si="23">C70-D70</f>
        <v>2.9999999999999971E-2</v>
      </c>
      <c r="F70" s="32">
        <f t="shared" ref="F70:F84" si="24">IFERROR(C70/D70-1,"신규편입")</f>
        <v>9.0909090909090828E-2</v>
      </c>
      <c r="G70" s="63" t="e">
        <f>VLOOKUP(H70,유니버스!$C$14:$D$2561,2,0)</f>
        <v>#N/A</v>
      </c>
      <c r="H70" s="65">
        <f>'타임 코스닥액티브'!B76</f>
        <v>0</v>
      </c>
      <c r="I70" s="65" t="e">
        <f>VLOOKUP(H70,'타임 코스닥액티브'!$B$11:$E$1000,4,0)</f>
        <v>#N/A</v>
      </c>
      <c r="J70" s="65">
        <f>IFERROR(VLOOKUP(H70,'타임코스닥액티브(과거)'!$B$11:$E$1000,4,0),0)</f>
        <v>0</v>
      </c>
      <c r="K70" s="20" t="e">
        <f t="shared" ref="K70:K71" si="25">I70-J70</f>
        <v>#N/A</v>
      </c>
      <c r="L70" s="32" t="str">
        <f t="shared" ref="L70:L71" si="26">IFERROR(I70/J70-1,"신규편입")</f>
        <v>신규편입</v>
      </c>
      <c r="M70" s="62" t="str">
        <f>VLOOKUP(N70,유니버스!$C$14:$D$2561,2,0)</f>
        <v>KQ</v>
      </c>
      <c r="N70" s="26" t="str">
        <f>플러스코스닥액티브!B76</f>
        <v>삼현</v>
      </c>
      <c r="O70" s="26">
        <f>VLOOKUP(N70,플러스코스닥액티브!$B$11:$E$1000,4,0)</f>
        <v>0.21</v>
      </c>
      <c r="P70" s="26">
        <f>IFERROR(VLOOKUP(N70,'플러스코스닥액티브(과거)'!$B$11:$E$1000,4,0),0)</f>
        <v>0</v>
      </c>
      <c r="Q70" s="20">
        <f t="shared" si="21"/>
        <v>0.21</v>
      </c>
      <c r="R70" s="32" t="str">
        <f t="shared" si="22"/>
        <v>신규편입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미래에셋벤처투자</v>
      </c>
      <c r="C71" s="65">
        <f>VLOOKUP(B71,'코엑트 코스닥액티브'!$B$11:$E$1000,4,0)</f>
        <v>0.32</v>
      </c>
      <c r="D71" s="65">
        <f>IFERROR(VLOOKUP(B71,'코엑트 코스닥액티브(과거)'!$B$11:$E$1000,4,0),0)</f>
        <v>0.37</v>
      </c>
      <c r="E71" s="20">
        <f t="shared" si="23"/>
        <v>-4.9999999999999989E-2</v>
      </c>
      <c r="F71" s="32">
        <f t="shared" si="24"/>
        <v>-0.13513513513513509</v>
      </c>
      <c r="G71" s="63" t="e">
        <f>VLOOKUP(H71,유니버스!$C$14:$D$2561,2,0)</f>
        <v>#N/A</v>
      </c>
      <c r="H71" s="65">
        <f>'타임 코스닥액티브'!B77</f>
        <v>0</v>
      </c>
      <c r="I71" s="65" t="e">
        <f>VLOOKUP(H71,'타임 코스닥액티브'!$B$11:$E$1000,4,0)</f>
        <v>#N/A</v>
      </c>
      <c r="J71" s="65">
        <f>IFERROR(VLOOKUP(H71,'타임코스닥액티브(과거)'!$B$11:$E$1000,4,0),0)</f>
        <v>0</v>
      </c>
      <c r="K71" s="20" t="e">
        <f t="shared" si="25"/>
        <v>#N/A</v>
      </c>
      <c r="L71" s="32" t="str">
        <f t="shared" si="26"/>
        <v>신규편입</v>
      </c>
      <c r="M71" s="62" t="str">
        <f>VLOOKUP(N71,유니버스!$C$14:$D$2561,2,0)</f>
        <v>KQ</v>
      </c>
      <c r="N71" s="26" t="str">
        <f>플러스코스닥액티브!B77</f>
        <v>파두</v>
      </c>
      <c r="O71" s="26">
        <f>VLOOKUP(N71,플러스코스닥액티브!$B$11:$E$1000,4,0)</f>
        <v>0.18</v>
      </c>
      <c r="P71" s="26">
        <f>IFERROR(VLOOKUP(N71,'플러스코스닥액티브(과거)'!$B$11:$E$1000,4,0),0)</f>
        <v>0</v>
      </c>
      <c r="Q71" s="20">
        <f t="shared" si="21"/>
        <v>0.18</v>
      </c>
      <c r="R71" s="32" t="str">
        <f t="shared" si="22"/>
        <v>신규편입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아모그린텍</v>
      </c>
      <c r="C72" s="65">
        <f>VLOOKUP(B72,'코엑트 코스닥액티브'!$B$11:$E$1000,4,0)</f>
        <v>0.3</v>
      </c>
      <c r="D72" s="65">
        <f>IFERROR(VLOOKUP(B72,'코엑트 코스닥액티브(과거)'!$B$11:$E$1000,4,0),0)</f>
        <v>0.23</v>
      </c>
      <c r="E72" s="20">
        <f t="shared" si="23"/>
        <v>6.9999999999999979E-2</v>
      </c>
      <c r="F72" s="32">
        <f t="shared" si="24"/>
        <v>0.30434782608695632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서부T&amp;D</v>
      </c>
      <c r="O72" s="26">
        <f>VLOOKUP(N72,플러스코스닥액티브!$B$11:$E$1000,4,0)</f>
        <v>0.17</v>
      </c>
      <c r="P72" s="26">
        <f>IFERROR(VLOOKUP(N72,'플러스코스닥액티브(과거)'!$B$11:$E$1000,4,0),0)</f>
        <v>0.26</v>
      </c>
      <c r="Q72" s="20">
        <f t="shared" si="21"/>
        <v>-0.09</v>
      </c>
      <c r="R72" s="32">
        <f t="shared" si="22"/>
        <v>-0.34615384615384615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씨어스</v>
      </c>
      <c r="C73" s="65">
        <f>VLOOKUP(B73,'코엑트 코스닥액티브'!$B$11:$E$1000,4,0)</f>
        <v>0.28000000000000003</v>
      </c>
      <c r="D73" s="65">
        <f>IFERROR(VLOOKUP(B73,'코엑트 코스닥액티브(과거)'!$B$11:$E$1000,4,0),0)</f>
        <v>0.3</v>
      </c>
      <c r="E73" s="20">
        <f t="shared" si="23"/>
        <v>-1.9999999999999962E-2</v>
      </c>
      <c r="F73" s="32">
        <f t="shared" si="24"/>
        <v>-6.6666666666666541E-2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에스티팜</v>
      </c>
      <c r="O73" s="26">
        <f>VLOOKUP(N73,플러스코스닥액티브!$B$11:$E$1000,4,0)</f>
        <v>0.1</v>
      </c>
      <c r="P73" s="26">
        <f>IFERROR(VLOOKUP(N73,'플러스코스닥액티브(과거)'!$B$11:$E$1000,4,0),0)</f>
        <v>0.1</v>
      </c>
      <c r="Q73" s="20">
        <f t="shared" si="21"/>
        <v>0</v>
      </c>
      <c r="R73" s="32">
        <f t="shared" si="22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레이크머티리얼즈</v>
      </c>
      <c r="C74" s="65">
        <f>VLOOKUP(B74,'코엑트 코스닥액티브'!$B$11:$E$1000,4,0)</f>
        <v>0.27</v>
      </c>
      <c r="D74" s="65">
        <f>IFERROR(VLOOKUP(B74,'코엑트 코스닥액티브(과거)'!$B$11:$E$1000,4,0),0)</f>
        <v>0.32</v>
      </c>
      <c r="E74" s="20">
        <f t="shared" si="23"/>
        <v>-4.9999999999999989E-2</v>
      </c>
      <c r="F74" s="32">
        <f t="shared" si="24"/>
        <v>-0.15625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큐렉소</v>
      </c>
      <c r="O74" s="26">
        <f>VLOOKUP(N74,플러스코스닥액티브!$B$11:$E$1000,4,0)</f>
        <v>0.1</v>
      </c>
      <c r="P74" s="26">
        <f>IFERROR(VLOOKUP(N74,'플러스코스닥액티브(과거)'!$B$11:$E$1000,4,0),0)</f>
        <v>0.45</v>
      </c>
      <c r="Q74" s="20">
        <f t="shared" ref="Q74:Q76" si="27">O74-P74</f>
        <v>-0.35</v>
      </c>
      <c r="R74" s="32">
        <f t="shared" ref="R74:R76" si="28">IFERROR(O74/P74-1,"신규편입")</f>
        <v>-0.77777777777777779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자람테크놀로지</v>
      </c>
      <c r="C75" s="65">
        <f>VLOOKUP(B75,'코엑트 코스닥액티브'!$B$11:$E$1000,4,0)</f>
        <v>0.27</v>
      </c>
      <c r="D75" s="65">
        <f>IFERROR(VLOOKUP(B75,'코엑트 코스닥액티브(과거)'!$B$11:$E$1000,4,0),0)</f>
        <v>0.41</v>
      </c>
      <c r="E75" s="20">
        <f t="shared" si="23"/>
        <v>-0.13999999999999996</v>
      </c>
      <c r="F75" s="32">
        <f t="shared" si="24"/>
        <v>-0.34146341463414631</v>
      </c>
      <c r="H75" s="65"/>
      <c r="I75" s="65"/>
      <c r="J75" s="65"/>
      <c r="K75" s="20"/>
      <c r="L75" s="32"/>
      <c r="M75" s="62" t="str">
        <f>VLOOKUP(N75,유니버스!$C$14:$D$2561,2,0)</f>
        <v>KQ</v>
      </c>
      <c r="N75" s="26" t="str">
        <f>플러스코스닥액티브!B81</f>
        <v>나노신소재</v>
      </c>
      <c r="O75" s="26">
        <f>VLOOKUP(N75,플러스코스닥액티브!$B$11:$E$1000,4,0)</f>
        <v>0.09</v>
      </c>
      <c r="P75" s="26">
        <f>IFERROR(VLOOKUP(N75,'플러스코스닥액티브(과거)'!$B$11:$E$1000,4,0),0)</f>
        <v>0.19</v>
      </c>
      <c r="Q75" s="20">
        <f t="shared" si="27"/>
        <v>-0.1</v>
      </c>
      <c r="R75" s="32">
        <f t="shared" si="28"/>
        <v>-0.52631578947368429</v>
      </c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한라캐스트</v>
      </c>
      <c r="C76" s="65">
        <f>VLOOKUP(B76,'코엑트 코스닥액티브'!$B$11:$E$1000,4,0)</f>
        <v>0.26</v>
      </c>
      <c r="D76" s="65">
        <f>IFERROR(VLOOKUP(B76,'코엑트 코스닥액티브(과거)'!$B$11:$E$1000,4,0),0)</f>
        <v>0.19</v>
      </c>
      <c r="E76" s="20">
        <f t="shared" si="23"/>
        <v>7.0000000000000007E-2</v>
      </c>
      <c r="F76" s="32">
        <f t="shared" si="24"/>
        <v>0.36842105263157898</v>
      </c>
      <c r="H76" s="65"/>
      <c r="I76" s="65"/>
      <c r="J76" s="65"/>
      <c r="K76" s="20"/>
      <c r="L76" s="32"/>
      <c r="M76" s="62" t="str">
        <f>VLOOKUP(N76,유니버스!$C$14:$D$2561,2,0)</f>
        <v>KQ</v>
      </c>
      <c r="N76" s="26" t="str">
        <f>플러스코스닥액티브!B82</f>
        <v>오이솔루션</v>
      </c>
      <c r="O76" s="26">
        <f>VLOOKUP(N76,플러스코스닥액티브!$B$11:$E$1000,4,0)</f>
        <v>0.08</v>
      </c>
      <c r="P76" s="26">
        <f>IFERROR(VLOOKUP(N76,'플러스코스닥액티브(과거)'!$B$11:$E$1000,4,0),0)</f>
        <v>0.2</v>
      </c>
      <c r="Q76" s="20">
        <f t="shared" si="27"/>
        <v>-0.12000000000000001</v>
      </c>
      <c r="R76" s="32">
        <f t="shared" si="28"/>
        <v>-0.60000000000000009</v>
      </c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덕산네오룩스</v>
      </c>
      <c r="C77" s="65">
        <f>VLOOKUP(B77,'코엑트 코스닥액티브'!$B$11:$E$1000,4,0)</f>
        <v>0.24</v>
      </c>
      <c r="D77" s="65">
        <f>IFERROR(VLOOKUP(B77,'코엑트 코스닥액티브(과거)'!$B$11:$E$1000,4,0),0)</f>
        <v>0.37</v>
      </c>
      <c r="E77" s="20">
        <f t="shared" si="23"/>
        <v>-0.13</v>
      </c>
      <c r="F77" s="32">
        <f t="shared" si="24"/>
        <v>-0.35135135135135132</v>
      </c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LS머트리얼즈</v>
      </c>
      <c r="C78" s="65">
        <f>VLOOKUP(B78,'코엑트 코스닥액티브'!$B$11:$E$1000,4,0)</f>
        <v>0.24</v>
      </c>
      <c r="D78" s="65">
        <f>IFERROR(VLOOKUP(B78,'코엑트 코스닥액티브(과거)'!$B$11:$E$1000,4,0),0)</f>
        <v>0.31</v>
      </c>
      <c r="E78" s="20">
        <f t="shared" si="23"/>
        <v>-7.0000000000000007E-2</v>
      </c>
      <c r="F78" s="32">
        <f t="shared" si="24"/>
        <v>-0.22580645161290325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오이솔루션</v>
      </c>
      <c r="C79" s="65">
        <f>VLOOKUP(B79,'코엑트 코스닥액티브'!$B$11:$E$1000,4,0)</f>
        <v>0.14000000000000001</v>
      </c>
      <c r="D79" s="65">
        <f>IFERROR(VLOOKUP(B79,'코엑트 코스닥액티브(과거)'!$B$11:$E$1000,4,0),0)</f>
        <v>0.31</v>
      </c>
      <c r="E79" s="20">
        <f t="shared" si="23"/>
        <v>-0.16999999999999998</v>
      </c>
      <c r="F79" s="32">
        <f t="shared" si="24"/>
        <v>-0.54838709677419351</v>
      </c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와이지엔터테인먼트</v>
      </c>
      <c r="C80" s="65">
        <f>VLOOKUP(B80,'코엑트 코스닥액티브'!$B$11:$E$1000,4,0)</f>
        <v>0.11</v>
      </c>
      <c r="D80" s="65">
        <f>IFERROR(VLOOKUP(B80,'코엑트 코스닥액티브(과거)'!$B$11:$E$1000,4,0),0)</f>
        <v>0.11</v>
      </c>
      <c r="E80" s="20">
        <f t="shared" si="23"/>
        <v>0</v>
      </c>
      <c r="F80" s="32">
        <f t="shared" si="24"/>
        <v>0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제이브이엠</v>
      </c>
      <c r="C81" s="65">
        <f>VLOOKUP(B81,'코엑트 코스닥액티브'!$B$11:$E$1000,4,0)</f>
        <v>0.08</v>
      </c>
      <c r="D81" s="65">
        <f>IFERROR(VLOOKUP(B81,'코엑트 코스닥액티브(과거)'!$B$11:$E$1000,4,0),0)</f>
        <v>0.13</v>
      </c>
      <c r="E81" s="20">
        <f t="shared" si="23"/>
        <v>-0.05</v>
      </c>
      <c r="F81" s="32">
        <f t="shared" si="24"/>
        <v>-0.38461538461538458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str">
        <f>VLOOKUP(B82,유니버스!$C$14:$D$2561,2,0)</f>
        <v>KQ</v>
      </c>
      <c r="B82" s="65" t="str">
        <f>'코엑트 코스닥액티브'!B88</f>
        <v>바디텍메드</v>
      </c>
      <c r="C82" s="65">
        <f>VLOOKUP(B82,'코엑트 코스닥액티브'!$B$11:$E$1000,4,0)</f>
        <v>7.0000000000000007E-2</v>
      </c>
      <c r="D82" s="65">
        <f>IFERROR(VLOOKUP(B82,'코엑트 코스닥액티브(과거)'!$B$11:$E$1000,4,0),0)</f>
        <v>0.13</v>
      </c>
      <c r="E82" s="20">
        <f t="shared" si="23"/>
        <v>-0.06</v>
      </c>
      <c r="F82" s="32">
        <f t="shared" si="24"/>
        <v>-0.46153846153846145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str">
        <f>VLOOKUP(B83,유니버스!$C$14:$D$2561,2,0)</f>
        <v>KQ</v>
      </c>
      <c r="B83" s="65" t="str">
        <f>'코엑트 코스닥액티브'!B89</f>
        <v>이지홀딩스</v>
      </c>
      <c r="C83" s="65">
        <f>VLOOKUP(B83,'코엑트 코스닥액티브'!$B$11:$E$1000,4,0)</f>
        <v>7.0000000000000007E-2</v>
      </c>
      <c r="D83" s="65">
        <f>IFERROR(VLOOKUP(B83,'코엑트 코스닥액티브(과거)'!$B$11:$E$1000,4,0),0)</f>
        <v>0.14000000000000001</v>
      </c>
      <c r="E83" s="20">
        <f t="shared" si="23"/>
        <v>-7.0000000000000007E-2</v>
      </c>
      <c r="F83" s="32">
        <f t="shared" si="24"/>
        <v>-0.5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e">
        <f>VLOOKUP(B84,유니버스!$C$14:$D$2561,2,0)</f>
        <v>#N/A</v>
      </c>
      <c r="B84" s="65" t="str">
        <f>'코엑트 코스닥액티브'!B90</f>
        <v>원화현금</v>
      </c>
      <c r="C84" s="65">
        <f>VLOOKUP(B84,'코엑트 코스닥액티브'!$B$11:$E$1000,4,0)</f>
        <v>0</v>
      </c>
      <c r="D84" s="65">
        <f>IFERROR(VLOOKUP(B84,'코엑트 코스닥액티브(과거)'!$B$11:$E$1000,4,0),0)</f>
        <v>0</v>
      </c>
      <c r="E84" s="20">
        <f t="shared" si="23"/>
        <v>0</v>
      </c>
      <c r="F84" s="32" t="str">
        <f t="shared" si="24"/>
        <v>신규편입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e">
        <f>VLOOKUP(B85,유니버스!$C$14:$D$2561,2,0)</f>
        <v>#N/A</v>
      </c>
      <c r="B85" s="65">
        <f>'코엑트 코스닥액티브'!B91</f>
        <v>0</v>
      </c>
      <c r="C85" s="65" t="e">
        <f>VLOOKUP(B85,'코엑트 코스닥액티브'!$B$11:$E$1000,4,0)</f>
        <v>#N/A</v>
      </c>
      <c r="D85" s="65">
        <f>IFERROR(VLOOKUP(B85,'코엑트 코스닥액티브(과거)'!$B$11:$E$1000,4,0),0)</f>
        <v>0</v>
      </c>
      <c r="E85" s="20" t="e">
        <f t="shared" ref="E85:E86" si="29">C85-D85</f>
        <v>#N/A</v>
      </c>
      <c r="F85" s="32" t="str">
        <f t="shared" ref="F85:F86" si="30">IFERROR(C85/D85-1,"신규편입")</f>
        <v>신규편입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e">
        <f>VLOOKUP(B86,유니버스!$C$14:$D$2561,2,0)</f>
        <v>#N/A</v>
      </c>
      <c r="B86" s="65">
        <f>'코엑트 코스닥액티브'!B92</f>
        <v>0</v>
      </c>
      <c r="C86" s="65" t="e">
        <f>VLOOKUP(B86,'코엑트 코스닥액티브'!$B$11:$E$1000,4,0)</f>
        <v>#N/A</v>
      </c>
      <c r="D86" s="65">
        <f>IFERROR(VLOOKUP(B86,'코엑트 코스닥액티브(과거)'!$B$11:$E$1000,4,0),0)</f>
        <v>0</v>
      </c>
      <c r="E86" s="20" t="e">
        <f t="shared" si="29"/>
        <v>#N/A</v>
      </c>
      <c r="F86" s="32" t="str">
        <f t="shared" si="30"/>
        <v>신규편입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A87" s="63" t="e">
        <f>VLOOKUP(B87,유니버스!$C$14:$D$2561,2,0)</f>
        <v>#N/A</v>
      </c>
      <c r="B87" s="65">
        <f>'코엑트 코스닥액티브'!B93</f>
        <v>0</v>
      </c>
      <c r="C87" s="65" t="e">
        <f>VLOOKUP(B87,'코엑트 코스닥액티브'!$B$11:$E$1000,4,0)</f>
        <v>#N/A</v>
      </c>
      <c r="D87" s="65">
        <f>IFERROR(VLOOKUP(B87,'코엑트 코스닥액티브(과거)'!$B$11:$E$1000,4,0),0)</f>
        <v>0</v>
      </c>
      <c r="E87" s="20" t="e">
        <f t="shared" ref="E87:E88" si="31">C87-D87</f>
        <v>#N/A</v>
      </c>
      <c r="F87" s="32" t="str">
        <f t="shared" ref="F87:F88" si="32">IFERROR(C87/D87-1,"신규편입")</f>
        <v>신규편입</v>
      </c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A88" s="63" t="e">
        <f>VLOOKUP(B88,유니버스!$C$14:$D$2561,2,0)</f>
        <v>#N/A</v>
      </c>
      <c r="B88" s="65">
        <f>'코엑트 코스닥액티브'!B94</f>
        <v>0</v>
      </c>
      <c r="C88" s="65" t="e">
        <f>VLOOKUP(B88,'코엑트 코스닥액티브'!$B$11:$E$1000,4,0)</f>
        <v>#N/A</v>
      </c>
      <c r="D88" s="65">
        <f>IFERROR(VLOOKUP(B88,'코엑트 코스닥액티브(과거)'!$B$11:$E$1000,4,0),0)</f>
        <v>0</v>
      </c>
      <c r="E88" s="20" t="e">
        <f t="shared" si="31"/>
        <v>#N/A</v>
      </c>
      <c r="F88" s="32" t="str">
        <f t="shared" si="32"/>
        <v>신규편입</v>
      </c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C11" zoomScaleNormal="100" workbookViewId="0">
      <selection activeCell="H15" sqref="H15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[20260611]</v>
      </c>
      <c r="D4" s="66" t="str">
        <f>'UNICORN SK하이닉스밸류체인액티브(과거)'!B4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64" t="str">
        <f>C4</f>
        <v>CPD [20260611]</v>
      </c>
      <c r="P4" s="64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SK스퀘어</v>
      </c>
      <c r="C5" s="65">
        <f>VLOOKUP(B5,'UNICORN SK하이닉스밸류체인액티브'!$B$11:$E$1000,4,0)</f>
        <v>21.31</v>
      </c>
      <c r="D5" s="65">
        <f>IFERROR(VLOOKUP(B5,'UNICORN SK하이닉스밸류체인액티브(과거)'!$B$11:$E$1000,4,0),0)</f>
        <v>23.88</v>
      </c>
      <c r="E5" s="20">
        <f t="shared" ref="E5" si="0">C5-D5</f>
        <v>-2.5700000000000003</v>
      </c>
      <c r="F5" s="32">
        <f t="shared" ref="F5" si="1">IFERROR(C5/D5-1,"신규편입")</f>
        <v>-0.10762144053601341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23.94</v>
      </c>
      <c r="J5" s="65">
        <f>IFERROR(VLOOKUP(H5,'WON 반도체밸류체인액티브(과거)'!$B$11:$E$1000,4,0),0)</f>
        <v>26.69</v>
      </c>
      <c r="K5" s="20">
        <f t="shared" ref="K5" si="2">I5-J5</f>
        <v>-2.75</v>
      </c>
      <c r="L5" s="32">
        <f t="shared" ref="L5" si="3">IFERROR(I5/J5-1,"신규편입")</f>
        <v>-0.10303484451105283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23.74</v>
      </c>
      <c r="P5" s="26">
        <f>IFERROR(VLOOKUP(N5,'RISE 비메모리반도체액티브(과거)'!$B$11:$E$1000,4,0),0)</f>
        <v>23.01</v>
      </c>
      <c r="Q5" s="20">
        <f t="shared" ref="Q5" si="4">O5-P5</f>
        <v>0.72999999999999687</v>
      </c>
      <c r="R5" s="32">
        <f t="shared" ref="R5" si="5">IFERROR(O5/P5-1,"신규편입")</f>
        <v>3.1725336810082494E-2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SK하이닉스</v>
      </c>
      <c r="C6" s="65">
        <f>VLOOKUP(B6,'UNICORN SK하이닉스밸류체인액티브'!$B$11:$E$1000,4,0)</f>
        <v>20.73</v>
      </c>
      <c r="D6" s="65">
        <f>IFERROR(VLOOKUP(B6,'UNICORN SK하이닉스밸류체인액티브(과거)'!$B$11:$E$1000,4,0),0)</f>
        <v>24.92</v>
      </c>
      <c r="E6" s="20">
        <f t="shared" ref="E6:E15" si="6">C6-D6</f>
        <v>-4.1900000000000013</v>
      </c>
      <c r="F6" s="32">
        <f t="shared" ref="F6:F15" si="7">IFERROR(C6/D6-1,"신규편입")</f>
        <v>-0.16813804173354741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22.04</v>
      </c>
      <c r="J6" s="65">
        <f>IFERROR(VLOOKUP(H6,'WON 반도체밸류체인액티브(과거)'!$B$11:$E$1000,4,0),0)</f>
        <v>23.46</v>
      </c>
      <c r="K6" s="20">
        <f t="shared" ref="K6:K21" si="8">I6-J6</f>
        <v>-1.4200000000000017</v>
      </c>
      <c r="L6" s="32">
        <f t="shared" ref="L6:L21" si="9">IFERROR(I6/J6-1,"신규편입")</f>
        <v>-6.0528559249786951E-2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19.739999999999998</v>
      </c>
      <c r="P6" s="26">
        <f>IFERROR(VLOOKUP(N6,'RISE 비메모리반도체액티브(과거)'!$B$11:$E$1000,4,0),0)</f>
        <v>20.83</v>
      </c>
      <c r="Q6" s="20">
        <f t="shared" ref="Q6:Q19" si="10">O6-P6</f>
        <v>-1.0899999999999999</v>
      </c>
      <c r="R6" s="32">
        <f t="shared" ref="R6:R19" si="11">IFERROR(O6/P6-1,"신규편입")</f>
        <v>-5.2328372539606316E-2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브이엠</v>
      </c>
      <c r="C7" s="65">
        <f>VLOOKUP(B7,'UNICORN SK하이닉스밸류체인액티브'!$B$11:$E$1000,4,0)</f>
        <v>4.8600000000000003</v>
      </c>
      <c r="D7" s="65">
        <f>IFERROR(VLOOKUP(B7,'UNICORN SK하이닉스밸류체인액티브(과거)'!$B$11:$E$1000,4,0),0)</f>
        <v>3.7</v>
      </c>
      <c r="E7" s="20">
        <f t="shared" si="6"/>
        <v>1.1600000000000001</v>
      </c>
      <c r="F7" s="32">
        <f t="shared" si="7"/>
        <v>0.31351351351351364</v>
      </c>
      <c r="G7" s="63" t="str">
        <f>VLOOKUP(H7,유니버스!$C$14:$D$2561,2,0)</f>
        <v>KS</v>
      </c>
      <c r="H7" s="65" t="str">
        <f>'WON 반도체밸류체인액티브'!B13</f>
        <v>삼성전기</v>
      </c>
      <c r="I7" s="65">
        <f>VLOOKUP(H7,'WON 반도체밸류체인액티브'!$B$11:$E$1000,4,0)</f>
        <v>6.16</v>
      </c>
      <c r="J7" s="65">
        <f>IFERROR(VLOOKUP(H7,'WON 반도체밸류체인액티브(과거)'!$B$11:$E$1000,4,0),0)</f>
        <v>7.29</v>
      </c>
      <c r="K7" s="20">
        <f t="shared" si="8"/>
        <v>-1.1299999999999999</v>
      </c>
      <c r="L7" s="32">
        <f t="shared" si="9"/>
        <v>-0.15500685871056241</v>
      </c>
      <c r="M7" s="62" t="str">
        <f>VLOOKUP(N7,유니버스!$C$14:$D$2561,2,0)</f>
        <v>KQ</v>
      </c>
      <c r="N7" s="26" t="str">
        <f>'RISE 비메모리반도체액티브'!B13</f>
        <v>심텍</v>
      </c>
      <c r="O7" s="26">
        <f>VLOOKUP(N7,'RISE 비메모리반도체액티브'!$B$11:$E$1000,4,0)</f>
        <v>6.92</v>
      </c>
      <c r="P7" s="26">
        <f>IFERROR(VLOOKUP(N7,'RISE 비메모리반도체액티브(과거)'!$B$11:$E$1000,4,0),0)</f>
        <v>4.8600000000000003</v>
      </c>
      <c r="Q7" s="20">
        <f t="shared" si="10"/>
        <v>2.0599999999999996</v>
      </c>
      <c r="R7" s="32">
        <f t="shared" si="11"/>
        <v>0.4238683127572016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피에스케이</v>
      </c>
      <c r="C8" s="65">
        <f>VLOOKUP(B8,'UNICORN SK하이닉스밸류체인액티브'!$B$11:$E$1000,4,0)</f>
        <v>4.4400000000000004</v>
      </c>
      <c r="D8" s="65">
        <f>IFERROR(VLOOKUP(B8,'UNICORN SK하이닉스밸류체인액티브(과거)'!$B$11:$E$1000,4,0),0)</f>
        <v>3.8</v>
      </c>
      <c r="E8" s="20">
        <f t="shared" si="6"/>
        <v>0.64000000000000057</v>
      </c>
      <c r="F8" s="32">
        <f t="shared" si="7"/>
        <v>0.16842105263157903</v>
      </c>
      <c r="G8" s="63" t="str">
        <f>VLOOKUP(H8,유니버스!$C$14:$D$2561,2,0)</f>
        <v>KQ</v>
      </c>
      <c r="H8" s="65" t="str">
        <f>'WON 반도체밸류체인액티브'!B14</f>
        <v>기가비스</v>
      </c>
      <c r="I8" s="65">
        <f>VLOOKUP(H8,'WON 반도체밸류체인액티브'!$B$11:$E$1000,4,0)</f>
        <v>4.83</v>
      </c>
      <c r="J8" s="65">
        <f>IFERROR(VLOOKUP(H8,'WON 반도체밸류체인액티브(과거)'!$B$11:$E$1000,4,0),0)</f>
        <v>4.6399999999999997</v>
      </c>
      <c r="K8" s="20">
        <f t="shared" si="8"/>
        <v>0.19000000000000039</v>
      </c>
      <c r="L8" s="32">
        <f t="shared" si="9"/>
        <v>4.094827586206895E-2</v>
      </c>
      <c r="M8" s="62" t="str">
        <f>VLOOKUP(N8,유니버스!$C$14:$D$2561,2,0)</f>
        <v>KS</v>
      </c>
      <c r="N8" s="26" t="str">
        <f>'RISE 비메모리반도체액티브'!B14</f>
        <v>삼성전기</v>
      </c>
      <c r="O8" s="26">
        <f>VLOOKUP(N8,'RISE 비메모리반도체액티브'!$B$11:$E$1000,4,0)</f>
        <v>6.64</v>
      </c>
      <c r="P8" s="26">
        <f>IFERROR(VLOOKUP(N8,'RISE 비메모리반도체액티브(과거)'!$B$11:$E$1000,4,0),0)</f>
        <v>8.5299999999999994</v>
      </c>
      <c r="Q8" s="20">
        <f t="shared" si="10"/>
        <v>-1.8899999999999997</v>
      </c>
      <c r="R8" s="32">
        <f t="shared" si="11"/>
        <v>-0.22157092614302465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피에스케이홀딩스</v>
      </c>
      <c r="C9" s="65">
        <f>VLOOKUP(B9,'UNICORN SK하이닉스밸류체인액티브'!$B$11:$E$1000,4,0)</f>
        <v>4.1900000000000004</v>
      </c>
      <c r="D9" s="65">
        <f>IFERROR(VLOOKUP(B9,'UNICORN SK하이닉스밸류체인액티브(과거)'!$B$11:$E$1000,4,0),0)</f>
        <v>3.46</v>
      </c>
      <c r="E9" s="20">
        <f t="shared" si="6"/>
        <v>0.73000000000000043</v>
      </c>
      <c r="F9" s="32">
        <f t="shared" si="7"/>
        <v>0.21098265895953761</v>
      </c>
      <c r="G9" s="63" t="str">
        <f>VLOOKUP(H9,유니버스!$C$14:$D$2561,2,0)</f>
        <v>KS</v>
      </c>
      <c r="H9" s="65" t="str">
        <f>'WON 반도체밸류체인액티브'!B15</f>
        <v>대덕전자</v>
      </c>
      <c r="I9" s="65">
        <f>VLOOKUP(H9,'WON 반도체밸류체인액티브'!$B$11:$E$1000,4,0)</f>
        <v>4.4000000000000004</v>
      </c>
      <c r="J9" s="65">
        <f>IFERROR(VLOOKUP(H9,'WON 반도체밸류체인액티브(과거)'!$B$11:$E$1000,4,0),0)</f>
        <v>5.38</v>
      </c>
      <c r="K9" s="20">
        <f t="shared" si="8"/>
        <v>-0.97999999999999954</v>
      </c>
      <c r="L9" s="32">
        <f t="shared" si="9"/>
        <v>-0.1821561338289962</v>
      </c>
      <c r="M9" s="62" t="str">
        <f>VLOOKUP(N9,유니버스!$C$14:$D$2561,2,0)</f>
        <v>KS</v>
      </c>
      <c r="N9" s="26" t="str">
        <f>'RISE 비메모리반도체액티브'!B15</f>
        <v>대덕전자</v>
      </c>
      <c r="O9" s="26">
        <f>VLOOKUP(N9,'RISE 비메모리반도체액티브'!$B$11:$E$1000,4,0)</f>
        <v>5.77</v>
      </c>
      <c r="P9" s="26">
        <f>IFERROR(VLOOKUP(N9,'RISE 비메모리반도체액티브(과거)'!$B$11:$E$1000,4,0),0)</f>
        <v>6.67</v>
      </c>
      <c r="Q9" s="20">
        <f t="shared" si="10"/>
        <v>-0.90000000000000036</v>
      </c>
      <c r="R9" s="32">
        <f t="shared" si="11"/>
        <v>-0.13493253373313352</v>
      </c>
    </row>
    <row r="10" spans="1:18" x14ac:dyDescent="0.4">
      <c r="A10" s="63" t="str">
        <f>VLOOKUP(B10,유니버스!$C$14:$D$2561,2,0)</f>
        <v>KS</v>
      </c>
      <c r="B10" s="65" t="str">
        <f>'UNICORN SK하이닉스밸류체인액티브'!B16</f>
        <v>삼성전기</v>
      </c>
      <c r="C10" s="65">
        <f>VLOOKUP(B10,'UNICORN SK하이닉스밸류체인액티브'!$B$11:$E$1000,4,0)</f>
        <v>3.79</v>
      </c>
      <c r="D10" s="65">
        <f>IFERROR(VLOOKUP(B10,'UNICORN SK하이닉스밸류체인액티브(과거)'!$B$11:$E$1000,4,0),0)</f>
        <v>0</v>
      </c>
      <c r="E10" s="20">
        <f t="shared" si="6"/>
        <v>3.79</v>
      </c>
      <c r="F10" s="32" t="str">
        <f t="shared" si="7"/>
        <v>신규편입</v>
      </c>
      <c r="G10" s="63" t="str">
        <f>VLOOKUP(H10,유니버스!$C$14:$D$2561,2,0)</f>
        <v>KS</v>
      </c>
      <c r="H10" s="65" t="str">
        <f>'WON 반도체밸류체인액티브'!B16</f>
        <v>SK스퀘어</v>
      </c>
      <c r="I10" s="65">
        <f>VLOOKUP(H10,'WON 반도체밸류체인액티브'!$B$11:$E$1000,4,0)</f>
        <v>4.29</v>
      </c>
      <c r="J10" s="65">
        <f>IFERROR(VLOOKUP(H10,'WON 반도체밸류체인액티브(과거)'!$B$11:$E$1000,4,0),0)</f>
        <v>4.32</v>
      </c>
      <c r="K10" s="20">
        <f t="shared" si="8"/>
        <v>-3.0000000000000249E-2</v>
      </c>
      <c r="L10" s="32">
        <f t="shared" si="9"/>
        <v>-6.9444444444445308E-3</v>
      </c>
      <c r="M10" s="62" t="str">
        <f>VLOOKUP(N10,유니버스!$C$14:$D$2561,2,0)</f>
        <v>KQ</v>
      </c>
      <c r="N10" s="26" t="str">
        <f>'RISE 비메모리반도체액티브'!B16</f>
        <v>코미코</v>
      </c>
      <c r="O10" s="26">
        <f>VLOOKUP(N10,'RISE 비메모리반도체액티브'!$B$11:$E$1000,4,0)</f>
        <v>5.5</v>
      </c>
      <c r="P10" s="26">
        <f>IFERROR(VLOOKUP(N10,'RISE 비메모리반도체액티브(과거)'!$B$11:$E$1000,4,0),0)</f>
        <v>0</v>
      </c>
      <c r="Q10" s="20">
        <f t="shared" si="10"/>
        <v>5.5</v>
      </c>
      <c r="R10" s="32" t="str">
        <f t="shared" si="11"/>
        <v>신규편입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티씨케이</v>
      </c>
      <c r="C11" s="65">
        <f>VLOOKUP(B11,'UNICORN SK하이닉스밸류체인액티브'!$B$11:$E$1000,4,0)</f>
        <v>3.75</v>
      </c>
      <c r="D11" s="65">
        <f>IFERROR(VLOOKUP(B11,'UNICORN SK하이닉스밸류체인액티브(과거)'!$B$11:$E$1000,4,0),0)</f>
        <v>3.71</v>
      </c>
      <c r="E11" s="20">
        <f t="shared" si="6"/>
        <v>4.0000000000000036E-2</v>
      </c>
      <c r="F11" s="32">
        <f t="shared" si="7"/>
        <v>1.0781671159029615E-2</v>
      </c>
      <c r="G11" s="63" t="str">
        <f>VLOOKUP(H11,유니버스!$C$14:$D$2561,2,0)</f>
        <v>KQ</v>
      </c>
      <c r="H11" s="65" t="str">
        <f>'WON 반도체밸류체인액티브'!B17</f>
        <v>피에스케이홀딩스</v>
      </c>
      <c r="I11" s="65">
        <f>VLOOKUP(H11,'WON 반도체밸류체인액티브'!$B$11:$E$1000,4,0)</f>
        <v>4.25</v>
      </c>
      <c r="J11" s="65">
        <f>IFERROR(VLOOKUP(H11,'WON 반도체밸류체인액티브(과거)'!$B$11:$E$1000,4,0),0)</f>
        <v>3.4</v>
      </c>
      <c r="K11" s="20">
        <f t="shared" si="8"/>
        <v>0.85000000000000009</v>
      </c>
      <c r="L11" s="32">
        <f t="shared" si="9"/>
        <v>0.25</v>
      </c>
      <c r="M11" s="62" t="str">
        <f>VLOOKUP(N11,유니버스!$C$14:$D$2561,2,0)</f>
        <v>KS</v>
      </c>
      <c r="N11" s="26" t="str">
        <f>'RISE 비메모리반도체액티브'!B17</f>
        <v>SK스퀘어</v>
      </c>
      <c r="O11" s="26">
        <f>VLOOKUP(N11,'RISE 비메모리반도체액티브'!$B$11:$E$1000,4,0)</f>
        <v>5.0199999999999996</v>
      </c>
      <c r="P11" s="26">
        <f>IFERROR(VLOOKUP(N11,'RISE 비메모리반도체액티브(과거)'!$B$11:$E$1000,4,0),0)</f>
        <v>6.7</v>
      </c>
      <c r="Q11" s="20">
        <f t="shared" si="10"/>
        <v>-1.6800000000000006</v>
      </c>
      <c r="R11" s="32">
        <f t="shared" si="11"/>
        <v>-0.25074626865671645</v>
      </c>
    </row>
    <row r="12" spans="1:18" x14ac:dyDescent="0.4">
      <c r="A12" s="63" t="str">
        <f>VLOOKUP(B12,유니버스!$C$14:$D$2561,2,0)</f>
        <v>KS</v>
      </c>
      <c r="B12" s="65" t="str">
        <f>'UNICORN SK하이닉스밸류체인액티브'!B18</f>
        <v>LG이노텍</v>
      </c>
      <c r="C12" s="65">
        <f>VLOOKUP(B12,'UNICORN SK하이닉스밸류체인액티브'!$B$11:$E$1000,4,0)</f>
        <v>3.74</v>
      </c>
      <c r="D12" s="65">
        <f>IFERROR(VLOOKUP(B12,'UNICORN SK하이닉스밸류체인액티브(과거)'!$B$11:$E$1000,4,0),0)</f>
        <v>5.23</v>
      </c>
      <c r="E12" s="20">
        <f t="shared" si="6"/>
        <v>-1.4900000000000002</v>
      </c>
      <c r="F12" s="32">
        <f t="shared" si="7"/>
        <v>-0.28489483747609945</v>
      </c>
      <c r="G12" s="63" t="str">
        <f>VLOOKUP(H12,유니버스!$C$14:$D$2561,2,0)</f>
        <v>KQ</v>
      </c>
      <c r="H12" s="65" t="str">
        <f>'WON 반도체밸류체인액티브'!B18</f>
        <v>이오테크닉스</v>
      </c>
      <c r="I12" s="65">
        <f>VLOOKUP(H12,'WON 반도체밸류체인액티브'!$B$11:$E$1000,4,0)</f>
        <v>3.77</v>
      </c>
      <c r="J12" s="65">
        <f>IFERROR(VLOOKUP(H12,'WON 반도체밸류체인액티브(과거)'!$B$11:$E$1000,4,0),0)</f>
        <v>3.44</v>
      </c>
      <c r="K12" s="20">
        <f t="shared" si="8"/>
        <v>0.33000000000000007</v>
      </c>
      <c r="L12" s="32">
        <f t="shared" si="9"/>
        <v>9.5930232558139483E-2</v>
      </c>
      <c r="M12" s="62" t="str">
        <f>VLOOKUP(N12,유니버스!$C$14:$D$2561,2,0)</f>
        <v>KQ</v>
      </c>
      <c r="N12" s="26" t="str">
        <f>'RISE 비메모리반도체액티브'!B18</f>
        <v>리노공업</v>
      </c>
      <c r="O12" s="26">
        <f>VLOOKUP(N12,'RISE 비메모리반도체액티브'!$B$11:$E$1000,4,0)</f>
        <v>4.62</v>
      </c>
      <c r="P12" s="26">
        <f>IFERROR(VLOOKUP(N12,'RISE 비메모리반도체액티브(과거)'!$B$11:$E$1000,4,0),0)</f>
        <v>3.25</v>
      </c>
      <c r="Q12" s="20">
        <f t="shared" si="10"/>
        <v>1.37</v>
      </c>
      <c r="R12" s="32">
        <f t="shared" si="11"/>
        <v>0.42153846153846164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샘씨엔에스</v>
      </c>
      <c r="C13" s="65">
        <f>VLOOKUP(B13,'UNICORN SK하이닉스밸류체인액티브'!$B$11:$E$1000,4,0)</f>
        <v>3.64</v>
      </c>
      <c r="D13" s="65">
        <f>IFERROR(VLOOKUP(B13,'UNICORN SK하이닉스밸류체인액티브(과거)'!$B$11:$E$1000,4,0),0)</f>
        <v>3.39</v>
      </c>
      <c r="E13" s="20">
        <f t="shared" si="6"/>
        <v>0.25</v>
      </c>
      <c r="F13" s="32">
        <f t="shared" si="7"/>
        <v>7.3746312684365822E-2</v>
      </c>
      <c r="G13" s="63" t="str">
        <f>VLOOKUP(H13,유니버스!$C$14:$D$2561,2,0)</f>
        <v>KQ</v>
      </c>
      <c r="H13" s="65" t="str">
        <f>'WON 반도체밸류체인액티브'!B19</f>
        <v>피에스케이</v>
      </c>
      <c r="I13" s="65">
        <f>VLOOKUP(H13,'WON 반도체밸류체인액티브'!$B$11:$E$1000,4,0)</f>
        <v>3.68</v>
      </c>
      <c r="J13" s="65">
        <f>IFERROR(VLOOKUP(H13,'WON 반도체밸류체인액티브(과거)'!$B$11:$E$1000,4,0),0)</f>
        <v>2.4300000000000002</v>
      </c>
      <c r="K13" s="20">
        <f t="shared" si="8"/>
        <v>1.25</v>
      </c>
      <c r="L13" s="32">
        <f t="shared" si="9"/>
        <v>0.51440329218106995</v>
      </c>
      <c r="M13" s="62" t="str">
        <f>VLOOKUP(N13,유니버스!$C$14:$D$2561,2,0)</f>
        <v>KS</v>
      </c>
      <c r="N13" s="26" t="str">
        <f>'RISE 비메모리반도체액티브'!B19</f>
        <v>이수페타시스</v>
      </c>
      <c r="O13" s="26">
        <f>VLOOKUP(N13,'RISE 비메모리반도체액티브'!$B$11:$E$1000,4,0)</f>
        <v>4.38</v>
      </c>
      <c r="P13" s="26">
        <f>IFERROR(VLOOKUP(N13,'RISE 비메모리반도체액티브(과거)'!$B$11:$E$1000,4,0),0)</f>
        <v>4.3600000000000003</v>
      </c>
      <c r="Q13" s="20">
        <f t="shared" si="10"/>
        <v>1.9999999999999574E-2</v>
      </c>
      <c r="R13" s="32">
        <f t="shared" si="11"/>
        <v>4.5871559633026138E-3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유진테크</v>
      </c>
      <c r="C14" s="65">
        <f>VLOOKUP(B14,'UNICORN SK하이닉스밸류체인액티브'!$B$11:$E$1000,4,0)</f>
        <v>3.58</v>
      </c>
      <c r="D14" s="65">
        <f>IFERROR(VLOOKUP(B14,'UNICORN SK하이닉스밸류체인액티브(과거)'!$B$11:$E$1000,4,0),0)</f>
        <v>2.58</v>
      </c>
      <c r="E14" s="20">
        <f t="shared" si="6"/>
        <v>1</v>
      </c>
      <c r="F14" s="32">
        <f t="shared" si="7"/>
        <v>0.38759689922480622</v>
      </c>
      <c r="G14" s="63" t="str">
        <f>VLOOKUP(H14,유니버스!$C$14:$D$2561,2,0)</f>
        <v>KQ</v>
      </c>
      <c r="H14" s="65" t="str">
        <f>'WON 반도체밸류체인액티브'!B20</f>
        <v>브이엠</v>
      </c>
      <c r="I14" s="65">
        <f>VLOOKUP(H14,'WON 반도체밸류체인액티브'!$B$11:$E$1000,4,0)</f>
        <v>3.63</v>
      </c>
      <c r="J14" s="65">
        <f>IFERROR(VLOOKUP(H14,'WON 반도체밸류체인액티브(과거)'!$B$11:$E$1000,4,0),0)</f>
        <v>2.52</v>
      </c>
      <c r="K14" s="20">
        <f t="shared" si="8"/>
        <v>1.1099999999999999</v>
      </c>
      <c r="L14" s="32">
        <f t="shared" si="9"/>
        <v>0.44047619047619047</v>
      </c>
      <c r="M14" s="62" t="str">
        <f>VLOOKUP(N14,유니버스!$C$14:$D$2561,2,0)</f>
        <v>KQ</v>
      </c>
      <c r="N14" s="26" t="str">
        <f>'RISE 비메모리반도체액티브'!B20</f>
        <v>두산테스나</v>
      </c>
      <c r="O14" s="26">
        <f>VLOOKUP(N14,'RISE 비메모리반도체액티브'!$B$11:$E$1000,4,0)</f>
        <v>3.44</v>
      </c>
      <c r="P14" s="26">
        <f>IFERROR(VLOOKUP(N14,'RISE 비메모리반도체액티브(과거)'!$B$11:$E$1000,4,0),0)</f>
        <v>3.38</v>
      </c>
      <c r="Q14" s="20">
        <f t="shared" si="10"/>
        <v>6.0000000000000053E-2</v>
      </c>
      <c r="R14" s="32">
        <f t="shared" si="11"/>
        <v>1.7751479289940919E-2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심텍</v>
      </c>
      <c r="C15" s="65">
        <f>VLOOKUP(B15,'UNICORN SK하이닉스밸류체인액티브'!$B$11:$E$1000,4,0)</f>
        <v>3.36</v>
      </c>
      <c r="D15" s="65">
        <f>IFERROR(VLOOKUP(B15,'UNICORN SK하이닉스밸류체인액티브(과거)'!$B$11:$E$1000,4,0),0)</f>
        <v>3.09</v>
      </c>
      <c r="E15" s="20">
        <f t="shared" si="6"/>
        <v>0.27</v>
      </c>
      <c r="F15" s="32">
        <f t="shared" si="7"/>
        <v>8.737864077669899E-2</v>
      </c>
      <c r="G15" s="63" t="str">
        <f>VLOOKUP(H15,유니버스!$C$14:$D$2561,2,0)</f>
        <v>KQ</v>
      </c>
      <c r="H15" s="65" t="str">
        <f>'WON 반도체밸류체인액티브'!B21</f>
        <v>테스</v>
      </c>
      <c r="I15" s="65">
        <f>VLOOKUP(H15,'WON 반도체밸류체인액티브'!$B$11:$E$1000,4,0)</f>
        <v>3.24</v>
      </c>
      <c r="J15" s="65">
        <f>IFERROR(VLOOKUP(H15,'WON 반도체밸류체인액티브(과거)'!$B$11:$E$1000,4,0),0)</f>
        <v>2.27</v>
      </c>
      <c r="K15" s="20">
        <f t="shared" si="8"/>
        <v>0.9700000000000002</v>
      </c>
      <c r="L15" s="32">
        <f t="shared" si="9"/>
        <v>0.42731277533039647</v>
      </c>
      <c r="M15" s="62" t="str">
        <f>VLOOKUP(N15,유니버스!$C$14:$D$2561,2,0)</f>
        <v>KQ</v>
      </c>
      <c r="N15" s="26" t="str">
        <f>'RISE 비메모리반도체액티브'!B21</f>
        <v>원익QnC</v>
      </c>
      <c r="O15" s="26">
        <f>VLOOKUP(N15,'RISE 비메모리반도체액티브'!$B$11:$E$1000,4,0)</f>
        <v>3.22</v>
      </c>
      <c r="P15" s="26">
        <f>IFERROR(VLOOKUP(N15,'RISE 비메모리반도체액티브(과거)'!$B$11:$E$1000,4,0),0)</f>
        <v>0</v>
      </c>
      <c r="Q15" s="20">
        <f t="shared" si="10"/>
        <v>3.22</v>
      </c>
      <c r="R15" s="32" t="str">
        <f t="shared" si="11"/>
        <v>신규편입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이오테크닉스</v>
      </c>
      <c r="C16" s="65">
        <f>VLOOKUP(B16,'UNICORN SK하이닉스밸류체인액티브'!$B$11:$E$1000,4,0)</f>
        <v>3.05</v>
      </c>
      <c r="D16" s="65">
        <f>IFERROR(VLOOKUP(B16,'UNICORN SK하이닉스밸류체인액티브(과거)'!$B$11:$E$1000,4,0),0)</f>
        <v>2.88</v>
      </c>
      <c r="E16" s="20">
        <f t="shared" ref="E16:E24" si="12">C16-D16</f>
        <v>0.16999999999999993</v>
      </c>
      <c r="F16" s="32">
        <f t="shared" ref="F16:F24" si="13">IFERROR(C16/D16-1,"신규편입")</f>
        <v>5.9027777777777679E-2</v>
      </c>
      <c r="G16" s="63" t="str">
        <f>VLOOKUP(H16,유니버스!$C$14:$D$2561,2,0)</f>
        <v>KQ</v>
      </c>
      <c r="H16" s="65" t="str">
        <f>'WON 반도체밸류체인액티브'!B22</f>
        <v>코미코</v>
      </c>
      <c r="I16" s="65">
        <f>VLOOKUP(H16,'WON 반도체밸류체인액티브'!$B$11:$E$1000,4,0)</f>
        <v>3.08</v>
      </c>
      <c r="J16" s="65">
        <f>IFERROR(VLOOKUP(H16,'WON 반도체밸류체인액티브(과거)'!$B$11:$E$1000,4,0),0)</f>
        <v>2</v>
      </c>
      <c r="K16" s="20">
        <f t="shared" si="8"/>
        <v>1.08</v>
      </c>
      <c r="L16" s="32">
        <f t="shared" si="9"/>
        <v>0.54</v>
      </c>
      <c r="M16" s="62" t="str">
        <f>VLOOKUP(N16,유니버스!$C$14:$D$2561,2,0)</f>
        <v>KQ</v>
      </c>
      <c r="N16" s="26" t="str">
        <f>'RISE 비메모리반도체액티브'!B22</f>
        <v>HPSP</v>
      </c>
      <c r="O16" s="26">
        <f>VLOOKUP(N16,'RISE 비메모리반도체액티브'!$B$11:$E$1000,4,0)</f>
        <v>3.07</v>
      </c>
      <c r="P16" s="26">
        <f>IFERROR(VLOOKUP(N16,'RISE 비메모리반도체액티브(과거)'!$B$11:$E$1000,4,0),0)</f>
        <v>0</v>
      </c>
      <c r="Q16" s="20">
        <f t="shared" si="10"/>
        <v>3.07</v>
      </c>
      <c r="R16" s="32" t="str">
        <f t="shared" si="11"/>
        <v>신규편입</v>
      </c>
    </row>
    <row r="17" spans="1:18" x14ac:dyDescent="0.4">
      <c r="A17" s="63" t="str">
        <f>VLOOKUP(B17,유니버스!$C$14:$D$2561,2,0)</f>
        <v>KS</v>
      </c>
      <c r="B17" s="65" t="str">
        <f>'UNICORN SK하이닉스밸류체인액티브'!B23</f>
        <v>두산</v>
      </c>
      <c r="C17" s="65">
        <f>VLOOKUP(B17,'UNICORN SK하이닉스밸류체인액티브'!$B$11:$E$1000,4,0)</f>
        <v>2.95</v>
      </c>
      <c r="D17" s="65">
        <f>IFERROR(VLOOKUP(B17,'UNICORN SK하이닉스밸류체인액티브(과거)'!$B$11:$E$1000,4,0),0)</f>
        <v>4.5199999999999996</v>
      </c>
      <c r="E17" s="20">
        <f t="shared" si="12"/>
        <v>-1.5699999999999994</v>
      </c>
      <c r="F17" s="32">
        <f t="shared" si="13"/>
        <v>-0.34734513274336276</v>
      </c>
      <c r="G17" s="63" t="str">
        <f>VLOOKUP(H17,유니버스!$C$14:$D$2561,2,0)</f>
        <v>KQ</v>
      </c>
      <c r="H17" s="65" t="str">
        <f>'WON 반도체밸류체인액티브'!B23</f>
        <v>티에스이</v>
      </c>
      <c r="I17" s="65">
        <f>VLOOKUP(H17,'WON 반도체밸류체인액티브'!$B$11:$E$1000,4,0)</f>
        <v>3.06</v>
      </c>
      <c r="J17" s="65">
        <f>IFERROR(VLOOKUP(H17,'WON 반도체밸류체인액티브(과거)'!$B$11:$E$1000,4,0),0)</f>
        <v>2.36</v>
      </c>
      <c r="K17" s="20">
        <f t="shared" si="8"/>
        <v>0.70000000000000018</v>
      </c>
      <c r="L17" s="32">
        <f t="shared" si="9"/>
        <v>0.29661016949152552</v>
      </c>
      <c r="M17" s="62" t="str">
        <f>VLOOKUP(N17,유니버스!$C$14:$D$2561,2,0)</f>
        <v>KQ</v>
      </c>
      <c r="N17" s="26" t="str">
        <f>'RISE 비메모리반도체액티브'!B23</f>
        <v>주성엔지니어링</v>
      </c>
      <c r="O17" s="26">
        <f>VLOOKUP(N17,'RISE 비메모리반도체액티브'!$B$11:$E$1000,4,0)</f>
        <v>2.98</v>
      </c>
      <c r="P17" s="26">
        <f>IFERROR(VLOOKUP(N17,'RISE 비메모리반도체액티브(과거)'!$B$11:$E$1000,4,0),0)</f>
        <v>2.2999999999999998</v>
      </c>
      <c r="Q17" s="20">
        <f t="shared" si="10"/>
        <v>0.68000000000000016</v>
      </c>
      <c r="R17" s="32">
        <f t="shared" si="11"/>
        <v>0.29565217391304355</v>
      </c>
    </row>
    <row r="18" spans="1:18" x14ac:dyDescent="0.4">
      <c r="A18" s="63" t="str">
        <f>VLOOKUP(B18,유니버스!$C$14:$D$2561,2,0)</f>
        <v>KQ</v>
      </c>
      <c r="B18" s="65" t="str">
        <f>'UNICORN SK하이닉스밸류체인액티브'!B24</f>
        <v>테크윙</v>
      </c>
      <c r="C18" s="65">
        <f>VLOOKUP(B18,'UNICORN SK하이닉스밸류체인액티브'!$B$11:$E$1000,4,0)</f>
        <v>2.54</v>
      </c>
      <c r="D18" s="65">
        <f>IFERROR(VLOOKUP(B18,'UNICORN SK하이닉스밸류체인액티브(과거)'!$B$11:$E$1000,4,0),0)</f>
        <v>1.93</v>
      </c>
      <c r="E18" s="20">
        <f t="shared" si="12"/>
        <v>0.6100000000000001</v>
      </c>
      <c r="F18" s="32">
        <f t="shared" si="13"/>
        <v>0.31606217616580312</v>
      </c>
      <c r="G18" s="63" t="str">
        <f>VLOOKUP(H18,유니버스!$C$14:$D$2561,2,0)</f>
        <v>KQ</v>
      </c>
      <c r="H18" s="65" t="str">
        <f>'WON 반도체밸류체인액티브'!B24</f>
        <v>파크시스템스</v>
      </c>
      <c r="I18" s="65">
        <f>VLOOKUP(H18,'WON 반도체밸류체인액티브'!$B$11:$E$1000,4,0)</f>
        <v>2.4</v>
      </c>
      <c r="J18" s="65">
        <f>IFERROR(VLOOKUP(H18,'WON 반도체밸류체인액티브(과거)'!$B$11:$E$1000,4,0),0)</f>
        <v>2.52</v>
      </c>
      <c r="K18" s="20">
        <f t="shared" si="8"/>
        <v>-0.12000000000000011</v>
      </c>
      <c r="L18" s="32">
        <f t="shared" si="9"/>
        <v>-4.7619047619047672E-2</v>
      </c>
      <c r="M18" s="62" t="str">
        <f>VLOOKUP(N18,유니버스!$C$14:$D$2561,2,0)</f>
        <v>KQ</v>
      </c>
      <c r="N18" s="26" t="str">
        <f>'RISE 비메모리반도체액티브'!B24</f>
        <v>네패스아크</v>
      </c>
      <c r="O18" s="26">
        <f>VLOOKUP(N18,'RISE 비메모리반도체액티브'!$B$11:$E$1000,4,0)</f>
        <v>2.46</v>
      </c>
      <c r="P18" s="26">
        <f>IFERROR(VLOOKUP(N18,'RISE 비메모리반도체액티브(과거)'!$B$11:$E$1000,4,0),0)</f>
        <v>3.03</v>
      </c>
      <c r="Q18" s="20">
        <f t="shared" si="10"/>
        <v>-0.56999999999999984</v>
      </c>
      <c r="R18" s="32">
        <f t="shared" si="11"/>
        <v>-0.18811881188118806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테스</v>
      </c>
      <c r="C19" s="65">
        <f>VLOOKUP(B19,'UNICORN SK하이닉스밸류체인액티브'!$B$11:$E$1000,4,0)</f>
        <v>2.39</v>
      </c>
      <c r="D19" s="65">
        <f>IFERROR(VLOOKUP(B19,'UNICORN SK하이닉스밸류체인액티브(과거)'!$B$11:$E$1000,4,0),0)</f>
        <v>1.03</v>
      </c>
      <c r="E19" s="20">
        <f t="shared" si="12"/>
        <v>1.36</v>
      </c>
      <c r="F19" s="32">
        <f t="shared" si="13"/>
        <v>1.320388349514563</v>
      </c>
      <c r="G19" s="63" t="str">
        <f>VLOOKUP(H19,유니버스!$C$14:$D$2561,2,0)</f>
        <v>KQ</v>
      </c>
      <c r="H19" s="65" t="str">
        <f>'WON 반도체밸류체인액티브'!B25</f>
        <v>인텍플러스</v>
      </c>
      <c r="I19" s="65">
        <f>VLOOKUP(H19,'WON 반도체밸류체인액티브'!$B$11:$E$1000,4,0)</f>
        <v>2.35</v>
      </c>
      <c r="J19" s="65">
        <f>IFERROR(VLOOKUP(H19,'WON 반도체밸류체인액티브(과거)'!$B$11:$E$1000,4,0),0)</f>
        <v>2.2599999999999998</v>
      </c>
      <c r="K19" s="20">
        <f t="shared" si="8"/>
        <v>9.0000000000000302E-2</v>
      </c>
      <c r="L19" s="32">
        <f t="shared" si="9"/>
        <v>3.9823008849557695E-2</v>
      </c>
      <c r="M19" s="62" t="str">
        <f>VLOOKUP(N19,유니버스!$C$14:$D$2561,2,0)</f>
        <v>KS</v>
      </c>
      <c r="N19" s="26" t="str">
        <f>'RISE 비메모리반도체액티브'!B25</f>
        <v>DB하이텍</v>
      </c>
      <c r="O19" s="26">
        <f>VLOOKUP(N19,'RISE 비메모리반도체액티브'!$B$11:$E$1000,4,0)</f>
        <v>1.35</v>
      </c>
      <c r="P19" s="26">
        <f>IFERROR(VLOOKUP(N19,'RISE 비메모리반도체액티브(과거)'!$B$11:$E$1000,4,0),0)</f>
        <v>6.1</v>
      </c>
      <c r="Q19" s="20">
        <f t="shared" si="10"/>
        <v>-4.75</v>
      </c>
      <c r="R19" s="32">
        <f t="shared" si="11"/>
        <v>-0.77868852459016391</v>
      </c>
    </row>
    <row r="20" spans="1:18" x14ac:dyDescent="0.4">
      <c r="A20" s="63" t="str">
        <f>VLOOKUP(B20,유니버스!$C$14:$D$2561,2,0)</f>
        <v>KS</v>
      </c>
      <c r="B20" s="65" t="str">
        <f>'UNICORN SK하이닉스밸류체인액티브'!B26</f>
        <v>디아이</v>
      </c>
      <c r="C20" s="65">
        <f>VLOOKUP(B20,'UNICORN SK하이닉스밸류체인액티브'!$B$11:$E$1000,4,0)</f>
        <v>2.27</v>
      </c>
      <c r="D20" s="65">
        <f>IFERROR(VLOOKUP(B20,'UNICORN SK하이닉스밸류체인액티브(과거)'!$B$11:$E$1000,4,0),0)</f>
        <v>1.83</v>
      </c>
      <c r="E20" s="20">
        <f t="shared" si="12"/>
        <v>0.43999999999999995</v>
      </c>
      <c r="F20" s="32">
        <f t="shared" si="13"/>
        <v>0.2404371584699454</v>
      </c>
      <c r="G20" s="63" t="str">
        <f>VLOOKUP(H20,유니버스!$C$14:$D$2561,2,0)</f>
        <v>KS</v>
      </c>
      <c r="H20" s="65" t="str">
        <f>'WON 반도체밸류체인액티브'!B26</f>
        <v>코리아써키트</v>
      </c>
      <c r="I20" s="65">
        <f>VLOOKUP(H20,'WON 반도체밸류체인액티브'!$B$11:$E$1000,4,0)</f>
        <v>1.63</v>
      </c>
      <c r="J20" s="65">
        <f>IFERROR(VLOOKUP(H20,'WON 반도체밸류체인액티브(과거)'!$B$11:$E$1000,4,0),0)</f>
        <v>1.4</v>
      </c>
      <c r="K20" s="20">
        <f t="shared" si="8"/>
        <v>0.22999999999999998</v>
      </c>
      <c r="L20" s="32">
        <f t="shared" si="9"/>
        <v>0.16428571428571437</v>
      </c>
      <c r="M20" s="62" t="e">
        <f>VLOOKUP(N20,유니버스!$C$14:$D$2561,2,0)</f>
        <v>#N/A</v>
      </c>
      <c r="N20" s="26" t="str">
        <f>'RISE 비메모리반도체액티브'!B26</f>
        <v>원화현금</v>
      </c>
      <c r="O20" s="26">
        <f>VLOOKUP(N20,'RISE 비메모리반도체액티브'!$B$11:$E$1000,4,0)</f>
        <v>1.1499999999999999</v>
      </c>
      <c r="P20" s="26">
        <f>IFERROR(VLOOKUP(N20,'RISE 비메모리반도체액티브(과거)'!$B$11:$E$1000,4,0),0)</f>
        <v>0</v>
      </c>
      <c r="Q20" s="20">
        <f t="shared" ref="Q20:Q21" si="14">O20-P20</f>
        <v>1.1499999999999999</v>
      </c>
      <c r="R20" s="32" t="str">
        <f t="shared" ref="R20:R21" si="15">IFERROR(O20/P20-1,"신규편입")</f>
        <v>신규편입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엑시콘</v>
      </c>
      <c r="C21" s="65">
        <f>VLOOKUP(B21,'UNICORN SK하이닉스밸류체인액티브'!$B$11:$E$1000,4,0)</f>
        <v>2.13</v>
      </c>
      <c r="D21" s="65">
        <f>IFERROR(VLOOKUP(B21,'UNICORN SK하이닉스밸류체인액티브(과거)'!$B$11:$E$1000,4,0),0)</f>
        <v>1.84</v>
      </c>
      <c r="E21" s="20">
        <f t="shared" si="12"/>
        <v>0.28999999999999981</v>
      </c>
      <c r="F21" s="32">
        <f t="shared" si="13"/>
        <v>0.15760869565217384</v>
      </c>
      <c r="G21" s="63" t="str">
        <f>VLOOKUP(H21,유니버스!$C$14:$D$2561,2,0)</f>
        <v>KQ</v>
      </c>
      <c r="H21" s="65" t="str">
        <f>'WON 반도체밸류체인액티브'!B27</f>
        <v>RFHIC</v>
      </c>
      <c r="I21" s="65">
        <f>VLOOKUP(H21,'WON 반도체밸류체인액티브'!$B$11:$E$1000,4,0)</f>
        <v>1.48</v>
      </c>
      <c r="J21" s="65">
        <f>IFERROR(VLOOKUP(H21,'WON 반도체밸류체인액티브(과거)'!$B$11:$E$1000,4,0),0)</f>
        <v>1.79</v>
      </c>
      <c r="K21" s="20">
        <f t="shared" si="8"/>
        <v>-0.31000000000000005</v>
      </c>
      <c r="L21" s="32">
        <f t="shared" si="9"/>
        <v>-0.17318435754189943</v>
      </c>
      <c r="M21" s="62" t="e">
        <f>VLOOKUP(N21,유니버스!$C$14:$D$2561,2,0)</f>
        <v>#N/A</v>
      </c>
      <c r="N21" s="26">
        <f>'RISE 비메모리반도체액티브'!B27</f>
        <v>0</v>
      </c>
      <c r="O21" s="26" t="e">
        <f>VLOOKUP(N21,'RISE 비메모리반도체액티브'!$B$11:$E$1000,4,0)</f>
        <v>#N/A</v>
      </c>
      <c r="P21" s="26">
        <f>IFERROR(VLOOKUP(N21,'RISE 비메모리반도체액티브(과거)'!$B$11:$E$1000,4,0),0)</f>
        <v>0</v>
      </c>
      <c r="Q21" s="20" t="e">
        <f t="shared" si="14"/>
        <v>#N/A</v>
      </c>
      <c r="R21" s="32" t="str">
        <f t="shared" si="15"/>
        <v>신규편입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HPSP</v>
      </c>
      <c r="C22" s="65">
        <f>VLOOKUP(B22,'UNICORN SK하이닉스밸류체인액티브'!$B$11:$E$1000,4,0)</f>
        <v>1.57</v>
      </c>
      <c r="D22" s="65">
        <f>IFERROR(VLOOKUP(B22,'UNICORN SK하이닉스밸류체인액티브(과거)'!$B$11:$E$1000,4,0),0)</f>
        <v>0.92</v>
      </c>
      <c r="E22" s="20">
        <f t="shared" si="12"/>
        <v>0.65</v>
      </c>
      <c r="F22" s="32">
        <f t="shared" si="13"/>
        <v>0.70652173913043481</v>
      </c>
      <c r="G22" s="63" t="str">
        <f>VLOOKUP(H22,유니버스!$C$14:$D$2561,2,0)</f>
        <v>KQ</v>
      </c>
      <c r="H22" s="65" t="str">
        <f>'WON 반도체밸류체인액티브'!B28</f>
        <v>씨엠티엑스</v>
      </c>
      <c r="I22" s="65">
        <f>VLOOKUP(H22,'WON 반도체밸류체인액티브'!$B$11:$E$1000,4,0)</f>
        <v>1.33</v>
      </c>
      <c r="J22" s="65">
        <f>IFERROR(VLOOKUP(H22,'WON 반도체밸류체인액티브(과거)'!$B$11:$E$1000,4,0),0)</f>
        <v>1.27</v>
      </c>
      <c r="K22" s="20">
        <f t="shared" ref="K22:K24" si="16">I22-J22</f>
        <v>6.0000000000000053E-2</v>
      </c>
      <c r="L22" s="32">
        <f t="shared" ref="L22:L24" si="17">IFERROR(I22/J22-1,"신규편입")</f>
        <v>4.7244094488189115E-2</v>
      </c>
      <c r="N22" s="26"/>
      <c r="O22" s="26"/>
      <c r="P22" s="26"/>
      <c r="Q22" s="20"/>
      <c r="R22" s="32"/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와이씨</v>
      </c>
      <c r="C23" s="65">
        <f>VLOOKUP(B23,'UNICORN SK하이닉스밸류체인액티브'!$B$11:$E$1000,4,0)</f>
        <v>1.51</v>
      </c>
      <c r="D23" s="65">
        <f>IFERROR(VLOOKUP(B23,'UNICORN SK하이닉스밸류체인액티브(과거)'!$B$11:$E$1000,4,0),0)</f>
        <v>1.4</v>
      </c>
      <c r="E23" s="20">
        <f t="shared" si="12"/>
        <v>0.1100000000000001</v>
      </c>
      <c r="F23" s="32">
        <f t="shared" si="13"/>
        <v>7.8571428571428736E-2</v>
      </c>
      <c r="G23" s="63" t="str">
        <f>VLOOKUP(H23,유니버스!$C$14:$D$2561,2,0)</f>
        <v>KQ</v>
      </c>
      <c r="H23" s="65" t="str">
        <f>'WON 반도체밸류체인액티브'!B29</f>
        <v>에치에프알</v>
      </c>
      <c r="I23" s="65">
        <f>VLOOKUP(H23,'WON 반도체밸류체인액티브'!$B$11:$E$1000,4,0)</f>
        <v>0.37</v>
      </c>
      <c r="J23" s="65">
        <f>IFERROR(VLOOKUP(H23,'WON 반도체밸류체인액티브(과거)'!$B$11:$E$1000,4,0),0)</f>
        <v>0.49</v>
      </c>
      <c r="K23" s="20">
        <f t="shared" si="16"/>
        <v>-0.12</v>
      </c>
      <c r="L23" s="32">
        <f t="shared" si="17"/>
        <v>-0.24489795918367352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GST</v>
      </c>
      <c r="C24" s="65">
        <f>VLOOKUP(B24,'UNICORN SK하이닉스밸류체인액티브'!$B$11:$E$1000,4,0)</f>
        <v>1.0900000000000001</v>
      </c>
      <c r="D24" s="65">
        <f>IFERROR(VLOOKUP(B24,'UNICORN SK하이닉스밸류체인액티브(과거)'!$B$11:$E$1000,4,0),0)</f>
        <v>1.02</v>
      </c>
      <c r="E24" s="20">
        <f t="shared" si="12"/>
        <v>7.0000000000000062E-2</v>
      </c>
      <c r="F24" s="32">
        <f t="shared" si="13"/>
        <v>6.8627450980392135E-2</v>
      </c>
      <c r="G24" s="63" t="str">
        <f>VLOOKUP(H24,유니버스!$C$14:$D$2561,2,0)</f>
        <v>KQ</v>
      </c>
      <c r="H24" s="65" t="str">
        <f>'WON 반도체밸류체인액티브'!B30</f>
        <v>ISC</v>
      </c>
      <c r="I24" s="65">
        <f>VLOOKUP(H24,'WON 반도체밸류체인액티브'!$B$11:$E$1000,4,0)</f>
        <v>0.02</v>
      </c>
      <c r="J24" s="65">
        <f>IFERROR(VLOOKUP(H24,'WON 반도체밸류체인액티브(과거)'!$B$11:$E$1000,4,0),0)</f>
        <v>0.02</v>
      </c>
      <c r="K24" s="20">
        <f t="shared" si="16"/>
        <v>0</v>
      </c>
      <c r="L24" s="32">
        <f t="shared" si="17"/>
        <v>0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이엔에프테크놀로지</v>
      </c>
      <c r="C25" s="65">
        <f>VLOOKUP(B25,'UNICORN SK하이닉스밸류체인액티브'!$B$11:$E$1000,4,0)</f>
        <v>1.06</v>
      </c>
      <c r="D25" s="65">
        <f>IFERROR(VLOOKUP(B25,'UNICORN SK하이닉스밸류체인액티브(과거)'!$B$11:$E$1000,4,0),0)</f>
        <v>0.75</v>
      </c>
      <c r="E25" s="20">
        <f t="shared" ref="E25:E28" si="18">C25-D25</f>
        <v>0.31000000000000005</v>
      </c>
      <c r="F25" s="32">
        <f t="shared" ref="F25:F28" si="19">IFERROR(C25/D25-1,"신규편입")</f>
        <v>0.41333333333333333</v>
      </c>
      <c r="G25" s="63" t="str">
        <f>VLOOKUP(H25,유니버스!$C$14:$D$2561,2,0)</f>
        <v>KQ</v>
      </c>
      <c r="H25" s="65" t="str">
        <f>'WON 반도체밸류체인액티브'!B31</f>
        <v>덕산하이메탈</v>
      </c>
      <c r="I25" s="65">
        <f>VLOOKUP(H25,'WON 반도체밸류체인액티브'!$B$11:$E$1000,4,0)</f>
        <v>0.01</v>
      </c>
      <c r="J25" s="65">
        <f>IFERROR(VLOOKUP(H25,'WON 반도체밸류체인액티브(과거)'!$B$11:$E$1000,4,0),0)</f>
        <v>0.01</v>
      </c>
      <c r="K25" s="20">
        <f t="shared" ref="K25:K29" si="20">I25-J25</f>
        <v>0</v>
      </c>
      <c r="L25" s="32">
        <f t="shared" ref="L25:L29" si="21">IFERROR(I25/J25-1,"신규편입")</f>
        <v>0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오로스테크놀로지</v>
      </c>
      <c r="C26" s="65">
        <f>VLOOKUP(B26,'UNICORN SK하이닉스밸류체인액티브'!$B$11:$E$1000,4,0)</f>
        <v>1.01</v>
      </c>
      <c r="D26" s="65">
        <f>IFERROR(VLOOKUP(B26,'UNICORN SK하이닉스밸류체인액티브(과거)'!$B$11:$E$1000,4,0),0)</f>
        <v>0.96</v>
      </c>
      <c r="E26" s="20">
        <f t="shared" si="18"/>
        <v>5.0000000000000044E-2</v>
      </c>
      <c r="F26" s="32">
        <f t="shared" si="19"/>
        <v>5.2083333333333481E-2</v>
      </c>
      <c r="G26" s="63" t="str">
        <f>VLOOKUP(H26,유니버스!$C$14:$D$2561,2,0)</f>
        <v>KQ</v>
      </c>
      <c r="H26" s="65" t="str">
        <f>'WON 반도체밸류체인액티브'!B32</f>
        <v>샘씨엔에스</v>
      </c>
      <c r="I26" s="65">
        <f>VLOOKUP(H26,'WON 반도체밸류체인액티브'!$B$11:$E$1000,4,0)</f>
        <v>0.01</v>
      </c>
      <c r="J26" s="65">
        <f>IFERROR(VLOOKUP(H26,'WON 반도체밸류체인액티브(과거)'!$B$11:$E$1000,4,0),0)</f>
        <v>0.01</v>
      </c>
      <c r="K26" s="20">
        <f t="shared" si="20"/>
        <v>0</v>
      </c>
      <c r="L26" s="32">
        <f t="shared" si="21"/>
        <v>0</v>
      </c>
      <c r="N26" s="26"/>
      <c r="O26" s="26"/>
      <c r="P26" s="26"/>
      <c r="Q26" s="20"/>
      <c r="R26" s="32"/>
    </row>
    <row r="27" spans="1:18" x14ac:dyDescent="0.4">
      <c r="A27" s="63" t="e">
        <f>VLOOKUP(B27,유니버스!$C$14:$D$2561,2,0)</f>
        <v>#N/A</v>
      </c>
      <c r="B27" s="65" t="str">
        <f>'UNICORN SK하이닉스밸류체인액티브'!B33</f>
        <v>원화현금</v>
      </c>
      <c r="C27" s="65">
        <f>VLOOKUP(B27,'UNICORN SK하이닉스밸류체인액티브'!$B$11:$E$1000,4,0)</f>
        <v>1.02</v>
      </c>
      <c r="D27" s="65">
        <f>IFERROR(VLOOKUP(B27,'UNICORN SK하이닉스밸류체인액티브(과거)'!$B$11:$E$1000,4,0),0)</f>
        <v>0.27</v>
      </c>
      <c r="E27" s="20">
        <f t="shared" si="18"/>
        <v>0.75</v>
      </c>
      <c r="F27" s="32">
        <f t="shared" si="19"/>
        <v>2.7777777777777777</v>
      </c>
      <c r="G27" s="63" t="str">
        <f>VLOOKUP(H27,유니버스!$C$14:$D$2561,2,0)</f>
        <v>KQ</v>
      </c>
      <c r="H27" s="65" t="str">
        <f>'WON 반도체밸류체인액티브'!B33</f>
        <v>에이디테크놀로지</v>
      </c>
      <c r="I27" s="65">
        <f>VLOOKUP(H27,'WON 반도체밸류체인액티브'!$B$11:$E$1000,4,0)</f>
        <v>0.01</v>
      </c>
      <c r="J27" s="65">
        <f>IFERROR(VLOOKUP(H27,'WON 반도체밸류체인액티브(과거)'!$B$11:$E$1000,4,0),0)</f>
        <v>0.01</v>
      </c>
      <c r="K27" s="20">
        <f t="shared" si="20"/>
        <v>0</v>
      </c>
      <c r="L27" s="32">
        <f t="shared" si="21"/>
        <v>0</v>
      </c>
      <c r="N27" s="26"/>
      <c r="O27" s="26"/>
      <c r="P27" s="26"/>
      <c r="Q27" s="20"/>
      <c r="R27" s="32"/>
    </row>
    <row r="28" spans="1:18" x14ac:dyDescent="0.4">
      <c r="A28" s="63" t="e">
        <f>VLOOKUP(B28,유니버스!$C$14:$D$2561,2,0)</f>
        <v>#N/A</v>
      </c>
      <c r="B28" s="65">
        <f>'UNICORN SK하이닉스밸류체인액티브'!B34</f>
        <v>0</v>
      </c>
      <c r="C28" s="65" t="e">
        <f>VLOOKUP(B28,'UNICORN SK하이닉스밸류체인액티브'!$B$11:$E$1000,4,0)</f>
        <v>#N/A</v>
      </c>
      <c r="D28" s="65">
        <f>IFERROR(VLOOKUP(B28,'UNICORN SK하이닉스밸류체인액티브(과거)'!$B$11:$E$1000,4,0),0)</f>
        <v>0</v>
      </c>
      <c r="E28" s="20" t="e">
        <f t="shared" si="18"/>
        <v>#N/A</v>
      </c>
      <c r="F28" s="32" t="str">
        <f t="shared" si="19"/>
        <v>신규편입</v>
      </c>
      <c r="G28" s="63" t="str">
        <f>VLOOKUP(H28,유니버스!$C$14:$D$2561,2,0)</f>
        <v>KQ</v>
      </c>
      <c r="H28" s="65" t="str">
        <f>'WON 반도체밸류체인액티브'!B34</f>
        <v>덕산테코피아</v>
      </c>
      <c r="I28" s="65">
        <f>VLOOKUP(H28,'WON 반도체밸류체인액티브'!$B$11:$E$1000,4,0)</f>
        <v>0.01</v>
      </c>
      <c r="J28" s="65">
        <f>IFERROR(VLOOKUP(H28,'WON 반도체밸류체인액티브(과거)'!$B$11:$E$1000,4,0),0)</f>
        <v>0.01</v>
      </c>
      <c r="K28" s="20">
        <f t="shared" si="20"/>
        <v>0</v>
      </c>
      <c r="L28" s="32">
        <f t="shared" si="21"/>
        <v>0</v>
      </c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G29" s="63" t="e">
        <f>VLOOKUP(H29,유니버스!$C$14:$D$2561,2,0)</f>
        <v>#N/A</v>
      </c>
      <c r="H29" s="65" t="str">
        <f>'WON 반도체밸류체인액티브'!B35</f>
        <v>원화예금</v>
      </c>
      <c r="I29" s="65">
        <f>VLOOKUP(H29,'WON 반도체밸류체인액티브'!$B$11:$E$1000,4,0)</f>
        <v>0</v>
      </c>
      <c r="J29" s="65">
        <f>IFERROR(VLOOKUP(H29,'WON 반도체밸류체인액티브(과거)'!$B$11:$E$1000,4,0),0)</f>
        <v>0</v>
      </c>
      <c r="K29" s="20">
        <f t="shared" si="20"/>
        <v>0</v>
      </c>
      <c r="L29" s="32" t="str">
        <f t="shared" si="21"/>
        <v>신규편입</v>
      </c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8" zoomScaleNormal="100" workbookViewId="0">
      <selection activeCell="I22" sqref="I2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'SOL 코리아메가테크액티브'!A9</f>
        <v>SOL 코리아메가테크액티브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'SOL 코리아메가테크액티브'!B4</f>
        <v>CPD [20260611]</v>
      </c>
      <c r="D4" s="66" t="str">
        <f>'SOL 코리아메가테크액티브(과거)'!B4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23" t="str">
        <f>C4</f>
        <v>CPD [20260611]</v>
      </c>
      <c r="P4" s="23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'SOL 코리아메가테크액티브'!B11</f>
        <v>SK하이닉스</v>
      </c>
      <c r="C5" s="65">
        <f>VLOOKUP(B5,'SOL 코리아메가테크액티브'!$B$11:$E$1000,4,0)</f>
        <v>18.8</v>
      </c>
      <c r="D5" s="65">
        <f>IFERROR(VLOOKUP(B5,'SOL 코리아메가테크액티브(과거)'!$B$11:$E$1000,4,0),0)</f>
        <v>18.64</v>
      </c>
      <c r="E5" s="20">
        <f>C5-D5</f>
        <v>0.16000000000000014</v>
      </c>
      <c r="F5" s="21">
        <f>IFERROR(C5/D5-1,"신규편입")</f>
        <v>8.5836909871244149E-3</v>
      </c>
      <c r="G5" s="63" t="str">
        <f>VLOOKUP(H5,유니버스!$C$14:$D$2561,2,0)</f>
        <v>KS</v>
      </c>
      <c r="H5" s="65" t="str">
        <f>'KoAct 배당성장액티브'!B11</f>
        <v>SK하이닉스</v>
      </c>
      <c r="I5" s="65">
        <f>VLOOKUP(H5,'KoAct 배당성장액티브'!$B$11:$E$1000,4,0)</f>
        <v>22.28</v>
      </c>
      <c r="J5" s="65">
        <f>IFERROR(VLOOKUP(H5,'KoAct 배당성장액티브(과거)'!$B$11:$E$1000,4,0),0)</f>
        <v>24.41</v>
      </c>
      <c r="K5" s="20">
        <f>I5-J5</f>
        <v>-2.129999999999999</v>
      </c>
      <c r="L5" s="21">
        <f>IFERROR(I5/J5-1,"신규편입")</f>
        <v>-8.7259319950839798E-2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16.09</v>
      </c>
      <c r="P5" s="20">
        <f>IFERROR(VLOOKUP(N5,'TIMEFOLIO Korea플러스배당액티브(과거)'!$B$11:$E$1000,4,0),0)</f>
        <v>31.23</v>
      </c>
      <c r="Q5" s="20">
        <f>O5-P5</f>
        <v>-15.14</v>
      </c>
      <c r="R5" s="21">
        <f>IFERROR(O5/P5-1,"신규편입")</f>
        <v>-0.48479026577009288</v>
      </c>
    </row>
    <row r="6" spans="1:18" x14ac:dyDescent="0.4">
      <c r="A6" s="63" t="str">
        <f>VLOOKUP(B6,유니버스!$C$14:$D$2561,2,0)</f>
        <v>KS</v>
      </c>
      <c r="B6" s="65" t="str">
        <f>'SOL 코리아메가테크액티브'!B12</f>
        <v>삼성전자</v>
      </c>
      <c r="C6" s="65">
        <f>VLOOKUP(B6,'SOL 코리아메가테크액티브'!$B$11:$E$1000,4,0)</f>
        <v>17.89</v>
      </c>
      <c r="D6" s="65">
        <f>IFERROR(VLOOKUP(B6,'SOL 코리아메가테크액티브(과거)'!$B$11:$E$1000,4,0),0)</f>
        <v>16.940000000000001</v>
      </c>
      <c r="E6" s="20">
        <f t="shared" ref="E6:E49" si="0">C6-D6</f>
        <v>0.94999999999999929</v>
      </c>
      <c r="F6" s="21">
        <f t="shared" ref="F6:F49" si="1">IFERROR(C6/D6-1,"신규편입")</f>
        <v>5.6080283353010518E-2</v>
      </c>
      <c r="G6" s="63" t="e">
        <f>VLOOKUP(H6,유니버스!$C$14:$D$2561,2,0)</f>
        <v>#N/A</v>
      </c>
      <c r="H6" s="65" t="str">
        <f>'KoAct 배당성장액티브'!B12</f>
        <v>삼성전자우</v>
      </c>
      <c r="I6" s="65">
        <f>VLOOKUP(H6,'KoAct 배당성장액티브'!$B$11:$E$1000,4,0)</f>
        <v>20.66</v>
      </c>
      <c r="J6" s="65">
        <f>IFERROR(VLOOKUP(H6,'KoAct 배당성장액티브(과거)'!$B$11:$E$1000,4,0),0)</f>
        <v>23.07</v>
      </c>
      <c r="K6" s="20">
        <f t="shared" ref="K6:K64" si="2">I6-J6</f>
        <v>-2.41</v>
      </c>
      <c r="L6" s="21">
        <f t="shared" ref="L6:L64" si="3">IFERROR(I6/J6-1,"신규편입")</f>
        <v>-0.10446467273515392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13.69</v>
      </c>
      <c r="P6" s="20">
        <f>IFERROR(VLOOKUP(N6,'TIMEFOLIO Korea플러스배당액티브(과거)'!$B$11:$E$1000,4,0),0)</f>
        <v>13.2</v>
      </c>
      <c r="Q6" s="20">
        <f t="shared" ref="Q6:Q25" si="4">O6-P6</f>
        <v>0.49000000000000021</v>
      </c>
      <c r="R6" s="21">
        <f t="shared" ref="R6:R25" si="5">IFERROR(O6/P6-1,"신규편입")</f>
        <v>3.712121212121211E-2</v>
      </c>
    </row>
    <row r="7" spans="1:18" x14ac:dyDescent="0.4">
      <c r="A7" s="63" t="str">
        <f>VLOOKUP(B7,유니버스!$C$14:$D$2561,2,0)</f>
        <v>KS</v>
      </c>
      <c r="B7" s="65" t="str">
        <f>'SOL 코리아메가테크액티브'!B13</f>
        <v>현대차</v>
      </c>
      <c r="C7" s="65">
        <f>VLOOKUP(B7,'SOL 코리아메가테크액티브'!$B$11:$E$1000,4,0)</f>
        <v>7.2</v>
      </c>
      <c r="D7" s="65">
        <f>IFERROR(VLOOKUP(B7,'SOL 코리아메가테크액티브(과거)'!$B$11:$E$1000,4,0),0)</f>
        <v>7.79</v>
      </c>
      <c r="E7" s="20">
        <f t="shared" si="0"/>
        <v>-0.58999999999999986</v>
      </c>
      <c r="F7" s="21">
        <f t="shared" si="1"/>
        <v>-7.5738125802310652E-2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4.25</v>
      </c>
      <c r="J7" s="65">
        <f>IFERROR(VLOOKUP(H7,'KoAct 배당성장액티브(과거)'!$B$11:$E$1000,4,0),0)</f>
        <v>3.1</v>
      </c>
      <c r="K7" s="20">
        <f t="shared" si="2"/>
        <v>1.1499999999999999</v>
      </c>
      <c r="L7" s="21">
        <f t="shared" si="3"/>
        <v>0.37096774193548376</v>
      </c>
      <c r="M7" s="62" t="str">
        <f>VLOOKUP(N7,유니버스!$C$14:$D$2561,2,0)</f>
        <v>KS</v>
      </c>
      <c r="N7" s="26" t="str">
        <f>'TIMEFOLIO Korea플러스배당액티브'!B13</f>
        <v>삼성전기</v>
      </c>
      <c r="O7" s="20">
        <f>VLOOKUP(N7,'TIMEFOLIO Korea플러스배당액티브'!$B$11:$E$1000,4,0)</f>
        <v>4.34</v>
      </c>
      <c r="P7" s="20">
        <f>IFERROR(VLOOKUP(N7,'TIMEFOLIO Korea플러스배당액티브(과거)'!$B$11:$E$1000,4,0),0)</f>
        <v>0</v>
      </c>
      <c r="Q7" s="20">
        <f t="shared" si="4"/>
        <v>4.34</v>
      </c>
      <c r="R7" s="21" t="str">
        <f t="shared" si="5"/>
        <v>신규편입</v>
      </c>
    </row>
    <row r="8" spans="1:18" x14ac:dyDescent="0.4">
      <c r="A8" s="63" t="str">
        <f>VLOOKUP(B8,유니버스!$C$14:$D$2561,2,0)</f>
        <v>KS</v>
      </c>
      <c r="B8" s="65" t="str">
        <f>'SOL 코리아메가테크액티브'!B14</f>
        <v>SK스퀘어</v>
      </c>
      <c r="C8" s="65">
        <f>VLOOKUP(B8,'SOL 코리아메가테크액티브'!$B$11:$E$1000,4,0)</f>
        <v>5.7</v>
      </c>
      <c r="D8" s="65">
        <f>IFERROR(VLOOKUP(B8,'SOL 코리아메가테크액티브(과거)'!$B$11:$E$1000,4,0),0)</f>
        <v>5.1100000000000003</v>
      </c>
      <c r="E8" s="20">
        <f t="shared" si="0"/>
        <v>0.58999999999999986</v>
      </c>
      <c r="F8" s="21">
        <f t="shared" si="1"/>
        <v>0.1154598825831703</v>
      </c>
      <c r="G8" s="63" t="str">
        <f>VLOOKUP(H8,유니버스!$C$14:$D$2561,2,0)</f>
        <v>KS</v>
      </c>
      <c r="H8" s="65" t="str">
        <f>'KoAct 배당성장액티브'!B14</f>
        <v>KB금융</v>
      </c>
      <c r="I8" s="65">
        <f>VLOOKUP(H8,'KoAct 배당성장액티브'!$B$11:$E$1000,4,0)</f>
        <v>3.41</v>
      </c>
      <c r="J8" s="65">
        <f>IFERROR(VLOOKUP(H8,'KoAct 배당성장액티브(과거)'!$B$11:$E$1000,4,0),0)</f>
        <v>1.67</v>
      </c>
      <c r="K8" s="20">
        <f t="shared" si="2"/>
        <v>1.7400000000000002</v>
      </c>
      <c r="L8" s="21">
        <f t="shared" si="3"/>
        <v>1.0419161676646707</v>
      </c>
      <c r="M8" s="62" t="str">
        <f>VLOOKUP(N8,유니버스!$C$14:$D$2561,2,0)</f>
        <v>KS</v>
      </c>
      <c r="N8" s="26" t="str">
        <f>'TIMEFOLIO Korea플러스배당액티브'!B14</f>
        <v>한국금융지주</v>
      </c>
      <c r="O8" s="20">
        <f>VLOOKUP(N8,'TIMEFOLIO Korea플러스배당액티브'!$B$11:$E$1000,4,0)</f>
        <v>4.1399999999999997</v>
      </c>
      <c r="P8" s="20">
        <f>IFERROR(VLOOKUP(N8,'TIMEFOLIO Korea플러스배당액티브(과거)'!$B$11:$E$1000,4,0),0)</f>
        <v>0.93</v>
      </c>
      <c r="Q8" s="20">
        <f t="shared" si="4"/>
        <v>3.2099999999999995</v>
      </c>
      <c r="R8" s="21">
        <f t="shared" si="5"/>
        <v>3.4516129032258061</v>
      </c>
    </row>
    <row r="9" spans="1:18" x14ac:dyDescent="0.4">
      <c r="A9" s="63" t="str">
        <f>VLOOKUP(B9,유니버스!$C$14:$D$2561,2,0)</f>
        <v>KS</v>
      </c>
      <c r="B9" s="65" t="str">
        <f>'SOL 코리아메가테크액티브'!B15</f>
        <v>LS ELECTRIC</v>
      </c>
      <c r="C9" s="65">
        <f>VLOOKUP(B9,'SOL 코리아메가테크액티브'!$B$11:$E$1000,4,0)</f>
        <v>4.1399999999999997</v>
      </c>
      <c r="D9" s="65">
        <f>IFERROR(VLOOKUP(B9,'SOL 코리아메가테크액티브(과거)'!$B$11:$E$1000,4,0),0)</f>
        <v>3.89</v>
      </c>
      <c r="E9" s="20">
        <f t="shared" si="0"/>
        <v>0.24999999999999956</v>
      </c>
      <c r="F9" s="21">
        <f t="shared" si="1"/>
        <v>6.4267352185089832E-2</v>
      </c>
      <c r="G9" s="63" t="str">
        <f>VLOOKUP(H9,유니버스!$C$14:$D$2561,2,0)</f>
        <v>KS</v>
      </c>
      <c r="H9" s="65" t="str">
        <f>'KoAct 배당성장액티브'!B15</f>
        <v>SK스퀘어</v>
      </c>
      <c r="I9" s="65">
        <f>VLOOKUP(H9,'KoAct 배당성장액티브'!$B$11:$E$1000,4,0)</f>
        <v>2.52</v>
      </c>
      <c r="J9" s="65">
        <f>IFERROR(VLOOKUP(H9,'KoAct 배당성장액티브(과거)'!$B$11:$E$1000,4,0),0)</f>
        <v>1.93</v>
      </c>
      <c r="K9" s="20">
        <f t="shared" si="2"/>
        <v>0.59000000000000008</v>
      </c>
      <c r="L9" s="21">
        <f t="shared" si="3"/>
        <v>0.30569948186528495</v>
      </c>
      <c r="M9" s="62" t="str">
        <f>VLOOKUP(N9,유니버스!$C$14:$D$2561,2,0)</f>
        <v>KS</v>
      </c>
      <c r="N9" s="26" t="str">
        <f>'TIMEFOLIO Korea플러스배당액티브'!B15</f>
        <v>삼양식품</v>
      </c>
      <c r="O9" s="20">
        <f>VLOOKUP(N9,'TIMEFOLIO Korea플러스배당액티브'!$B$11:$E$1000,4,0)</f>
        <v>3.88</v>
      </c>
      <c r="P9" s="20">
        <f>IFERROR(VLOOKUP(N9,'TIMEFOLIO Korea플러스배당액티브(과거)'!$B$11:$E$1000,4,0),0)</f>
        <v>1.96</v>
      </c>
      <c r="Q9" s="20">
        <f t="shared" si="4"/>
        <v>1.92</v>
      </c>
      <c r="R9" s="21">
        <f t="shared" si="5"/>
        <v>0.97959183673469385</v>
      </c>
    </row>
    <row r="10" spans="1:18" x14ac:dyDescent="0.4">
      <c r="A10" s="63" t="str">
        <f>VLOOKUP(B10,유니버스!$C$14:$D$2561,2,0)</f>
        <v>KS</v>
      </c>
      <c r="B10" s="65" t="str">
        <f>'SOL 코리아메가테크액티브'!B16</f>
        <v>한화에어로스페이스</v>
      </c>
      <c r="C10" s="65">
        <f>VLOOKUP(B10,'SOL 코리아메가테크액티브'!$B$11:$E$1000,4,0)</f>
        <v>3.69</v>
      </c>
      <c r="D10" s="65">
        <f>IFERROR(VLOOKUP(B10,'SOL 코리아메가테크액티브(과거)'!$B$11:$E$1000,4,0),0)</f>
        <v>3.81</v>
      </c>
      <c r="E10" s="20">
        <f t="shared" si="0"/>
        <v>-0.12000000000000011</v>
      </c>
      <c r="F10" s="21">
        <f t="shared" si="1"/>
        <v>-3.1496062992126039E-2</v>
      </c>
      <c r="G10" s="63" t="str">
        <f>VLOOKUP(H10,유니버스!$C$14:$D$2561,2,0)</f>
        <v>KS</v>
      </c>
      <c r="H10" s="65" t="str">
        <f>'KoAct 배당성장액티브'!B16</f>
        <v>삼성전기</v>
      </c>
      <c r="I10" s="65">
        <f>VLOOKUP(H10,'KoAct 배당성장액티브'!$B$11:$E$1000,4,0)</f>
        <v>1.93</v>
      </c>
      <c r="J10" s="65">
        <f>IFERROR(VLOOKUP(H10,'KoAct 배당성장액티브(과거)'!$B$11:$E$1000,4,0),0)</f>
        <v>2.3199999999999998</v>
      </c>
      <c r="K10" s="20">
        <f t="shared" si="2"/>
        <v>-0.3899999999999999</v>
      </c>
      <c r="L10" s="21">
        <f t="shared" si="3"/>
        <v>-0.16810344827586199</v>
      </c>
      <c r="M10" s="62" t="str">
        <f>VLOOKUP(N10,유니버스!$C$14:$D$2561,2,0)</f>
        <v>KS</v>
      </c>
      <c r="N10" s="26" t="str">
        <f>'TIMEFOLIO Korea플러스배당액티브'!B16</f>
        <v>NH투자증권</v>
      </c>
      <c r="O10" s="20">
        <f>VLOOKUP(N10,'TIMEFOLIO Korea플러스배당액티브'!$B$11:$E$1000,4,0)</f>
        <v>3.85</v>
      </c>
      <c r="P10" s="20">
        <f>IFERROR(VLOOKUP(N10,'TIMEFOLIO Korea플러스배당액티브(과거)'!$B$11:$E$1000,4,0),0)</f>
        <v>1.02</v>
      </c>
      <c r="Q10" s="20">
        <f t="shared" si="4"/>
        <v>2.83</v>
      </c>
      <c r="R10" s="21">
        <f t="shared" si="5"/>
        <v>2.7745098039215685</v>
      </c>
    </row>
    <row r="11" spans="1:18" x14ac:dyDescent="0.4">
      <c r="A11" s="63" t="str">
        <f>VLOOKUP(B11,유니버스!$C$14:$D$2561,2,0)</f>
        <v>KS</v>
      </c>
      <c r="B11" s="65" t="str">
        <f>'SOL 코리아메가테크액티브'!B17</f>
        <v>기아</v>
      </c>
      <c r="C11" s="65">
        <f>VLOOKUP(B11,'SOL 코리아메가테크액티브'!$B$11:$E$1000,4,0)</f>
        <v>3.28</v>
      </c>
      <c r="D11" s="65">
        <f>IFERROR(VLOOKUP(B11,'SOL 코리아메가테크액티브(과거)'!$B$11:$E$1000,4,0),0)</f>
        <v>3.18</v>
      </c>
      <c r="E11" s="20">
        <f t="shared" si="0"/>
        <v>9.9999999999999645E-2</v>
      </c>
      <c r="F11" s="21">
        <f t="shared" si="1"/>
        <v>3.1446540880503138E-2</v>
      </c>
      <c r="G11" s="63" t="str">
        <f>VLOOKUP(H11,유니버스!$C$14:$D$2561,2,0)</f>
        <v>KS</v>
      </c>
      <c r="H11" s="65" t="str">
        <f>'KoAct 배당성장액티브'!B17</f>
        <v>더블유게임즈</v>
      </c>
      <c r="I11" s="65">
        <f>VLOOKUP(H11,'KoAct 배당성장액티브'!$B$11:$E$1000,4,0)</f>
        <v>1.82</v>
      </c>
      <c r="J11" s="65">
        <f>IFERROR(VLOOKUP(H11,'KoAct 배당성장액티브(과거)'!$B$11:$E$1000,4,0),0)</f>
        <v>1.37</v>
      </c>
      <c r="K11" s="20">
        <f t="shared" si="2"/>
        <v>0.44999999999999996</v>
      </c>
      <c r="L11" s="21">
        <f t="shared" si="3"/>
        <v>0.32846715328467146</v>
      </c>
      <c r="M11" s="62" t="str">
        <f>VLOOKUP(N11,유니버스!$C$14:$D$2561,2,0)</f>
        <v>KS</v>
      </c>
      <c r="N11" s="26" t="str">
        <f>'TIMEFOLIO Korea플러스배당액티브'!B17</f>
        <v>두산</v>
      </c>
      <c r="O11" s="20">
        <f>VLOOKUP(N11,'TIMEFOLIO Korea플러스배당액티브'!$B$11:$E$1000,4,0)</f>
        <v>3.41</v>
      </c>
      <c r="P11" s="20">
        <f>IFERROR(VLOOKUP(N11,'TIMEFOLIO Korea플러스배당액티브(과거)'!$B$11:$E$1000,4,0),0)</f>
        <v>2.67</v>
      </c>
      <c r="Q11" s="20">
        <f t="shared" si="4"/>
        <v>0.74000000000000021</v>
      </c>
      <c r="R11" s="21">
        <f t="shared" si="5"/>
        <v>0.27715355805243447</v>
      </c>
    </row>
    <row r="12" spans="1:18" x14ac:dyDescent="0.4">
      <c r="A12" s="63" t="str">
        <f>VLOOKUP(B12,유니버스!$C$14:$D$2561,2,0)</f>
        <v>KS</v>
      </c>
      <c r="B12" s="65" t="str">
        <f>'SOL 코리아메가테크액티브'!B18</f>
        <v>현대모비스</v>
      </c>
      <c r="C12" s="65">
        <f>VLOOKUP(B12,'SOL 코리아메가테크액티브'!$B$11:$E$1000,4,0)</f>
        <v>2.95</v>
      </c>
      <c r="D12" s="65">
        <f>IFERROR(VLOOKUP(B12,'SOL 코리아메가테크액티브(과거)'!$B$11:$E$1000,4,0),0)</f>
        <v>3.51</v>
      </c>
      <c r="E12" s="20">
        <f t="shared" si="0"/>
        <v>-0.55999999999999961</v>
      </c>
      <c r="F12" s="21">
        <f t="shared" si="1"/>
        <v>-0.15954415954415946</v>
      </c>
      <c r="G12" s="63" t="str">
        <f>VLOOKUP(H12,유니버스!$C$14:$D$2561,2,0)</f>
        <v>KS</v>
      </c>
      <c r="H12" s="65" t="str">
        <f>'KoAct 배당성장액티브'!B18</f>
        <v>HD한국조선해양</v>
      </c>
      <c r="I12" s="65">
        <f>VLOOKUP(H12,'KoAct 배당성장액티브'!$B$11:$E$1000,4,0)</f>
        <v>1.76</v>
      </c>
      <c r="J12" s="65">
        <f>IFERROR(VLOOKUP(H12,'KoAct 배당성장액티브(과거)'!$B$11:$E$1000,4,0),0)</f>
        <v>1.88</v>
      </c>
      <c r="K12" s="20">
        <f t="shared" si="2"/>
        <v>-0.11999999999999988</v>
      </c>
      <c r="L12" s="21">
        <f t="shared" si="3"/>
        <v>-6.3829787234042534E-2</v>
      </c>
      <c r="M12" s="62" t="str">
        <f>VLOOKUP(N12,유니버스!$C$14:$D$2561,2,0)</f>
        <v>KS</v>
      </c>
      <c r="N12" s="26" t="str">
        <f>'TIMEFOLIO Korea플러스배당액티브'!B18</f>
        <v>현대차</v>
      </c>
      <c r="O12" s="20">
        <f>VLOOKUP(N12,'TIMEFOLIO Korea플러스배당액티브'!$B$11:$E$1000,4,0)</f>
        <v>3.41</v>
      </c>
      <c r="P12" s="20">
        <f>IFERROR(VLOOKUP(N12,'TIMEFOLIO Korea플러스배당액티브(과거)'!$B$11:$E$1000,4,0),0)</f>
        <v>3.71</v>
      </c>
      <c r="Q12" s="20">
        <f t="shared" si="4"/>
        <v>-0.29999999999999982</v>
      </c>
      <c r="R12" s="21">
        <f t="shared" si="5"/>
        <v>-8.0862533692722338E-2</v>
      </c>
    </row>
    <row r="13" spans="1:18" x14ac:dyDescent="0.4">
      <c r="A13" s="63" t="str">
        <f>VLOOKUP(B13,유니버스!$C$14:$D$2561,2,0)</f>
        <v>KS</v>
      </c>
      <c r="B13" s="65" t="str">
        <f>'SOL 코리아메가테크액티브'!B19</f>
        <v>HD현대일렉트릭</v>
      </c>
      <c r="C13" s="65">
        <f>VLOOKUP(B13,'SOL 코리아메가테크액티브'!$B$11:$E$1000,4,0)</f>
        <v>2.84</v>
      </c>
      <c r="D13" s="65">
        <f>IFERROR(VLOOKUP(B13,'SOL 코리아메가테크액티브(과거)'!$B$11:$E$1000,4,0),0)</f>
        <v>2.58</v>
      </c>
      <c r="E13" s="20">
        <f t="shared" si="0"/>
        <v>0.25999999999999979</v>
      </c>
      <c r="F13" s="21">
        <f t="shared" si="1"/>
        <v>0.10077519379844957</v>
      </c>
      <c r="G13" s="63" t="str">
        <f>VLOOKUP(H13,유니버스!$C$14:$D$2561,2,0)</f>
        <v>KS</v>
      </c>
      <c r="H13" s="65" t="str">
        <f>'KoAct 배당성장액티브'!B19</f>
        <v>HD현대</v>
      </c>
      <c r="I13" s="65">
        <f>VLOOKUP(H13,'KoAct 배당성장액티브'!$B$11:$E$1000,4,0)</f>
        <v>1.55</v>
      </c>
      <c r="J13" s="65">
        <f>IFERROR(VLOOKUP(H13,'KoAct 배당성장액티브(과거)'!$B$11:$E$1000,4,0),0)</f>
        <v>1.17</v>
      </c>
      <c r="K13" s="20">
        <f t="shared" si="2"/>
        <v>0.38000000000000012</v>
      </c>
      <c r="L13" s="21">
        <f t="shared" si="3"/>
        <v>0.32478632478632496</v>
      </c>
      <c r="M13" s="62" t="str">
        <f>VLOOKUP(N13,유니버스!$C$14:$D$2561,2,0)</f>
        <v>KS</v>
      </c>
      <c r="N13" s="26" t="str">
        <f>'TIMEFOLIO Korea플러스배당액티브'!B19</f>
        <v>삼성증권</v>
      </c>
      <c r="O13" s="20">
        <f>VLOOKUP(N13,'TIMEFOLIO Korea플러스배당액티브'!$B$11:$E$1000,4,0)</f>
        <v>3.39</v>
      </c>
      <c r="P13" s="20">
        <f>IFERROR(VLOOKUP(N13,'TIMEFOLIO Korea플러스배당액티브(과거)'!$B$11:$E$1000,4,0),0)</f>
        <v>3.27</v>
      </c>
      <c r="Q13" s="20">
        <f t="shared" si="4"/>
        <v>0.12000000000000011</v>
      </c>
      <c r="R13" s="21">
        <f t="shared" si="5"/>
        <v>3.669724770642202E-2</v>
      </c>
    </row>
    <row r="14" spans="1:18" x14ac:dyDescent="0.4">
      <c r="A14" s="63" t="str">
        <f>VLOOKUP(B14,유니버스!$C$14:$D$2561,2,0)</f>
        <v>KS</v>
      </c>
      <c r="B14" s="65" t="str">
        <f>'SOL 코리아메가테크액티브'!B20</f>
        <v>LIG디펜스앤에어로스페이스</v>
      </c>
      <c r="C14" s="65">
        <f>VLOOKUP(B14,'SOL 코리아메가테크액티브'!$B$11:$E$1000,4,0)</f>
        <v>2.64</v>
      </c>
      <c r="D14" s="65">
        <f>IFERROR(VLOOKUP(B14,'SOL 코리아메가테크액티브(과거)'!$B$11:$E$1000,4,0),0)</f>
        <v>2.4700000000000002</v>
      </c>
      <c r="E14" s="20">
        <f t="shared" si="0"/>
        <v>0.16999999999999993</v>
      </c>
      <c r="F14" s="21">
        <f t="shared" si="1"/>
        <v>6.8825910931173961E-2</v>
      </c>
      <c r="G14" s="63" t="str">
        <f>VLOOKUP(H14,유니버스!$C$14:$D$2561,2,0)</f>
        <v>KS</v>
      </c>
      <c r="H14" s="65" t="str">
        <f>'KoAct 배당성장액티브'!B20</f>
        <v>한국금융지주</v>
      </c>
      <c r="I14" s="65">
        <f>VLOOKUP(H14,'KoAct 배당성장액티브'!$B$11:$E$1000,4,0)</f>
        <v>1.53</v>
      </c>
      <c r="J14" s="65">
        <f>IFERROR(VLOOKUP(H14,'KoAct 배당성장액티브(과거)'!$B$11:$E$1000,4,0),0)</f>
        <v>1.5</v>
      </c>
      <c r="K14" s="20">
        <f t="shared" si="2"/>
        <v>3.0000000000000027E-2</v>
      </c>
      <c r="L14" s="21">
        <f t="shared" si="3"/>
        <v>2.0000000000000018E-2</v>
      </c>
      <c r="M14" s="62" t="str">
        <f>VLOOKUP(N14,유니버스!$C$14:$D$2561,2,0)</f>
        <v>KS</v>
      </c>
      <c r="N14" s="26" t="str">
        <f>'TIMEFOLIO Korea플러스배당액티브'!B20</f>
        <v>KB금융</v>
      </c>
      <c r="O14" s="20">
        <f>VLOOKUP(N14,'TIMEFOLIO Korea플러스배당액티브'!$B$11:$E$1000,4,0)</f>
        <v>3.18</v>
      </c>
      <c r="P14" s="20">
        <f>IFERROR(VLOOKUP(N14,'TIMEFOLIO Korea플러스배당액티브(과거)'!$B$11:$E$1000,4,0),0)</f>
        <v>2.2400000000000002</v>
      </c>
      <c r="Q14" s="20">
        <f t="shared" si="4"/>
        <v>0.94</v>
      </c>
      <c r="R14" s="21">
        <f t="shared" si="5"/>
        <v>0.41964285714285698</v>
      </c>
    </row>
    <row r="15" spans="1:18" x14ac:dyDescent="0.4">
      <c r="A15" s="63" t="str">
        <f>VLOOKUP(B15,유니버스!$C$14:$D$2561,2,0)</f>
        <v>KS</v>
      </c>
      <c r="B15" s="65" t="str">
        <f>'SOL 코리아메가테크액티브'!B21</f>
        <v>한국항공우주</v>
      </c>
      <c r="C15" s="65">
        <f>VLOOKUP(B15,'SOL 코리아메가테크액티브'!$B$11:$E$1000,4,0)</f>
        <v>2.56</v>
      </c>
      <c r="D15" s="65">
        <f>IFERROR(VLOOKUP(B15,'SOL 코리아메가테크액티브(과거)'!$B$11:$E$1000,4,0),0)</f>
        <v>2.71</v>
      </c>
      <c r="E15" s="20">
        <f t="shared" si="0"/>
        <v>-0.14999999999999991</v>
      </c>
      <c r="F15" s="21">
        <f t="shared" si="1"/>
        <v>-5.5350553505534972E-2</v>
      </c>
      <c r="G15" s="63" t="str">
        <f>VLOOKUP(H15,유니버스!$C$14:$D$2561,2,0)</f>
        <v>KQ</v>
      </c>
      <c r="H15" s="65" t="str">
        <f>'KoAct 배당성장액티브'!B21</f>
        <v>코나아이</v>
      </c>
      <c r="I15" s="65">
        <f>VLOOKUP(H15,'KoAct 배당성장액티브'!$B$11:$E$1000,4,0)</f>
        <v>1.46</v>
      </c>
      <c r="J15" s="65">
        <f>IFERROR(VLOOKUP(H15,'KoAct 배당성장액티브(과거)'!$B$11:$E$1000,4,0),0)</f>
        <v>1.54</v>
      </c>
      <c r="K15" s="20">
        <f t="shared" si="2"/>
        <v>-8.0000000000000071E-2</v>
      </c>
      <c r="L15" s="21">
        <f t="shared" si="3"/>
        <v>-5.1948051948051965E-2</v>
      </c>
      <c r="M15" s="62" t="str">
        <f>VLOOKUP(N15,유니버스!$C$14:$D$2561,2,0)</f>
        <v>KS</v>
      </c>
      <c r="N15" s="26" t="str">
        <f>'TIMEFOLIO Korea플러스배당액티브'!B21</f>
        <v>미래에셋증권</v>
      </c>
      <c r="O15" s="20">
        <f>VLOOKUP(N15,'TIMEFOLIO Korea플러스배당액티브'!$B$11:$E$1000,4,0)</f>
        <v>3.07</v>
      </c>
      <c r="P15" s="20">
        <f>IFERROR(VLOOKUP(N15,'TIMEFOLIO Korea플러스배당액티브(과거)'!$B$11:$E$1000,4,0),0)</f>
        <v>3.32</v>
      </c>
      <c r="Q15" s="20">
        <f t="shared" si="4"/>
        <v>-0.25</v>
      </c>
      <c r="R15" s="21">
        <f t="shared" si="5"/>
        <v>-7.5301204819277157E-2</v>
      </c>
    </row>
    <row r="16" spans="1:18" x14ac:dyDescent="0.4">
      <c r="A16" s="63" t="str">
        <f>VLOOKUP(B16,유니버스!$C$14:$D$2561,2,0)</f>
        <v>KS</v>
      </c>
      <c r="B16" s="65" t="str">
        <f>'SOL 코리아메가테크액티브'!B22</f>
        <v>두산에너빌리티</v>
      </c>
      <c r="C16" s="65">
        <f>VLOOKUP(B16,'SOL 코리아메가테크액티브'!$B$11:$E$1000,4,0)</f>
        <v>2.33</v>
      </c>
      <c r="D16" s="65">
        <f>IFERROR(VLOOKUP(B16,'SOL 코리아메가테크액티브(과거)'!$B$11:$E$1000,4,0),0)</f>
        <v>2.48</v>
      </c>
      <c r="E16" s="20">
        <f t="shared" si="0"/>
        <v>-0.14999999999999991</v>
      </c>
      <c r="F16" s="21">
        <f t="shared" si="1"/>
        <v>-6.0483870967741882E-2</v>
      </c>
      <c r="G16" s="63" t="str">
        <f>VLOOKUP(H16,유니버스!$C$14:$D$2561,2,0)</f>
        <v>KS</v>
      </c>
      <c r="H16" s="65" t="str">
        <f>'KoAct 배당성장액티브'!B22</f>
        <v>비에이치</v>
      </c>
      <c r="I16" s="65">
        <f>VLOOKUP(H16,'KoAct 배당성장액티브'!$B$11:$E$1000,4,0)</f>
        <v>1.35</v>
      </c>
      <c r="J16" s="65">
        <f>IFERROR(VLOOKUP(H16,'KoAct 배당성장액티브(과거)'!$B$11:$E$1000,4,0),0)</f>
        <v>1.02</v>
      </c>
      <c r="K16" s="20">
        <f t="shared" si="2"/>
        <v>0.33000000000000007</v>
      </c>
      <c r="L16" s="21">
        <f t="shared" si="3"/>
        <v>0.32352941176470584</v>
      </c>
      <c r="M16" s="62" t="str">
        <f>VLOOKUP(N16,유니버스!$C$14:$D$2561,2,0)</f>
        <v>KS</v>
      </c>
      <c r="N16" s="26" t="str">
        <f>'TIMEFOLIO Korea플러스배당액티브'!B22</f>
        <v>키움증권</v>
      </c>
      <c r="O16" s="20">
        <f>VLOOKUP(N16,'TIMEFOLIO Korea플러스배당액티브'!$B$11:$E$1000,4,0)</f>
        <v>2.82</v>
      </c>
      <c r="P16" s="20">
        <f>IFERROR(VLOOKUP(N16,'TIMEFOLIO Korea플러스배당액티브(과거)'!$B$11:$E$1000,4,0),0)</f>
        <v>2.76</v>
      </c>
      <c r="Q16" s="20">
        <f t="shared" si="4"/>
        <v>6.0000000000000053E-2</v>
      </c>
      <c r="R16" s="21">
        <f t="shared" si="5"/>
        <v>2.1739130434782705E-2</v>
      </c>
    </row>
    <row r="17" spans="1:18" x14ac:dyDescent="0.4">
      <c r="A17" s="63" t="str">
        <f>VLOOKUP(B17,유니버스!$C$14:$D$2561,2,0)</f>
        <v>KS</v>
      </c>
      <c r="B17" s="65" t="str">
        <f>'SOL 코리아메가테크액티브'!B23</f>
        <v>효성중공업</v>
      </c>
      <c r="C17" s="65">
        <f>VLOOKUP(B17,'SOL 코리아메가테크액티브'!$B$11:$E$1000,4,0)</f>
        <v>2.17</v>
      </c>
      <c r="D17" s="65">
        <f>IFERROR(VLOOKUP(B17,'SOL 코리아메가테크액티브(과거)'!$B$11:$E$1000,4,0),0)</f>
        <v>2.2000000000000002</v>
      </c>
      <c r="E17" s="20">
        <f t="shared" si="0"/>
        <v>-3.0000000000000249E-2</v>
      </c>
      <c r="F17" s="21">
        <f t="shared" si="1"/>
        <v>-1.363636363636378E-2</v>
      </c>
      <c r="G17" s="63" t="str">
        <f>VLOOKUP(H17,유니버스!$C$14:$D$2561,2,0)</f>
        <v>KS</v>
      </c>
      <c r="H17" s="65" t="str">
        <f>'KoAct 배당성장액티브'!B23</f>
        <v>현대차</v>
      </c>
      <c r="I17" s="65">
        <f>VLOOKUP(H17,'KoAct 배당성장액티브'!$B$11:$E$1000,4,0)</f>
        <v>1.32</v>
      </c>
      <c r="J17" s="65">
        <f>IFERROR(VLOOKUP(H17,'KoAct 배당성장액티브(과거)'!$B$11:$E$1000,4,0),0)</f>
        <v>2.2599999999999998</v>
      </c>
      <c r="K17" s="20">
        <f t="shared" si="2"/>
        <v>-0.93999999999999972</v>
      </c>
      <c r="L17" s="21">
        <f t="shared" si="3"/>
        <v>-0.41592920353982288</v>
      </c>
      <c r="M17" s="62" t="str">
        <f>VLOOKUP(N17,유니버스!$C$14:$D$2561,2,0)</f>
        <v>KS</v>
      </c>
      <c r="N17" s="26" t="str">
        <f>'TIMEFOLIO Korea플러스배당액티브'!B23</f>
        <v>삼성생명</v>
      </c>
      <c r="O17" s="20">
        <f>VLOOKUP(N17,'TIMEFOLIO Korea플러스배당액티브'!$B$11:$E$1000,4,0)</f>
        <v>2.69</v>
      </c>
      <c r="P17" s="20">
        <f>IFERROR(VLOOKUP(N17,'TIMEFOLIO Korea플러스배당액티브(과거)'!$B$11:$E$1000,4,0),0)</f>
        <v>2.57</v>
      </c>
      <c r="Q17" s="20">
        <f t="shared" si="4"/>
        <v>0.12000000000000011</v>
      </c>
      <c r="R17" s="21">
        <f t="shared" si="5"/>
        <v>4.6692607003891107E-2</v>
      </c>
    </row>
    <row r="18" spans="1:18" x14ac:dyDescent="0.4">
      <c r="A18" s="63" t="str">
        <f>VLOOKUP(B18,유니버스!$C$14:$D$2561,2,0)</f>
        <v>KQ</v>
      </c>
      <c r="B18" s="65" t="str">
        <f>'SOL 코리아메가테크액티브'!B24</f>
        <v>레인보우로보틱스</v>
      </c>
      <c r="C18" s="65">
        <f>VLOOKUP(B18,'SOL 코리아메가테크액티브'!$B$11:$E$1000,4,0)</f>
        <v>1.91</v>
      </c>
      <c r="D18" s="65">
        <f>IFERROR(VLOOKUP(B18,'SOL 코리아메가테크액티브(과거)'!$B$11:$E$1000,4,0),0)</f>
        <v>1.98</v>
      </c>
      <c r="E18" s="20">
        <f t="shared" si="0"/>
        <v>-7.0000000000000062E-2</v>
      </c>
      <c r="F18" s="21">
        <f t="shared" si="1"/>
        <v>-3.5353535353535359E-2</v>
      </c>
      <c r="G18" s="63" t="str">
        <f>VLOOKUP(H18,유니버스!$C$14:$D$2561,2,0)</f>
        <v>KQ</v>
      </c>
      <c r="H18" s="65" t="str">
        <f>'KoAct 배당성장액티브'!B24</f>
        <v>테스</v>
      </c>
      <c r="I18" s="65">
        <f>VLOOKUP(H18,'KoAct 배당성장액티브'!$B$11:$E$1000,4,0)</f>
        <v>1.3</v>
      </c>
      <c r="J18" s="65">
        <f>IFERROR(VLOOKUP(H18,'KoAct 배당성장액티브(과거)'!$B$11:$E$1000,4,0),0)</f>
        <v>0.94</v>
      </c>
      <c r="K18" s="20">
        <f t="shared" si="2"/>
        <v>0.3600000000000001</v>
      </c>
      <c r="L18" s="21">
        <f t="shared" si="3"/>
        <v>0.38297872340425543</v>
      </c>
      <c r="M18" s="62" t="str">
        <f>VLOOKUP(N18,유니버스!$C$14:$D$2561,2,0)</f>
        <v>KS</v>
      </c>
      <c r="N18" s="26" t="str">
        <f>'TIMEFOLIO Korea플러스배당액티브'!B24</f>
        <v>SK</v>
      </c>
      <c r="O18" s="20">
        <f>VLOOKUP(N18,'TIMEFOLIO Korea플러스배당액티브'!$B$11:$E$1000,4,0)</f>
        <v>2.59</v>
      </c>
      <c r="P18" s="20">
        <f>IFERROR(VLOOKUP(N18,'TIMEFOLIO Korea플러스배당액티브(과거)'!$B$11:$E$1000,4,0),0)</f>
        <v>2.74</v>
      </c>
      <c r="Q18" s="20">
        <f t="shared" si="4"/>
        <v>-0.15000000000000036</v>
      </c>
      <c r="R18" s="21">
        <f t="shared" si="5"/>
        <v>-5.4744525547445355E-2</v>
      </c>
    </row>
    <row r="19" spans="1:18" x14ac:dyDescent="0.4">
      <c r="A19" s="63" t="str">
        <f>VLOOKUP(B19,유니버스!$C$14:$D$2561,2,0)</f>
        <v>KS</v>
      </c>
      <c r="B19" s="65" t="str">
        <f>'SOL 코리아메가테크액티브'!B25</f>
        <v>LG에너지솔루션</v>
      </c>
      <c r="C19" s="65">
        <f>VLOOKUP(B19,'SOL 코리아메가테크액티브'!$B$11:$E$1000,4,0)</f>
        <v>1.68</v>
      </c>
      <c r="D19" s="65">
        <f>IFERROR(VLOOKUP(B19,'SOL 코리아메가테크액티브(과거)'!$B$11:$E$1000,4,0),0)</f>
        <v>1.79</v>
      </c>
      <c r="E19" s="20">
        <f t="shared" si="0"/>
        <v>-0.1100000000000001</v>
      </c>
      <c r="F19" s="21">
        <f t="shared" si="1"/>
        <v>-6.1452513966480549E-2</v>
      </c>
      <c r="G19" s="63" t="str">
        <f>VLOOKUP(H19,유니버스!$C$14:$D$2561,2,0)</f>
        <v>KS</v>
      </c>
      <c r="H19" s="65" t="str">
        <f>'KoAct 배당성장액티브'!B25</f>
        <v>키움증권</v>
      </c>
      <c r="I19" s="65">
        <f>VLOOKUP(H19,'KoAct 배당성장액티브'!$B$11:$E$1000,4,0)</f>
        <v>1.24</v>
      </c>
      <c r="J19" s="65">
        <f>IFERROR(VLOOKUP(H19,'KoAct 배당성장액티브(과거)'!$B$11:$E$1000,4,0),0)</f>
        <v>1.27</v>
      </c>
      <c r="K19" s="20">
        <f t="shared" si="2"/>
        <v>-3.0000000000000027E-2</v>
      </c>
      <c r="L19" s="21">
        <f t="shared" si="3"/>
        <v>-2.3622047244094557E-2</v>
      </c>
      <c r="M19" s="62" t="str">
        <f>VLOOKUP(N19,유니버스!$C$14:$D$2561,2,0)</f>
        <v>KS</v>
      </c>
      <c r="N19" s="26" t="str">
        <f>'TIMEFOLIO Korea플러스배당액티브'!B25</f>
        <v>삼성물산</v>
      </c>
      <c r="O19" s="20">
        <f>VLOOKUP(N19,'TIMEFOLIO Korea플러스배당액티브'!$B$11:$E$1000,4,0)</f>
        <v>2.46</v>
      </c>
      <c r="P19" s="20">
        <f>IFERROR(VLOOKUP(N19,'TIMEFOLIO Korea플러스배당액티브(과거)'!$B$11:$E$1000,4,0),0)</f>
        <v>3.45</v>
      </c>
      <c r="Q19" s="20">
        <f t="shared" si="4"/>
        <v>-0.99000000000000021</v>
      </c>
      <c r="R19" s="21">
        <f t="shared" si="5"/>
        <v>-0.28695652173913044</v>
      </c>
    </row>
    <row r="20" spans="1:18" x14ac:dyDescent="0.4">
      <c r="A20" s="63" t="str">
        <f>VLOOKUP(B20,유니버스!$C$14:$D$2561,2,0)</f>
        <v>KS</v>
      </c>
      <c r="B20" s="65" t="str">
        <f>'SOL 코리아메가테크액티브'!B26</f>
        <v>LG이노텍</v>
      </c>
      <c r="C20" s="65">
        <f>VLOOKUP(B20,'SOL 코리아메가테크액티브'!$B$11:$E$1000,4,0)</f>
        <v>1.67</v>
      </c>
      <c r="D20" s="65">
        <f>IFERROR(VLOOKUP(B20,'SOL 코리아메가테크액티브(과거)'!$B$11:$E$1000,4,0),0)</f>
        <v>2.0299999999999998</v>
      </c>
      <c r="E20" s="20">
        <f t="shared" si="0"/>
        <v>-0.35999999999999988</v>
      </c>
      <c r="F20" s="21">
        <f t="shared" si="1"/>
        <v>-0.17733990147783252</v>
      </c>
      <c r="G20" s="63" t="str">
        <f>VLOOKUP(H20,유니버스!$C$14:$D$2561,2,0)</f>
        <v>KQ</v>
      </c>
      <c r="H20" s="65" t="str">
        <f>'KoAct 배당성장액티브'!B26</f>
        <v>리노공업</v>
      </c>
      <c r="I20" s="65">
        <f>VLOOKUP(H20,'KoAct 배당성장액티브'!$B$11:$E$1000,4,0)</f>
        <v>1.17</v>
      </c>
      <c r="J20" s="65">
        <f>IFERROR(VLOOKUP(H20,'KoAct 배당성장액티브(과거)'!$B$11:$E$1000,4,0),0)</f>
        <v>0</v>
      </c>
      <c r="K20" s="20">
        <f t="shared" si="2"/>
        <v>1.17</v>
      </c>
      <c r="L20" s="21" t="str">
        <f t="shared" si="3"/>
        <v>신규편입</v>
      </c>
      <c r="M20" s="62" t="str">
        <f>VLOOKUP(N20,유니버스!$C$14:$D$2561,2,0)</f>
        <v>KS</v>
      </c>
      <c r="N20" s="26" t="str">
        <f>'TIMEFOLIO Korea플러스배당액티브'!B26</f>
        <v>우리금융지주</v>
      </c>
      <c r="O20" s="20">
        <f>VLOOKUP(N20,'TIMEFOLIO Korea플러스배당액티브'!$B$11:$E$1000,4,0)</f>
        <v>2.27</v>
      </c>
      <c r="P20" s="20">
        <f>IFERROR(VLOOKUP(N20,'TIMEFOLIO Korea플러스배당액티브(과거)'!$B$11:$E$1000,4,0),0)</f>
        <v>0.99</v>
      </c>
      <c r="Q20" s="20">
        <f t="shared" si="4"/>
        <v>1.28</v>
      </c>
      <c r="R20" s="21">
        <f t="shared" si="5"/>
        <v>1.2929292929292928</v>
      </c>
    </row>
    <row r="21" spans="1:18" x14ac:dyDescent="0.4">
      <c r="A21" s="63" t="str">
        <f>VLOOKUP(B21,유니버스!$C$14:$D$2561,2,0)</f>
        <v>KS</v>
      </c>
      <c r="B21" s="65" t="str">
        <f>'SOL 코리아메가테크액티브'!B27</f>
        <v>한화시스템</v>
      </c>
      <c r="C21" s="65">
        <f>VLOOKUP(B21,'SOL 코리아메가테크액티브'!$B$11:$E$1000,4,0)</f>
        <v>1.63</v>
      </c>
      <c r="D21" s="65">
        <f>IFERROR(VLOOKUP(B21,'SOL 코리아메가테크액티브(과거)'!$B$11:$E$1000,4,0),0)</f>
        <v>1.73</v>
      </c>
      <c r="E21" s="20">
        <f t="shared" si="0"/>
        <v>-0.10000000000000009</v>
      </c>
      <c r="F21" s="21">
        <f t="shared" si="1"/>
        <v>-5.7803468208092568E-2</v>
      </c>
      <c r="G21" s="63" t="str">
        <f>VLOOKUP(H21,유니버스!$C$14:$D$2561,2,0)</f>
        <v>KS</v>
      </c>
      <c r="H21" s="65" t="str">
        <f>'KoAct 배당성장액티브'!B27</f>
        <v>이노션</v>
      </c>
      <c r="I21" s="65">
        <f>VLOOKUP(H21,'KoAct 배당성장액티브'!$B$11:$E$1000,4,0)</f>
        <v>1.1299999999999999</v>
      </c>
      <c r="J21" s="65">
        <f>IFERROR(VLOOKUP(H21,'KoAct 배당성장액티브(과거)'!$B$11:$E$1000,4,0),0)</f>
        <v>0.53</v>
      </c>
      <c r="K21" s="20">
        <f t="shared" si="2"/>
        <v>0.59999999999999987</v>
      </c>
      <c r="L21" s="21">
        <f t="shared" si="3"/>
        <v>1.132075471698113</v>
      </c>
      <c r="M21" s="62" t="str">
        <f>VLOOKUP(N21,유니버스!$C$14:$D$2561,2,0)</f>
        <v>KS</v>
      </c>
      <c r="N21" s="26" t="str">
        <f>'TIMEFOLIO Korea플러스배당액티브'!B27</f>
        <v>DB손해보험</v>
      </c>
      <c r="O21" s="20">
        <f>VLOOKUP(N21,'TIMEFOLIO Korea플러스배당액티브'!$B$11:$E$1000,4,0)</f>
        <v>2.1</v>
      </c>
      <c r="P21" s="20">
        <f>IFERROR(VLOOKUP(N21,'TIMEFOLIO Korea플러스배당액티브(과거)'!$B$11:$E$1000,4,0),0)</f>
        <v>0</v>
      </c>
      <c r="Q21" s="20">
        <f t="shared" si="4"/>
        <v>2.1</v>
      </c>
      <c r="R21" s="21" t="str">
        <f t="shared" si="5"/>
        <v>신규편입</v>
      </c>
    </row>
    <row r="22" spans="1:18" x14ac:dyDescent="0.4">
      <c r="A22" s="63" t="str">
        <f>VLOOKUP(B22,유니버스!$C$14:$D$2561,2,0)</f>
        <v>KS</v>
      </c>
      <c r="B22" s="65" t="str">
        <f>'SOL 코리아메가테크액티브'!B28</f>
        <v>삼성전기</v>
      </c>
      <c r="C22" s="65">
        <f>VLOOKUP(B22,'SOL 코리아메가테크액티브'!$B$11:$E$1000,4,0)</f>
        <v>1.61</v>
      </c>
      <c r="D22" s="65">
        <f>IFERROR(VLOOKUP(B22,'SOL 코리아메가테크액티브(과거)'!$B$11:$E$1000,4,0),0)</f>
        <v>1.69</v>
      </c>
      <c r="E22" s="20">
        <f t="shared" si="0"/>
        <v>-7.9999999999999849E-2</v>
      </c>
      <c r="F22" s="21">
        <f t="shared" si="1"/>
        <v>-4.7337278106508784E-2</v>
      </c>
      <c r="G22" s="63" t="str">
        <f>VLOOKUP(H22,유니버스!$C$14:$D$2561,2,0)</f>
        <v>KS</v>
      </c>
      <c r="H22" s="65" t="str">
        <f>'KoAct 배당성장액티브'!B28</f>
        <v>삼성물산</v>
      </c>
      <c r="I22" s="65">
        <f>VLOOKUP(H22,'KoAct 배당성장액티브'!$B$11:$E$1000,4,0)</f>
        <v>1.1100000000000001</v>
      </c>
      <c r="J22" s="65">
        <f>IFERROR(VLOOKUP(H22,'KoAct 배당성장액티브(과거)'!$B$11:$E$1000,4,0),0)</f>
        <v>1.1100000000000001</v>
      </c>
      <c r="K22" s="20">
        <f t="shared" si="2"/>
        <v>0</v>
      </c>
      <c r="L22" s="21">
        <f t="shared" si="3"/>
        <v>0</v>
      </c>
      <c r="M22" s="62" t="str">
        <f>VLOOKUP(N22,유니버스!$C$14:$D$2561,2,0)</f>
        <v>KS</v>
      </c>
      <c r="N22" s="26" t="str">
        <f>'TIMEFOLIO Korea플러스배당액티브'!B28</f>
        <v>한화투자증권</v>
      </c>
      <c r="O22" s="20">
        <f>VLOOKUP(N22,'TIMEFOLIO Korea플러스배당액티브'!$B$11:$E$1000,4,0)</f>
        <v>1.81</v>
      </c>
      <c r="P22" s="20">
        <f>IFERROR(VLOOKUP(N22,'TIMEFOLIO Korea플러스배당액티브(과거)'!$B$11:$E$1000,4,0),0)</f>
        <v>1.99</v>
      </c>
      <c r="Q22" s="20">
        <f t="shared" si="4"/>
        <v>-0.17999999999999994</v>
      </c>
      <c r="R22" s="21">
        <f t="shared" si="5"/>
        <v>-9.0452261306532611E-2</v>
      </c>
    </row>
    <row r="23" spans="1:18" x14ac:dyDescent="0.4">
      <c r="A23" s="63" t="str">
        <f>VLOOKUP(B23,유니버스!$C$14:$D$2561,2,0)</f>
        <v>KQ</v>
      </c>
      <c r="B23" s="65" t="str">
        <f>'SOL 코리아메가테크액티브'!B29</f>
        <v>알테오젠</v>
      </c>
      <c r="C23" s="65">
        <f>VLOOKUP(B23,'SOL 코리아메가테크액티브'!$B$11:$E$1000,4,0)</f>
        <v>1.56</v>
      </c>
      <c r="D23" s="65">
        <f>IFERROR(VLOOKUP(B23,'SOL 코리아메가테크액티브(과거)'!$B$11:$E$1000,4,0),0)</f>
        <v>1.48</v>
      </c>
      <c r="E23" s="20">
        <f t="shared" si="0"/>
        <v>8.0000000000000071E-2</v>
      </c>
      <c r="F23" s="21">
        <f t="shared" si="1"/>
        <v>5.4054054054054168E-2</v>
      </c>
      <c r="G23" s="63" t="str">
        <f>VLOOKUP(H23,유니버스!$C$14:$D$2561,2,0)</f>
        <v>KS</v>
      </c>
      <c r="H23" s="65" t="str">
        <f>'KoAct 배당성장액티브'!B29</f>
        <v>대덕</v>
      </c>
      <c r="I23" s="65">
        <f>VLOOKUP(H23,'KoAct 배당성장액티브'!$B$11:$E$1000,4,0)</f>
        <v>1.1000000000000001</v>
      </c>
      <c r="J23" s="65">
        <f>IFERROR(VLOOKUP(H23,'KoAct 배당성장액티브(과거)'!$B$11:$E$1000,4,0),0)</f>
        <v>1.4</v>
      </c>
      <c r="K23" s="20">
        <f t="shared" si="2"/>
        <v>-0.29999999999999982</v>
      </c>
      <c r="L23" s="21">
        <f t="shared" si="3"/>
        <v>-0.21428571428571419</v>
      </c>
      <c r="M23" s="62" t="str">
        <f>VLOOKUP(N23,유니버스!$C$14:$D$2561,2,0)</f>
        <v>KS</v>
      </c>
      <c r="N23" s="26" t="str">
        <f>'TIMEFOLIO Korea플러스배당액티브'!B29</f>
        <v>메리츠금융지주</v>
      </c>
      <c r="O23" s="20">
        <f>VLOOKUP(N23,'TIMEFOLIO Korea플러스배당액티브'!$B$11:$E$1000,4,0)</f>
        <v>1.75</v>
      </c>
      <c r="P23" s="20">
        <f>IFERROR(VLOOKUP(N23,'TIMEFOLIO Korea플러스배당액티브(과거)'!$B$11:$E$1000,4,0),0)</f>
        <v>1.53</v>
      </c>
      <c r="Q23" s="20">
        <f t="shared" si="4"/>
        <v>0.21999999999999997</v>
      </c>
      <c r="R23" s="21">
        <f t="shared" si="5"/>
        <v>0.14379084967320255</v>
      </c>
    </row>
    <row r="24" spans="1:18" x14ac:dyDescent="0.4">
      <c r="A24" s="63" t="str">
        <f>VLOOKUP(B24,유니버스!$C$14:$D$2561,2,0)</f>
        <v>KS</v>
      </c>
      <c r="B24" s="65" t="str">
        <f>'SOL 코리아메가테크액티브'!B30</f>
        <v>셀트리온</v>
      </c>
      <c r="C24" s="65">
        <f>VLOOKUP(B24,'SOL 코리아메가테크액티브'!$B$11:$E$1000,4,0)</f>
        <v>1.44</v>
      </c>
      <c r="D24" s="65">
        <f>IFERROR(VLOOKUP(B24,'SOL 코리아메가테크액티브(과거)'!$B$11:$E$1000,4,0),0)</f>
        <v>1.42</v>
      </c>
      <c r="E24" s="20">
        <f t="shared" si="0"/>
        <v>2.0000000000000018E-2</v>
      </c>
      <c r="F24" s="21">
        <f t="shared" si="1"/>
        <v>1.4084507042253502E-2</v>
      </c>
      <c r="G24" s="63" t="str">
        <f>VLOOKUP(H24,유니버스!$C$14:$D$2561,2,0)</f>
        <v>KS</v>
      </c>
      <c r="H24" s="65" t="str">
        <f>'KoAct 배당성장액티브'!B30</f>
        <v>CJ</v>
      </c>
      <c r="I24" s="65">
        <f>VLOOKUP(H24,'KoAct 배당성장액티브'!$B$11:$E$1000,4,0)</f>
        <v>1.0900000000000001</v>
      </c>
      <c r="J24" s="65">
        <f>IFERROR(VLOOKUP(H24,'KoAct 배당성장액티브(과거)'!$B$11:$E$1000,4,0),0)</f>
        <v>0.56999999999999995</v>
      </c>
      <c r="K24" s="20">
        <f t="shared" si="2"/>
        <v>0.52000000000000013</v>
      </c>
      <c r="L24" s="21">
        <f t="shared" si="3"/>
        <v>0.91228070175438636</v>
      </c>
      <c r="M24" s="62" t="str">
        <f>VLOOKUP(N24,유니버스!$C$14:$D$2561,2,0)</f>
        <v>KS</v>
      </c>
      <c r="N24" s="26" t="str">
        <f>'TIMEFOLIO Korea플러스배당액티브'!B30</f>
        <v>하나금융지주</v>
      </c>
      <c r="O24" s="20">
        <f>VLOOKUP(N24,'TIMEFOLIO Korea플러스배당액티브'!$B$11:$E$1000,4,0)</f>
        <v>1.72</v>
      </c>
      <c r="P24" s="20">
        <f>IFERROR(VLOOKUP(N24,'TIMEFOLIO Korea플러스배당액티브(과거)'!$B$11:$E$1000,4,0),0)</f>
        <v>0.93</v>
      </c>
      <c r="Q24" s="20">
        <f t="shared" si="4"/>
        <v>0.78999999999999992</v>
      </c>
      <c r="R24" s="21">
        <f t="shared" si="5"/>
        <v>0.84946236559139776</v>
      </c>
    </row>
    <row r="25" spans="1:18" x14ac:dyDescent="0.4">
      <c r="A25" s="63" t="str">
        <f>VLOOKUP(B25,유니버스!$C$14:$D$2561,2,0)</f>
        <v>KQ</v>
      </c>
      <c r="B25" s="65" t="str">
        <f>'SOL 코리아메가테크액티브'!B31</f>
        <v>비에이치아이</v>
      </c>
      <c r="C25" s="65">
        <f>VLOOKUP(B25,'SOL 코리아메가테크액티브'!$B$11:$E$1000,4,0)</f>
        <v>1.43</v>
      </c>
      <c r="D25" s="65">
        <f>IFERROR(VLOOKUP(B25,'SOL 코리아메가테크액티브(과거)'!$B$11:$E$1000,4,0),0)</f>
        <v>1.51</v>
      </c>
      <c r="E25" s="20">
        <f t="shared" si="0"/>
        <v>-8.0000000000000071E-2</v>
      </c>
      <c r="F25" s="21">
        <f t="shared" si="1"/>
        <v>-5.2980132450331174E-2</v>
      </c>
      <c r="G25" s="63" t="str">
        <f>VLOOKUP(H25,유니버스!$C$14:$D$2561,2,0)</f>
        <v>KS</v>
      </c>
      <c r="H25" s="65" t="str">
        <f>'KoAct 배당성장액티브'!B31</f>
        <v>코리안리</v>
      </c>
      <c r="I25" s="65">
        <f>VLOOKUP(H25,'KoAct 배당성장액티브'!$B$11:$E$1000,4,0)</f>
        <v>1.06</v>
      </c>
      <c r="J25" s="65">
        <f>IFERROR(VLOOKUP(H25,'KoAct 배당성장액티브(과거)'!$B$11:$E$1000,4,0),0)</f>
        <v>0.96</v>
      </c>
      <c r="K25" s="20">
        <f t="shared" si="2"/>
        <v>0.10000000000000009</v>
      </c>
      <c r="L25" s="21">
        <f t="shared" si="3"/>
        <v>0.10416666666666674</v>
      </c>
      <c r="M25" s="62" t="str">
        <f>VLOOKUP(N25,유니버스!$C$14:$D$2561,2,0)</f>
        <v>KS</v>
      </c>
      <c r="N25" s="26" t="str">
        <f>'TIMEFOLIO Korea플러스배당액티브'!B31</f>
        <v>BNK금융지주</v>
      </c>
      <c r="O25" s="20">
        <f>VLOOKUP(N25,'TIMEFOLIO Korea플러스배당액티브'!$B$11:$E$1000,4,0)</f>
        <v>1.63</v>
      </c>
      <c r="P25" s="20">
        <f>IFERROR(VLOOKUP(N25,'TIMEFOLIO Korea플러스배당액티브(과거)'!$B$11:$E$1000,4,0),0)</f>
        <v>1.47</v>
      </c>
      <c r="Q25" s="20">
        <f t="shared" si="4"/>
        <v>0.15999999999999992</v>
      </c>
      <c r="R25" s="21">
        <f t="shared" si="5"/>
        <v>0.10884353741496589</v>
      </c>
    </row>
    <row r="26" spans="1:18" x14ac:dyDescent="0.4">
      <c r="A26" s="63" t="str">
        <f>VLOOKUP(B26,유니버스!$C$14:$D$2561,2,0)</f>
        <v>KS</v>
      </c>
      <c r="B26" s="65" t="str">
        <f>'SOL 코리아메가테크액티브'!B32</f>
        <v>삼성SDI</v>
      </c>
      <c r="C26" s="65">
        <f>VLOOKUP(B26,'SOL 코리아메가테크액티브'!$B$11:$E$1000,4,0)</f>
        <v>0.98</v>
      </c>
      <c r="D26" s="65">
        <f>IFERROR(VLOOKUP(B26,'SOL 코리아메가테크액티브(과거)'!$B$11:$E$1000,4,0),0)</f>
        <v>1.21</v>
      </c>
      <c r="E26" s="20">
        <f t="shared" si="0"/>
        <v>-0.22999999999999998</v>
      </c>
      <c r="F26" s="21">
        <f t="shared" si="1"/>
        <v>-0.19008264462809921</v>
      </c>
      <c r="G26" s="63" t="str">
        <f>VLOOKUP(H26,유니버스!$C$14:$D$2561,2,0)</f>
        <v>KQ</v>
      </c>
      <c r="H26" s="65" t="str">
        <f>'KoAct 배당성장액티브'!B32</f>
        <v>다우데이타</v>
      </c>
      <c r="I26" s="65">
        <f>VLOOKUP(H26,'KoAct 배당성장액티브'!$B$11:$E$1000,4,0)</f>
        <v>1.03</v>
      </c>
      <c r="J26" s="65">
        <f>IFERROR(VLOOKUP(H26,'KoAct 배당성장액티브(과거)'!$B$11:$E$1000,4,0),0)</f>
        <v>1.29</v>
      </c>
      <c r="K26" s="20">
        <f t="shared" si="2"/>
        <v>-0.26</v>
      </c>
      <c r="L26" s="21">
        <f t="shared" si="3"/>
        <v>-0.20155038759689925</v>
      </c>
      <c r="M26" s="62" t="str">
        <f>VLOOKUP(N26,유니버스!$C$14:$D$2561,2,0)</f>
        <v>KS</v>
      </c>
      <c r="N26" s="26" t="str">
        <f>'TIMEFOLIO Korea플러스배당액티브'!B32</f>
        <v>유안타증권</v>
      </c>
      <c r="O26" s="20">
        <f>VLOOKUP(N26,'TIMEFOLIO Korea플러스배당액티브'!$B$11:$E$1000,4,0)</f>
        <v>1.58</v>
      </c>
      <c r="P26" s="20">
        <f>IFERROR(VLOOKUP(N26,'TIMEFOLIO Korea플러스배당액티브(과거)'!$B$11:$E$1000,4,0),0)</f>
        <v>1.78</v>
      </c>
      <c r="Q26" s="20">
        <f t="shared" ref="Q26:Q34" si="6">O26-P26</f>
        <v>-0.19999999999999996</v>
      </c>
      <c r="R26" s="21">
        <f t="shared" ref="R26:R34" si="7">IFERROR(O26/P26-1,"신규편입")</f>
        <v>-0.11235955056179769</v>
      </c>
    </row>
    <row r="27" spans="1:18" x14ac:dyDescent="0.4">
      <c r="A27" s="63" t="str">
        <f>VLOOKUP(B27,유니버스!$C$14:$D$2561,2,0)</f>
        <v>KS</v>
      </c>
      <c r="B27" s="65" t="str">
        <f>'SOL 코리아메가테크액티브'!B33</f>
        <v>대한전선</v>
      </c>
      <c r="C27" s="65">
        <f>VLOOKUP(B27,'SOL 코리아메가테크액티브'!$B$11:$E$1000,4,0)</f>
        <v>0.95</v>
      </c>
      <c r="D27" s="65">
        <f>IFERROR(VLOOKUP(B27,'SOL 코리아메가테크액티브(과거)'!$B$11:$E$1000,4,0),0)</f>
        <v>1.04</v>
      </c>
      <c r="E27" s="20">
        <f t="shared" si="0"/>
        <v>-9.000000000000008E-2</v>
      </c>
      <c r="F27" s="21">
        <f t="shared" si="1"/>
        <v>-8.6538461538461564E-2</v>
      </c>
      <c r="G27" s="63" t="str">
        <f>VLOOKUP(H27,유니버스!$C$14:$D$2561,2,0)</f>
        <v>KS</v>
      </c>
      <c r="H27" s="65" t="str">
        <f>'KoAct 배당성장액티브'!B33</f>
        <v>KT&amp;G</v>
      </c>
      <c r="I27" s="65">
        <f>VLOOKUP(H27,'KoAct 배당성장액티브'!$B$11:$E$1000,4,0)</f>
        <v>1.02</v>
      </c>
      <c r="J27" s="65">
        <f>IFERROR(VLOOKUP(H27,'KoAct 배당성장액티브(과거)'!$B$11:$E$1000,4,0),0)</f>
        <v>1.28</v>
      </c>
      <c r="K27" s="20">
        <f t="shared" si="2"/>
        <v>-0.26</v>
      </c>
      <c r="L27" s="21">
        <f t="shared" si="3"/>
        <v>-0.203125</v>
      </c>
      <c r="M27" s="62" t="str">
        <f>VLOOKUP(N27,유니버스!$C$14:$D$2561,2,0)</f>
        <v>KS</v>
      </c>
      <c r="N27" s="26" t="str">
        <f>'TIMEFOLIO Korea플러스배당액티브'!B33</f>
        <v>현대백화점</v>
      </c>
      <c r="O27" s="20">
        <f>VLOOKUP(N27,'TIMEFOLIO Korea플러스배당액티브'!$B$11:$E$1000,4,0)</f>
        <v>1.52</v>
      </c>
      <c r="P27" s="20">
        <f>IFERROR(VLOOKUP(N27,'TIMEFOLIO Korea플러스배당액티브(과거)'!$B$11:$E$1000,4,0),0)</f>
        <v>0</v>
      </c>
      <c r="Q27" s="20">
        <f t="shared" si="6"/>
        <v>1.52</v>
      </c>
      <c r="R27" s="21" t="str">
        <f t="shared" si="7"/>
        <v>신규편입</v>
      </c>
    </row>
    <row r="28" spans="1:18" x14ac:dyDescent="0.4">
      <c r="A28" s="63" t="str">
        <f>VLOOKUP(B28,유니버스!$C$14:$D$2561,2,0)</f>
        <v>KQ</v>
      </c>
      <c r="B28" s="65" t="str">
        <f>'SOL 코리아메가테크액티브'!B34</f>
        <v>로보티즈</v>
      </c>
      <c r="C28" s="65">
        <f>VLOOKUP(B28,'SOL 코리아메가테크액티브'!$B$11:$E$1000,4,0)</f>
        <v>0.91</v>
      </c>
      <c r="D28" s="65">
        <f>IFERROR(VLOOKUP(B28,'SOL 코리아메가테크액티브(과거)'!$B$11:$E$1000,4,0),0)</f>
        <v>0.93</v>
      </c>
      <c r="E28" s="20">
        <f t="shared" si="0"/>
        <v>-2.0000000000000018E-2</v>
      </c>
      <c r="F28" s="21">
        <f t="shared" si="1"/>
        <v>-2.1505376344086002E-2</v>
      </c>
      <c r="G28" s="63" t="str">
        <f>VLOOKUP(H28,유니버스!$C$14:$D$2561,2,0)</f>
        <v>KS</v>
      </c>
      <c r="H28" s="65" t="str">
        <f>'KoAct 배당성장액티브'!B34</f>
        <v>하나금융지주</v>
      </c>
      <c r="I28" s="65">
        <f>VLOOKUP(H28,'KoAct 배당성장액티브'!$B$11:$E$1000,4,0)</f>
        <v>0.95</v>
      </c>
      <c r="J28" s="65">
        <f>IFERROR(VLOOKUP(H28,'KoAct 배당성장액티브(과거)'!$B$11:$E$1000,4,0),0)</f>
        <v>0.6</v>
      </c>
      <c r="K28" s="20">
        <f t="shared" si="2"/>
        <v>0.35</v>
      </c>
      <c r="L28" s="21">
        <f t="shared" si="3"/>
        <v>0.58333333333333326</v>
      </c>
      <c r="M28" s="62" t="str">
        <f>VLOOKUP(N28,유니버스!$C$14:$D$2561,2,0)</f>
        <v>KS</v>
      </c>
      <c r="N28" s="26" t="str">
        <f>'TIMEFOLIO Korea플러스배당액티브'!B34</f>
        <v>한화</v>
      </c>
      <c r="O28" s="20">
        <f>VLOOKUP(N28,'TIMEFOLIO Korea플러스배당액티브'!$B$11:$E$1000,4,0)</f>
        <v>1.41</v>
      </c>
      <c r="P28" s="20">
        <f>IFERROR(VLOOKUP(N28,'TIMEFOLIO Korea플러스배당액티브(과거)'!$B$11:$E$1000,4,0),0)</f>
        <v>1.45</v>
      </c>
      <c r="Q28" s="20">
        <f t="shared" si="6"/>
        <v>-4.0000000000000036E-2</v>
      </c>
      <c r="R28" s="21">
        <f t="shared" si="7"/>
        <v>-2.7586206896551779E-2</v>
      </c>
    </row>
    <row r="29" spans="1:18" x14ac:dyDescent="0.4">
      <c r="A29" s="63" t="str">
        <f>VLOOKUP(B29,유니버스!$C$14:$D$2561,2,0)</f>
        <v>KS</v>
      </c>
      <c r="B29" s="65" t="str">
        <f>'SOL 코리아메가테크액티브'!B35</f>
        <v>현대로템</v>
      </c>
      <c r="C29" s="65">
        <f>VLOOKUP(B29,'SOL 코리아메가테크액티브'!$B$11:$E$1000,4,0)</f>
        <v>0.87</v>
      </c>
      <c r="D29" s="65">
        <f>IFERROR(VLOOKUP(B29,'SOL 코리아메가테크액티브(과거)'!$B$11:$E$1000,4,0),0)</f>
        <v>0.83</v>
      </c>
      <c r="E29" s="20">
        <f t="shared" si="0"/>
        <v>4.0000000000000036E-2</v>
      </c>
      <c r="F29" s="21">
        <f t="shared" si="1"/>
        <v>4.8192771084337505E-2</v>
      </c>
      <c r="G29" s="63" t="str">
        <f>VLOOKUP(H29,유니버스!$C$14:$D$2561,2,0)</f>
        <v>KS</v>
      </c>
      <c r="H29" s="65" t="str">
        <f>'KoAct 배당성장액티브'!B35</f>
        <v>삼성생명</v>
      </c>
      <c r="I29" s="65">
        <f>VLOOKUP(H29,'KoAct 배당성장액티브'!$B$11:$E$1000,4,0)</f>
        <v>0.93</v>
      </c>
      <c r="J29" s="65">
        <f>IFERROR(VLOOKUP(H29,'KoAct 배당성장액티브(과거)'!$B$11:$E$1000,4,0),0)</f>
        <v>0.94</v>
      </c>
      <c r="K29" s="20">
        <f t="shared" si="2"/>
        <v>-9.9999999999998979E-3</v>
      </c>
      <c r="L29" s="21">
        <f t="shared" si="3"/>
        <v>-1.0638297872340274E-2</v>
      </c>
      <c r="M29" s="62" t="str">
        <f>VLOOKUP(N29,유니버스!$C$14:$D$2561,2,0)</f>
        <v>KS</v>
      </c>
      <c r="N29" s="26" t="str">
        <f>'TIMEFOLIO Korea플러스배당액티브'!B35</f>
        <v>KT&amp;G</v>
      </c>
      <c r="O29" s="20">
        <f>VLOOKUP(N29,'TIMEFOLIO Korea플러스배당액티브'!$B$11:$E$1000,4,0)</f>
        <v>1.39</v>
      </c>
      <c r="P29" s="20">
        <f>IFERROR(VLOOKUP(N29,'TIMEFOLIO Korea플러스배당액티브(과거)'!$B$11:$E$1000,4,0),0)</f>
        <v>1.25</v>
      </c>
      <c r="Q29" s="20">
        <f t="shared" si="6"/>
        <v>0.1399999999999999</v>
      </c>
      <c r="R29" s="21">
        <f t="shared" si="7"/>
        <v>0.11199999999999988</v>
      </c>
    </row>
    <row r="30" spans="1:18" x14ac:dyDescent="0.4">
      <c r="A30" s="63" t="str">
        <f>VLOOKUP(B30,유니버스!$C$14:$D$2561,2,0)</f>
        <v>KS</v>
      </c>
      <c r="B30" s="65" t="str">
        <f>'SOL 코리아메가테크액티브'!B36</f>
        <v>삼성바이오로직스</v>
      </c>
      <c r="C30" s="65">
        <f>VLOOKUP(B30,'SOL 코리아메가테크액티브'!$B$11:$E$1000,4,0)</f>
        <v>0.81</v>
      </c>
      <c r="D30" s="65">
        <f>IFERROR(VLOOKUP(B30,'SOL 코리아메가테크액티브(과거)'!$B$11:$E$1000,4,0),0)</f>
        <v>0.77</v>
      </c>
      <c r="E30" s="20">
        <f t="shared" si="0"/>
        <v>4.0000000000000036E-2</v>
      </c>
      <c r="F30" s="21">
        <f t="shared" si="1"/>
        <v>5.1948051948051965E-2</v>
      </c>
      <c r="G30" s="63" t="str">
        <f>VLOOKUP(H30,유니버스!$C$14:$D$2561,2,0)</f>
        <v>KS</v>
      </c>
      <c r="H30" s="65" t="str">
        <f>'KoAct 배당성장액티브'!B36</f>
        <v>에이피알</v>
      </c>
      <c r="I30" s="65">
        <f>VLOOKUP(H30,'KoAct 배당성장액티브'!$B$11:$E$1000,4,0)</f>
        <v>0.91</v>
      </c>
      <c r="J30" s="65">
        <f>IFERROR(VLOOKUP(H30,'KoAct 배당성장액티브(과거)'!$B$11:$E$1000,4,0),0)</f>
        <v>0.37</v>
      </c>
      <c r="K30" s="20">
        <f t="shared" si="2"/>
        <v>0.54</v>
      </c>
      <c r="L30" s="21">
        <f t="shared" si="3"/>
        <v>1.4594594594594597</v>
      </c>
      <c r="M30" s="62" t="str">
        <f>VLOOKUP(N30,유니버스!$C$14:$D$2561,2,0)</f>
        <v>KS</v>
      </c>
      <c r="N30" s="26" t="str">
        <f>'TIMEFOLIO Korea플러스배당액티브'!B36</f>
        <v>POSCO홀딩스</v>
      </c>
      <c r="O30" s="20">
        <f>VLOOKUP(N30,'TIMEFOLIO Korea플러스배당액티브'!$B$11:$E$1000,4,0)</f>
        <v>1.1299999999999999</v>
      </c>
      <c r="P30" s="20">
        <f>IFERROR(VLOOKUP(N30,'TIMEFOLIO Korea플러스배당액티브(과거)'!$B$11:$E$1000,4,0),0)</f>
        <v>1.2</v>
      </c>
      <c r="Q30" s="20">
        <f t="shared" si="6"/>
        <v>-7.0000000000000062E-2</v>
      </c>
      <c r="R30" s="21">
        <f t="shared" si="7"/>
        <v>-5.8333333333333348E-2</v>
      </c>
    </row>
    <row r="31" spans="1:18" x14ac:dyDescent="0.4">
      <c r="A31" s="63" t="str">
        <f>VLOOKUP(B31,유니버스!$C$14:$D$2561,2,0)</f>
        <v>KS</v>
      </c>
      <c r="B31" s="65" t="str">
        <f>'SOL 코리아메가테크액티브'!B37</f>
        <v>엘앤에프</v>
      </c>
      <c r="C31" s="65">
        <f>VLOOKUP(B31,'SOL 코리아메가테크액티브'!$B$11:$E$1000,4,0)</f>
        <v>0.72</v>
      </c>
      <c r="D31" s="65">
        <f>IFERROR(VLOOKUP(B31,'SOL 코리아메가테크액티브(과거)'!$B$11:$E$1000,4,0),0)</f>
        <v>0.86</v>
      </c>
      <c r="E31" s="20">
        <f t="shared" si="0"/>
        <v>-0.14000000000000001</v>
      </c>
      <c r="F31" s="21">
        <f t="shared" si="1"/>
        <v>-0.16279069767441867</v>
      </c>
      <c r="G31" s="63" t="str">
        <f>VLOOKUP(H31,유니버스!$C$14:$D$2561,2,0)</f>
        <v>KS</v>
      </c>
      <c r="H31" s="65" t="str">
        <f>'KoAct 배당성장액티브'!B37</f>
        <v>제이에스코퍼레이션</v>
      </c>
      <c r="I31" s="65">
        <f>VLOOKUP(H31,'KoAct 배당성장액티브'!$B$11:$E$1000,4,0)</f>
        <v>0.88</v>
      </c>
      <c r="J31" s="65">
        <f>IFERROR(VLOOKUP(H31,'KoAct 배당성장액티브(과거)'!$B$11:$E$1000,4,0),0)</f>
        <v>0.3</v>
      </c>
      <c r="K31" s="20">
        <f t="shared" si="2"/>
        <v>0.58000000000000007</v>
      </c>
      <c r="L31" s="21">
        <f t="shared" si="3"/>
        <v>1.9333333333333336</v>
      </c>
      <c r="M31" s="62" t="str">
        <f>VLOOKUP(N31,유니버스!$C$14:$D$2561,2,0)</f>
        <v>KS</v>
      </c>
      <c r="N31" s="26" t="str">
        <f>'TIMEFOLIO Korea플러스배당액티브'!B37</f>
        <v>기업은행</v>
      </c>
      <c r="O31" s="20">
        <f>VLOOKUP(N31,'TIMEFOLIO Korea플러스배당액티브'!$B$11:$E$1000,4,0)</f>
        <v>1.08</v>
      </c>
      <c r="P31" s="20">
        <f>IFERROR(VLOOKUP(N31,'TIMEFOLIO Korea플러스배당액티브(과거)'!$B$11:$E$1000,4,0),0)</f>
        <v>0.94</v>
      </c>
      <c r="Q31" s="20">
        <f t="shared" si="6"/>
        <v>0.14000000000000012</v>
      </c>
      <c r="R31" s="21">
        <f t="shared" si="7"/>
        <v>0.14893617021276606</v>
      </c>
    </row>
    <row r="32" spans="1:18" x14ac:dyDescent="0.4">
      <c r="A32" s="63" t="str">
        <f>VLOOKUP(B32,유니버스!$C$14:$D$2561,2,0)</f>
        <v>KS</v>
      </c>
      <c r="B32" s="65" t="str">
        <f>'SOL 코리아메가테크액티브'!B38</f>
        <v>이수페타시스</v>
      </c>
      <c r="C32" s="65">
        <f>VLOOKUP(B32,'SOL 코리아메가테크액티브'!$B$11:$E$1000,4,0)</f>
        <v>0.64</v>
      </c>
      <c r="D32" s="65">
        <f>IFERROR(VLOOKUP(B32,'SOL 코리아메가테크액티브(과거)'!$B$11:$E$1000,4,0),0)</f>
        <v>0.6</v>
      </c>
      <c r="E32" s="20">
        <f t="shared" si="0"/>
        <v>4.0000000000000036E-2</v>
      </c>
      <c r="F32" s="21">
        <f t="shared" si="1"/>
        <v>6.6666666666666652E-2</v>
      </c>
      <c r="G32" s="63" t="str">
        <f>VLOOKUP(H32,유니버스!$C$14:$D$2561,2,0)</f>
        <v>KS</v>
      </c>
      <c r="H32" s="65" t="str">
        <f>'KoAct 배당성장액티브'!B38</f>
        <v>현대백화점</v>
      </c>
      <c r="I32" s="65">
        <f>VLOOKUP(H32,'KoAct 배당성장액티브'!$B$11:$E$1000,4,0)</f>
        <v>0.85</v>
      </c>
      <c r="J32" s="65">
        <f>IFERROR(VLOOKUP(H32,'KoAct 배당성장액티브(과거)'!$B$11:$E$1000,4,0),0)</f>
        <v>0.47</v>
      </c>
      <c r="K32" s="20">
        <f t="shared" si="2"/>
        <v>0.38</v>
      </c>
      <c r="L32" s="21">
        <f t="shared" si="3"/>
        <v>0.8085106382978724</v>
      </c>
      <c r="M32" s="62" t="str">
        <f>VLOOKUP(N32,유니버스!$C$14:$D$2561,2,0)</f>
        <v>KS</v>
      </c>
      <c r="N32" s="26" t="str">
        <f>'TIMEFOLIO Korea플러스배당액티브'!B38</f>
        <v>LS</v>
      </c>
      <c r="O32" s="20">
        <f>VLOOKUP(N32,'TIMEFOLIO Korea플러스배당액티브'!$B$11:$E$1000,4,0)</f>
        <v>1.07</v>
      </c>
      <c r="P32" s="20">
        <f>IFERROR(VLOOKUP(N32,'TIMEFOLIO Korea플러스배당액티브(과거)'!$B$11:$E$1000,4,0),0)</f>
        <v>3.32</v>
      </c>
      <c r="Q32" s="20">
        <f t="shared" si="6"/>
        <v>-2.25</v>
      </c>
      <c r="R32" s="21">
        <f t="shared" si="7"/>
        <v>-0.67771084337349397</v>
      </c>
    </row>
    <row r="33" spans="1:18" x14ac:dyDescent="0.4">
      <c r="A33" s="63" t="str">
        <f>VLOOKUP(B33,유니버스!$C$14:$D$2561,2,0)</f>
        <v>KS</v>
      </c>
      <c r="B33" s="65" t="str">
        <f>'SOL 코리아메가테크액티브'!B39</f>
        <v>두산로보틱스</v>
      </c>
      <c r="C33" s="65">
        <f>VLOOKUP(B33,'SOL 코리아메가테크액티브'!$B$11:$E$1000,4,0)</f>
        <v>0.62</v>
      </c>
      <c r="D33" s="65">
        <f>IFERROR(VLOOKUP(B33,'SOL 코리아메가테크액티브(과거)'!$B$11:$E$1000,4,0),0)</f>
        <v>0.54</v>
      </c>
      <c r="E33" s="20">
        <f t="shared" si="0"/>
        <v>7.999999999999996E-2</v>
      </c>
      <c r="F33" s="21">
        <f t="shared" si="1"/>
        <v>0.14814814814814814</v>
      </c>
      <c r="G33" s="63" t="str">
        <f>VLOOKUP(H33,유니버스!$C$14:$D$2561,2,0)</f>
        <v>KS</v>
      </c>
      <c r="H33" s="65" t="str">
        <f>'KoAct 배당성장액티브'!B39</f>
        <v>롯데쇼핑</v>
      </c>
      <c r="I33" s="65">
        <f>VLOOKUP(H33,'KoAct 배당성장액티브'!$B$11:$E$1000,4,0)</f>
        <v>0.73</v>
      </c>
      <c r="J33" s="65">
        <f>IFERROR(VLOOKUP(H33,'KoAct 배당성장액티브(과거)'!$B$11:$E$1000,4,0),0)</f>
        <v>0.51</v>
      </c>
      <c r="K33" s="20">
        <f t="shared" si="2"/>
        <v>0.21999999999999997</v>
      </c>
      <c r="L33" s="21">
        <f t="shared" si="3"/>
        <v>0.43137254901960786</v>
      </c>
      <c r="M33" s="62" t="e">
        <f>VLOOKUP(N33,유니버스!$C$14:$D$2561,2,0)</f>
        <v>#N/A</v>
      </c>
      <c r="N33" s="26" t="str">
        <f>'TIMEFOLIO Korea플러스배당액티브'!B39</f>
        <v>현대차2우B</v>
      </c>
      <c r="O33" s="20">
        <f>VLOOKUP(N33,'TIMEFOLIO Korea플러스배당액티브'!$B$11:$E$1000,4,0)</f>
        <v>1.03</v>
      </c>
      <c r="P33" s="20">
        <f>IFERROR(VLOOKUP(N33,'TIMEFOLIO Korea플러스배당액티브(과거)'!$B$11:$E$1000,4,0),0)</f>
        <v>1.07</v>
      </c>
      <c r="Q33" s="20">
        <f t="shared" si="6"/>
        <v>-4.0000000000000036E-2</v>
      </c>
      <c r="R33" s="21">
        <f t="shared" si="7"/>
        <v>-3.7383177570093462E-2</v>
      </c>
    </row>
    <row r="34" spans="1:18" x14ac:dyDescent="0.4">
      <c r="A34" s="63" t="str">
        <f>VLOOKUP(B34,유니버스!$C$14:$D$2561,2,0)</f>
        <v>KS</v>
      </c>
      <c r="B34" s="65" t="str">
        <f>'SOL 코리아메가테크액티브'!B40</f>
        <v>HD현대</v>
      </c>
      <c r="C34" s="65">
        <f>VLOOKUP(B34,'SOL 코리아메가테크액티브'!$B$11:$E$1000,4,0)</f>
        <v>0.56999999999999995</v>
      </c>
      <c r="D34" s="65">
        <f>IFERROR(VLOOKUP(B34,'SOL 코리아메가테크액티브(과거)'!$B$11:$E$1000,4,0),0)</f>
        <v>0.56999999999999995</v>
      </c>
      <c r="E34" s="20">
        <f t="shared" si="0"/>
        <v>0</v>
      </c>
      <c r="F34" s="21">
        <f t="shared" si="1"/>
        <v>0</v>
      </c>
      <c r="G34" s="63" t="str">
        <f>VLOOKUP(H34,유니버스!$C$14:$D$2561,2,0)</f>
        <v>KS</v>
      </c>
      <c r="H34" s="65" t="str">
        <f>'KoAct 배당성장액티브'!B40</f>
        <v>삼성화재</v>
      </c>
      <c r="I34" s="65">
        <f>VLOOKUP(H34,'KoAct 배당성장액티브'!$B$11:$E$1000,4,0)</f>
        <v>0.71</v>
      </c>
      <c r="J34" s="65">
        <f>IFERROR(VLOOKUP(H34,'KoAct 배당성장액티브(과거)'!$B$11:$E$1000,4,0),0)</f>
        <v>0.57999999999999996</v>
      </c>
      <c r="K34" s="20">
        <f t="shared" si="2"/>
        <v>0.13</v>
      </c>
      <c r="L34" s="21">
        <f t="shared" si="3"/>
        <v>0.22413793103448287</v>
      </c>
      <c r="M34" s="62" t="str">
        <f>VLOOKUP(N34,유니버스!$C$14:$D$2561,2,0)</f>
        <v>KS</v>
      </c>
      <c r="N34" s="26" t="str">
        <f>'TIMEFOLIO Korea플러스배당액티브'!B40</f>
        <v>KT</v>
      </c>
      <c r="O34" s="20">
        <f>VLOOKUP(N34,'TIMEFOLIO Korea플러스배당액티브'!$B$11:$E$1000,4,0)</f>
        <v>0.89</v>
      </c>
      <c r="P34" s="20">
        <f>IFERROR(VLOOKUP(N34,'TIMEFOLIO Korea플러스배당액티브(과거)'!$B$11:$E$1000,4,0),0)</f>
        <v>0.71</v>
      </c>
      <c r="Q34" s="20">
        <f t="shared" si="6"/>
        <v>0.18000000000000005</v>
      </c>
      <c r="R34" s="21">
        <f t="shared" si="7"/>
        <v>0.25352112676056349</v>
      </c>
    </row>
    <row r="35" spans="1:18" x14ac:dyDescent="0.4">
      <c r="A35" s="63" t="str">
        <f>VLOOKUP(B35,유니버스!$C$14:$D$2561,2,0)</f>
        <v>KQ</v>
      </c>
      <c r="B35" s="65" t="str">
        <f>'SOL 코리아메가테크액티브'!B41</f>
        <v>고영</v>
      </c>
      <c r="C35" s="65">
        <f>VLOOKUP(B35,'SOL 코리아메가테크액티브'!$B$11:$E$1000,4,0)</f>
        <v>0.55000000000000004</v>
      </c>
      <c r="D35" s="65">
        <f>IFERROR(VLOOKUP(B35,'SOL 코리아메가테크액티브(과거)'!$B$11:$E$1000,4,0),0)</f>
        <v>0.49</v>
      </c>
      <c r="E35" s="20">
        <f t="shared" si="0"/>
        <v>6.0000000000000053E-2</v>
      </c>
      <c r="F35" s="21">
        <f t="shared" si="1"/>
        <v>0.12244897959183687</v>
      </c>
      <c r="G35" s="63" t="str">
        <f>VLOOKUP(H35,유니버스!$C$14:$D$2561,2,0)</f>
        <v>KS</v>
      </c>
      <c r="H35" s="65" t="str">
        <f>'KoAct 배당성장액티브'!B41</f>
        <v>SK</v>
      </c>
      <c r="I35" s="65">
        <f>VLOOKUP(H35,'KoAct 배당성장액티브'!$B$11:$E$1000,4,0)</f>
        <v>0.66</v>
      </c>
      <c r="J35" s="65">
        <f>IFERROR(VLOOKUP(H35,'KoAct 배당성장액티브(과거)'!$B$11:$E$1000,4,0),0)</f>
        <v>1.21</v>
      </c>
      <c r="K35" s="20">
        <f t="shared" si="2"/>
        <v>-0.54999999999999993</v>
      </c>
      <c r="L35" s="21">
        <f t="shared" si="3"/>
        <v>-0.45454545454545447</v>
      </c>
      <c r="M35" s="62" t="str">
        <f>VLOOKUP(N35,유니버스!$C$14:$D$2561,2,0)</f>
        <v>KS</v>
      </c>
      <c r="N35" s="26" t="str">
        <f>'TIMEFOLIO Korea플러스배당액티브'!B41</f>
        <v>신한지주</v>
      </c>
      <c r="O35" s="20">
        <f>VLOOKUP(N35,'TIMEFOLIO Korea플러스배당액티브'!$B$11:$E$1000,4,0)</f>
        <v>0.87</v>
      </c>
      <c r="P35" s="20">
        <f>IFERROR(VLOOKUP(N35,'TIMEFOLIO Korea플러스배당액티브(과거)'!$B$11:$E$1000,4,0),0)</f>
        <v>0.76</v>
      </c>
      <c r="Q35" s="20">
        <f t="shared" ref="Q35:Q37" si="8">O35-P35</f>
        <v>0.10999999999999999</v>
      </c>
      <c r="R35" s="21">
        <f t="shared" ref="R35:R37" si="9">IFERROR(O35/P35-1,"신규편입")</f>
        <v>0.14473684210526305</v>
      </c>
    </row>
    <row r="36" spans="1:18" x14ac:dyDescent="0.4">
      <c r="A36" s="63" t="str">
        <f>VLOOKUP(B36,유니버스!$C$14:$D$2561,2,0)</f>
        <v>KS</v>
      </c>
      <c r="B36" s="65" t="str">
        <f>'SOL 코리아메가테크액티브'!B42</f>
        <v>KT</v>
      </c>
      <c r="C36" s="65">
        <f>VLOOKUP(B36,'SOL 코리아메가테크액티브'!$B$11:$E$1000,4,0)</f>
        <v>0.44</v>
      </c>
      <c r="D36" s="65">
        <f>IFERROR(VLOOKUP(B36,'SOL 코리아메가테크액티브(과거)'!$B$11:$E$1000,4,0),0)</f>
        <v>0.34</v>
      </c>
      <c r="E36" s="20">
        <f t="shared" si="0"/>
        <v>9.9999999999999978E-2</v>
      </c>
      <c r="F36" s="21">
        <f t="shared" si="1"/>
        <v>0.29411764705882337</v>
      </c>
      <c r="G36" s="63" t="str">
        <f>VLOOKUP(H36,유니버스!$C$14:$D$2561,2,0)</f>
        <v>KS</v>
      </c>
      <c r="H36" s="65" t="str">
        <f>'KoAct 배당성장액티브'!B42</f>
        <v>SK텔레콤</v>
      </c>
      <c r="I36" s="65">
        <f>VLOOKUP(H36,'KoAct 배당성장액티브'!$B$11:$E$1000,4,0)</f>
        <v>0.65</v>
      </c>
      <c r="J36" s="65">
        <f>IFERROR(VLOOKUP(H36,'KoAct 배당성장액티브(과거)'!$B$11:$E$1000,4,0),0)</f>
        <v>0.62</v>
      </c>
      <c r="K36" s="20">
        <f t="shared" si="2"/>
        <v>3.0000000000000027E-2</v>
      </c>
      <c r="L36" s="21">
        <f t="shared" si="3"/>
        <v>4.8387096774193505E-2</v>
      </c>
      <c r="M36" s="62" t="str">
        <f>VLOOKUP(N36,유니버스!$C$14:$D$2561,2,0)</f>
        <v>KS</v>
      </c>
      <c r="N36" s="26" t="str">
        <f>'TIMEFOLIO Korea플러스배당액티브'!B42</f>
        <v>현대모비스</v>
      </c>
      <c r="O36" s="20">
        <f>VLOOKUP(N36,'TIMEFOLIO Korea플러스배당액티브'!$B$11:$E$1000,4,0)</f>
        <v>0.86</v>
      </c>
      <c r="P36" s="20">
        <f>IFERROR(VLOOKUP(N36,'TIMEFOLIO Korea플러스배당액티브(과거)'!$B$11:$E$1000,4,0),0)</f>
        <v>0</v>
      </c>
      <c r="Q36" s="20">
        <f t="shared" si="8"/>
        <v>0.86</v>
      </c>
      <c r="R36" s="21" t="str">
        <f t="shared" si="9"/>
        <v>신규편입</v>
      </c>
    </row>
    <row r="37" spans="1:18" x14ac:dyDescent="0.4">
      <c r="A37" s="63" t="str">
        <f>VLOOKUP(B37,유니버스!$C$14:$D$2561,2,0)</f>
        <v>KS</v>
      </c>
      <c r="B37" s="65" t="str">
        <f>'SOL 코리아메가테크액티브'!B43</f>
        <v>NAVER</v>
      </c>
      <c r="C37" s="65">
        <f>VLOOKUP(B37,'SOL 코리아메가테크액티브'!$B$11:$E$1000,4,0)</f>
        <v>0.37</v>
      </c>
      <c r="D37" s="65">
        <f>IFERROR(VLOOKUP(B37,'SOL 코리아메가테크액티브(과거)'!$B$11:$E$1000,4,0),0)</f>
        <v>0.34</v>
      </c>
      <c r="E37" s="20">
        <f t="shared" si="0"/>
        <v>2.9999999999999971E-2</v>
      </c>
      <c r="F37" s="21">
        <f t="shared" si="1"/>
        <v>8.8235294117646967E-2</v>
      </c>
      <c r="G37" s="63" t="str">
        <f>VLOOKUP(H37,유니버스!$C$14:$D$2561,2,0)</f>
        <v>KS</v>
      </c>
      <c r="H37" s="65" t="str">
        <f>'KoAct 배당성장액티브'!B43</f>
        <v>F&amp;F</v>
      </c>
      <c r="I37" s="65">
        <f>VLOOKUP(H37,'KoAct 배당성장액티브'!$B$11:$E$1000,4,0)</f>
        <v>0.61</v>
      </c>
      <c r="J37" s="65">
        <f>IFERROR(VLOOKUP(H37,'KoAct 배당성장액티브(과거)'!$B$11:$E$1000,4,0),0)</f>
        <v>0.22</v>
      </c>
      <c r="K37" s="20">
        <f t="shared" si="2"/>
        <v>0.39</v>
      </c>
      <c r="L37" s="21">
        <f t="shared" si="3"/>
        <v>1.7727272727272725</v>
      </c>
      <c r="M37" s="62" t="str">
        <f>VLOOKUP(N37,유니버스!$C$14:$D$2561,2,0)</f>
        <v>KS</v>
      </c>
      <c r="N37" s="26" t="str">
        <f>'TIMEFOLIO Korea플러스배당액티브'!B43</f>
        <v>CJ</v>
      </c>
      <c r="O37" s="20">
        <f>VLOOKUP(N37,'TIMEFOLIO Korea플러스배당액티브'!$B$11:$E$1000,4,0)</f>
        <v>0.78</v>
      </c>
      <c r="P37" s="20">
        <f>IFERROR(VLOOKUP(N37,'TIMEFOLIO Korea플러스배당액티브(과거)'!$B$11:$E$1000,4,0),0)</f>
        <v>0.66</v>
      </c>
      <c r="Q37" s="20">
        <f t="shared" si="8"/>
        <v>0.12</v>
      </c>
      <c r="R37" s="21">
        <f t="shared" si="9"/>
        <v>0.18181818181818188</v>
      </c>
    </row>
    <row r="38" spans="1:18" x14ac:dyDescent="0.4">
      <c r="A38" s="63" t="str">
        <f>VLOOKUP(B38,유니버스!$C$14:$D$2561,2,0)</f>
        <v>KQ</v>
      </c>
      <c r="B38" s="65" t="str">
        <f>'SOL 코리아메가테크액티브'!B44</f>
        <v>리가켐바이오</v>
      </c>
      <c r="C38" s="65">
        <f>VLOOKUP(B38,'SOL 코리아메가테크액티브'!$B$11:$E$1000,4,0)</f>
        <v>0.37</v>
      </c>
      <c r="D38" s="65">
        <f>IFERROR(VLOOKUP(B38,'SOL 코리아메가테크액티브(과거)'!$B$11:$E$1000,4,0),0)</f>
        <v>0.37</v>
      </c>
      <c r="E38" s="20">
        <f t="shared" si="0"/>
        <v>0</v>
      </c>
      <c r="F38" s="21">
        <f t="shared" si="1"/>
        <v>0</v>
      </c>
      <c r="G38" s="63" t="str">
        <f>VLOOKUP(H38,유니버스!$C$14:$D$2561,2,0)</f>
        <v>KS</v>
      </c>
      <c r="H38" s="65" t="str">
        <f>'KoAct 배당성장액티브'!B44</f>
        <v>HD현대일렉트릭</v>
      </c>
      <c r="I38" s="65">
        <f>VLOOKUP(H38,'KoAct 배당성장액티브'!$B$11:$E$1000,4,0)</f>
        <v>0.59</v>
      </c>
      <c r="J38" s="65">
        <f>IFERROR(VLOOKUP(H38,'KoAct 배당성장액티브(과거)'!$B$11:$E$1000,4,0),0)</f>
        <v>0.57999999999999996</v>
      </c>
      <c r="K38" s="20">
        <f t="shared" si="2"/>
        <v>1.0000000000000009E-2</v>
      </c>
      <c r="L38" s="21">
        <f t="shared" si="3"/>
        <v>1.7241379310344751E-2</v>
      </c>
      <c r="M38" s="62" t="str">
        <f>VLOOKUP(N38,유니버스!$C$14:$D$2561,2,0)</f>
        <v>KS</v>
      </c>
      <c r="N38" s="26" t="str">
        <f>'TIMEFOLIO Korea플러스배당액티브'!B44</f>
        <v>SK텔레콤</v>
      </c>
      <c r="O38" s="20">
        <f>VLOOKUP(N38,'TIMEFOLIO Korea플러스배당액티브'!$B$11:$E$1000,4,0)</f>
        <v>0.75</v>
      </c>
      <c r="P38" s="20">
        <f>IFERROR(VLOOKUP(N38,'TIMEFOLIO Korea플러스배당액티브(과거)'!$B$11:$E$1000,4,0),0)</f>
        <v>0.68</v>
      </c>
      <c r="Q38" s="20">
        <f t="shared" ref="Q38:Q39" si="10">O38-P38</f>
        <v>6.9999999999999951E-2</v>
      </c>
      <c r="R38" s="21">
        <f t="shared" ref="R38:R39" si="11">IFERROR(O38/P38-1,"신규편입")</f>
        <v>0.10294117647058809</v>
      </c>
    </row>
    <row r="39" spans="1:18" x14ac:dyDescent="0.4">
      <c r="A39" s="63" t="str">
        <f>VLOOKUP(B39,유니버스!$C$14:$D$2561,2,0)</f>
        <v>KS</v>
      </c>
      <c r="B39" s="65" t="str">
        <f>'SOL 코리아메가테크액티브'!B45</f>
        <v>한화비전</v>
      </c>
      <c r="C39" s="65">
        <f>VLOOKUP(B39,'SOL 코리아메가테크액티브'!$B$11:$E$1000,4,0)</f>
        <v>0.31</v>
      </c>
      <c r="D39" s="65">
        <f>IFERROR(VLOOKUP(B39,'SOL 코리아메가테크액티브(과거)'!$B$11:$E$1000,4,0),0)</f>
        <v>0.26</v>
      </c>
      <c r="E39" s="20">
        <f t="shared" si="0"/>
        <v>4.9999999999999989E-2</v>
      </c>
      <c r="F39" s="21">
        <f t="shared" si="1"/>
        <v>0.19230769230769229</v>
      </c>
      <c r="G39" s="63" t="str">
        <f>VLOOKUP(H39,유니버스!$C$14:$D$2561,2,0)</f>
        <v>KS</v>
      </c>
      <c r="H39" s="65" t="str">
        <f>'KoAct 배당성장액티브'!B45</f>
        <v>한화에어로스페이스</v>
      </c>
      <c r="I39" s="65">
        <f>VLOOKUP(H39,'KoAct 배당성장액티브'!$B$11:$E$1000,4,0)</f>
        <v>0.57999999999999996</v>
      </c>
      <c r="J39" s="65">
        <f>IFERROR(VLOOKUP(H39,'KoAct 배당성장액티브(과거)'!$B$11:$E$1000,4,0),0)</f>
        <v>1.1000000000000001</v>
      </c>
      <c r="K39" s="20">
        <f t="shared" si="2"/>
        <v>-0.52000000000000013</v>
      </c>
      <c r="L39" s="21">
        <f t="shared" si="3"/>
        <v>-0.47272727272727277</v>
      </c>
      <c r="M39" s="62" t="e">
        <f>VLOOKUP(N39,유니버스!$C$14:$D$2561,2,0)</f>
        <v>#N/A</v>
      </c>
      <c r="N39" s="26" t="str">
        <f>'TIMEFOLIO Korea플러스배당액티브'!B45</f>
        <v>원화현금</v>
      </c>
      <c r="O39" s="20">
        <f>VLOOKUP(N39,'TIMEFOLIO Korea플러스배당액티브'!$B$11:$E$1000,4,0)</f>
        <v>1.36</v>
      </c>
      <c r="P39" s="20">
        <f>IFERROR(VLOOKUP(N39,'TIMEFOLIO Korea플러스배당액티브(과거)'!$B$11:$E$1000,4,0),0)</f>
        <v>2.91</v>
      </c>
      <c r="Q39" s="20">
        <f t="shared" si="10"/>
        <v>-1.55</v>
      </c>
      <c r="R39" s="21">
        <f t="shared" si="11"/>
        <v>-0.53264604810996563</v>
      </c>
    </row>
    <row r="40" spans="1:18" x14ac:dyDescent="0.4">
      <c r="A40" s="63" t="str">
        <f>VLOOKUP(B40,유니버스!$C$14:$D$2561,2,0)</f>
        <v>KQ</v>
      </c>
      <c r="B40" s="65" t="str">
        <f>'SOL 코리아메가테크액티브'!B46</f>
        <v>에이비엘바이오</v>
      </c>
      <c r="C40" s="65">
        <f>VLOOKUP(B40,'SOL 코리아메가테크액티브'!$B$11:$E$1000,4,0)</f>
        <v>0.26</v>
      </c>
      <c r="D40" s="65">
        <f>IFERROR(VLOOKUP(B40,'SOL 코리아메가테크액티브(과거)'!$B$11:$E$1000,4,0),0)</f>
        <v>0.27</v>
      </c>
      <c r="E40" s="20">
        <f t="shared" si="0"/>
        <v>-1.0000000000000009E-2</v>
      </c>
      <c r="F40" s="21">
        <f t="shared" si="1"/>
        <v>-3.703703703703709E-2</v>
      </c>
      <c r="G40" s="63" t="str">
        <f>VLOOKUP(H40,유니버스!$C$14:$D$2561,2,0)</f>
        <v>KS</v>
      </c>
      <c r="H40" s="65" t="str">
        <f>'KoAct 배당성장액티브'!B46</f>
        <v>삼양식품</v>
      </c>
      <c r="I40" s="65">
        <f>VLOOKUP(H40,'KoAct 배당성장액티브'!$B$11:$E$1000,4,0)</f>
        <v>0.57999999999999996</v>
      </c>
      <c r="J40" s="65">
        <f>IFERROR(VLOOKUP(H40,'KoAct 배당성장액티브(과거)'!$B$11:$E$1000,4,0),0)</f>
        <v>0.75</v>
      </c>
      <c r="K40" s="20">
        <f t="shared" si="2"/>
        <v>-0.17000000000000004</v>
      </c>
      <c r="L40" s="21">
        <f t="shared" si="3"/>
        <v>-0.22666666666666668</v>
      </c>
      <c r="N40" s="26"/>
      <c r="O40" s="20"/>
      <c r="P40" s="20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'SOL 코리아메가테크액티브'!B47</f>
        <v>유한양행</v>
      </c>
      <c r="C41" s="65">
        <f>VLOOKUP(B41,'SOL 코리아메가테크액티브'!$B$11:$E$1000,4,0)</f>
        <v>0.22</v>
      </c>
      <c r="D41" s="65">
        <f>IFERROR(VLOOKUP(B41,'SOL 코리아메가테크액티브(과거)'!$B$11:$E$1000,4,0),0)</f>
        <v>0.22</v>
      </c>
      <c r="E41" s="20">
        <f t="shared" si="0"/>
        <v>0</v>
      </c>
      <c r="F41" s="21">
        <f t="shared" si="1"/>
        <v>0</v>
      </c>
      <c r="G41" s="63" t="str">
        <f>VLOOKUP(H41,유니버스!$C$14:$D$2561,2,0)</f>
        <v>KQ</v>
      </c>
      <c r="H41" s="65" t="str">
        <f>'KoAct 배당성장액티브'!B47</f>
        <v>하나마이크론</v>
      </c>
      <c r="I41" s="65">
        <f>VLOOKUP(H41,'KoAct 배당성장액티브'!$B$11:$E$1000,4,0)</f>
        <v>0.56000000000000005</v>
      </c>
      <c r="J41" s="65">
        <f>IFERROR(VLOOKUP(H41,'KoAct 배당성장액티브(과거)'!$B$11:$E$1000,4,0),0)</f>
        <v>0</v>
      </c>
      <c r="K41" s="20">
        <f t="shared" si="2"/>
        <v>0.56000000000000005</v>
      </c>
      <c r="L41" s="21" t="str">
        <f t="shared" si="3"/>
        <v>신규편입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'SOL 코리아메가테크액티브'!B48</f>
        <v>에코프로</v>
      </c>
      <c r="C42" s="65">
        <f>VLOOKUP(B42,'SOL 코리아메가테크액티브'!$B$11:$E$1000,4,0)</f>
        <v>0.22</v>
      </c>
      <c r="D42" s="65">
        <f>IFERROR(VLOOKUP(B42,'SOL 코리아메가테크액티브(과거)'!$B$11:$E$1000,4,0),0)</f>
        <v>0.25</v>
      </c>
      <c r="E42" s="20">
        <f t="shared" si="0"/>
        <v>-0.03</v>
      </c>
      <c r="F42" s="21">
        <f t="shared" si="1"/>
        <v>-0.12</v>
      </c>
      <c r="G42" s="63" t="str">
        <f>VLOOKUP(H42,유니버스!$C$14:$D$2561,2,0)</f>
        <v>KS</v>
      </c>
      <c r="H42" s="65" t="str">
        <f>'KoAct 배당성장액티브'!B48</f>
        <v>한미약품</v>
      </c>
      <c r="I42" s="65">
        <f>VLOOKUP(H42,'KoAct 배당성장액티브'!$B$11:$E$1000,4,0)</f>
        <v>0.54</v>
      </c>
      <c r="J42" s="65">
        <f>IFERROR(VLOOKUP(H42,'KoAct 배당성장액티브(과거)'!$B$11:$E$1000,4,0),0)</f>
        <v>0.38</v>
      </c>
      <c r="K42" s="20">
        <f t="shared" si="2"/>
        <v>0.16000000000000003</v>
      </c>
      <c r="L42" s="21">
        <f t="shared" si="3"/>
        <v>0.42105263157894735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'SOL 코리아메가테크액티브'!B49</f>
        <v>인텔리안테크</v>
      </c>
      <c r="C43" s="65">
        <f>VLOOKUP(B43,'SOL 코리아메가테크액티브'!$B$11:$E$1000,4,0)</f>
        <v>0.2</v>
      </c>
      <c r="D43" s="65">
        <f>IFERROR(VLOOKUP(B43,'SOL 코리아메가테크액티브(과거)'!$B$11:$E$1000,4,0),0)</f>
        <v>0.23</v>
      </c>
      <c r="E43" s="20">
        <f t="shared" si="0"/>
        <v>-0.03</v>
      </c>
      <c r="F43" s="21">
        <f t="shared" si="1"/>
        <v>-0.13043478260869568</v>
      </c>
      <c r="G43" s="63" t="str">
        <f>VLOOKUP(H43,유니버스!$C$14:$D$2561,2,0)</f>
        <v>KS</v>
      </c>
      <c r="H43" s="65" t="str">
        <f>'KoAct 배당성장액티브'!B49</f>
        <v>효성중공업</v>
      </c>
      <c r="I43" s="65">
        <f>VLOOKUP(H43,'KoAct 배당성장액티브'!$B$11:$E$1000,4,0)</f>
        <v>0.53</v>
      </c>
      <c r="J43" s="65">
        <f>IFERROR(VLOOKUP(H43,'KoAct 배당성장액티브(과거)'!$B$11:$E$1000,4,0),0)</f>
        <v>0.86</v>
      </c>
      <c r="K43" s="20">
        <f t="shared" si="2"/>
        <v>-0.32999999999999996</v>
      </c>
      <c r="L43" s="21">
        <f t="shared" si="3"/>
        <v>-0.38372093023255804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'SOL 코리아메가테크액티브'!B50</f>
        <v>쎄트렉아이</v>
      </c>
      <c r="C44" s="65">
        <f>VLOOKUP(B44,'SOL 코리아메가테크액티브'!$B$11:$E$1000,4,0)</f>
        <v>0.2</v>
      </c>
      <c r="D44" s="65">
        <f>IFERROR(VLOOKUP(B44,'SOL 코리아메가테크액티브(과거)'!$B$11:$E$1000,4,0),0)</f>
        <v>0.21</v>
      </c>
      <c r="E44" s="20">
        <f t="shared" si="0"/>
        <v>-9.9999999999999811E-3</v>
      </c>
      <c r="F44" s="21">
        <f t="shared" si="1"/>
        <v>-4.7619047619047561E-2</v>
      </c>
      <c r="G44" s="63" t="str">
        <f>VLOOKUP(H44,유니버스!$C$14:$D$2561,2,0)</f>
        <v>KS</v>
      </c>
      <c r="H44" s="65" t="str">
        <f>'KoAct 배당성장액티브'!B50</f>
        <v>GS</v>
      </c>
      <c r="I44" s="65">
        <f>VLOOKUP(H44,'KoAct 배당성장액티브'!$B$11:$E$1000,4,0)</f>
        <v>0.52</v>
      </c>
      <c r="J44" s="65">
        <f>IFERROR(VLOOKUP(H44,'KoAct 배당성장액티브(과거)'!$B$11:$E$1000,4,0),0)</f>
        <v>0.5</v>
      </c>
      <c r="K44" s="20">
        <f t="shared" si="2"/>
        <v>2.0000000000000018E-2</v>
      </c>
      <c r="L44" s="21">
        <f t="shared" si="3"/>
        <v>4.0000000000000036E-2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'SOL 코리아메가테크액티브'!B51</f>
        <v>ISC</v>
      </c>
      <c r="C45" s="65">
        <f>VLOOKUP(B45,'SOL 코리아메가테크액티브'!$B$11:$E$1000,4,0)</f>
        <v>0.15</v>
      </c>
      <c r="D45" s="65">
        <f>IFERROR(VLOOKUP(B45,'SOL 코리아메가테크액티브(과거)'!$B$11:$E$1000,4,0),0)</f>
        <v>0.14000000000000001</v>
      </c>
      <c r="E45" s="20">
        <f t="shared" si="0"/>
        <v>9.9999999999999811E-3</v>
      </c>
      <c r="F45" s="21">
        <f t="shared" si="1"/>
        <v>7.1428571428571397E-2</v>
      </c>
      <c r="G45" s="63" t="str">
        <f>VLOOKUP(H45,유니버스!$C$14:$D$2561,2,0)</f>
        <v>KQ</v>
      </c>
      <c r="H45" s="65" t="str">
        <f>'KoAct 배당성장액티브'!B51</f>
        <v>에스에이엠티</v>
      </c>
      <c r="I45" s="65">
        <f>VLOOKUP(H45,'KoAct 배당성장액티브'!$B$11:$E$1000,4,0)</f>
        <v>0.52</v>
      </c>
      <c r="J45" s="65">
        <f>IFERROR(VLOOKUP(H45,'KoAct 배당성장액티브(과거)'!$B$11:$E$1000,4,0),0)</f>
        <v>0.51</v>
      </c>
      <c r="K45" s="20">
        <f t="shared" si="2"/>
        <v>1.0000000000000009E-2</v>
      </c>
      <c r="L45" s="21">
        <f t="shared" si="3"/>
        <v>1.9607843137254832E-2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'SOL 코리아메가테크액티브'!B52</f>
        <v>HL만도</v>
      </c>
      <c r="C46" s="65">
        <f>VLOOKUP(B46,'SOL 코리아메가테크액티브'!$B$11:$E$1000,4,0)</f>
        <v>0.14000000000000001</v>
      </c>
      <c r="D46" s="65">
        <f>IFERROR(VLOOKUP(B46,'SOL 코리아메가테크액티브(과거)'!$B$11:$E$1000,4,0),0)</f>
        <v>0.15</v>
      </c>
      <c r="E46" s="20">
        <f t="shared" si="0"/>
        <v>-9.9999999999999811E-3</v>
      </c>
      <c r="F46" s="21">
        <f t="shared" si="1"/>
        <v>-6.6666666666666541E-2</v>
      </c>
      <c r="G46" s="63" t="str">
        <f>VLOOKUP(H46,유니버스!$C$14:$D$2561,2,0)</f>
        <v>KS</v>
      </c>
      <c r="H46" s="65" t="str">
        <f>'KoAct 배당성장액티브'!B52</f>
        <v>크래프톤</v>
      </c>
      <c r="I46" s="65">
        <f>VLOOKUP(H46,'KoAct 배당성장액티브'!$B$11:$E$1000,4,0)</f>
        <v>0.52</v>
      </c>
      <c r="J46" s="65">
        <f>IFERROR(VLOOKUP(H46,'KoAct 배당성장액티브(과거)'!$B$11:$E$1000,4,0),0)</f>
        <v>0.54</v>
      </c>
      <c r="K46" s="20">
        <f t="shared" si="2"/>
        <v>-2.0000000000000018E-2</v>
      </c>
      <c r="L46" s="21">
        <f t="shared" si="3"/>
        <v>-3.703703703703709E-2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'SOL 코리아메가테크액티브'!B53</f>
        <v>한미약품</v>
      </c>
      <c r="C47" s="65">
        <f>VLOOKUP(B47,'SOL 코리아메가테크액티브'!$B$11:$E$1000,4,0)</f>
        <v>0.14000000000000001</v>
      </c>
      <c r="D47" s="65">
        <f>IFERROR(VLOOKUP(B47,'SOL 코리아메가테크액티브(과거)'!$B$11:$E$1000,4,0),0)</f>
        <v>0.15</v>
      </c>
      <c r="E47" s="20">
        <f t="shared" si="0"/>
        <v>-9.9999999999999811E-3</v>
      </c>
      <c r="F47" s="21">
        <f t="shared" si="1"/>
        <v>-6.6666666666666541E-2</v>
      </c>
      <c r="G47" s="63" t="str">
        <f>VLOOKUP(H47,유니버스!$C$14:$D$2561,2,0)</f>
        <v>KQ</v>
      </c>
      <c r="H47" s="65" t="str">
        <f>'KoAct 배당성장액티브'!B53</f>
        <v>한텍</v>
      </c>
      <c r="I47" s="65">
        <f>VLOOKUP(H47,'KoAct 배당성장액티브'!$B$11:$E$1000,4,0)</f>
        <v>0.51</v>
      </c>
      <c r="J47" s="65">
        <f>IFERROR(VLOOKUP(H47,'KoAct 배당성장액티브(과거)'!$B$11:$E$1000,4,0),0)</f>
        <v>0</v>
      </c>
      <c r="K47" s="20">
        <f t="shared" si="2"/>
        <v>0.51</v>
      </c>
      <c r="L47" s="21" t="str">
        <f t="shared" si="3"/>
        <v>신규편입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'SOL 코리아메가테크액티브'!B54</f>
        <v>SK바이오팜</v>
      </c>
      <c r="C48" s="65">
        <f>VLOOKUP(B48,'SOL 코리아메가테크액티브'!$B$11:$E$1000,4,0)</f>
        <v>0.13</v>
      </c>
      <c r="D48" s="65">
        <f>IFERROR(VLOOKUP(B48,'SOL 코리아메가테크액티브(과거)'!$B$11:$E$1000,4,0),0)</f>
        <v>0.12</v>
      </c>
      <c r="E48" s="20">
        <f t="shared" si="0"/>
        <v>1.0000000000000009E-2</v>
      </c>
      <c r="F48" s="21">
        <f t="shared" si="1"/>
        <v>8.3333333333333481E-2</v>
      </c>
      <c r="G48" s="63" t="str">
        <f>VLOOKUP(H48,유니버스!$C$14:$D$2561,2,0)</f>
        <v>KS</v>
      </c>
      <c r="H48" s="65" t="str">
        <f>'KoAct 배당성장액티브'!B54</f>
        <v>케이씨</v>
      </c>
      <c r="I48" s="65">
        <f>VLOOKUP(H48,'KoAct 배당성장액티브'!$B$11:$E$1000,4,0)</f>
        <v>0.5</v>
      </c>
      <c r="J48" s="65">
        <f>IFERROR(VLOOKUP(H48,'KoAct 배당성장액티브(과거)'!$B$11:$E$1000,4,0),0)</f>
        <v>0.68</v>
      </c>
      <c r="K48" s="20">
        <f t="shared" si="2"/>
        <v>-0.18000000000000005</v>
      </c>
      <c r="L48" s="21">
        <f t="shared" si="3"/>
        <v>-0.26470588235294124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'SOL 코리아메가테크액티브'!B55</f>
        <v>원화현금</v>
      </c>
      <c r="C49" s="65">
        <f>VLOOKUP(B49,'SOL 코리아메가테크액티브'!$B$11:$E$1000,4,0)</f>
        <v>0.11</v>
      </c>
      <c r="D49" s="65">
        <f>IFERROR(VLOOKUP(B49,'SOL 코리아메가테크액티브(과거)'!$B$11:$E$1000,4,0),0)</f>
        <v>0.14000000000000001</v>
      </c>
      <c r="E49" s="20">
        <f t="shared" si="0"/>
        <v>-3.0000000000000013E-2</v>
      </c>
      <c r="F49" s="21">
        <f t="shared" si="1"/>
        <v>-0.2142857142857143</v>
      </c>
      <c r="G49" s="63" t="str">
        <f>VLOOKUP(H49,유니버스!$C$14:$D$2561,2,0)</f>
        <v>KS</v>
      </c>
      <c r="H49" s="65" t="str">
        <f>'KoAct 배당성장액티브'!B55</f>
        <v>한국토지신탁</v>
      </c>
      <c r="I49" s="65">
        <f>VLOOKUP(H49,'KoAct 배당성장액티브'!$B$11:$E$1000,4,0)</f>
        <v>0.47</v>
      </c>
      <c r="J49" s="65">
        <f>IFERROR(VLOOKUP(H49,'KoAct 배당성장액티브(과거)'!$B$11:$E$1000,4,0),0)</f>
        <v>0.45</v>
      </c>
      <c r="K49" s="20">
        <f t="shared" si="2"/>
        <v>1.9999999999999962E-2</v>
      </c>
      <c r="L49" s="21">
        <f t="shared" si="3"/>
        <v>4.4444444444444287E-2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현대엘리베이터</v>
      </c>
      <c r="I50" s="65">
        <f>VLOOKUP(H50,'KoAct 배당성장액티브'!$B$11:$E$1000,4,0)</f>
        <v>0.45</v>
      </c>
      <c r="J50" s="65">
        <f>IFERROR(VLOOKUP(H50,'KoAct 배당성장액티브(과거)'!$B$11:$E$1000,4,0),0)</f>
        <v>0.42</v>
      </c>
      <c r="K50" s="20">
        <f t="shared" si="2"/>
        <v>3.0000000000000027E-2</v>
      </c>
      <c r="L50" s="21">
        <f t="shared" si="3"/>
        <v>7.1428571428571397E-2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포스코인터내셔널</v>
      </c>
      <c r="I51" s="65">
        <f>VLOOKUP(H51,'KoAct 배당성장액티브'!$B$11:$E$1000,4,0)</f>
        <v>0.45</v>
      </c>
      <c r="J51" s="65">
        <f>IFERROR(VLOOKUP(H51,'KoAct 배당성장액티브(과거)'!$B$11:$E$1000,4,0),0)</f>
        <v>0.47</v>
      </c>
      <c r="K51" s="20">
        <f t="shared" si="2"/>
        <v>-1.9999999999999962E-2</v>
      </c>
      <c r="L51" s="21">
        <f t="shared" si="3"/>
        <v>-4.2553191489361653E-2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대신증권</v>
      </c>
      <c r="I52" s="65">
        <f>VLOOKUP(H52,'KoAct 배당성장액티브'!$B$11:$E$1000,4,0)</f>
        <v>0.45</v>
      </c>
      <c r="J52" s="65">
        <f>IFERROR(VLOOKUP(H52,'KoAct 배당성장액티브(과거)'!$B$11:$E$1000,4,0),0)</f>
        <v>0.45</v>
      </c>
      <c r="K52" s="20">
        <f t="shared" si="2"/>
        <v>0</v>
      </c>
      <c r="L52" s="21">
        <f t="shared" si="3"/>
        <v>0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NAVER</v>
      </c>
      <c r="I53" s="65">
        <f>VLOOKUP(H53,'KoAct 배당성장액티브'!$B$11:$E$1000,4,0)</f>
        <v>0.44</v>
      </c>
      <c r="J53" s="65">
        <f>IFERROR(VLOOKUP(H53,'KoAct 배당성장액티브(과거)'!$B$11:$E$1000,4,0),0)</f>
        <v>0</v>
      </c>
      <c r="K53" s="20">
        <f t="shared" si="2"/>
        <v>0.44</v>
      </c>
      <c r="L53" s="21" t="str">
        <f t="shared" si="3"/>
        <v>신규편입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LIG디펜스앤에어로스페이스</v>
      </c>
      <c r="I54" s="65">
        <f>VLOOKUP(H54,'KoAct 배당성장액티브'!$B$11:$E$1000,4,0)</f>
        <v>0.44</v>
      </c>
      <c r="J54" s="65">
        <f>IFERROR(VLOOKUP(H54,'KoAct 배당성장액티브(과거)'!$B$11:$E$1000,4,0),0)</f>
        <v>0.44</v>
      </c>
      <c r="K54" s="20">
        <f t="shared" si="2"/>
        <v>0</v>
      </c>
      <c r="L54" s="21">
        <f t="shared" si="3"/>
        <v>0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두산</v>
      </c>
      <c r="I55" s="65">
        <f>VLOOKUP(H55,'KoAct 배당성장액티브'!$B$11:$E$1000,4,0)</f>
        <v>0.4</v>
      </c>
      <c r="J55" s="65">
        <f>IFERROR(VLOOKUP(H55,'KoAct 배당성장액티브(과거)'!$B$11:$E$1000,4,0),0)</f>
        <v>0.62</v>
      </c>
      <c r="K55" s="20">
        <f t="shared" si="2"/>
        <v>-0.21999999999999997</v>
      </c>
      <c r="L55" s="21">
        <f t="shared" si="3"/>
        <v>-0.35483870967741926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미스토홀딩스</v>
      </c>
      <c r="I56" s="65">
        <f>VLOOKUP(H56,'KoAct 배당성장액티브'!$B$11:$E$1000,4,0)</f>
        <v>0.35</v>
      </c>
      <c r="J56" s="65">
        <f>IFERROR(VLOOKUP(H56,'KoAct 배당성장액티브(과거)'!$B$11:$E$1000,4,0),0)</f>
        <v>0.28999999999999998</v>
      </c>
      <c r="K56" s="20">
        <f t="shared" si="2"/>
        <v>0.06</v>
      </c>
      <c r="L56" s="21">
        <f t="shared" si="3"/>
        <v>0.2068965517241379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LS</v>
      </c>
      <c r="I57" s="65">
        <f>VLOOKUP(H57,'KoAct 배당성장액티브'!$B$11:$E$1000,4,0)</f>
        <v>0.34</v>
      </c>
      <c r="J57" s="65">
        <f>IFERROR(VLOOKUP(H57,'KoAct 배당성장액티브(과거)'!$B$11:$E$1000,4,0),0)</f>
        <v>0.38</v>
      </c>
      <c r="K57" s="20">
        <f t="shared" si="2"/>
        <v>-3.999999999999998E-2</v>
      </c>
      <c r="L57" s="21">
        <f t="shared" si="3"/>
        <v>-0.10526315789473684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메리츠금융지주</v>
      </c>
      <c r="I58" s="65">
        <f>VLOOKUP(H58,'KoAct 배당성장액티브'!$B$11:$E$1000,4,0)</f>
        <v>0.32</v>
      </c>
      <c r="J58" s="65">
        <f>IFERROR(VLOOKUP(H58,'KoAct 배당성장액티브(과거)'!$B$11:$E$1000,4,0),0)</f>
        <v>0.3</v>
      </c>
      <c r="K58" s="20">
        <f t="shared" si="2"/>
        <v>2.0000000000000018E-2</v>
      </c>
      <c r="L58" s="21">
        <f t="shared" si="3"/>
        <v>6.6666666666666652E-2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강원랜드</v>
      </c>
      <c r="I59" s="65">
        <f>VLOOKUP(H59,'KoAct 배당성장액티브'!$B$11:$E$1000,4,0)</f>
        <v>0.31</v>
      </c>
      <c r="J59" s="65">
        <f>IFERROR(VLOOKUP(H59,'KoAct 배당성장액티브(과거)'!$B$11:$E$1000,4,0),0)</f>
        <v>0.57999999999999996</v>
      </c>
      <c r="K59" s="20">
        <f t="shared" si="2"/>
        <v>-0.26999999999999996</v>
      </c>
      <c r="L59" s="21">
        <f t="shared" si="3"/>
        <v>-0.46551724137931028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JB금융지주</v>
      </c>
      <c r="I60" s="65">
        <f>VLOOKUP(H60,'KoAct 배당성장액티브'!$B$11:$E$1000,4,0)</f>
        <v>0.31</v>
      </c>
      <c r="J60" s="65">
        <f>IFERROR(VLOOKUP(H60,'KoAct 배당성장액티브(과거)'!$B$11:$E$1000,4,0),0)</f>
        <v>0.27</v>
      </c>
      <c r="K60" s="20">
        <f t="shared" si="2"/>
        <v>3.999999999999998E-2</v>
      </c>
      <c r="L60" s="21">
        <f t="shared" si="3"/>
        <v>0.14814814814814814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DB손해보험</v>
      </c>
      <c r="I61" s="65">
        <f>VLOOKUP(H61,'KoAct 배당성장액티브'!$B$11:$E$1000,4,0)</f>
        <v>0.28999999999999998</v>
      </c>
      <c r="J61" s="65">
        <f>IFERROR(VLOOKUP(H61,'KoAct 배당성장액티브(과거)'!$B$11:$E$1000,4,0),0)</f>
        <v>0.47</v>
      </c>
      <c r="K61" s="20">
        <f t="shared" si="2"/>
        <v>-0.18</v>
      </c>
      <c r="L61" s="21">
        <f t="shared" si="3"/>
        <v>-0.38297872340425532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KQ</v>
      </c>
      <c r="H62" s="65" t="str">
        <f>'KoAct 배당성장액티브'!B68</f>
        <v>이지홀딩스</v>
      </c>
      <c r="I62" s="65">
        <f>VLOOKUP(H62,'KoAct 배당성장액티브'!$B$11:$E$1000,4,0)</f>
        <v>0.27</v>
      </c>
      <c r="J62" s="65">
        <f>IFERROR(VLOOKUP(H62,'KoAct 배당성장액티브(과거)'!$B$11:$E$1000,4,0),0)</f>
        <v>0.28999999999999998</v>
      </c>
      <c r="K62" s="20">
        <f t="shared" si="2"/>
        <v>-1.9999999999999962E-2</v>
      </c>
      <c r="L62" s="21">
        <f t="shared" si="3"/>
        <v>-6.8965517241379226E-2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KS</v>
      </c>
      <c r="H63" s="65" t="str">
        <f>'KoAct 배당성장액티브'!B69</f>
        <v>포스코퓨처엠</v>
      </c>
      <c r="I63" s="65">
        <f>VLOOKUP(H63,'KoAct 배당성장액티브'!$B$11:$E$1000,4,0)</f>
        <v>0.27</v>
      </c>
      <c r="J63" s="65">
        <f>IFERROR(VLOOKUP(H63,'KoAct 배당성장액티브(과거)'!$B$11:$E$1000,4,0),0)</f>
        <v>0.35</v>
      </c>
      <c r="K63" s="20">
        <f t="shared" si="2"/>
        <v>-7.999999999999996E-2</v>
      </c>
      <c r="L63" s="21">
        <f t="shared" si="3"/>
        <v>-0.22857142857142843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str">
        <f>VLOOKUP(H64,유니버스!$C$14:$D$2561,2,0)</f>
        <v>KS</v>
      </c>
      <c r="H64" s="65" t="str">
        <f>'KoAct 배당성장액티브'!B70</f>
        <v>해성디에스</v>
      </c>
      <c r="I64" s="65">
        <f>VLOOKUP(H64,'KoAct 배당성장액티브'!$B$11:$E$1000,4,0)</f>
        <v>0.27</v>
      </c>
      <c r="J64" s="65">
        <f>IFERROR(VLOOKUP(H64,'KoAct 배당성장액티브(과거)'!$B$11:$E$1000,4,0),0)</f>
        <v>0.28999999999999998</v>
      </c>
      <c r="K64" s="20">
        <f t="shared" si="2"/>
        <v>-1.9999999999999962E-2</v>
      </c>
      <c r="L64" s="21">
        <f t="shared" si="3"/>
        <v>-6.8965517241379226E-2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str">
        <f>VLOOKUP(H65,유니버스!$C$14:$D$2561,2,0)</f>
        <v>KS</v>
      </c>
      <c r="H65" s="65" t="str">
        <f>'KoAct 배당성장액티브'!B71</f>
        <v>한화솔루션</v>
      </c>
      <c r="I65" s="65">
        <f>VLOOKUP(H65,'KoAct 배당성장액티브'!$B$11:$E$1000,4,0)</f>
        <v>0.25</v>
      </c>
      <c r="J65" s="65">
        <f>IFERROR(VLOOKUP(H65,'KoAct 배당성장액티브(과거)'!$B$11:$E$1000,4,0),0)</f>
        <v>0.27</v>
      </c>
      <c r="K65" s="20">
        <f t="shared" ref="K65:K69" si="12">I65-J65</f>
        <v>-2.0000000000000018E-2</v>
      </c>
      <c r="L65" s="21">
        <f t="shared" ref="L65:L69" si="13">IFERROR(I65/J65-1,"신규편입")</f>
        <v>-7.4074074074074181E-2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G66" s="63" t="str">
        <f>VLOOKUP(H66,유니버스!$C$14:$D$2561,2,0)</f>
        <v>KS</v>
      </c>
      <c r="H66" s="65" t="str">
        <f>'KoAct 배당성장액티브'!B72</f>
        <v>오리온홀딩스</v>
      </c>
      <c r="I66" s="65">
        <f>VLOOKUP(H66,'KoAct 배당성장액티브'!$B$11:$E$1000,4,0)</f>
        <v>0.25</v>
      </c>
      <c r="J66" s="65">
        <f>IFERROR(VLOOKUP(H66,'KoAct 배당성장액티브(과거)'!$B$11:$E$1000,4,0),0)</f>
        <v>0.21</v>
      </c>
      <c r="K66" s="20">
        <f t="shared" si="12"/>
        <v>4.0000000000000008E-2</v>
      </c>
      <c r="L66" s="21">
        <f t="shared" si="13"/>
        <v>0.19047619047619047</v>
      </c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G67" s="63" t="str">
        <f>VLOOKUP(H67,유니버스!$C$14:$D$2561,2,0)</f>
        <v>KS</v>
      </c>
      <c r="H67" s="65" t="str">
        <f>'KoAct 배당성장액티브'!B73</f>
        <v>영원무역</v>
      </c>
      <c r="I67" s="65">
        <f>VLOOKUP(H67,'KoAct 배당성장액티브'!$B$11:$E$1000,4,0)</f>
        <v>0.25</v>
      </c>
      <c r="J67" s="65">
        <f>IFERROR(VLOOKUP(H67,'KoAct 배당성장액티브(과거)'!$B$11:$E$1000,4,0),0)</f>
        <v>0.23</v>
      </c>
      <c r="K67" s="20">
        <f t="shared" si="12"/>
        <v>1.999999999999999E-2</v>
      </c>
      <c r="L67" s="21">
        <f t="shared" si="13"/>
        <v>8.6956521739130377E-2</v>
      </c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G68" s="63" t="str">
        <f>VLOOKUP(H68,유니버스!$C$14:$D$2561,2,0)</f>
        <v>KS</v>
      </c>
      <c r="H68" s="65" t="str">
        <f>'KoAct 배당성장액티브'!B74</f>
        <v>DN오토모티브</v>
      </c>
      <c r="I68" s="65">
        <f>VLOOKUP(H68,'KoAct 배당성장액티브'!$B$11:$E$1000,4,0)</f>
        <v>0.24</v>
      </c>
      <c r="J68" s="65">
        <f>IFERROR(VLOOKUP(H68,'KoAct 배당성장액티브(과거)'!$B$11:$E$1000,4,0),0)</f>
        <v>0.46</v>
      </c>
      <c r="K68" s="20">
        <f t="shared" si="12"/>
        <v>-0.22000000000000003</v>
      </c>
      <c r="L68" s="21">
        <f t="shared" si="13"/>
        <v>-0.47826086956521741</v>
      </c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G69" s="63" t="str">
        <f>VLOOKUP(H69,유니버스!$C$14:$D$2561,2,0)</f>
        <v>KS</v>
      </c>
      <c r="H69" s="65" t="str">
        <f>'KoAct 배당성장액티브'!B75</f>
        <v>한전KPS</v>
      </c>
      <c r="I69" s="65">
        <f>VLOOKUP(H69,'KoAct 배당성장액티브'!$B$11:$E$1000,4,0)</f>
        <v>0.24</v>
      </c>
      <c r="J69" s="65">
        <f>IFERROR(VLOOKUP(H69,'KoAct 배당성장액티브(과거)'!$B$11:$E$1000,4,0),0)</f>
        <v>0.23</v>
      </c>
      <c r="K69" s="20">
        <f t="shared" si="12"/>
        <v>9.9999999999999811E-3</v>
      </c>
      <c r="L69" s="21">
        <f t="shared" si="13"/>
        <v>4.3478260869565188E-2</v>
      </c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G70" s="63" t="str">
        <f>VLOOKUP(H70,유니버스!$C$14:$D$2561,2,0)</f>
        <v>KS</v>
      </c>
      <c r="H70" s="65" t="str">
        <f>'KoAct 배당성장액티브'!B76</f>
        <v>NH투자증권</v>
      </c>
      <c r="I70" s="65">
        <f>VLOOKUP(H70,'KoAct 배당성장액티브'!$B$11:$E$1000,4,0)</f>
        <v>0.23</v>
      </c>
      <c r="J70" s="65">
        <f>IFERROR(VLOOKUP(H70,'KoAct 배당성장액티브(과거)'!$B$11:$E$1000,4,0),0)</f>
        <v>0.21</v>
      </c>
      <c r="K70" s="20">
        <f t="shared" ref="K70" si="14">I70-J70</f>
        <v>2.0000000000000018E-2</v>
      </c>
      <c r="L70" s="21">
        <f t="shared" ref="L70" si="15">IFERROR(I70/J70-1,"신규편입")</f>
        <v>9.5238095238095344E-2</v>
      </c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G71" s="63" t="str">
        <f>VLOOKUP(H71,유니버스!$C$14:$D$2561,2,0)</f>
        <v>KS</v>
      </c>
      <c r="H71" s="65" t="str">
        <f>'KoAct 배당성장액티브'!B77</f>
        <v>현대건설</v>
      </c>
      <c r="I71" s="65">
        <f>VLOOKUP(H71,'KoAct 배당성장액티브'!$B$11:$E$1000,4,0)</f>
        <v>0.2</v>
      </c>
      <c r="J71" s="65">
        <f>IFERROR(VLOOKUP(H71,'KoAct 배당성장액티브(과거)'!$B$11:$E$1000,4,0),0)</f>
        <v>0.23</v>
      </c>
      <c r="K71" s="20">
        <f t="shared" ref="K71:K76" si="16">I71-J71</f>
        <v>-0.03</v>
      </c>
      <c r="L71" s="21">
        <f t="shared" ref="L71:L76" si="17">IFERROR(I71/J71-1,"신규편입")</f>
        <v>-0.13043478260869568</v>
      </c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G72" s="63" t="str">
        <f>VLOOKUP(H72,유니버스!$C$14:$D$2561,2,0)</f>
        <v>KQ</v>
      </c>
      <c r="H72" s="65" t="str">
        <f>'KoAct 배당성장액티브'!B78</f>
        <v>서부T&amp;D</v>
      </c>
      <c r="I72" s="65">
        <f>VLOOKUP(H72,'KoAct 배당성장액티브'!$B$11:$E$1000,4,0)</f>
        <v>0.2</v>
      </c>
      <c r="J72" s="65">
        <f>IFERROR(VLOOKUP(H72,'KoAct 배당성장액티브(과거)'!$B$11:$E$1000,4,0),0)</f>
        <v>0.17</v>
      </c>
      <c r="K72" s="20">
        <f t="shared" si="16"/>
        <v>0.03</v>
      </c>
      <c r="L72" s="21">
        <f t="shared" si="17"/>
        <v>0.17647058823529416</v>
      </c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G73" s="63" t="str">
        <f>VLOOKUP(H73,유니버스!$C$14:$D$2561,2,0)</f>
        <v>KS</v>
      </c>
      <c r="H73" s="65" t="str">
        <f>'KoAct 배당성장액티브'!B79</f>
        <v>LX세미콘</v>
      </c>
      <c r="I73" s="65">
        <f>VLOOKUP(H73,'KoAct 배당성장액티브'!$B$11:$E$1000,4,0)</f>
        <v>0.2</v>
      </c>
      <c r="J73" s="65">
        <f>IFERROR(VLOOKUP(H73,'KoAct 배당성장액티브(과거)'!$B$11:$E$1000,4,0),0)</f>
        <v>0.2</v>
      </c>
      <c r="K73" s="20">
        <f t="shared" si="16"/>
        <v>0</v>
      </c>
      <c r="L73" s="21">
        <f t="shared" si="17"/>
        <v>0</v>
      </c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G74" s="63" t="str">
        <f>VLOOKUP(H74,유니버스!$C$14:$D$2561,2,0)</f>
        <v>KS</v>
      </c>
      <c r="H74" s="65" t="str">
        <f>'KoAct 배당성장액티브'!B80</f>
        <v>수산인더스트리</v>
      </c>
      <c r="I74" s="65">
        <f>VLOOKUP(H74,'KoAct 배당성장액티브'!$B$11:$E$1000,4,0)</f>
        <v>0.17</v>
      </c>
      <c r="J74" s="65">
        <f>IFERROR(VLOOKUP(H74,'KoAct 배당성장액티브(과거)'!$B$11:$E$1000,4,0),0)</f>
        <v>0.18</v>
      </c>
      <c r="K74" s="20">
        <f t="shared" si="16"/>
        <v>-9.9999999999999811E-3</v>
      </c>
      <c r="L74" s="21">
        <f t="shared" si="17"/>
        <v>-5.5555555555555469E-2</v>
      </c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G75" s="63" t="str">
        <f>VLOOKUP(H75,유니버스!$C$14:$D$2561,2,0)</f>
        <v>KS</v>
      </c>
      <c r="H75" s="65" t="str">
        <f>'KoAct 배당성장액티브'!B81</f>
        <v>대한항공</v>
      </c>
      <c r="I75" s="65">
        <f>VLOOKUP(H75,'KoAct 배당성장액티브'!$B$11:$E$1000,4,0)</f>
        <v>0.16</v>
      </c>
      <c r="J75" s="65">
        <f>IFERROR(VLOOKUP(H75,'KoAct 배당성장액티브(과거)'!$B$11:$E$1000,4,0),0)</f>
        <v>0.17</v>
      </c>
      <c r="K75" s="20">
        <f t="shared" si="16"/>
        <v>-1.0000000000000009E-2</v>
      </c>
      <c r="L75" s="21">
        <f t="shared" si="17"/>
        <v>-5.8823529411764719E-2</v>
      </c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G76" s="63" t="str">
        <f>VLOOKUP(H76,유니버스!$C$14:$D$2561,2,0)</f>
        <v>KS</v>
      </c>
      <c r="H76" s="65" t="str">
        <f>'KoAct 배당성장액티브'!B82</f>
        <v>HL홀딩스</v>
      </c>
      <c r="I76" s="65">
        <f>VLOOKUP(H76,'KoAct 배당성장액티브'!$B$11:$E$1000,4,0)</f>
        <v>0.16</v>
      </c>
      <c r="J76" s="65">
        <f>IFERROR(VLOOKUP(H76,'KoAct 배당성장액티브(과거)'!$B$11:$E$1000,4,0),0)</f>
        <v>0.16</v>
      </c>
      <c r="K76" s="20">
        <f t="shared" si="16"/>
        <v>0</v>
      </c>
      <c r="L76" s="21">
        <f t="shared" si="17"/>
        <v>0</v>
      </c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G77" s="63" t="e">
        <f>VLOOKUP(H77,유니버스!$C$14:$D$2561,2,0)</f>
        <v>#N/A</v>
      </c>
      <c r="H77" s="65" t="str">
        <f>'KoAct 배당성장액티브'!B83</f>
        <v>원화현금</v>
      </c>
      <c r="I77" s="65">
        <f>VLOOKUP(H77,'KoAct 배당성장액티브'!$B$11:$E$1000,4,0)</f>
        <v>0.65</v>
      </c>
      <c r="J77" s="65">
        <f>IFERROR(VLOOKUP(H77,'KoAct 배당성장액티브(과거)'!$B$11:$E$1000,4,0),0)</f>
        <v>0.99</v>
      </c>
      <c r="K77" s="20">
        <f t="shared" ref="K77:K78" si="18">I77-J77</f>
        <v>-0.33999999999999997</v>
      </c>
      <c r="L77" s="21">
        <f t="shared" ref="L77:L78" si="19">IFERROR(I77/J77-1,"신규편입")</f>
        <v>-0.34343434343434343</v>
      </c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G78" s="63" t="e">
        <f>VLOOKUP(H78,유니버스!$C$14:$D$2561,2,0)</f>
        <v>#N/A</v>
      </c>
      <c r="H78" s="65">
        <f>'KoAct 배당성장액티브'!B84</f>
        <v>0</v>
      </c>
      <c r="I78" s="65" t="e">
        <f>VLOOKUP(H78,'KoAct 배당성장액티브'!$B$11:$E$1000,4,0)</f>
        <v>#N/A</v>
      </c>
      <c r="J78" s="65">
        <f>IFERROR(VLOOKUP(H78,'KoAct 배당성장액티브(과거)'!$B$11:$E$1000,4,0),0)</f>
        <v>0</v>
      </c>
      <c r="K78" s="20" t="e">
        <f t="shared" si="18"/>
        <v>#N/A</v>
      </c>
      <c r="L78" s="21" t="str">
        <f t="shared" si="19"/>
        <v>신규편입</v>
      </c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topLeftCell="I1" zoomScaleNormal="100" workbookViewId="0">
      <selection activeCell="N3" sqref="N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[20260611]</v>
      </c>
      <c r="D4" s="66" t="str">
        <f>'KODEX 신재생에너지액티브(과거)'!B4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64" t="str">
        <f>C4</f>
        <v>CPD [20260611]</v>
      </c>
      <c r="P4" s="64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'KODEX 신재생에너지액티브'!B11</f>
        <v>서진시스템</v>
      </c>
      <c r="C5" s="65">
        <f>VLOOKUP(B5,'KODEX 신재생에너지액티브'!$B$11:$E$1000,4,0)</f>
        <v>8</v>
      </c>
      <c r="D5" s="65">
        <f>IFERROR(VLOOKUP(B5,'KODEX 신재생에너지액티브(과거)'!$B$11:$E$1000,4,0),0)</f>
        <v>7.13</v>
      </c>
      <c r="E5" s="20">
        <f>C5-D5</f>
        <v>0.87000000000000011</v>
      </c>
      <c r="F5" s="21">
        <f>IFERROR(C5/D5-1,"신규편입")</f>
        <v>0.12201963534361848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15.61</v>
      </c>
      <c r="J5" s="65">
        <f>IFERROR(VLOOKUP(H5,'TIMEFOLIO K신재생에너지액티브(과거)'!$B$11:$E$1000,4,0),0)</f>
        <v>16.059999999999999</v>
      </c>
      <c r="K5" s="20">
        <f>I5-J5</f>
        <v>-0.44999999999999929</v>
      </c>
      <c r="L5" s="21">
        <f>IFERROR(I5/J5-1,"신규편입")</f>
        <v>-2.8019925280199254E-2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12.84</v>
      </c>
      <c r="P5" s="26">
        <f>IFERROR(VLOOKUP(N5,'RISE 2차전지액티브(과거)'!$B$11:$E$1000,4,0),0)</f>
        <v>14.18</v>
      </c>
      <c r="Q5" s="20">
        <f>O5-P5</f>
        <v>-1.3399999999999999</v>
      </c>
      <c r="R5" s="21">
        <f>IFERROR(O5/P5-1,"신규편입")</f>
        <v>-9.4499294781382193E-2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OCI홀딩스</v>
      </c>
      <c r="C6" s="65">
        <f>VLOOKUP(B6,'KODEX 신재생에너지액티브'!$B$11:$E$1000,4,0)</f>
        <v>7.72</v>
      </c>
      <c r="D6" s="65">
        <f>IFERROR(VLOOKUP(B6,'KODEX 신재생에너지액티브(과거)'!$B$11:$E$1000,4,0),0)</f>
        <v>8.15</v>
      </c>
      <c r="E6" s="20">
        <f t="shared" ref="E6:E67" si="0">C6-D6</f>
        <v>-0.4300000000000006</v>
      </c>
      <c r="F6" s="21">
        <f t="shared" ref="F6:F67" si="1">IFERROR(C6/D6-1,"신규편입")</f>
        <v>-5.2760736196319047E-2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12.48</v>
      </c>
      <c r="J6" s="65">
        <f>IFERROR(VLOOKUP(H6,'TIMEFOLIO K신재생에너지액티브(과거)'!$B$11:$E$1000,4,0),0)</f>
        <v>11.36</v>
      </c>
      <c r="K6" s="20">
        <f t="shared" ref="K6:K27" si="2">I6-J6</f>
        <v>1.120000000000001</v>
      </c>
      <c r="L6" s="21">
        <f t="shared" ref="L6:L27" si="3">IFERROR(I6/J6-1,"신규편입")</f>
        <v>9.8591549295774739E-2</v>
      </c>
      <c r="M6" s="62" t="str">
        <f>VLOOKUP(N6,유니버스!$C$14:$D$2561,2,0)</f>
        <v>KS</v>
      </c>
      <c r="N6" s="26" t="str">
        <f>'RISE 2차전지액티브'!B12</f>
        <v>POSCO홀딩스</v>
      </c>
      <c r="O6" s="26">
        <f>VLOOKUP(N6,'RISE 2차전지액티브'!$B$11:$E$1000,4,0)</f>
        <v>9.89</v>
      </c>
      <c r="P6" s="26">
        <f>IFERROR(VLOOKUP(N6,'RISE 2차전지액티브(과거)'!$B$11:$E$1000,4,0),0)</f>
        <v>9.3699999999999992</v>
      </c>
      <c r="Q6" s="20">
        <f t="shared" ref="Q6:Q19" si="4">O6-P6</f>
        <v>0.52000000000000135</v>
      </c>
      <c r="R6" s="21">
        <f t="shared" ref="R6:R19" si="5">IFERROR(O6/P6-1,"신규편입")</f>
        <v>5.5496264674493201E-2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HD현대에너지솔루션</v>
      </c>
      <c r="C7" s="65">
        <f>VLOOKUP(B7,'KODEX 신재생에너지액티브'!$B$11:$E$1000,4,0)</f>
        <v>7.17</v>
      </c>
      <c r="D7" s="65">
        <f>IFERROR(VLOOKUP(B7,'KODEX 신재생에너지액티브(과거)'!$B$11:$E$1000,4,0),0)</f>
        <v>7.01</v>
      </c>
      <c r="E7" s="20">
        <f t="shared" si="0"/>
        <v>0.16000000000000014</v>
      </c>
      <c r="F7" s="21">
        <f t="shared" si="1"/>
        <v>2.2824536376604865E-2</v>
      </c>
      <c r="G7" s="63" t="str">
        <f>VLOOKUP(H7,유니버스!$C$14:$D$2561,2,0)</f>
        <v>KS</v>
      </c>
      <c r="H7" s="65" t="str">
        <f>'TIMEFOLIO K신재생에너지액티브'!B13</f>
        <v>한화솔루션</v>
      </c>
      <c r="I7" s="65">
        <f>VLOOKUP(H7,'TIMEFOLIO K신재생에너지액티브'!$B$11:$E$1000,4,0)</f>
        <v>7.8</v>
      </c>
      <c r="J7" s="65">
        <f>IFERROR(VLOOKUP(H7,'TIMEFOLIO K신재생에너지액티브(과거)'!$B$11:$E$1000,4,0),0)</f>
        <v>5.75</v>
      </c>
      <c r="K7" s="20">
        <f t="shared" si="2"/>
        <v>2.0499999999999998</v>
      </c>
      <c r="L7" s="21">
        <f t="shared" si="3"/>
        <v>0.35652173913043472</v>
      </c>
      <c r="M7" s="62" t="str">
        <f>VLOOKUP(N7,유니버스!$C$14:$D$2561,2,0)</f>
        <v>KS</v>
      </c>
      <c r="N7" s="26" t="str">
        <f>'RISE 2차전지액티브'!B13</f>
        <v>LG에너지솔루션</v>
      </c>
      <c r="O7" s="26">
        <f>VLOOKUP(N7,'RISE 2차전지액티브'!$B$11:$E$1000,4,0)</f>
        <v>9.66</v>
      </c>
      <c r="P7" s="26">
        <f>IFERROR(VLOOKUP(N7,'RISE 2차전지액티브(과거)'!$B$11:$E$1000,4,0),0)</f>
        <v>9.2100000000000009</v>
      </c>
      <c r="Q7" s="20">
        <f t="shared" si="4"/>
        <v>0.44999999999999929</v>
      </c>
      <c r="R7" s="21">
        <f t="shared" si="5"/>
        <v>4.8859934853420217E-2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삼성SDI</v>
      </c>
      <c r="C8" s="65">
        <f>VLOOKUP(B8,'KODEX 신재생에너지액티브'!$B$11:$E$1000,4,0)</f>
        <v>6.87</v>
      </c>
      <c r="D8" s="65">
        <f>IFERROR(VLOOKUP(B8,'KODEX 신재생에너지액티브(과거)'!$B$11:$E$1000,4,0),0)</f>
        <v>8.11</v>
      </c>
      <c r="E8" s="20">
        <f t="shared" si="0"/>
        <v>-1.2399999999999993</v>
      </c>
      <c r="F8" s="21">
        <f t="shared" si="1"/>
        <v>-0.15289765721331683</v>
      </c>
      <c r="G8" s="63" t="str">
        <f>VLOOKUP(H8,유니버스!$C$14:$D$2561,2,0)</f>
        <v>KS</v>
      </c>
      <c r="H8" s="65" t="str">
        <f>'TIMEFOLIO K신재생에너지액티브'!B14</f>
        <v>삼성전기</v>
      </c>
      <c r="I8" s="65">
        <f>VLOOKUP(H8,'TIMEFOLIO K신재생에너지액티브'!$B$11:$E$1000,4,0)</f>
        <v>7.5</v>
      </c>
      <c r="J8" s="65">
        <f>IFERROR(VLOOKUP(H8,'TIMEFOLIO K신재생에너지액티브(과거)'!$B$11:$E$1000,4,0),0)</f>
        <v>8.35</v>
      </c>
      <c r="K8" s="20">
        <f t="shared" si="2"/>
        <v>-0.84999999999999964</v>
      </c>
      <c r="L8" s="21">
        <f t="shared" si="3"/>
        <v>-0.10179640718562866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8.4499999999999993</v>
      </c>
      <c r="P8" s="26">
        <f>IFERROR(VLOOKUP(N8,'RISE 2차전지액티브(과거)'!$B$11:$E$1000,4,0),0)</f>
        <v>9.0500000000000007</v>
      </c>
      <c r="Q8" s="20">
        <f t="shared" si="4"/>
        <v>-0.60000000000000142</v>
      </c>
      <c r="R8" s="21">
        <f t="shared" si="5"/>
        <v>-6.6298342541436628E-2</v>
      </c>
    </row>
    <row r="9" spans="1:18" x14ac:dyDescent="0.4">
      <c r="A9" s="63" t="str">
        <f>VLOOKUP(B9,유니버스!$C$14:$D$2561,2,0)</f>
        <v>KS</v>
      </c>
      <c r="B9" s="65" t="str">
        <f>'KODEX 신재생에너지액티브'!B15</f>
        <v>LS ELECTRIC</v>
      </c>
      <c r="C9" s="65">
        <f>VLOOKUP(B9,'KODEX 신재생에너지액티브'!$B$11:$E$1000,4,0)</f>
        <v>5.65</v>
      </c>
      <c r="D9" s="65">
        <f>IFERROR(VLOOKUP(B9,'KODEX 신재생에너지액티브(과거)'!$B$11:$E$1000,4,0),0)</f>
        <v>5.09</v>
      </c>
      <c r="E9" s="20">
        <f t="shared" si="0"/>
        <v>0.5600000000000005</v>
      </c>
      <c r="F9" s="21">
        <f t="shared" si="1"/>
        <v>0.11001964636542261</v>
      </c>
      <c r="G9" s="63" t="str">
        <f>VLOOKUP(H9,유니버스!$C$14:$D$2561,2,0)</f>
        <v>KS</v>
      </c>
      <c r="H9" s="65" t="str">
        <f>'TIMEFOLIO K신재생에너지액티브'!B15</f>
        <v>삼성SDI</v>
      </c>
      <c r="I9" s="65">
        <f>VLOOKUP(H9,'TIMEFOLIO K신재생에너지액티브'!$B$11:$E$1000,4,0)</f>
        <v>6.84</v>
      </c>
      <c r="J9" s="65">
        <f>IFERROR(VLOOKUP(H9,'TIMEFOLIO K신재생에너지액티브(과거)'!$B$11:$E$1000,4,0),0)</f>
        <v>8.7200000000000006</v>
      </c>
      <c r="K9" s="20">
        <f t="shared" si="2"/>
        <v>-1.8800000000000008</v>
      </c>
      <c r="L9" s="21">
        <f t="shared" si="3"/>
        <v>-0.2155963302752294</v>
      </c>
      <c r="M9" s="62" t="str">
        <f>VLOOKUP(N9,유니버스!$C$14:$D$2561,2,0)</f>
        <v>KQ</v>
      </c>
      <c r="N9" s="26" t="str">
        <f>'RISE 2차전지액티브'!B15</f>
        <v>대주전자재료</v>
      </c>
      <c r="O9" s="26">
        <f>VLOOKUP(N9,'RISE 2차전지액티브'!$B$11:$E$1000,4,0)</f>
        <v>7.87</v>
      </c>
      <c r="P9" s="26">
        <f>IFERROR(VLOOKUP(N9,'RISE 2차전지액티브(과거)'!$B$11:$E$1000,4,0),0)</f>
        <v>6.62</v>
      </c>
      <c r="Q9" s="20">
        <f t="shared" si="4"/>
        <v>1.25</v>
      </c>
      <c r="R9" s="21">
        <f t="shared" si="5"/>
        <v>0.18882175226586106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산일전기</v>
      </c>
      <c r="C10" s="65">
        <f>VLOOKUP(B10,'KODEX 신재생에너지액티브'!$B$11:$E$1000,4,0)</f>
        <v>5.34</v>
      </c>
      <c r="D10" s="65">
        <f>IFERROR(VLOOKUP(B10,'KODEX 신재생에너지액티브(과거)'!$B$11:$E$1000,4,0),0)</f>
        <v>5.3</v>
      </c>
      <c r="E10" s="20">
        <f t="shared" si="0"/>
        <v>4.0000000000000036E-2</v>
      </c>
      <c r="F10" s="21">
        <f t="shared" si="1"/>
        <v>7.547169811320753E-3</v>
      </c>
      <c r="G10" s="63" t="str">
        <f>VLOOKUP(H10,유니버스!$C$14:$D$2561,2,0)</f>
        <v>KS</v>
      </c>
      <c r="H10" s="65" t="str">
        <f>'TIMEFOLIO K신재생에너지액티브'!B16</f>
        <v>현대차</v>
      </c>
      <c r="I10" s="65">
        <f>VLOOKUP(H10,'TIMEFOLIO K신재생에너지액티브'!$B$11:$E$1000,4,0)</f>
        <v>5.88</v>
      </c>
      <c r="J10" s="65">
        <f>IFERROR(VLOOKUP(H10,'TIMEFOLIO K신재생에너지액티브(과거)'!$B$11:$E$1000,4,0),0)</f>
        <v>8.3000000000000007</v>
      </c>
      <c r="K10" s="20">
        <f t="shared" si="2"/>
        <v>-2.4200000000000008</v>
      </c>
      <c r="L10" s="21">
        <f t="shared" si="3"/>
        <v>-0.29156626506024108</v>
      </c>
      <c r="M10" s="62" t="str">
        <f>VLOOKUP(N10,유니버스!$C$14:$D$2561,2,0)</f>
        <v>KQ</v>
      </c>
      <c r="N10" s="26" t="str">
        <f>'RISE 2차전지액티브'!B16</f>
        <v>에코프로비엠</v>
      </c>
      <c r="O10" s="26">
        <f>VLOOKUP(N10,'RISE 2차전지액티브'!$B$11:$E$1000,4,0)</f>
        <v>7.84</v>
      </c>
      <c r="P10" s="26">
        <f>IFERROR(VLOOKUP(N10,'RISE 2차전지액티브(과거)'!$B$11:$E$1000,4,0),0)</f>
        <v>9.6</v>
      </c>
      <c r="Q10" s="20">
        <f t="shared" si="4"/>
        <v>-1.7599999999999998</v>
      </c>
      <c r="R10" s="21">
        <f t="shared" si="5"/>
        <v>-0.18333333333333335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효성중공업</v>
      </c>
      <c r="C11" s="65">
        <f>VLOOKUP(B11,'KODEX 신재생에너지액티브'!$B$11:$E$1000,4,0)</f>
        <v>4.7699999999999996</v>
      </c>
      <c r="D11" s="65">
        <f>IFERROR(VLOOKUP(B11,'KODEX 신재생에너지액티브(과거)'!$B$11:$E$1000,4,0),0)</f>
        <v>4.6399999999999997</v>
      </c>
      <c r="E11" s="20">
        <f t="shared" si="0"/>
        <v>0.12999999999999989</v>
      </c>
      <c r="F11" s="21">
        <f t="shared" si="1"/>
        <v>2.8017241379310276E-2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4.96</v>
      </c>
      <c r="J11" s="65">
        <f>IFERROR(VLOOKUP(H11,'TIMEFOLIO K신재생에너지액티브(과거)'!$B$11:$E$1000,4,0),0)</f>
        <v>4.84</v>
      </c>
      <c r="K11" s="20">
        <f t="shared" si="2"/>
        <v>0.12000000000000011</v>
      </c>
      <c r="L11" s="21">
        <f t="shared" si="3"/>
        <v>2.4793388429751984E-2</v>
      </c>
      <c r="M11" s="62" t="str">
        <f>VLOOKUP(N11,유니버스!$C$14:$D$2561,2,0)</f>
        <v>KS</v>
      </c>
      <c r="N11" s="26" t="str">
        <f>'RISE 2차전지액티브'!B17</f>
        <v>포스코퓨처엠</v>
      </c>
      <c r="O11" s="26">
        <f>VLOOKUP(N11,'RISE 2차전지액티브'!$B$11:$E$1000,4,0)</f>
        <v>7.66</v>
      </c>
      <c r="P11" s="26">
        <f>IFERROR(VLOOKUP(N11,'RISE 2차전지액티브(과거)'!$B$11:$E$1000,4,0),0)</f>
        <v>8.15</v>
      </c>
      <c r="Q11" s="20">
        <f t="shared" si="4"/>
        <v>-0.49000000000000021</v>
      </c>
      <c r="R11" s="21">
        <f t="shared" si="5"/>
        <v>-6.0122699386503053E-2</v>
      </c>
    </row>
    <row r="12" spans="1:18" x14ac:dyDescent="0.4">
      <c r="A12" s="63" t="str">
        <f>VLOOKUP(B12,유니버스!$C$14:$D$2561,2,0)</f>
        <v>KQ</v>
      </c>
      <c r="B12" s="65" t="str">
        <f>'KODEX 신재생에너지액티브'!B18</f>
        <v>비나텍</v>
      </c>
      <c r="C12" s="65">
        <f>VLOOKUP(B12,'KODEX 신재생에너지액티브'!$B$11:$E$1000,4,0)</f>
        <v>4.29</v>
      </c>
      <c r="D12" s="65">
        <f>IFERROR(VLOOKUP(B12,'KODEX 신재생에너지액티브(과거)'!$B$11:$E$1000,4,0),0)</f>
        <v>5.26</v>
      </c>
      <c r="E12" s="20">
        <f t="shared" si="0"/>
        <v>-0.96999999999999975</v>
      </c>
      <c r="F12" s="21">
        <f t="shared" si="1"/>
        <v>-0.18441064638783267</v>
      </c>
      <c r="G12" s="63" t="str">
        <f>VLOOKUP(H12,유니버스!$C$14:$D$2561,2,0)</f>
        <v>KQ</v>
      </c>
      <c r="H12" s="65" t="str">
        <f>'TIMEFOLIO K신재생에너지액티브'!B18</f>
        <v>대주전자재료</v>
      </c>
      <c r="I12" s="65">
        <f>VLOOKUP(H12,'TIMEFOLIO K신재생에너지액티브'!$B$11:$E$1000,4,0)</f>
        <v>4.12</v>
      </c>
      <c r="J12" s="65">
        <f>IFERROR(VLOOKUP(H12,'TIMEFOLIO K신재생에너지액티브(과거)'!$B$11:$E$1000,4,0),0)</f>
        <v>1.85</v>
      </c>
      <c r="K12" s="20">
        <f t="shared" si="2"/>
        <v>2.27</v>
      </c>
      <c r="L12" s="21">
        <f t="shared" si="3"/>
        <v>1.2270270270270269</v>
      </c>
      <c r="M12" s="62" t="str">
        <f>VLOOKUP(N12,유니버스!$C$14:$D$2561,2,0)</f>
        <v>KQ</v>
      </c>
      <c r="N12" s="26" t="str">
        <f>'RISE 2차전지액티브'!B18</f>
        <v>에코프로</v>
      </c>
      <c r="O12" s="26">
        <f>VLOOKUP(N12,'RISE 2차전지액티브'!$B$11:$E$1000,4,0)</f>
        <v>6.77</v>
      </c>
      <c r="P12" s="26">
        <f>IFERROR(VLOOKUP(N12,'RISE 2차전지액티브(과거)'!$B$11:$E$1000,4,0),0)</f>
        <v>8.32</v>
      </c>
      <c r="Q12" s="20">
        <f t="shared" si="4"/>
        <v>-1.5500000000000007</v>
      </c>
      <c r="R12" s="21">
        <f t="shared" si="5"/>
        <v>-0.18629807692307698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씨에스윈드</v>
      </c>
      <c r="C13" s="65">
        <f>VLOOKUP(B13,'KODEX 신재생에너지액티브'!$B$11:$E$1000,4,0)</f>
        <v>3.79</v>
      </c>
      <c r="D13" s="65">
        <f>IFERROR(VLOOKUP(B13,'KODEX 신재생에너지액티브(과거)'!$B$11:$E$1000,4,0),0)</f>
        <v>3.8</v>
      </c>
      <c r="E13" s="20">
        <f t="shared" si="0"/>
        <v>-9.9999999999997868E-3</v>
      </c>
      <c r="F13" s="21">
        <f t="shared" si="1"/>
        <v>-2.6315789473683182E-3</v>
      </c>
      <c r="G13" s="63" t="str">
        <f>VLOOKUP(H13,유니버스!$C$14:$D$2561,2,0)</f>
        <v>KQ</v>
      </c>
      <c r="H13" s="65" t="str">
        <f>'TIMEFOLIO K신재생에너지액티브'!B19</f>
        <v>동진쎄미켐</v>
      </c>
      <c r="I13" s="65">
        <f>VLOOKUP(H13,'TIMEFOLIO K신재생에너지액티브'!$B$11:$E$1000,4,0)</f>
        <v>3.41</v>
      </c>
      <c r="J13" s="65">
        <f>IFERROR(VLOOKUP(H13,'TIMEFOLIO K신재생에너지액티브(과거)'!$B$11:$E$1000,4,0),0)</f>
        <v>2.89</v>
      </c>
      <c r="K13" s="20">
        <f t="shared" si="2"/>
        <v>0.52</v>
      </c>
      <c r="L13" s="21">
        <f t="shared" si="3"/>
        <v>0.17993079584775096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6.02</v>
      </c>
      <c r="P13" s="26">
        <f>IFERROR(VLOOKUP(N13,'RISE 2차전지액티브(과거)'!$B$11:$E$1000,4,0),0)</f>
        <v>5.64</v>
      </c>
      <c r="Q13" s="20">
        <f t="shared" si="4"/>
        <v>0.37999999999999989</v>
      </c>
      <c r="R13" s="21">
        <f t="shared" si="5"/>
        <v>6.7375886524822626E-2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SK오션플랜트</v>
      </c>
      <c r="C14" s="65">
        <f>VLOOKUP(B14,'KODEX 신재생에너지액티브'!$B$11:$E$1000,4,0)</f>
        <v>3.51</v>
      </c>
      <c r="D14" s="65">
        <f>IFERROR(VLOOKUP(B14,'KODEX 신재생에너지액티브(과거)'!$B$11:$E$1000,4,0),0)</f>
        <v>3.36</v>
      </c>
      <c r="E14" s="20">
        <f t="shared" si="0"/>
        <v>0.14999999999999991</v>
      </c>
      <c r="F14" s="21">
        <f t="shared" si="1"/>
        <v>4.4642857142857206E-2</v>
      </c>
      <c r="G14" s="63" t="str">
        <f>VLOOKUP(H14,유니버스!$C$14:$D$2561,2,0)</f>
        <v>KS</v>
      </c>
      <c r="H14" s="65" t="str">
        <f>'TIMEFOLIO K신재생에너지액티브'!B20</f>
        <v>기아</v>
      </c>
      <c r="I14" s="65">
        <f>VLOOKUP(H14,'TIMEFOLIO K신재생에너지액티브'!$B$11:$E$1000,4,0)</f>
        <v>3.3</v>
      </c>
      <c r="J14" s="65">
        <f>IFERROR(VLOOKUP(H14,'TIMEFOLIO K신재생에너지액티브(과거)'!$B$11:$E$1000,4,0),0)</f>
        <v>3.07</v>
      </c>
      <c r="K14" s="20">
        <f t="shared" si="2"/>
        <v>0.22999999999999998</v>
      </c>
      <c r="L14" s="21">
        <f t="shared" si="3"/>
        <v>7.4918566775244333E-2</v>
      </c>
      <c r="M14" s="62" t="str">
        <f>VLOOKUP(N14,유니버스!$C$14:$D$2561,2,0)</f>
        <v>KS</v>
      </c>
      <c r="N14" s="26" t="str">
        <f>'RISE 2차전지액티브'!B20</f>
        <v>SKC</v>
      </c>
      <c r="O14" s="26">
        <f>VLOOKUP(N14,'RISE 2차전지액티브'!$B$11:$E$1000,4,0)</f>
        <v>5.8</v>
      </c>
      <c r="P14" s="26">
        <f>IFERROR(VLOOKUP(N14,'RISE 2차전지액티브(과거)'!$B$11:$E$1000,4,0),0)</f>
        <v>2.94</v>
      </c>
      <c r="Q14" s="20">
        <f t="shared" si="4"/>
        <v>2.86</v>
      </c>
      <c r="R14" s="21">
        <f t="shared" si="5"/>
        <v>0.97278911564625847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HD현대일렉트릭</v>
      </c>
      <c r="C15" s="65">
        <f>VLOOKUP(B15,'KODEX 신재생에너지액티브'!$B$11:$E$1000,4,0)</f>
        <v>3.27</v>
      </c>
      <c r="D15" s="65">
        <f>IFERROR(VLOOKUP(B15,'KODEX 신재생에너지액티브(과거)'!$B$11:$E$1000,4,0),0)</f>
        <v>2.86</v>
      </c>
      <c r="E15" s="20">
        <f t="shared" si="0"/>
        <v>0.41000000000000014</v>
      </c>
      <c r="F15" s="21">
        <f t="shared" si="1"/>
        <v>0.14335664335664333</v>
      </c>
      <c r="G15" s="63" t="str">
        <f>VLOOKUP(H15,유니버스!$C$14:$D$2561,2,0)</f>
        <v>KS</v>
      </c>
      <c r="H15" s="65" t="str">
        <f>'TIMEFOLIO K신재생에너지액티브'!B21</f>
        <v>현대모비스</v>
      </c>
      <c r="I15" s="65">
        <f>VLOOKUP(H15,'TIMEFOLIO K신재생에너지액티브'!$B$11:$E$1000,4,0)</f>
        <v>3.04</v>
      </c>
      <c r="J15" s="65">
        <f>IFERROR(VLOOKUP(H15,'TIMEFOLIO K신재생에너지액티브(과거)'!$B$11:$E$1000,4,0),0)</f>
        <v>3.94</v>
      </c>
      <c r="K15" s="20">
        <f t="shared" si="2"/>
        <v>-0.89999999999999991</v>
      </c>
      <c r="L15" s="21">
        <f t="shared" si="3"/>
        <v>-0.22842639593908631</v>
      </c>
      <c r="M15" s="62" t="str">
        <f>VLOOKUP(N15,유니버스!$C$14:$D$2561,2,0)</f>
        <v>KS</v>
      </c>
      <c r="N15" s="26" t="str">
        <f>'RISE 2차전지액티브'!B21</f>
        <v>에코프로머티</v>
      </c>
      <c r="O15" s="26">
        <f>VLOOKUP(N15,'RISE 2차전지액티브'!$B$11:$E$1000,4,0)</f>
        <v>4.07</v>
      </c>
      <c r="P15" s="26">
        <f>IFERROR(VLOOKUP(N15,'RISE 2차전지액티브(과거)'!$B$11:$E$1000,4,0),0)</f>
        <v>3.85</v>
      </c>
      <c r="Q15" s="20">
        <f t="shared" si="4"/>
        <v>0.2200000000000002</v>
      </c>
      <c r="R15" s="21">
        <f t="shared" si="5"/>
        <v>5.7142857142857162E-2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일진전기</v>
      </c>
      <c r="C16" s="65">
        <f>VLOOKUP(B16,'KODEX 신재생에너지액티브'!$B$11:$E$1000,4,0)</f>
        <v>2.5299999999999998</v>
      </c>
      <c r="D16" s="65">
        <f>IFERROR(VLOOKUP(B16,'KODEX 신재생에너지액티브(과거)'!$B$11:$E$1000,4,0),0)</f>
        <v>2.59</v>
      </c>
      <c r="E16" s="20">
        <f t="shared" si="0"/>
        <v>-6.0000000000000053E-2</v>
      </c>
      <c r="F16" s="21">
        <f t="shared" si="1"/>
        <v>-2.3166023166023231E-2</v>
      </c>
      <c r="G16" s="63" t="str">
        <f>VLOOKUP(H16,유니버스!$C$14:$D$2561,2,0)</f>
        <v>KS</v>
      </c>
      <c r="H16" s="65" t="str">
        <f>'TIMEFOLIO K신재생에너지액티브'!B22</f>
        <v>삼성물산</v>
      </c>
      <c r="I16" s="65">
        <f>VLOOKUP(H16,'TIMEFOLIO K신재생에너지액티브'!$B$11:$E$1000,4,0)</f>
        <v>2.89</v>
      </c>
      <c r="J16" s="65">
        <f>IFERROR(VLOOKUP(H16,'TIMEFOLIO K신재생에너지액티브(과거)'!$B$11:$E$1000,4,0),0)</f>
        <v>1.57</v>
      </c>
      <c r="K16" s="20">
        <f t="shared" si="2"/>
        <v>1.32</v>
      </c>
      <c r="L16" s="21">
        <f t="shared" si="3"/>
        <v>0.84076433121019112</v>
      </c>
      <c r="M16" s="62" t="str">
        <f>VLOOKUP(N16,유니버스!$C$14:$D$2561,2,0)</f>
        <v>KQ</v>
      </c>
      <c r="N16" s="26" t="str">
        <f>'RISE 2차전지액티브'!B22</f>
        <v>솔브레인</v>
      </c>
      <c r="O16" s="26">
        <f>VLOOKUP(N16,'RISE 2차전지액티브'!$B$11:$E$1000,4,0)</f>
        <v>2.9</v>
      </c>
      <c r="P16" s="26">
        <f>IFERROR(VLOOKUP(N16,'RISE 2차전지액티브(과거)'!$B$11:$E$1000,4,0),0)</f>
        <v>2.5</v>
      </c>
      <c r="Q16" s="20">
        <f t="shared" si="4"/>
        <v>0.39999999999999991</v>
      </c>
      <c r="R16" s="21">
        <f t="shared" si="5"/>
        <v>0.15999999999999992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포스코퓨처엠</v>
      </c>
      <c r="C17" s="65">
        <f>VLOOKUP(B17,'KODEX 신재생에너지액티브'!$B$11:$E$1000,4,0)</f>
        <v>2.33</v>
      </c>
      <c r="D17" s="65">
        <f>IFERROR(VLOOKUP(B17,'KODEX 신재생에너지액티브(과거)'!$B$11:$E$1000,4,0),0)</f>
        <v>2.65</v>
      </c>
      <c r="E17" s="20">
        <f t="shared" si="0"/>
        <v>-0.31999999999999984</v>
      </c>
      <c r="F17" s="21">
        <f t="shared" si="1"/>
        <v>-0.12075471698113205</v>
      </c>
      <c r="G17" s="63" t="str">
        <f>VLOOKUP(H17,유니버스!$C$14:$D$2561,2,0)</f>
        <v>KS</v>
      </c>
      <c r="H17" s="65" t="str">
        <f>'TIMEFOLIO K신재생에너지액티브'!B23</f>
        <v>LS ELECTRIC</v>
      </c>
      <c r="I17" s="65">
        <f>VLOOKUP(H17,'TIMEFOLIO K신재생에너지액티브'!$B$11:$E$1000,4,0)</f>
        <v>2.75</v>
      </c>
      <c r="J17" s="65">
        <f>IFERROR(VLOOKUP(H17,'TIMEFOLIO K신재생에너지액티브(과거)'!$B$11:$E$1000,4,0),0)</f>
        <v>2.48</v>
      </c>
      <c r="K17" s="20">
        <f t="shared" si="2"/>
        <v>0.27</v>
      </c>
      <c r="L17" s="21">
        <f t="shared" si="3"/>
        <v>0.1088709677419355</v>
      </c>
      <c r="M17" s="62" t="str">
        <f>VLOOKUP(N17,유니버스!$C$14:$D$2561,2,0)</f>
        <v>KS</v>
      </c>
      <c r="N17" s="26" t="str">
        <f>'RISE 2차전지액티브'!B23</f>
        <v>LS</v>
      </c>
      <c r="O17" s="26">
        <f>VLOOKUP(N17,'RISE 2차전지액티브'!$B$11:$E$1000,4,0)</f>
        <v>2.82</v>
      </c>
      <c r="P17" s="26">
        <f>IFERROR(VLOOKUP(N17,'RISE 2차전지액티브(과거)'!$B$11:$E$1000,4,0),0)</f>
        <v>1.79</v>
      </c>
      <c r="Q17" s="20">
        <f t="shared" si="4"/>
        <v>1.0299999999999998</v>
      </c>
      <c r="R17" s="21">
        <f t="shared" si="5"/>
        <v>0.5754189944134076</v>
      </c>
    </row>
    <row r="18" spans="1:18" x14ac:dyDescent="0.4">
      <c r="A18" s="63" t="str">
        <f>VLOOKUP(B18,유니버스!$C$14:$D$2561,2,0)</f>
        <v>KQ</v>
      </c>
      <c r="B18" s="65" t="str">
        <f>'KODEX 신재생에너지액티브'!B24</f>
        <v>비에이치아이</v>
      </c>
      <c r="C18" s="65">
        <f>VLOOKUP(B18,'KODEX 신재생에너지액티브'!$B$11:$E$1000,4,0)</f>
        <v>2.2999999999999998</v>
      </c>
      <c r="D18" s="65">
        <f>IFERROR(VLOOKUP(B18,'KODEX 신재생에너지액티브(과거)'!$B$11:$E$1000,4,0),0)</f>
        <v>2.3199999999999998</v>
      </c>
      <c r="E18" s="20">
        <f t="shared" si="0"/>
        <v>-2.0000000000000018E-2</v>
      </c>
      <c r="F18" s="21">
        <f t="shared" si="1"/>
        <v>-8.6206896551723755E-3</v>
      </c>
      <c r="G18" s="63" t="str">
        <f>VLOOKUP(H18,유니버스!$C$14:$D$2561,2,0)</f>
        <v>KS</v>
      </c>
      <c r="H18" s="65" t="str">
        <f>'TIMEFOLIO K신재생에너지액티브'!B24</f>
        <v>HD한국조선해양</v>
      </c>
      <c r="I18" s="65">
        <f>VLOOKUP(H18,'TIMEFOLIO K신재생에너지액티브'!$B$11:$E$1000,4,0)</f>
        <v>2.5499999999999998</v>
      </c>
      <c r="J18" s="65">
        <f>IFERROR(VLOOKUP(H18,'TIMEFOLIO K신재생에너지액티브(과거)'!$B$11:$E$1000,4,0),0)</f>
        <v>2.46</v>
      </c>
      <c r="K18" s="20">
        <f t="shared" si="2"/>
        <v>8.9999999999999858E-2</v>
      </c>
      <c r="L18" s="21">
        <f t="shared" si="3"/>
        <v>3.6585365853658569E-2</v>
      </c>
      <c r="M18" s="62" t="str">
        <f>VLOOKUP(N18,유니버스!$C$14:$D$2561,2,0)</f>
        <v>KS</v>
      </c>
      <c r="N18" s="26" t="str">
        <f>'RISE 2차전지액티브'!B24</f>
        <v>SK이노베이션</v>
      </c>
      <c r="O18" s="26">
        <f>VLOOKUP(N18,'RISE 2차전지액티브'!$B$11:$E$1000,4,0)</f>
        <v>2.46</v>
      </c>
      <c r="P18" s="26">
        <f>IFERROR(VLOOKUP(N18,'RISE 2차전지액티브(과거)'!$B$11:$E$1000,4,0),0)</f>
        <v>2.88</v>
      </c>
      <c r="Q18" s="20">
        <f t="shared" si="4"/>
        <v>-0.41999999999999993</v>
      </c>
      <c r="R18" s="21">
        <f t="shared" si="5"/>
        <v>-0.14583333333333326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SK이터닉스</v>
      </c>
      <c r="C19" s="65">
        <f>VLOOKUP(B19,'KODEX 신재생에너지액티브'!$B$11:$E$1000,4,0)</f>
        <v>2.09</v>
      </c>
      <c r="D19" s="65">
        <f>IFERROR(VLOOKUP(B19,'KODEX 신재생에너지액티브(과거)'!$B$11:$E$1000,4,0),0)</f>
        <v>1.77</v>
      </c>
      <c r="E19" s="20">
        <f t="shared" si="0"/>
        <v>0.31999999999999984</v>
      </c>
      <c r="F19" s="21">
        <f t="shared" si="1"/>
        <v>0.18079096045197729</v>
      </c>
      <c r="G19" s="63" t="str">
        <f>VLOOKUP(H19,유니버스!$C$14:$D$2561,2,0)</f>
        <v>KQ</v>
      </c>
      <c r="H19" s="65" t="str">
        <f>'TIMEFOLIO K신재생에너지액티브'!B25</f>
        <v>원익IPS</v>
      </c>
      <c r="I19" s="65">
        <f>VLOOKUP(H19,'TIMEFOLIO K신재생에너지액티브'!$B$11:$E$1000,4,0)</f>
        <v>2.33</v>
      </c>
      <c r="J19" s="65">
        <f>IFERROR(VLOOKUP(H19,'TIMEFOLIO K신재생에너지액티브(과거)'!$B$11:$E$1000,4,0),0)</f>
        <v>0</v>
      </c>
      <c r="K19" s="20">
        <f t="shared" si="2"/>
        <v>2.33</v>
      </c>
      <c r="L19" s="21" t="str">
        <f t="shared" si="3"/>
        <v>신규편입</v>
      </c>
      <c r="M19" s="62" t="str">
        <f>VLOOKUP(N19,유니버스!$C$14:$D$2561,2,0)</f>
        <v>KQ</v>
      </c>
      <c r="N19" s="26" t="str">
        <f>'RISE 2차전지액티브'!B25</f>
        <v>레이크머티리얼즈</v>
      </c>
      <c r="O19" s="26">
        <f>VLOOKUP(N19,'RISE 2차전지액티브'!$B$11:$E$1000,4,0)</f>
        <v>1.57</v>
      </c>
      <c r="P19" s="26">
        <f>IFERROR(VLOOKUP(N19,'RISE 2차전지액티브(과거)'!$B$11:$E$1000,4,0),0)</f>
        <v>2.95</v>
      </c>
      <c r="Q19" s="20">
        <f t="shared" si="4"/>
        <v>-1.3800000000000001</v>
      </c>
      <c r="R19" s="21">
        <f t="shared" si="5"/>
        <v>-0.46779661016949159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엘앤에프</v>
      </c>
      <c r="C20" s="65">
        <f>VLOOKUP(B20,'KODEX 신재생에너지액티브'!$B$11:$E$1000,4,0)</f>
        <v>1.82</v>
      </c>
      <c r="D20" s="65">
        <f>IFERROR(VLOOKUP(B20,'KODEX 신재생에너지액티브(과거)'!$B$11:$E$1000,4,0),0)</f>
        <v>2.08</v>
      </c>
      <c r="E20" s="20">
        <f t="shared" si="0"/>
        <v>-0.26</v>
      </c>
      <c r="F20" s="21">
        <f t="shared" si="1"/>
        <v>-0.125</v>
      </c>
      <c r="G20" s="63" t="str">
        <f>VLOOKUP(H20,유니버스!$C$14:$D$2561,2,0)</f>
        <v>KQ</v>
      </c>
      <c r="H20" s="65" t="str">
        <f>'TIMEFOLIO K신재생에너지액티브'!B26</f>
        <v>비나텍</v>
      </c>
      <c r="I20" s="65">
        <f>VLOOKUP(H20,'TIMEFOLIO K신재생에너지액티브'!$B$11:$E$1000,4,0)</f>
        <v>2.2000000000000002</v>
      </c>
      <c r="J20" s="65">
        <f>IFERROR(VLOOKUP(H20,'TIMEFOLIO K신재생에너지액티브(과거)'!$B$11:$E$1000,4,0),0)</f>
        <v>3.82</v>
      </c>
      <c r="K20" s="20">
        <f t="shared" si="2"/>
        <v>-1.6199999999999997</v>
      </c>
      <c r="L20" s="21">
        <f t="shared" si="3"/>
        <v>-0.4240837696335078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1.38</v>
      </c>
      <c r="P20" s="26">
        <f>IFERROR(VLOOKUP(N20,'RISE 2차전지액티브(과거)'!$B$11:$E$1000,4,0),0)</f>
        <v>1.32</v>
      </c>
      <c r="Q20" s="20">
        <f t="shared" ref="Q20:Q21" si="6">O20-P20</f>
        <v>5.9999999999999831E-2</v>
      </c>
      <c r="R20" s="21">
        <f t="shared" ref="R20:R21" si="7">IFERROR(O20/P20-1,"신규편입")</f>
        <v>4.5454545454545414E-2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SNT에너지</v>
      </c>
      <c r="C21" s="65">
        <f>VLOOKUP(B21,'KODEX 신재생에너지액티브'!$B$11:$E$1000,4,0)</f>
        <v>1.77</v>
      </c>
      <c r="D21" s="65">
        <f>IFERROR(VLOOKUP(B21,'KODEX 신재생에너지액티브(과거)'!$B$11:$E$1000,4,0),0)</f>
        <v>1.76</v>
      </c>
      <c r="E21" s="20">
        <f t="shared" si="0"/>
        <v>1.0000000000000009E-2</v>
      </c>
      <c r="F21" s="21">
        <f t="shared" si="1"/>
        <v>5.6818181818181213E-3</v>
      </c>
      <c r="G21" s="63" t="str">
        <f>VLOOKUP(H21,유니버스!$C$14:$D$2561,2,0)</f>
        <v>KS</v>
      </c>
      <c r="H21" s="65" t="str">
        <f>'TIMEFOLIO K신재생에너지액티브'!B27</f>
        <v>SK</v>
      </c>
      <c r="I21" s="65">
        <f>VLOOKUP(H21,'TIMEFOLIO K신재생에너지액티브'!$B$11:$E$1000,4,0)</f>
        <v>1.92</v>
      </c>
      <c r="J21" s="65">
        <f>IFERROR(VLOOKUP(H21,'TIMEFOLIO K신재생에너지액티브(과거)'!$B$11:$E$1000,4,0),0)</f>
        <v>1.94</v>
      </c>
      <c r="K21" s="20">
        <f t="shared" si="2"/>
        <v>-2.0000000000000018E-2</v>
      </c>
      <c r="L21" s="21">
        <f t="shared" si="3"/>
        <v>-1.0309278350515427E-2</v>
      </c>
      <c r="M21" s="62" t="str">
        <f>VLOOKUP(N21,유니버스!$C$14:$D$2561,2,0)</f>
        <v>KS</v>
      </c>
      <c r="N21" s="26" t="str">
        <f>'RISE 2차전지액티브'!B27</f>
        <v>한솔케미칼</v>
      </c>
      <c r="O21" s="26">
        <f>VLOOKUP(N21,'RISE 2차전지액티브'!$B$11:$E$1000,4,0)</f>
        <v>1.1200000000000001</v>
      </c>
      <c r="P21" s="26">
        <f>IFERROR(VLOOKUP(N21,'RISE 2차전지액티브(과거)'!$B$11:$E$1000,4,0),0)</f>
        <v>0.81</v>
      </c>
      <c r="Q21" s="20">
        <f t="shared" si="6"/>
        <v>0.31000000000000005</v>
      </c>
      <c r="R21" s="21">
        <f t="shared" si="7"/>
        <v>0.38271604938271619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한화솔루션</v>
      </c>
      <c r="C22" s="65">
        <f>VLOOKUP(B22,'KODEX 신재생에너지액티브'!$B$11:$E$1000,4,0)</f>
        <v>1.71</v>
      </c>
      <c r="D22" s="65">
        <f>IFERROR(VLOOKUP(B22,'KODEX 신재생에너지액티브(과거)'!$B$11:$E$1000,4,0),0)</f>
        <v>1.66</v>
      </c>
      <c r="E22" s="20">
        <f t="shared" si="0"/>
        <v>5.0000000000000044E-2</v>
      </c>
      <c r="F22" s="21">
        <f t="shared" si="1"/>
        <v>3.0120481927710774E-2</v>
      </c>
      <c r="G22" s="63" t="str">
        <f>VLOOKUP(H22,유니버스!$C$14:$D$2561,2,0)</f>
        <v>KS</v>
      </c>
      <c r="H22" s="65" t="str">
        <f>'TIMEFOLIO K신재생에너지액티브'!B28</f>
        <v>LS</v>
      </c>
      <c r="I22" s="65">
        <f>VLOOKUP(H22,'TIMEFOLIO K신재생에너지액티브'!$B$11:$E$1000,4,0)</f>
        <v>1.71</v>
      </c>
      <c r="J22" s="65">
        <f>IFERROR(VLOOKUP(H22,'TIMEFOLIO K신재생에너지액티브(과거)'!$B$11:$E$1000,4,0),0)</f>
        <v>1.75</v>
      </c>
      <c r="K22" s="20">
        <f t="shared" si="2"/>
        <v>-4.0000000000000036E-2</v>
      </c>
      <c r="L22" s="21">
        <f t="shared" si="3"/>
        <v>-2.2857142857142909E-2</v>
      </c>
      <c r="M22" s="62" t="str">
        <f>VLOOKUP(N22,유니버스!$C$14:$D$2561,2,0)</f>
        <v>KQ</v>
      </c>
      <c r="N22" s="26" t="str">
        <f>'RISE 2차전지액티브'!B28</f>
        <v>한중엔시에스</v>
      </c>
      <c r="O22" s="26">
        <f>VLOOKUP(N22,'RISE 2차전지액티브'!$B$11:$E$1000,4,0)</f>
        <v>0.82</v>
      </c>
      <c r="P22" s="26">
        <f>IFERROR(VLOOKUP(N22,'RISE 2차전지액티브(과거)'!$B$11:$E$1000,4,0),0)</f>
        <v>0.82</v>
      </c>
      <c r="Q22" s="20">
        <f t="shared" ref="Q22:Q23" si="8">O22-P22</f>
        <v>0</v>
      </c>
      <c r="R22" s="21">
        <f t="shared" ref="R22:R23" si="9">IFERROR(O22/P22-1,"신규편입")</f>
        <v>0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1.48</v>
      </c>
      <c r="D23" s="65">
        <f>IFERROR(VLOOKUP(B23,'KODEX 신재생에너지액티브(과거)'!$B$11:$E$1000,4,0),0)</f>
        <v>1.51</v>
      </c>
      <c r="E23" s="20">
        <f t="shared" si="0"/>
        <v>-3.0000000000000027E-2</v>
      </c>
      <c r="F23" s="21">
        <f t="shared" si="1"/>
        <v>-1.9867549668874163E-2</v>
      </c>
      <c r="G23" s="63" t="str">
        <f>VLOOKUP(H23,유니버스!$C$14:$D$2561,2,0)</f>
        <v>KS</v>
      </c>
      <c r="H23" s="65" t="str">
        <f>'TIMEFOLIO K신재생에너지액티브'!B29</f>
        <v>두산퓨얼셀</v>
      </c>
      <c r="I23" s="65">
        <f>VLOOKUP(H23,'TIMEFOLIO K신재생에너지액티브'!$B$11:$E$1000,4,0)</f>
        <v>1.61</v>
      </c>
      <c r="J23" s="65">
        <f>IFERROR(VLOOKUP(H23,'TIMEFOLIO K신재생에너지액티브(과거)'!$B$11:$E$1000,4,0),0)</f>
        <v>0</v>
      </c>
      <c r="K23" s="20">
        <f t="shared" si="2"/>
        <v>1.61</v>
      </c>
      <c r="L23" s="21" t="str">
        <f t="shared" si="3"/>
        <v>신규편입</v>
      </c>
      <c r="M23" s="62" t="e">
        <f>VLOOKUP(N23,유니버스!$C$14:$D$2561,2,0)</f>
        <v>#N/A</v>
      </c>
      <c r="N23" s="26" t="str">
        <f>'RISE 2차전지액티브'!B29</f>
        <v>원화현금</v>
      </c>
      <c r="O23" s="26">
        <f>VLOOKUP(N23,'RISE 2차전지액티브'!$B$11:$E$1000,4,0)</f>
        <v>7.0000000000000007E-2</v>
      </c>
      <c r="P23" s="26">
        <f>IFERROR(VLOOKUP(N23,'RISE 2차전지액티브(과거)'!$B$11:$E$1000,4,0),0)</f>
        <v>0</v>
      </c>
      <c r="Q23" s="20">
        <f t="shared" si="8"/>
        <v>7.0000000000000007E-2</v>
      </c>
      <c r="R23" s="21" t="str">
        <f t="shared" si="9"/>
        <v>신규편입</v>
      </c>
    </row>
    <row r="24" spans="1:18" x14ac:dyDescent="0.4">
      <c r="A24" s="63" t="str">
        <f>VLOOKUP(B24,유니버스!$C$14:$D$2561,2,0)</f>
        <v>KQ</v>
      </c>
      <c r="B24" s="65" t="str">
        <f>'KODEX 신재생에너지액티브'!B30</f>
        <v>비츠로셀</v>
      </c>
      <c r="C24" s="65">
        <f>VLOOKUP(B24,'KODEX 신재생에너지액티브'!$B$11:$E$1000,4,0)</f>
        <v>1.3</v>
      </c>
      <c r="D24" s="65">
        <f>IFERROR(VLOOKUP(B24,'KODEX 신재생에너지액티브(과거)'!$B$11:$E$1000,4,0),0)</f>
        <v>1.28</v>
      </c>
      <c r="E24" s="20">
        <f t="shared" si="0"/>
        <v>2.0000000000000018E-2</v>
      </c>
      <c r="F24" s="21">
        <f t="shared" si="1"/>
        <v>1.5625E-2</v>
      </c>
      <c r="G24" s="63" t="str">
        <f>VLOOKUP(H24,유니버스!$C$14:$D$2561,2,0)</f>
        <v>KS</v>
      </c>
      <c r="H24" s="65" t="str">
        <f>'TIMEFOLIO K신재생에너지액티브'!B30</f>
        <v>SK이노베이션</v>
      </c>
      <c r="I24" s="65">
        <f>VLOOKUP(H24,'TIMEFOLIO K신재생에너지액티브'!$B$11:$E$1000,4,0)</f>
        <v>1.45</v>
      </c>
      <c r="J24" s="65">
        <f>IFERROR(VLOOKUP(H24,'TIMEFOLIO K신재생에너지액티브(과거)'!$B$11:$E$1000,4,0),0)</f>
        <v>0</v>
      </c>
      <c r="K24" s="20">
        <f t="shared" si="2"/>
        <v>1.45</v>
      </c>
      <c r="L24" s="21" t="str">
        <f t="shared" si="3"/>
        <v>신규편입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KQ</v>
      </c>
      <c r="B25" s="65" t="str">
        <f>'KODEX 신재생에너지액티브'!B31</f>
        <v>미코</v>
      </c>
      <c r="C25" s="65">
        <f>VLOOKUP(B25,'KODEX 신재생에너지액티브'!$B$11:$E$1000,4,0)</f>
        <v>1.25</v>
      </c>
      <c r="D25" s="65">
        <f>IFERROR(VLOOKUP(B25,'KODEX 신재생에너지액티브(과거)'!$B$11:$E$1000,4,0),0)</f>
        <v>0.99</v>
      </c>
      <c r="E25" s="20">
        <f t="shared" si="0"/>
        <v>0.26</v>
      </c>
      <c r="F25" s="21">
        <f t="shared" si="1"/>
        <v>0.26262626262626254</v>
      </c>
      <c r="G25" s="63" t="str">
        <f>VLOOKUP(H25,유니버스!$C$14:$D$2561,2,0)</f>
        <v>KS</v>
      </c>
      <c r="H25" s="65" t="str">
        <f>'TIMEFOLIO K신재생에너지액티브'!B31</f>
        <v>두산</v>
      </c>
      <c r="I25" s="65">
        <f>VLOOKUP(H25,'TIMEFOLIO K신재생에너지액티브'!$B$11:$E$1000,4,0)</f>
        <v>1.31</v>
      </c>
      <c r="J25" s="65">
        <f>IFERROR(VLOOKUP(H25,'TIMEFOLIO K신재생에너지액티브(과거)'!$B$11:$E$1000,4,0),0)</f>
        <v>0</v>
      </c>
      <c r="K25" s="20">
        <f t="shared" si="2"/>
        <v>1.31</v>
      </c>
      <c r="L25" s="21" t="str">
        <f t="shared" si="3"/>
        <v>신규편입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KS</v>
      </c>
      <c r="B26" s="65" t="str">
        <f>'KODEX 신재생에너지액티브'!B32</f>
        <v>삼아알미늄</v>
      </c>
      <c r="C26" s="65">
        <f>VLOOKUP(B26,'KODEX 신재생에너지액티브'!$B$11:$E$1000,4,0)</f>
        <v>1.21</v>
      </c>
      <c r="D26" s="65">
        <f>IFERROR(VLOOKUP(B26,'KODEX 신재생에너지액티브(과거)'!$B$11:$E$1000,4,0),0)</f>
        <v>1.26</v>
      </c>
      <c r="E26" s="20">
        <f t="shared" si="0"/>
        <v>-5.0000000000000044E-2</v>
      </c>
      <c r="F26" s="21">
        <f t="shared" si="1"/>
        <v>-3.9682539682539764E-2</v>
      </c>
      <c r="G26" s="63" t="str">
        <f>VLOOKUP(H26,유니버스!$C$14:$D$2561,2,0)</f>
        <v>KS</v>
      </c>
      <c r="H26" s="65" t="str">
        <f>'TIMEFOLIO K신재생에너지액티브'!B32</f>
        <v>씨에스윈드</v>
      </c>
      <c r="I26" s="65">
        <f>VLOOKUP(H26,'TIMEFOLIO K신재생에너지액티브'!$B$11:$E$1000,4,0)</f>
        <v>1.17</v>
      </c>
      <c r="J26" s="65">
        <f>IFERROR(VLOOKUP(H26,'TIMEFOLIO K신재생에너지액티브(과거)'!$B$11:$E$1000,4,0),0)</f>
        <v>1.1200000000000001</v>
      </c>
      <c r="K26" s="20">
        <f t="shared" si="2"/>
        <v>4.9999999999999822E-2</v>
      </c>
      <c r="L26" s="21">
        <f t="shared" si="3"/>
        <v>4.4642857142856984E-2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에코프로비엠</v>
      </c>
      <c r="C27" s="65">
        <f>VLOOKUP(B27,'KODEX 신재생에너지액티브'!$B$11:$E$1000,4,0)</f>
        <v>1.1200000000000001</v>
      </c>
      <c r="D27" s="65">
        <f>IFERROR(VLOOKUP(B27,'KODEX 신재생에너지액티브(과거)'!$B$11:$E$1000,4,0),0)</f>
        <v>1.27</v>
      </c>
      <c r="E27" s="20">
        <f t="shared" si="0"/>
        <v>-0.14999999999999991</v>
      </c>
      <c r="F27" s="21">
        <f t="shared" si="1"/>
        <v>-0.11811023622047234</v>
      </c>
      <c r="G27" s="63" t="str">
        <f>VLOOKUP(H27,유니버스!$C$14:$D$2561,2,0)</f>
        <v>KS</v>
      </c>
      <c r="H27" s="65" t="str">
        <f>'TIMEFOLIO K신재생에너지액티브'!B33</f>
        <v>POSCO홀딩스</v>
      </c>
      <c r="I27" s="65">
        <f>VLOOKUP(H27,'TIMEFOLIO K신재생에너지액티브'!$B$11:$E$1000,4,0)</f>
        <v>1.1599999999999999</v>
      </c>
      <c r="J27" s="65">
        <f>IFERROR(VLOOKUP(H27,'TIMEFOLIO K신재생에너지액티브(과거)'!$B$11:$E$1000,4,0),0)</f>
        <v>1.18</v>
      </c>
      <c r="K27" s="20">
        <f t="shared" si="2"/>
        <v>-2.0000000000000018E-2</v>
      </c>
      <c r="L27" s="21">
        <f t="shared" si="3"/>
        <v>-1.6949152542372947E-2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KS</v>
      </c>
      <c r="B28" s="65" t="str">
        <f>'KODEX 신재생에너지액티브'!B34</f>
        <v>대원전선</v>
      </c>
      <c r="C28" s="65">
        <f>VLOOKUP(B28,'KODEX 신재생에너지액티브'!$B$11:$E$1000,4,0)</f>
        <v>1.0900000000000001</v>
      </c>
      <c r="D28" s="65">
        <f>IFERROR(VLOOKUP(B28,'KODEX 신재생에너지액티브(과거)'!$B$11:$E$1000,4,0),0)</f>
        <v>1.1200000000000001</v>
      </c>
      <c r="E28" s="20">
        <f t="shared" si="0"/>
        <v>-3.0000000000000027E-2</v>
      </c>
      <c r="F28" s="21">
        <f t="shared" si="1"/>
        <v>-2.6785714285714302E-2</v>
      </c>
      <c r="G28" s="63" t="str">
        <f>VLOOKUP(H28,유니버스!$C$14:$D$2561,2,0)</f>
        <v>KS</v>
      </c>
      <c r="H28" s="65" t="str">
        <f>'TIMEFOLIO K신재생에너지액티브'!B34</f>
        <v>SK오션플랜트</v>
      </c>
      <c r="I28" s="65">
        <f>VLOOKUP(H28,'TIMEFOLIO K신재생에너지액티브'!$B$11:$E$1000,4,0)</f>
        <v>1.1499999999999999</v>
      </c>
      <c r="J28" s="65">
        <f>IFERROR(VLOOKUP(H28,'TIMEFOLIO K신재생에너지액티브(과거)'!$B$11:$E$1000,4,0),0)</f>
        <v>0</v>
      </c>
      <c r="K28" s="20">
        <f t="shared" ref="K28" si="10">I28-J28</f>
        <v>1.1499999999999999</v>
      </c>
      <c r="L28" s="21" t="str">
        <f t="shared" ref="L28" si="11">IFERROR(I28/J28-1,"신규편입")</f>
        <v>신규편입</v>
      </c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코세스</v>
      </c>
      <c r="C29" s="65">
        <f>VLOOKUP(B29,'KODEX 신재생에너지액티브'!$B$11:$E$1000,4,0)</f>
        <v>0.98</v>
      </c>
      <c r="D29" s="65">
        <f>IFERROR(VLOOKUP(B29,'KODEX 신재생에너지액티브(과거)'!$B$11:$E$1000,4,0),0)</f>
        <v>0.87</v>
      </c>
      <c r="E29" s="20">
        <f t="shared" si="0"/>
        <v>0.10999999999999999</v>
      </c>
      <c r="F29" s="21">
        <f t="shared" si="1"/>
        <v>0.12643678160919536</v>
      </c>
      <c r="H29" s="65"/>
      <c r="I29" s="65"/>
      <c r="J29" s="65"/>
      <c r="K29" s="20"/>
      <c r="L29" s="21"/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한텍</v>
      </c>
      <c r="C30" s="65">
        <f>VLOOKUP(B30,'KODEX 신재생에너지액티브'!$B$11:$E$1000,4,0)</f>
        <v>0.96</v>
      </c>
      <c r="D30" s="65">
        <f>IFERROR(VLOOKUP(B30,'KODEX 신재생에너지액티브(과거)'!$B$11:$E$1000,4,0),0)</f>
        <v>0.99</v>
      </c>
      <c r="E30" s="20">
        <f t="shared" si="0"/>
        <v>-3.0000000000000027E-2</v>
      </c>
      <c r="F30" s="21">
        <f t="shared" si="1"/>
        <v>-3.0303030303030276E-2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태웅</v>
      </c>
      <c r="C31" s="65">
        <f>VLOOKUP(B31,'KODEX 신재생에너지액티브'!$B$11:$E$1000,4,0)</f>
        <v>0.85</v>
      </c>
      <c r="D31" s="65">
        <f>IFERROR(VLOOKUP(B31,'KODEX 신재생에너지액티브(과거)'!$B$11:$E$1000,4,0),0)</f>
        <v>0.85</v>
      </c>
      <c r="E31" s="20">
        <f t="shared" si="0"/>
        <v>0</v>
      </c>
      <c r="F31" s="21">
        <f t="shared" si="1"/>
        <v>0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'KODEX 신재생에너지액티브'!B38</f>
        <v>후성</v>
      </c>
      <c r="C32" s="65">
        <f>VLOOKUP(B32,'KODEX 신재생에너지액티브'!$B$11:$E$1000,4,0)</f>
        <v>0.82</v>
      </c>
      <c r="D32" s="65">
        <f>IFERROR(VLOOKUP(B32,'KODEX 신재생에너지액티브(과거)'!$B$11:$E$1000,4,0),0)</f>
        <v>0.51</v>
      </c>
      <c r="E32" s="20">
        <f t="shared" si="0"/>
        <v>0.30999999999999994</v>
      </c>
      <c r="F32" s="21">
        <f t="shared" si="1"/>
        <v>0.6078431372549018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'KODEX 신재생에너지액티브'!B39</f>
        <v>세아베스틸지주</v>
      </c>
      <c r="C33" s="65">
        <f>VLOOKUP(B33,'KODEX 신재생에너지액티브'!$B$11:$E$1000,4,0)</f>
        <v>0.78</v>
      </c>
      <c r="D33" s="65">
        <f>IFERROR(VLOOKUP(B33,'KODEX 신재생에너지액티브(과거)'!$B$11:$E$1000,4,0),0)</f>
        <v>0.77</v>
      </c>
      <c r="E33" s="20">
        <f t="shared" si="0"/>
        <v>1.0000000000000009E-2</v>
      </c>
      <c r="F33" s="21">
        <f t="shared" si="1"/>
        <v>1.2987012987013102E-2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레이크머티리얼즈</v>
      </c>
      <c r="C34" s="65">
        <f>VLOOKUP(B34,'KODEX 신재생에너지액티브'!$B$11:$E$1000,4,0)</f>
        <v>0.74</v>
      </c>
      <c r="D34" s="65">
        <f>IFERROR(VLOOKUP(B34,'KODEX 신재생에너지액티브(과거)'!$B$11:$E$1000,4,0),0)</f>
        <v>0.75</v>
      </c>
      <c r="E34" s="20">
        <f t="shared" si="0"/>
        <v>-1.0000000000000009E-2</v>
      </c>
      <c r="F34" s="21">
        <f t="shared" si="1"/>
        <v>-1.3333333333333308E-2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성일하이텍</v>
      </c>
      <c r="C35" s="65">
        <f>VLOOKUP(B35,'KODEX 신재생에너지액티브'!$B$11:$E$1000,4,0)</f>
        <v>0.68</v>
      </c>
      <c r="D35" s="65">
        <f>IFERROR(VLOOKUP(B35,'KODEX 신재생에너지액티브(과거)'!$B$11:$E$1000,4,0),0)</f>
        <v>0.7</v>
      </c>
      <c r="E35" s="20">
        <f t="shared" si="0"/>
        <v>-1.9999999999999907E-2</v>
      </c>
      <c r="F35" s="21">
        <f t="shared" si="1"/>
        <v>-2.857142857142847E-2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강원에너지</v>
      </c>
      <c r="C36" s="65">
        <f>VLOOKUP(B36,'KODEX 신재생에너지액티브'!$B$11:$E$1000,4,0)</f>
        <v>0.66</v>
      </c>
      <c r="D36" s="65">
        <f>IFERROR(VLOOKUP(B36,'KODEX 신재생에너지액티브(과거)'!$B$11:$E$1000,4,0),0)</f>
        <v>0.65</v>
      </c>
      <c r="E36" s="20">
        <f t="shared" si="0"/>
        <v>1.0000000000000009E-2</v>
      </c>
      <c r="F36" s="21">
        <f t="shared" si="1"/>
        <v>1.538461538461533E-2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'KODEX 신재생에너지액티브'!B43</f>
        <v>상신이디피</v>
      </c>
      <c r="C37" s="65">
        <f>VLOOKUP(B37,'KODEX 신재생에너지액티브'!$B$11:$E$1000,4,0)</f>
        <v>0.65</v>
      </c>
      <c r="D37" s="65">
        <f>IFERROR(VLOOKUP(B37,'KODEX 신재생에너지액티브(과거)'!$B$11:$E$1000,4,0),0)</f>
        <v>0.69</v>
      </c>
      <c r="E37" s="20">
        <f t="shared" si="0"/>
        <v>-3.9999999999999925E-2</v>
      </c>
      <c r="F37" s="21">
        <f t="shared" si="1"/>
        <v>-5.7971014492753548E-2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대명에너지</v>
      </c>
      <c r="C38" s="65">
        <f>VLOOKUP(B38,'KODEX 신재생에너지액티브'!$B$11:$E$1000,4,0)</f>
        <v>0.64</v>
      </c>
      <c r="D38" s="65">
        <f>IFERROR(VLOOKUP(B38,'KODEX 신재생에너지액티브(과거)'!$B$11:$E$1000,4,0),0)</f>
        <v>0.61</v>
      </c>
      <c r="E38" s="20">
        <f t="shared" si="0"/>
        <v>3.0000000000000027E-2</v>
      </c>
      <c r="F38" s="21">
        <f t="shared" si="1"/>
        <v>4.9180327868852514E-2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'KODEX 신재생에너지액티브'!B45</f>
        <v>대한전선</v>
      </c>
      <c r="C39" s="65">
        <f>VLOOKUP(B39,'KODEX 신재생에너지액티브'!$B$11:$E$1000,4,0)</f>
        <v>0.61</v>
      </c>
      <c r="D39" s="65">
        <f>IFERROR(VLOOKUP(B39,'KODEX 신재생에너지액티브(과거)'!$B$11:$E$1000,4,0),0)</f>
        <v>0.64</v>
      </c>
      <c r="E39" s="20">
        <f t="shared" si="0"/>
        <v>-3.0000000000000027E-2</v>
      </c>
      <c r="F39" s="21">
        <f t="shared" si="1"/>
        <v>-4.6875E-2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LG에너지솔루션</v>
      </c>
      <c r="C40" s="65">
        <f>VLOOKUP(B40,'KODEX 신재생에너지액티브'!$B$11:$E$1000,4,0)</f>
        <v>0.55000000000000004</v>
      </c>
      <c r="D40" s="65">
        <f>IFERROR(VLOOKUP(B40,'KODEX 신재생에너지액티브(과거)'!$B$11:$E$1000,4,0),0)</f>
        <v>0.56000000000000005</v>
      </c>
      <c r="E40" s="20">
        <f t="shared" si="0"/>
        <v>-1.0000000000000009E-2</v>
      </c>
      <c r="F40" s="21">
        <f t="shared" si="1"/>
        <v>-1.7857142857142905E-2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에코프로머티</v>
      </c>
      <c r="C41" s="65">
        <f>VLOOKUP(B41,'KODEX 신재생에너지액티브'!$B$11:$E$1000,4,0)</f>
        <v>0.54</v>
      </c>
      <c r="D41" s="65">
        <f>IFERROR(VLOOKUP(B41,'KODEX 신재생에너지액티브(과거)'!$B$11:$E$1000,4,0),0)</f>
        <v>0.55000000000000004</v>
      </c>
      <c r="E41" s="20">
        <f t="shared" si="0"/>
        <v>-1.0000000000000009E-2</v>
      </c>
      <c r="F41" s="21">
        <f t="shared" si="1"/>
        <v>-1.8181818181818188E-2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'KODEX 신재생에너지액티브'!B48</f>
        <v>선익시스템</v>
      </c>
      <c r="C42" s="65">
        <f>VLOOKUP(B42,'KODEX 신재생에너지액티브'!$B$11:$E$1000,4,0)</f>
        <v>0.53</v>
      </c>
      <c r="D42" s="65">
        <f>IFERROR(VLOOKUP(B42,'KODEX 신재생에너지액티브(과거)'!$B$11:$E$1000,4,0),0)</f>
        <v>0.46</v>
      </c>
      <c r="E42" s="20">
        <f t="shared" si="0"/>
        <v>7.0000000000000007E-2</v>
      </c>
      <c r="F42" s="21">
        <f t="shared" si="1"/>
        <v>0.15217391304347827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한선엔지니어링</v>
      </c>
      <c r="C43" s="65">
        <f>VLOOKUP(B43,'KODEX 신재생에너지액티브'!$B$11:$E$1000,4,0)</f>
        <v>0.45</v>
      </c>
      <c r="D43" s="65">
        <f>IFERROR(VLOOKUP(B43,'KODEX 신재생에너지액티브(과거)'!$B$11:$E$1000,4,0),0)</f>
        <v>0.47</v>
      </c>
      <c r="E43" s="20">
        <f t="shared" si="0"/>
        <v>-1.9999999999999962E-2</v>
      </c>
      <c r="F43" s="21">
        <f t="shared" si="1"/>
        <v>-4.2553191489361653E-2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한중엔시에스</v>
      </c>
      <c r="C44" s="65">
        <f>VLOOKUP(B44,'KODEX 신재생에너지액티브'!$B$11:$E$1000,4,0)</f>
        <v>0.44</v>
      </c>
      <c r="D44" s="65">
        <f>IFERROR(VLOOKUP(B44,'KODEX 신재생에너지액티브(과거)'!$B$11:$E$1000,4,0),0)</f>
        <v>0.48</v>
      </c>
      <c r="E44" s="20">
        <f t="shared" si="0"/>
        <v>-3.999999999999998E-2</v>
      </c>
      <c r="F44" s="21">
        <f t="shared" si="1"/>
        <v>-8.3333333333333259E-2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천보</v>
      </c>
      <c r="C45" s="65">
        <f>VLOOKUP(B45,'KODEX 신재생에너지액티브'!$B$11:$E$1000,4,0)</f>
        <v>0.43</v>
      </c>
      <c r="D45" s="65">
        <f>IFERROR(VLOOKUP(B45,'KODEX 신재생에너지액티브(과거)'!$B$11:$E$1000,4,0),0)</f>
        <v>0.42</v>
      </c>
      <c r="E45" s="20">
        <f t="shared" si="0"/>
        <v>1.0000000000000009E-2</v>
      </c>
      <c r="F45" s="21">
        <f t="shared" si="1"/>
        <v>2.3809523809523725E-2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'KODEX 신재생에너지액티브'!B52</f>
        <v>대우건설</v>
      </c>
      <c r="C46" s="65">
        <f>VLOOKUP(B46,'KODEX 신재생에너지액티브'!$B$11:$E$1000,4,0)</f>
        <v>0.38</v>
      </c>
      <c r="D46" s="65">
        <f>IFERROR(VLOOKUP(B46,'KODEX 신재생에너지액티브(과거)'!$B$11:$E$1000,4,0),0)</f>
        <v>0.41</v>
      </c>
      <c r="E46" s="20">
        <f t="shared" si="0"/>
        <v>-2.9999999999999971E-2</v>
      </c>
      <c r="F46" s="21">
        <f t="shared" si="1"/>
        <v>-7.3170731707317027E-2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'KODEX 신재생에너지액티브'!B53</f>
        <v>나노</v>
      </c>
      <c r="C47" s="65">
        <f>VLOOKUP(B47,'KODEX 신재생에너지액티브'!$B$11:$E$1000,4,0)</f>
        <v>0.37</v>
      </c>
      <c r="D47" s="65">
        <f>IFERROR(VLOOKUP(B47,'KODEX 신재생에너지액티브(과거)'!$B$11:$E$1000,4,0),0)</f>
        <v>0.43</v>
      </c>
      <c r="E47" s="20">
        <f t="shared" si="0"/>
        <v>-0.06</v>
      </c>
      <c r="F47" s="21">
        <f t="shared" si="1"/>
        <v>-0.13953488372093026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지엔씨에너지</v>
      </c>
      <c r="C48" s="65">
        <f>VLOOKUP(B48,'KODEX 신재생에너지액티브'!$B$11:$E$1000,4,0)</f>
        <v>0.31</v>
      </c>
      <c r="D48" s="65">
        <f>IFERROR(VLOOKUP(B48,'KODEX 신재생에너지액티브(과거)'!$B$11:$E$1000,4,0),0)</f>
        <v>0.28000000000000003</v>
      </c>
      <c r="E48" s="20">
        <f t="shared" si="0"/>
        <v>2.9999999999999971E-2</v>
      </c>
      <c r="F48" s="21">
        <f t="shared" si="1"/>
        <v>0.10714285714285698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씨에스베어링</v>
      </c>
      <c r="C49" s="65">
        <f>VLOOKUP(B49,'KODEX 신재생에너지액티브'!$B$11:$E$1000,4,0)</f>
        <v>0.28999999999999998</v>
      </c>
      <c r="D49" s="65">
        <f>IFERROR(VLOOKUP(B49,'KODEX 신재생에너지액티브(과거)'!$B$11:$E$1000,4,0),0)</f>
        <v>0.3</v>
      </c>
      <c r="E49" s="20">
        <f t="shared" si="0"/>
        <v>-1.0000000000000009E-2</v>
      </c>
      <c r="F49" s="21">
        <f t="shared" si="1"/>
        <v>-3.3333333333333326E-2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KS</v>
      </c>
      <c r="B50" s="65" t="str">
        <f>'KODEX 신재생에너지액티브'!B56</f>
        <v>DI동일</v>
      </c>
      <c r="C50" s="65">
        <f>VLOOKUP(B50,'KODEX 신재생에너지액티브'!$B$11:$E$1000,4,0)</f>
        <v>0.28999999999999998</v>
      </c>
      <c r="D50" s="65">
        <f>IFERROR(VLOOKUP(B50,'KODEX 신재생에너지액티브(과거)'!$B$11:$E$1000,4,0),0)</f>
        <v>0.27</v>
      </c>
      <c r="E50" s="20">
        <f t="shared" si="0"/>
        <v>1.9999999999999962E-2</v>
      </c>
      <c r="F50" s="21">
        <f t="shared" si="1"/>
        <v>7.4074074074073959E-2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KQ</v>
      </c>
      <c r="B51" s="65" t="str">
        <f>'KODEX 신재생에너지액티브'!B57</f>
        <v>아모센스</v>
      </c>
      <c r="C51" s="65">
        <f>VLOOKUP(B51,'KODEX 신재생에너지액티브'!$B$11:$E$1000,4,0)</f>
        <v>0.27</v>
      </c>
      <c r="D51" s="65">
        <f>IFERROR(VLOOKUP(B51,'KODEX 신재생에너지액티브(과거)'!$B$11:$E$1000,4,0),0)</f>
        <v>0.3</v>
      </c>
      <c r="E51" s="20">
        <f t="shared" si="0"/>
        <v>-2.9999999999999971E-2</v>
      </c>
      <c r="F51" s="21">
        <f t="shared" si="1"/>
        <v>-9.9999999999999867E-2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KQ</v>
      </c>
      <c r="B52" s="65" t="str">
        <f>'KODEX 신재생에너지액티브'!B58</f>
        <v>주성엔지니어링</v>
      </c>
      <c r="C52" s="65">
        <f>VLOOKUP(B52,'KODEX 신재생에너지액티브'!$B$11:$E$1000,4,0)</f>
        <v>0.23</v>
      </c>
      <c r="D52" s="65">
        <f>IFERROR(VLOOKUP(B52,'KODEX 신재생에너지액티브(과거)'!$B$11:$E$1000,4,0),0)</f>
        <v>0.16</v>
      </c>
      <c r="E52" s="20">
        <f t="shared" si="0"/>
        <v>7.0000000000000007E-2</v>
      </c>
      <c r="F52" s="21">
        <f t="shared" si="1"/>
        <v>0.4375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KS</v>
      </c>
      <c r="B53" s="65" t="str">
        <f>'KODEX 신재생에너지액티브'!B59</f>
        <v>두산퓨얼셀</v>
      </c>
      <c r="C53" s="65">
        <f>VLOOKUP(B53,'KODEX 신재생에너지액티브'!$B$11:$E$1000,4,0)</f>
        <v>0.2</v>
      </c>
      <c r="D53" s="65">
        <f>IFERROR(VLOOKUP(B53,'KODEX 신재생에너지액티브(과거)'!$B$11:$E$1000,4,0),0)</f>
        <v>0.22</v>
      </c>
      <c r="E53" s="20">
        <f t="shared" si="0"/>
        <v>-1.999999999999999E-2</v>
      </c>
      <c r="F53" s="21">
        <f t="shared" si="1"/>
        <v>-9.0909090909090828E-2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유니슨</v>
      </c>
      <c r="C54" s="65">
        <f>VLOOKUP(B54,'KODEX 신재생에너지액티브'!$B$11:$E$1000,4,0)</f>
        <v>0.16</v>
      </c>
      <c r="D54" s="65">
        <f>IFERROR(VLOOKUP(B54,'KODEX 신재생에너지액티브(과거)'!$B$11:$E$1000,4,0),0)</f>
        <v>0.15</v>
      </c>
      <c r="E54" s="20">
        <f t="shared" si="0"/>
        <v>1.0000000000000009E-2</v>
      </c>
      <c r="F54" s="21">
        <f t="shared" si="1"/>
        <v>6.6666666666666652E-2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우양에이치씨</v>
      </c>
      <c r="C55" s="65">
        <f>VLOOKUP(B55,'KODEX 신재생에너지액티브'!$B$11:$E$1000,4,0)</f>
        <v>0.14000000000000001</v>
      </c>
      <c r="D55" s="65">
        <f>IFERROR(VLOOKUP(B55,'KODEX 신재생에너지액티브(과거)'!$B$11:$E$1000,4,0),0)</f>
        <v>0.16</v>
      </c>
      <c r="E55" s="20">
        <f t="shared" si="0"/>
        <v>-1.999999999999999E-2</v>
      </c>
      <c r="F55" s="21">
        <f t="shared" si="1"/>
        <v>-0.12499999999999989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현대차</v>
      </c>
      <c r="C56" s="65">
        <f>VLOOKUP(B56,'KODEX 신재생에너지액티브'!$B$11:$E$1000,4,0)</f>
        <v>0.14000000000000001</v>
      </c>
      <c r="D56" s="65">
        <f>IFERROR(VLOOKUP(B56,'KODEX 신재생에너지액티브(과거)'!$B$11:$E$1000,4,0),0)</f>
        <v>0.14000000000000001</v>
      </c>
      <c r="E56" s="20">
        <f t="shared" si="0"/>
        <v>0</v>
      </c>
      <c r="F56" s="21">
        <f t="shared" si="1"/>
        <v>0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두산에너빌리티</v>
      </c>
      <c r="C57" s="65">
        <f>VLOOKUP(B57,'KODEX 신재생에너지액티브'!$B$11:$E$1000,4,0)</f>
        <v>0.13</v>
      </c>
      <c r="D57" s="65">
        <f>IFERROR(VLOOKUP(B57,'KODEX 신재생에너지액티브(과거)'!$B$11:$E$1000,4,0),0)</f>
        <v>0.13</v>
      </c>
      <c r="E57" s="20">
        <f t="shared" si="0"/>
        <v>0</v>
      </c>
      <c r="F57" s="21">
        <f t="shared" si="1"/>
        <v>0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현대모비스</v>
      </c>
      <c r="C58" s="65">
        <f>VLOOKUP(B58,'KODEX 신재생에너지액티브'!$B$11:$E$1000,4,0)</f>
        <v>0.11</v>
      </c>
      <c r="D58" s="65">
        <f>IFERROR(VLOOKUP(B58,'KODEX 신재생에너지액티브(과거)'!$B$11:$E$1000,4,0),0)</f>
        <v>0.12</v>
      </c>
      <c r="E58" s="20">
        <f t="shared" si="0"/>
        <v>-9.999999999999995E-3</v>
      </c>
      <c r="F58" s="21">
        <f t="shared" si="1"/>
        <v>-8.3333333333333259E-2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LG전자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0.12</v>
      </c>
      <c r="E59" s="20">
        <f t="shared" si="0"/>
        <v>-1.999999999999999E-2</v>
      </c>
      <c r="F59" s="21">
        <f t="shared" si="1"/>
        <v>-0.16666666666666663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KQ</v>
      </c>
      <c r="B60" s="65" t="str">
        <f>'KODEX 신재생에너지액티브'!B66</f>
        <v>덕산네오룩스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0.09</v>
      </c>
      <c r="E60" s="20">
        <f t="shared" si="0"/>
        <v>1.0000000000000009E-2</v>
      </c>
      <c r="F60" s="21">
        <f t="shared" si="1"/>
        <v>0.11111111111111116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SK이노베이션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</v>
      </c>
      <c r="E61" s="20">
        <f t="shared" si="0"/>
        <v>0</v>
      </c>
      <c r="F61" s="21">
        <f t="shared" si="1"/>
        <v>0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POSCO홀딩스</v>
      </c>
      <c r="C62" s="65">
        <f>VLOOKUP(B62,'KODEX 신재생에너지액티브'!$B$11:$E$1000,4,0)</f>
        <v>0.1</v>
      </c>
      <c r="D62" s="65">
        <f>IFERROR(VLOOKUP(B62,'KODEX 신재생에너지액티브(과거)'!$B$11:$E$1000,4,0),0)</f>
        <v>0.1</v>
      </c>
      <c r="E62" s="20">
        <f t="shared" si="0"/>
        <v>0</v>
      </c>
      <c r="F62" s="21">
        <f t="shared" si="1"/>
        <v>0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LS에코에너지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0.09</v>
      </c>
      <c r="E63" s="20">
        <f t="shared" si="0"/>
        <v>0</v>
      </c>
      <c r="F63" s="21">
        <f t="shared" si="1"/>
        <v>0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KS</v>
      </c>
      <c r="B64" s="65" t="str">
        <f>'KODEX 신재생에너지액티브'!B70</f>
        <v>S-Oil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7.0000000000000007E-2</v>
      </c>
      <c r="E64" s="20">
        <f t="shared" si="0"/>
        <v>9.999999999999995E-3</v>
      </c>
      <c r="F64" s="21">
        <f t="shared" si="1"/>
        <v>0.14285714285714279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KQ</v>
      </c>
      <c r="B65" s="65" t="str">
        <f>'KODEX 신재생에너지액티브'!B71</f>
        <v>에어레인</v>
      </c>
      <c r="C65" s="65">
        <f>VLOOKUP(B65,'KODEX 신재생에너지액티브'!$B$11:$E$1000,4,0)</f>
        <v>0.08</v>
      </c>
      <c r="D65" s="65">
        <f>IFERROR(VLOOKUP(B65,'KODEX 신재생에너지액티브(과거)'!$B$11:$E$1000,4,0),0)</f>
        <v>0.08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한솔케미칼</v>
      </c>
      <c r="C66" s="65">
        <f>VLOOKUP(B66,'KODEX 신재생에너지액티브'!$B$11:$E$1000,4,0)</f>
        <v>0.08</v>
      </c>
      <c r="D66" s="65">
        <f>IFERROR(VLOOKUP(B66,'KODEX 신재생에너지액티브(과거)'!$B$11:$E$1000,4,0),0)</f>
        <v>0.06</v>
      </c>
      <c r="E66" s="20">
        <f t="shared" si="0"/>
        <v>2.0000000000000004E-2</v>
      </c>
      <c r="F66" s="21">
        <f t="shared" si="1"/>
        <v>0.33333333333333348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삼성E&amp;A</v>
      </c>
      <c r="C67" s="65">
        <f>VLOOKUP(B67,'KODEX 신재생에너지액티브'!$B$11:$E$1000,4,0)</f>
        <v>0.08</v>
      </c>
      <c r="D67" s="65">
        <f>IFERROR(VLOOKUP(B67,'KODEX 신재생에너지액티브(과거)'!$B$11:$E$1000,4,0),0)</f>
        <v>7.0000000000000007E-2</v>
      </c>
      <c r="E67" s="20">
        <f t="shared" si="0"/>
        <v>9.999999999999995E-3</v>
      </c>
      <c r="F67" s="21">
        <f t="shared" si="1"/>
        <v>0.14285714285714279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기아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7.0000000000000007E-2</v>
      </c>
      <c r="E68" s="20">
        <f t="shared" ref="E68:E82" si="12">C68-D68</f>
        <v>0</v>
      </c>
      <c r="F68" s="21">
        <f t="shared" ref="F68:F82" si="13">IFERROR(C68/D68-1,"신규편입")</f>
        <v>0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KQ</v>
      </c>
      <c r="B69" s="65" t="str">
        <f>'KODEX 신재생에너지액티브'!B75</f>
        <v>제일일렉트릭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7.0000000000000007E-2</v>
      </c>
      <c r="E69" s="20">
        <f t="shared" si="12"/>
        <v>-1.0000000000000009E-2</v>
      </c>
      <c r="F69" s="21">
        <f t="shared" si="13"/>
        <v>-0.14285714285714302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0.05</v>
      </c>
      <c r="D70" s="65">
        <f>IFERROR(VLOOKUP(B70,'KODEX 신재생에너지액티브(과거)'!$B$11:$E$1000,4,0),0)</f>
        <v>0.05</v>
      </c>
      <c r="E70" s="20">
        <f t="shared" si="12"/>
        <v>0</v>
      </c>
      <c r="F70" s="21">
        <f t="shared" si="13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LG화학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0.04</v>
      </c>
      <c r="E71" s="20">
        <f t="shared" si="12"/>
        <v>0</v>
      </c>
      <c r="F71" s="21">
        <f t="shared" si="13"/>
        <v>0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세아제강지주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12"/>
        <v>0</v>
      </c>
      <c r="F72" s="21">
        <f t="shared" si="13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세진중공업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0.03</v>
      </c>
      <c r="E73" s="20">
        <f t="shared" si="12"/>
        <v>1.0000000000000002E-2</v>
      </c>
      <c r="F73" s="21">
        <f t="shared" si="13"/>
        <v>0.33333333333333348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세아제강</v>
      </c>
      <c r="C74" s="65">
        <f>VLOOKUP(B74,'KODEX 신재생에너지액티브'!$B$11:$E$1000,4,0)</f>
        <v>0.04</v>
      </c>
      <c r="D74" s="65">
        <f>IFERROR(VLOOKUP(B74,'KODEX 신재생에너지액티브(과거)'!$B$11:$E$1000,4,0),0)</f>
        <v>0.03</v>
      </c>
      <c r="E74" s="20">
        <f t="shared" si="12"/>
        <v>1.0000000000000002E-2</v>
      </c>
      <c r="F74" s="21">
        <f t="shared" si="13"/>
        <v>0.33333333333333348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한전KPS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0.03</v>
      </c>
      <c r="E75" s="20">
        <f t="shared" si="12"/>
        <v>0</v>
      </c>
      <c r="F75" s="21">
        <f t="shared" si="13"/>
        <v>0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현대건설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12"/>
        <v>0</v>
      </c>
      <c r="F76" s="21">
        <f t="shared" si="13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한전기술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12"/>
        <v>0</v>
      </c>
      <c r="F77" s="21">
        <f t="shared" si="13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휴스틸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12"/>
        <v>0</v>
      </c>
      <c r="F78" s="21">
        <f t="shared" si="13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한온시스템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12"/>
        <v>0</v>
      </c>
      <c r="F79" s="21">
        <f t="shared" si="13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넥스틸</v>
      </c>
      <c r="C80" s="65">
        <f>VLOOKUP(B80,'KODEX 신재생에너지액티브'!$B$11:$E$1000,4,0)</f>
        <v>0.02</v>
      </c>
      <c r="D80" s="65">
        <f>IFERROR(VLOOKUP(B80,'KODEX 신재생에너지액티브(과거)'!$B$11:$E$1000,4,0),0)</f>
        <v>0.02</v>
      </c>
      <c r="E80" s="20">
        <f t="shared" si="12"/>
        <v>0</v>
      </c>
      <c r="F80" s="21">
        <f t="shared" si="13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코스모신소재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12"/>
        <v>0</v>
      </c>
      <c r="F81" s="21">
        <f t="shared" si="13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한국전력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12"/>
        <v>0</v>
      </c>
      <c r="F82" s="21">
        <f t="shared" si="13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1.88</v>
      </c>
      <c r="D83" s="65">
        <f>IFERROR(VLOOKUP(B83,'KODEX 신재생에너지액티브(과거)'!$B$11:$E$1000,4,0),0)</f>
        <v>1.62</v>
      </c>
      <c r="E83" s="20">
        <f t="shared" ref="E83" si="14">C83-D83</f>
        <v>0.25999999999999979</v>
      </c>
      <c r="F83" s="21">
        <f t="shared" ref="F83" si="15">IFERROR(C83/D83-1,"신규편입")</f>
        <v>0.16049382716049365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19" zoomScaleNormal="100" workbookViewId="0">
      <selection activeCell="J23" sqref="J2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[20260611]</v>
      </c>
      <c r="D4" s="66" t="str">
        <f>'KODEX 신재생에너지액티브(과거)'!B4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23" t="str">
        <f>C4</f>
        <v>CPD [20260611]</v>
      </c>
      <c r="P4" s="23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9.19</v>
      </c>
      <c r="D5" s="65">
        <f>IFERROR(VLOOKUP(B5,'TIMEFOLIO K이노베이션액티브(과거)'!$B$11:$E$1000,4,0),0)</f>
        <v>11.23</v>
      </c>
      <c r="E5" s="26">
        <f>C5-D5</f>
        <v>-2.0400000000000009</v>
      </c>
      <c r="F5" s="27">
        <f>IFERROR(C5/D5-1,"신규편입")</f>
        <v>-0.18165627782724847</v>
      </c>
      <c r="G5" s="63" t="str">
        <f>VLOOKUP(H5,유니버스!$C$14:$D$2561,2,0)</f>
        <v>KS</v>
      </c>
      <c r="H5" s="65" t="str">
        <f>'VITA MZ소비액티브'!B11</f>
        <v>신세계</v>
      </c>
      <c r="I5" s="65">
        <f>VLOOKUP(H5,'VITA MZ소비액티브'!$B$11:$E$1000,4,0)</f>
        <v>9.1</v>
      </c>
      <c r="J5" s="65">
        <f>IFERROR(VLOOKUP(H5,'VITA MZ소비액티브(과거)'!$B$11:$E$1000,4,0),0)</f>
        <v>6.97</v>
      </c>
      <c r="K5" s="20">
        <f>I5-J5</f>
        <v>2.13</v>
      </c>
      <c r="L5" s="21">
        <f>IFERROR(I5/J5-1,"신규편입")</f>
        <v>0.30559540889526549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13.53</v>
      </c>
      <c r="P5" s="26">
        <f>IFERROR(VLOOKUP(N5,'KoAct AI인프라액티브(과거)'!$B$11:$E$1000,4,0),0)</f>
        <v>14.99</v>
      </c>
      <c r="Q5" s="26">
        <f>O5-P5</f>
        <v>-1.4600000000000009</v>
      </c>
      <c r="R5" s="27">
        <f>IFERROR(O5/P5-1,"신규편입")</f>
        <v>-9.7398265510340254E-2</v>
      </c>
    </row>
    <row r="6" spans="1:18" x14ac:dyDescent="0.4">
      <c r="A6" s="63" t="str">
        <f>VLOOKUP(B6,유니버스!$C$14:$D$2561,2,0)</f>
        <v>KS</v>
      </c>
      <c r="B6" s="65" t="str">
        <f>'TIMEFOLIO K이노베이션액티브'!B12</f>
        <v>LG에너지솔루션</v>
      </c>
      <c r="C6" s="65">
        <f>VLOOKUP(B6,'TIMEFOLIO K이노베이션액티브'!$B$11:$E$1000,4,0)</f>
        <v>8.4600000000000009</v>
      </c>
      <c r="D6" s="65">
        <f>IFERROR(VLOOKUP(B6,'TIMEFOLIO K이노베이션액티브(과거)'!$B$11:$E$1000,4,0),0)</f>
        <v>7.48</v>
      </c>
      <c r="E6" s="26">
        <f t="shared" ref="E6:E29" si="0">C6-D6</f>
        <v>0.98000000000000043</v>
      </c>
      <c r="F6" s="27">
        <f t="shared" ref="F6:F29" si="1">IFERROR(C6/D6-1,"신규편입")</f>
        <v>0.13101604278074874</v>
      </c>
      <c r="G6" s="63" t="str">
        <f>VLOOKUP(H6,유니버스!$C$14:$D$2561,2,0)</f>
        <v>KS</v>
      </c>
      <c r="H6" s="65" t="str">
        <f>'VITA MZ소비액티브'!B12</f>
        <v>삼양식품</v>
      </c>
      <c r="I6" s="65">
        <f>VLOOKUP(H6,'VITA MZ소비액티브'!$B$11:$E$1000,4,0)</f>
        <v>9.0399999999999991</v>
      </c>
      <c r="J6" s="65">
        <f>IFERROR(VLOOKUP(H6,'VITA MZ소비액티브(과거)'!$B$11:$E$1000,4,0),0)</f>
        <v>9.84</v>
      </c>
      <c r="K6" s="20">
        <f t="shared" ref="K6:K21" si="2">I6-J6</f>
        <v>-0.80000000000000071</v>
      </c>
      <c r="L6" s="21">
        <f t="shared" ref="L6:L21" si="3">IFERROR(I6/J6-1,"신규편입")</f>
        <v>-8.1300813008130191E-2</v>
      </c>
      <c r="M6" s="62" t="str">
        <f>VLOOKUP(N6,유니버스!$C$14:$D$2561,2,0)</f>
        <v>KQ</v>
      </c>
      <c r="N6" s="26" t="str">
        <f>'KoAct AI인프라액티브'!B12</f>
        <v>테스</v>
      </c>
      <c r="O6" s="26">
        <f>VLOOKUP(N6,'KoAct AI인프라액티브'!$B$11:$E$1000,4,0)</f>
        <v>9.01</v>
      </c>
      <c r="P6" s="26">
        <f>IFERROR(VLOOKUP(N6,'KoAct AI인프라액티브(과거)'!$B$11:$E$1000,4,0),0)</f>
        <v>5.87</v>
      </c>
      <c r="Q6" s="26">
        <f t="shared" ref="Q6:Q31" si="4">O6-P6</f>
        <v>3.1399999999999997</v>
      </c>
      <c r="R6" s="27">
        <f t="shared" ref="R6:R31" si="5">IFERROR(O6/P6-1,"신규편입")</f>
        <v>0.53492333901192501</v>
      </c>
    </row>
    <row r="7" spans="1:18" x14ac:dyDescent="0.4">
      <c r="A7" s="63" t="str">
        <f>VLOOKUP(B7,유니버스!$C$14:$D$2561,2,0)</f>
        <v>KS</v>
      </c>
      <c r="B7" s="65" t="str">
        <f>'TIMEFOLIO K이노베이션액티브'!B13</f>
        <v>NAVER</v>
      </c>
      <c r="C7" s="65">
        <f>VLOOKUP(B7,'TIMEFOLIO K이노베이션액티브'!$B$11:$E$1000,4,0)</f>
        <v>8.2799999999999994</v>
      </c>
      <c r="D7" s="65">
        <f>IFERROR(VLOOKUP(B7,'TIMEFOLIO K이노베이션액티브(과거)'!$B$11:$E$1000,4,0),0)</f>
        <v>0</v>
      </c>
      <c r="E7" s="26">
        <f t="shared" si="0"/>
        <v>8.2799999999999994</v>
      </c>
      <c r="F7" s="27" t="str">
        <f t="shared" si="1"/>
        <v>신규편입</v>
      </c>
      <c r="G7" s="63" t="str">
        <f>VLOOKUP(H7,유니버스!$C$14:$D$2561,2,0)</f>
        <v>KS</v>
      </c>
      <c r="H7" s="65" t="str">
        <f>'VITA MZ소비액티브'!B13</f>
        <v>호텔신라</v>
      </c>
      <c r="I7" s="65">
        <f>VLOOKUP(H7,'VITA MZ소비액티브'!$B$11:$E$1000,4,0)</f>
        <v>8.7899999999999991</v>
      </c>
      <c r="J7" s="65">
        <f>IFERROR(VLOOKUP(H7,'VITA MZ소비액티브(과거)'!$B$11:$E$1000,4,0),0)</f>
        <v>9.24</v>
      </c>
      <c r="K7" s="20">
        <f t="shared" si="2"/>
        <v>-0.45000000000000107</v>
      </c>
      <c r="L7" s="21">
        <f t="shared" si="3"/>
        <v>-4.8701298701298801E-2</v>
      </c>
      <c r="M7" s="62" t="str">
        <f>VLOOKUP(N7,유니버스!$C$14:$D$2561,2,0)</f>
        <v>KQ</v>
      </c>
      <c r="N7" s="26" t="str">
        <f>'KoAct AI인프라액티브'!B13</f>
        <v>피에스케이</v>
      </c>
      <c r="O7" s="26">
        <f>VLOOKUP(N7,'KoAct AI인프라액티브'!$B$11:$E$1000,4,0)</f>
        <v>5.03</v>
      </c>
      <c r="P7" s="26">
        <f>IFERROR(VLOOKUP(N7,'KoAct AI인프라액티브(과거)'!$B$11:$E$1000,4,0),0)</f>
        <v>2.73</v>
      </c>
      <c r="Q7" s="26">
        <f t="shared" si="4"/>
        <v>2.3000000000000003</v>
      </c>
      <c r="R7" s="27">
        <f t="shared" si="5"/>
        <v>0.84249084249084261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POSCO홀딩스</v>
      </c>
      <c r="C8" s="65">
        <f>VLOOKUP(B8,'TIMEFOLIO K이노베이션액티브'!$B$11:$E$1000,4,0)</f>
        <v>7.13</v>
      </c>
      <c r="D8" s="65">
        <f>IFERROR(VLOOKUP(B8,'TIMEFOLIO K이노베이션액티브(과거)'!$B$11:$E$1000,4,0),0)</f>
        <v>7.44</v>
      </c>
      <c r="E8" s="26">
        <f t="shared" si="0"/>
        <v>-0.3100000000000005</v>
      </c>
      <c r="F8" s="27">
        <f t="shared" si="1"/>
        <v>-4.1666666666666741E-2</v>
      </c>
      <c r="G8" s="63" t="str">
        <f>VLOOKUP(H8,유니버스!$C$14:$D$2561,2,0)</f>
        <v>KS</v>
      </c>
      <c r="H8" s="65" t="str">
        <f>'VITA MZ소비액티브'!B14</f>
        <v>GS피앤엘</v>
      </c>
      <c r="I8" s="65">
        <f>VLOOKUP(H8,'VITA MZ소비액티브'!$B$11:$E$1000,4,0)</f>
        <v>8.24</v>
      </c>
      <c r="J8" s="65">
        <f>IFERROR(VLOOKUP(H8,'VITA MZ소비액티브(과거)'!$B$11:$E$1000,4,0),0)</f>
        <v>7.49</v>
      </c>
      <c r="K8" s="20">
        <f t="shared" si="2"/>
        <v>0.75</v>
      </c>
      <c r="L8" s="21">
        <f t="shared" si="3"/>
        <v>0.10013351134846471</v>
      </c>
      <c r="M8" s="62" t="str">
        <f>VLOOKUP(N8,유니버스!$C$14:$D$2561,2,0)</f>
        <v>KS</v>
      </c>
      <c r="N8" s="26" t="str">
        <f>'KoAct AI인프라액티브'!B14</f>
        <v>코리아써키트</v>
      </c>
      <c r="O8" s="26">
        <f>VLOOKUP(N8,'KoAct AI인프라액티브'!$B$11:$E$1000,4,0)</f>
        <v>4.63</v>
      </c>
      <c r="P8" s="26">
        <f>IFERROR(VLOOKUP(N8,'KoAct AI인프라액티브(과거)'!$B$11:$E$1000,4,0),0)</f>
        <v>3.7</v>
      </c>
      <c r="Q8" s="26">
        <f t="shared" si="4"/>
        <v>0.92999999999999972</v>
      </c>
      <c r="R8" s="27">
        <f t="shared" si="5"/>
        <v>0.25135135135135123</v>
      </c>
    </row>
    <row r="9" spans="1:18" x14ac:dyDescent="0.4">
      <c r="A9" s="63" t="str">
        <f>VLOOKUP(B9,유니버스!$C$14:$D$2561,2,0)</f>
        <v>KS</v>
      </c>
      <c r="B9" s="65" t="str">
        <f>'TIMEFOLIO K이노베이션액티브'!B15</f>
        <v>SK하이닉스</v>
      </c>
      <c r="C9" s="65">
        <f>VLOOKUP(B9,'TIMEFOLIO K이노베이션액티브'!$B$11:$E$1000,4,0)</f>
        <v>7</v>
      </c>
      <c r="D9" s="65">
        <f>IFERROR(VLOOKUP(B9,'TIMEFOLIO K이노베이션액티브(과거)'!$B$11:$E$1000,4,0),0)</f>
        <v>6.85</v>
      </c>
      <c r="E9" s="26">
        <f t="shared" si="0"/>
        <v>0.15000000000000036</v>
      </c>
      <c r="F9" s="27">
        <f t="shared" si="1"/>
        <v>2.1897810218978186E-2</v>
      </c>
      <c r="G9" s="63" t="str">
        <f>VLOOKUP(H9,유니버스!$C$14:$D$2561,2,0)</f>
        <v>KQ</v>
      </c>
      <c r="H9" s="65" t="str">
        <f>'VITA MZ소비액티브'!B15</f>
        <v>서부T&amp;D</v>
      </c>
      <c r="I9" s="65">
        <f>VLOOKUP(H9,'VITA MZ소비액티브'!$B$11:$E$1000,4,0)</f>
        <v>8.01</v>
      </c>
      <c r="J9" s="65">
        <f>IFERROR(VLOOKUP(H9,'VITA MZ소비액티브(과거)'!$B$11:$E$1000,4,0),0)</f>
        <v>7.74</v>
      </c>
      <c r="K9" s="20">
        <f t="shared" si="2"/>
        <v>0.26999999999999957</v>
      </c>
      <c r="L9" s="21">
        <f t="shared" si="3"/>
        <v>3.4883720930232398E-2</v>
      </c>
      <c r="M9" s="62" t="str">
        <f>VLOOKUP(N9,유니버스!$C$14:$D$2561,2,0)</f>
        <v>KS</v>
      </c>
      <c r="N9" s="26" t="str">
        <f>'KoAct AI인프라액티브'!B15</f>
        <v>삼성SDI</v>
      </c>
      <c r="O9" s="26">
        <f>VLOOKUP(N9,'KoAct AI인프라액티브'!$B$11:$E$1000,4,0)</f>
        <v>4.13</v>
      </c>
      <c r="P9" s="26">
        <f>IFERROR(VLOOKUP(N9,'KoAct AI인프라액티브(과거)'!$B$11:$E$1000,4,0),0)</f>
        <v>5.86</v>
      </c>
      <c r="Q9" s="26">
        <f t="shared" si="4"/>
        <v>-1.7300000000000004</v>
      </c>
      <c r="R9" s="27">
        <f t="shared" si="5"/>
        <v>-0.29522184300341303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심텍</v>
      </c>
      <c r="C10" s="65">
        <f>VLOOKUP(B10,'TIMEFOLIO K이노베이션액티브'!$B$11:$E$1000,4,0)</f>
        <v>5.91</v>
      </c>
      <c r="D10" s="65">
        <f>IFERROR(VLOOKUP(B10,'TIMEFOLIO K이노베이션액티브(과거)'!$B$11:$E$1000,4,0),0)</f>
        <v>3.46</v>
      </c>
      <c r="E10" s="26">
        <f t="shared" si="0"/>
        <v>2.4500000000000002</v>
      </c>
      <c r="F10" s="27">
        <f t="shared" si="1"/>
        <v>0.70809248554913307</v>
      </c>
      <c r="G10" s="63" t="str">
        <f>VLOOKUP(H10,유니버스!$C$14:$D$2561,2,0)</f>
        <v>KS</v>
      </c>
      <c r="H10" s="65" t="str">
        <f>'VITA MZ소비액티브'!B16</f>
        <v>에이피알</v>
      </c>
      <c r="I10" s="65">
        <f>VLOOKUP(H10,'VITA MZ소비액티브'!$B$11:$E$1000,4,0)</f>
        <v>8</v>
      </c>
      <c r="J10" s="65">
        <f>IFERROR(VLOOKUP(H10,'VITA MZ소비액티브(과거)'!$B$11:$E$1000,4,0),0)</f>
        <v>8.19</v>
      </c>
      <c r="K10" s="20">
        <f t="shared" si="2"/>
        <v>-0.1899999999999995</v>
      </c>
      <c r="L10" s="21">
        <f t="shared" si="3"/>
        <v>-2.3199023199023117E-2</v>
      </c>
      <c r="M10" s="62" t="str">
        <f>VLOOKUP(N10,유니버스!$C$14:$D$2561,2,0)</f>
        <v>KS</v>
      </c>
      <c r="N10" s="26" t="str">
        <f>'KoAct AI인프라액티브'!B16</f>
        <v>삼성전자</v>
      </c>
      <c r="O10" s="26">
        <f>VLOOKUP(N10,'KoAct AI인프라액티브'!$B$11:$E$1000,4,0)</f>
        <v>3.9</v>
      </c>
      <c r="P10" s="26">
        <f>IFERROR(VLOOKUP(N10,'KoAct AI인프라액티브(과거)'!$B$11:$E$1000,4,0),0)</f>
        <v>6.13</v>
      </c>
      <c r="Q10" s="26">
        <f t="shared" si="4"/>
        <v>-2.23</v>
      </c>
      <c r="R10" s="27">
        <f t="shared" si="5"/>
        <v>-0.36378466557911904</v>
      </c>
    </row>
    <row r="11" spans="1:18" x14ac:dyDescent="0.4">
      <c r="A11" s="63" t="str">
        <f>VLOOKUP(B11,유니버스!$C$14:$D$2561,2,0)</f>
        <v>KS</v>
      </c>
      <c r="B11" s="65" t="str">
        <f>'TIMEFOLIO K이노베이션액티브'!B17</f>
        <v>NC</v>
      </c>
      <c r="C11" s="65">
        <f>VLOOKUP(B11,'TIMEFOLIO K이노베이션액티브'!$B$11:$E$1000,4,0)</f>
        <v>4.8099999999999996</v>
      </c>
      <c r="D11" s="65">
        <f>IFERROR(VLOOKUP(B11,'TIMEFOLIO K이노베이션액티브(과거)'!$B$11:$E$1000,4,0),0)</f>
        <v>4.7300000000000004</v>
      </c>
      <c r="E11" s="26">
        <f t="shared" si="0"/>
        <v>7.9999999999999183E-2</v>
      </c>
      <c r="F11" s="27">
        <f t="shared" si="1"/>
        <v>1.6913319238900382E-2</v>
      </c>
      <c r="G11" s="63" t="str">
        <f>VLOOKUP(H11,유니버스!$C$14:$D$2561,2,0)</f>
        <v>KS</v>
      </c>
      <c r="H11" s="65" t="str">
        <f>'VITA MZ소비액티브'!B17</f>
        <v>롯데쇼핑</v>
      </c>
      <c r="I11" s="65">
        <f>VLOOKUP(H11,'VITA MZ소비액티브'!$B$11:$E$1000,4,0)</f>
        <v>7.95</v>
      </c>
      <c r="J11" s="65">
        <f>IFERROR(VLOOKUP(H11,'VITA MZ소비액티브(과거)'!$B$11:$E$1000,4,0),0)</f>
        <v>6.18</v>
      </c>
      <c r="K11" s="20">
        <f t="shared" si="2"/>
        <v>1.7700000000000005</v>
      </c>
      <c r="L11" s="21">
        <f t="shared" si="3"/>
        <v>0.28640776699029136</v>
      </c>
      <c r="M11" s="62" t="str">
        <f>VLOOKUP(N11,유니버스!$C$14:$D$2561,2,0)</f>
        <v>KS</v>
      </c>
      <c r="N11" s="26" t="str">
        <f>'KoAct AI인프라액티브'!B17</f>
        <v>NAVER</v>
      </c>
      <c r="O11" s="26">
        <f>VLOOKUP(N11,'KoAct AI인프라액티브'!$B$11:$E$1000,4,0)</f>
        <v>3.73</v>
      </c>
      <c r="P11" s="26">
        <f>IFERROR(VLOOKUP(N11,'KoAct AI인프라액티브(과거)'!$B$11:$E$1000,4,0),0)</f>
        <v>0</v>
      </c>
      <c r="Q11" s="26">
        <f t="shared" si="4"/>
        <v>3.73</v>
      </c>
      <c r="R11" s="27" t="str">
        <f t="shared" si="5"/>
        <v>신규편입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HD현대중공업</v>
      </c>
      <c r="C12" s="65">
        <f>VLOOKUP(B12,'TIMEFOLIO K이노베이션액티브'!$B$11:$E$1000,4,0)</f>
        <v>4.78</v>
      </c>
      <c r="D12" s="65">
        <f>IFERROR(VLOOKUP(B12,'TIMEFOLIO K이노베이션액티브(과거)'!$B$11:$E$1000,4,0),0)</f>
        <v>0</v>
      </c>
      <c r="E12" s="26">
        <f t="shared" si="0"/>
        <v>4.78</v>
      </c>
      <c r="F12" s="27" t="str">
        <f t="shared" si="1"/>
        <v>신규편입</v>
      </c>
      <c r="G12" s="63" t="str">
        <f>VLOOKUP(H12,유니버스!$C$14:$D$2561,2,0)</f>
        <v>KQ</v>
      </c>
      <c r="H12" s="65" t="str">
        <f>'VITA MZ소비액티브'!B18</f>
        <v>에스앤디</v>
      </c>
      <c r="I12" s="65">
        <f>VLOOKUP(H12,'VITA MZ소비액티브'!$B$11:$E$1000,4,0)</f>
        <v>7.04</v>
      </c>
      <c r="J12" s="65">
        <f>IFERROR(VLOOKUP(H12,'VITA MZ소비액티브(과거)'!$B$11:$E$1000,4,0),0)</f>
        <v>7.98</v>
      </c>
      <c r="K12" s="20">
        <f t="shared" si="2"/>
        <v>-0.94000000000000039</v>
      </c>
      <c r="L12" s="21">
        <f t="shared" si="3"/>
        <v>-0.1177944862155389</v>
      </c>
      <c r="M12" s="62" t="str">
        <f>VLOOKUP(N12,유니버스!$C$14:$D$2561,2,0)</f>
        <v>KQ</v>
      </c>
      <c r="N12" s="26" t="str">
        <f>'KoAct AI인프라액티브'!B18</f>
        <v>티엘비</v>
      </c>
      <c r="O12" s="26">
        <f>VLOOKUP(N12,'KoAct AI인프라액티브'!$B$11:$E$1000,4,0)</f>
        <v>3.7</v>
      </c>
      <c r="P12" s="26">
        <f>IFERROR(VLOOKUP(N12,'KoAct AI인프라액티브(과거)'!$B$11:$E$1000,4,0),0)</f>
        <v>3.67</v>
      </c>
      <c r="Q12" s="26">
        <f t="shared" si="4"/>
        <v>3.0000000000000249E-2</v>
      </c>
      <c r="R12" s="27">
        <f t="shared" si="5"/>
        <v>8.1743869209809361E-3</v>
      </c>
    </row>
    <row r="13" spans="1:18" x14ac:dyDescent="0.4">
      <c r="A13" s="63" t="str">
        <f>VLOOKUP(B13,유니버스!$C$14:$D$2561,2,0)</f>
        <v>KQ</v>
      </c>
      <c r="B13" s="65" t="str">
        <f>'TIMEFOLIO K이노베이션액티브'!B19</f>
        <v>알테오젠</v>
      </c>
      <c r="C13" s="65">
        <f>VLOOKUP(B13,'TIMEFOLIO K이노베이션액티브'!$B$11:$E$1000,4,0)</f>
        <v>4.63</v>
      </c>
      <c r="D13" s="65">
        <f>IFERROR(VLOOKUP(B13,'TIMEFOLIO K이노베이션액티브(과거)'!$B$11:$E$1000,4,0),0)</f>
        <v>6</v>
      </c>
      <c r="E13" s="26">
        <f t="shared" si="0"/>
        <v>-1.37</v>
      </c>
      <c r="F13" s="27">
        <f t="shared" si="1"/>
        <v>-0.22833333333333339</v>
      </c>
      <c r="G13" s="63" t="str">
        <f>VLOOKUP(H13,유니버스!$C$14:$D$2561,2,0)</f>
        <v>KQ</v>
      </c>
      <c r="H13" s="65" t="str">
        <f>'VITA MZ소비액티브'!B19</f>
        <v>하림지주</v>
      </c>
      <c r="I13" s="65">
        <f>VLOOKUP(H13,'VITA MZ소비액티브'!$B$11:$E$1000,4,0)</f>
        <v>6.65</v>
      </c>
      <c r="J13" s="65">
        <f>IFERROR(VLOOKUP(H13,'VITA MZ소비액티브(과거)'!$B$11:$E$1000,4,0),0)</f>
        <v>7.76</v>
      </c>
      <c r="K13" s="20">
        <f t="shared" si="2"/>
        <v>-1.1099999999999994</v>
      </c>
      <c r="L13" s="21">
        <f t="shared" si="3"/>
        <v>-0.143041237113402</v>
      </c>
      <c r="M13" s="62" t="str">
        <f>VLOOKUP(N13,유니버스!$C$14:$D$2561,2,0)</f>
        <v>KS</v>
      </c>
      <c r="N13" s="26" t="str">
        <f>'KoAct AI인프라액티브'!B19</f>
        <v>삼성전기</v>
      </c>
      <c r="O13" s="26">
        <f>VLOOKUP(N13,'KoAct AI인프라액티브'!$B$11:$E$1000,4,0)</f>
        <v>3.64</v>
      </c>
      <c r="P13" s="26">
        <f>IFERROR(VLOOKUP(N13,'KoAct AI인프라액티브(과거)'!$B$11:$E$1000,4,0),0)</f>
        <v>0</v>
      </c>
      <c r="Q13" s="26">
        <f t="shared" si="4"/>
        <v>3.64</v>
      </c>
      <c r="R13" s="27" t="str">
        <f t="shared" si="5"/>
        <v>신규편입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로보티즈</v>
      </c>
      <c r="C14" s="65">
        <f>VLOOKUP(B14,'TIMEFOLIO K이노베이션액티브'!$B$11:$E$1000,4,0)</f>
        <v>4.24</v>
      </c>
      <c r="D14" s="65">
        <f>IFERROR(VLOOKUP(B14,'TIMEFOLIO K이노베이션액티브(과거)'!$B$11:$E$1000,4,0),0)</f>
        <v>4.6500000000000004</v>
      </c>
      <c r="E14" s="26">
        <f t="shared" si="0"/>
        <v>-0.41000000000000014</v>
      </c>
      <c r="F14" s="27">
        <f t="shared" si="1"/>
        <v>-8.8172043010752765E-2</v>
      </c>
      <c r="G14" s="63" t="str">
        <f>VLOOKUP(H14,유니버스!$C$14:$D$2561,2,0)</f>
        <v>KS</v>
      </c>
      <c r="H14" s="65" t="str">
        <f>'VITA MZ소비액티브'!B20</f>
        <v>GS리테일</v>
      </c>
      <c r="I14" s="65">
        <f>VLOOKUP(H14,'VITA MZ소비액티브'!$B$11:$E$1000,4,0)</f>
        <v>5.96</v>
      </c>
      <c r="J14" s="65">
        <f>IFERROR(VLOOKUP(H14,'VITA MZ소비액티브(과거)'!$B$11:$E$1000,4,0),0)</f>
        <v>6.81</v>
      </c>
      <c r="K14" s="20">
        <f t="shared" si="2"/>
        <v>-0.84999999999999964</v>
      </c>
      <c r="L14" s="21">
        <f t="shared" si="3"/>
        <v>-0.12481644640234946</v>
      </c>
      <c r="M14" s="62" t="str">
        <f>VLOOKUP(N14,유니버스!$C$14:$D$2561,2,0)</f>
        <v>KQ</v>
      </c>
      <c r="N14" s="26" t="str">
        <f>'KoAct AI인프라액티브'!B20</f>
        <v>주성엔지니어링</v>
      </c>
      <c r="O14" s="26">
        <f>VLOOKUP(N14,'KoAct AI인프라액티브'!$B$11:$E$1000,4,0)</f>
        <v>3.62</v>
      </c>
      <c r="P14" s="26">
        <f>IFERROR(VLOOKUP(N14,'KoAct AI인프라액티브(과거)'!$B$11:$E$1000,4,0),0)</f>
        <v>4.4400000000000004</v>
      </c>
      <c r="Q14" s="26">
        <f t="shared" si="4"/>
        <v>-0.82000000000000028</v>
      </c>
      <c r="R14" s="27">
        <f t="shared" si="5"/>
        <v>-0.18468468468468469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크래프톤</v>
      </c>
      <c r="C15" s="65">
        <f>VLOOKUP(B15,'TIMEFOLIO K이노베이션액티브'!$B$11:$E$1000,4,0)</f>
        <v>3.8</v>
      </c>
      <c r="D15" s="65">
        <f>IFERROR(VLOOKUP(B15,'TIMEFOLIO K이노베이션액티브(과거)'!$B$11:$E$1000,4,0),0)</f>
        <v>4.2</v>
      </c>
      <c r="E15" s="26">
        <f t="shared" si="0"/>
        <v>-0.40000000000000036</v>
      </c>
      <c r="F15" s="27">
        <f t="shared" si="1"/>
        <v>-9.5238095238095344E-2</v>
      </c>
      <c r="G15" s="63" t="str">
        <f>VLOOKUP(H15,유니버스!$C$14:$D$2561,2,0)</f>
        <v>KS</v>
      </c>
      <c r="H15" s="65" t="str">
        <f>'VITA MZ소비액티브'!B21</f>
        <v>아모레퍼시픽</v>
      </c>
      <c r="I15" s="65">
        <f>VLOOKUP(H15,'VITA MZ소비액티브'!$B$11:$E$1000,4,0)</f>
        <v>5.18</v>
      </c>
      <c r="J15" s="65">
        <f>IFERROR(VLOOKUP(H15,'VITA MZ소비액티브(과거)'!$B$11:$E$1000,4,0),0)</f>
        <v>5.66</v>
      </c>
      <c r="K15" s="20">
        <f t="shared" si="2"/>
        <v>-0.48000000000000043</v>
      </c>
      <c r="L15" s="21">
        <f t="shared" si="3"/>
        <v>-8.4805653710247397E-2</v>
      </c>
      <c r="M15" s="62" t="str">
        <f>VLOOKUP(N15,유니버스!$C$14:$D$2561,2,0)</f>
        <v>KS</v>
      </c>
      <c r="N15" s="26" t="str">
        <f>'KoAct AI인프라액티브'!B21</f>
        <v>두산퓨얼셀</v>
      </c>
      <c r="O15" s="26">
        <f>VLOOKUP(N15,'KoAct AI인프라액티브'!$B$11:$E$1000,4,0)</f>
        <v>3.38</v>
      </c>
      <c r="P15" s="26">
        <f>IFERROR(VLOOKUP(N15,'KoAct AI인프라액티브(과거)'!$B$11:$E$1000,4,0),0)</f>
        <v>4.12</v>
      </c>
      <c r="Q15" s="26">
        <f t="shared" si="4"/>
        <v>-0.74000000000000021</v>
      </c>
      <c r="R15" s="27">
        <f t="shared" si="5"/>
        <v>-0.17961165048543692</v>
      </c>
    </row>
    <row r="16" spans="1:18" x14ac:dyDescent="0.4">
      <c r="A16" s="63" t="str">
        <f>VLOOKUP(B16,유니버스!$C$14:$D$2561,2,0)</f>
        <v>KS</v>
      </c>
      <c r="B16" s="65" t="str">
        <f>'TIMEFOLIO K이노베이션액티브'!B22</f>
        <v>LG이노텍</v>
      </c>
      <c r="C16" s="65">
        <f>VLOOKUP(B16,'TIMEFOLIO K이노베이션액티브'!$B$11:$E$1000,4,0)</f>
        <v>3.18</v>
      </c>
      <c r="D16" s="65">
        <f>IFERROR(VLOOKUP(B16,'TIMEFOLIO K이노베이션액티브(과거)'!$B$11:$E$1000,4,0),0)</f>
        <v>0</v>
      </c>
      <c r="E16" s="26">
        <f t="shared" si="0"/>
        <v>3.18</v>
      </c>
      <c r="F16" s="27" t="str">
        <f t="shared" si="1"/>
        <v>신규편입</v>
      </c>
      <c r="G16" s="63" t="str">
        <f>VLOOKUP(H16,유니버스!$C$14:$D$2561,2,0)</f>
        <v>KS</v>
      </c>
      <c r="H16" s="65" t="str">
        <f>'VITA MZ소비액티브'!B22</f>
        <v>파라다이스</v>
      </c>
      <c r="I16" s="65">
        <f>VLOOKUP(H16,'VITA MZ소비액티브'!$B$11:$E$1000,4,0)</f>
        <v>4.78</v>
      </c>
      <c r="J16" s="65">
        <f>IFERROR(VLOOKUP(H16,'VITA MZ소비액티브(과거)'!$B$11:$E$1000,4,0),0)</f>
        <v>4.8499999999999996</v>
      </c>
      <c r="K16" s="20">
        <f t="shared" si="2"/>
        <v>-6.9999999999999396E-2</v>
      </c>
      <c r="L16" s="21">
        <f t="shared" si="3"/>
        <v>-1.4432989690721487E-2</v>
      </c>
      <c r="M16" s="62" t="str">
        <f>VLOOKUP(N16,유니버스!$C$14:$D$2561,2,0)</f>
        <v>KS</v>
      </c>
      <c r="N16" s="26" t="str">
        <f>'KoAct AI인프라액티브'!B22</f>
        <v>SK텔레콤</v>
      </c>
      <c r="O16" s="26">
        <f>VLOOKUP(N16,'KoAct AI인프라액티브'!$B$11:$E$1000,4,0)</f>
        <v>3</v>
      </c>
      <c r="P16" s="26">
        <f>IFERROR(VLOOKUP(N16,'KoAct AI인프라액티브(과거)'!$B$11:$E$1000,4,0),0)</f>
        <v>0</v>
      </c>
      <c r="Q16" s="26">
        <f t="shared" si="4"/>
        <v>3</v>
      </c>
      <c r="R16" s="27" t="str">
        <f t="shared" si="5"/>
        <v>신규편입</v>
      </c>
    </row>
    <row r="17" spans="1:18" x14ac:dyDescent="0.4">
      <c r="A17" s="63" t="str">
        <f>VLOOKUP(B17,유니버스!$C$14:$D$2561,2,0)</f>
        <v>KS</v>
      </c>
      <c r="B17" s="65" t="str">
        <f>'TIMEFOLIO K이노베이션액티브'!B23</f>
        <v>삼화콘덴서</v>
      </c>
      <c r="C17" s="65">
        <f>VLOOKUP(B17,'TIMEFOLIO K이노베이션액티브'!$B$11:$E$1000,4,0)</f>
        <v>2.96</v>
      </c>
      <c r="D17" s="65">
        <f>IFERROR(VLOOKUP(B17,'TIMEFOLIO K이노베이션액티브(과거)'!$B$11:$E$1000,4,0),0)</f>
        <v>0</v>
      </c>
      <c r="E17" s="26">
        <f t="shared" si="0"/>
        <v>2.96</v>
      </c>
      <c r="F17" s="27" t="str">
        <f t="shared" si="1"/>
        <v>신규편입</v>
      </c>
      <c r="G17" s="63" t="str">
        <f>VLOOKUP(H17,유니버스!$C$14:$D$2561,2,0)</f>
        <v>KS</v>
      </c>
      <c r="H17" s="65" t="str">
        <f>'VITA MZ소비액티브'!B23</f>
        <v>영원무역</v>
      </c>
      <c r="I17" s="65">
        <f>VLOOKUP(H17,'VITA MZ소비액티브'!$B$11:$E$1000,4,0)</f>
        <v>3.18</v>
      </c>
      <c r="J17" s="65">
        <f>IFERROR(VLOOKUP(H17,'VITA MZ소비액티브(과거)'!$B$11:$E$1000,4,0),0)</f>
        <v>3.32</v>
      </c>
      <c r="K17" s="20">
        <f t="shared" si="2"/>
        <v>-0.13999999999999968</v>
      </c>
      <c r="L17" s="21">
        <f t="shared" si="3"/>
        <v>-4.2168674698795039E-2</v>
      </c>
      <c r="M17" s="62" t="str">
        <f>VLOOKUP(N17,유니버스!$C$14:$D$2561,2,0)</f>
        <v>KS</v>
      </c>
      <c r="N17" s="26" t="str">
        <f>'KoAct AI인프라액티브'!B23</f>
        <v>LS ELECTRIC</v>
      </c>
      <c r="O17" s="26">
        <f>VLOOKUP(N17,'KoAct AI인프라액티브'!$B$11:$E$1000,4,0)</f>
        <v>2.97</v>
      </c>
      <c r="P17" s="26">
        <f>IFERROR(VLOOKUP(N17,'KoAct AI인프라액티브(과거)'!$B$11:$E$1000,4,0),0)</f>
        <v>3.1</v>
      </c>
      <c r="Q17" s="26">
        <f t="shared" si="4"/>
        <v>-0.12999999999999989</v>
      </c>
      <c r="R17" s="27">
        <f t="shared" si="5"/>
        <v>-4.1935483870967682E-2</v>
      </c>
    </row>
    <row r="18" spans="1:18" x14ac:dyDescent="0.4">
      <c r="A18" s="63" t="str">
        <f>VLOOKUP(B18,유니버스!$C$14:$D$2561,2,0)</f>
        <v>KQ</v>
      </c>
      <c r="B18" s="65" t="str">
        <f>'TIMEFOLIO K이노베이션액티브'!B24</f>
        <v>기가비스</v>
      </c>
      <c r="C18" s="65">
        <f>VLOOKUP(B18,'TIMEFOLIO K이노베이션액티브'!$B$11:$E$1000,4,0)</f>
        <v>2.73</v>
      </c>
      <c r="D18" s="65">
        <f>IFERROR(VLOOKUP(B18,'TIMEFOLIO K이노베이션액티브(과거)'!$B$11:$E$1000,4,0),0)</f>
        <v>1.84</v>
      </c>
      <c r="E18" s="26">
        <f t="shared" si="0"/>
        <v>0.8899999999999999</v>
      </c>
      <c r="F18" s="27">
        <f t="shared" si="1"/>
        <v>0.48369565217391286</v>
      </c>
      <c r="G18" s="63" t="str">
        <f>VLOOKUP(H18,유니버스!$C$14:$D$2561,2,0)</f>
        <v>KS</v>
      </c>
      <c r="H18" s="65" t="str">
        <f>'VITA MZ소비액티브'!B24</f>
        <v>F&amp;F</v>
      </c>
      <c r="I18" s="65">
        <f>VLOOKUP(H18,'VITA MZ소비액티브'!$B$11:$E$1000,4,0)</f>
        <v>3.04</v>
      </c>
      <c r="J18" s="65">
        <f>IFERROR(VLOOKUP(H18,'VITA MZ소비액티브(과거)'!$B$11:$E$1000,4,0),0)</f>
        <v>2.83</v>
      </c>
      <c r="K18" s="20">
        <f t="shared" si="2"/>
        <v>0.20999999999999996</v>
      </c>
      <c r="L18" s="21">
        <f t="shared" si="3"/>
        <v>7.4204946996466514E-2</v>
      </c>
      <c r="M18" s="62" t="str">
        <f>VLOOKUP(N18,유니버스!$C$14:$D$2561,2,0)</f>
        <v>KQ</v>
      </c>
      <c r="N18" s="26" t="str">
        <f>'KoAct AI인프라액티브'!B24</f>
        <v>네패스</v>
      </c>
      <c r="O18" s="26">
        <f>VLOOKUP(N18,'KoAct AI인프라액티브'!$B$11:$E$1000,4,0)</f>
        <v>2.92</v>
      </c>
      <c r="P18" s="26">
        <f>IFERROR(VLOOKUP(N18,'KoAct AI인프라액티브(과거)'!$B$11:$E$1000,4,0),0)</f>
        <v>2.93</v>
      </c>
      <c r="Q18" s="26">
        <f t="shared" si="4"/>
        <v>-1.0000000000000231E-2</v>
      </c>
      <c r="R18" s="27">
        <f t="shared" si="5"/>
        <v>-3.4129692832765013E-3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주성엔지니어링</v>
      </c>
      <c r="C19" s="65">
        <f>VLOOKUP(B19,'TIMEFOLIO K이노베이션액티브'!$B$11:$E$1000,4,0)</f>
        <v>2.73</v>
      </c>
      <c r="D19" s="65">
        <f>IFERROR(VLOOKUP(B19,'TIMEFOLIO K이노베이션액티브(과거)'!$B$11:$E$1000,4,0),0)</f>
        <v>3.92</v>
      </c>
      <c r="E19" s="26">
        <f t="shared" si="0"/>
        <v>-1.19</v>
      </c>
      <c r="F19" s="27">
        <f t="shared" si="1"/>
        <v>-0.3035714285714286</v>
      </c>
      <c r="G19" s="63" t="str">
        <f>VLOOKUP(H19,유니버스!$C$14:$D$2561,2,0)</f>
        <v>KQ</v>
      </c>
      <c r="H19" s="65" t="str">
        <f>'VITA MZ소비액티브'!B25</f>
        <v>에스엠</v>
      </c>
      <c r="I19" s="65">
        <f>VLOOKUP(H19,'VITA MZ소비액티브'!$B$11:$E$1000,4,0)</f>
        <v>2.76</v>
      </c>
      <c r="J19" s="65">
        <f>IFERROR(VLOOKUP(H19,'VITA MZ소비액티브(과거)'!$B$11:$E$1000,4,0),0)</f>
        <v>2.63</v>
      </c>
      <c r="K19" s="20">
        <f t="shared" si="2"/>
        <v>0.12999999999999989</v>
      </c>
      <c r="L19" s="21">
        <f t="shared" si="3"/>
        <v>4.9429657794676674E-2</v>
      </c>
      <c r="M19" s="62" t="str">
        <f>VLOOKUP(N19,유니버스!$C$14:$D$2561,2,0)</f>
        <v>KS</v>
      </c>
      <c r="N19" s="26" t="str">
        <f>'KoAct AI인프라액티브'!B25</f>
        <v>HD현대일렉트릭</v>
      </c>
      <c r="O19" s="26">
        <f>VLOOKUP(N19,'KoAct AI인프라액티브'!$B$11:$E$1000,4,0)</f>
        <v>2.84</v>
      </c>
      <c r="P19" s="26">
        <f>IFERROR(VLOOKUP(N19,'KoAct AI인프라액티브(과거)'!$B$11:$E$1000,4,0),0)</f>
        <v>2.7</v>
      </c>
      <c r="Q19" s="26">
        <f t="shared" si="4"/>
        <v>0.13999999999999968</v>
      </c>
      <c r="R19" s="27">
        <f t="shared" si="5"/>
        <v>5.1851851851851816E-2</v>
      </c>
    </row>
    <row r="20" spans="1:18" x14ac:dyDescent="0.4">
      <c r="A20" s="63" t="str">
        <f>VLOOKUP(B20,유니버스!$C$14:$D$2561,2,0)</f>
        <v>KS</v>
      </c>
      <c r="B20" s="65" t="str">
        <f>'TIMEFOLIO K이노베이션액티브'!B26</f>
        <v>코리아써키트</v>
      </c>
      <c r="C20" s="65">
        <f>VLOOKUP(B20,'TIMEFOLIO K이노베이션액티브'!$B$11:$E$1000,4,0)</f>
        <v>2.57</v>
      </c>
      <c r="D20" s="65">
        <f>IFERROR(VLOOKUP(B20,'TIMEFOLIO K이노베이션액티브(과거)'!$B$11:$E$1000,4,0),0)</f>
        <v>1.56</v>
      </c>
      <c r="E20" s="26">
        <f t="shared" si="0"/>
        <v>1.0099999999999998</v>
      </c>
      <c r="F20" s="27">
        <f t="shared" si="1"/>
        <v>0.64743589743589736</v>
      </c>
      <c r="G20" s="63" t="str">
        <f>VLOOKUP(H20,유니버스!$C$14:$D$2561,2,0)</f>
        <v>KQ</v>
      </c>
      <c r="H20" s="65" t="str">
        <f>'VITA MZ소비액티브'!B26</f>
        <v>실리콘투</v>
      </c>
      <c r="I20" s="65">
        <f>VLOOKUP(H20,'VITA MZ소비액티브'!$B$11:$E$1000,4,0)</f>
        <v>1.45</v>
      </c>
      <c r="J20" s="65">
        <f>IFERROR(VLOOKUP(H20,'VITA MZ소비액티브(과거)'!$B$11:$E$1000,4,0),0)</f>
        <v>1.57</v>
      </c>
      <c r="K20" s="20">
        <f t="shared" si="2"/>
        <v>-0.12000000000000011</v>
      </c>
      <c r="L20" s="21">
        <f t="shared" si="3"/>
        <v>-7.6433121019108374E-2</v>
      </c>
      <c r="M20" s="62" t="str">
        <f>VLOOKUP(N20,유니버스!$C$14:$D$2561,2,0)</f>
        <v>KS</v>
      </c>
      <c r="N20" s="26" t="str">
        <f>'KoAct AI인프라액티브'!B26</f>
        <v>해성디에스</v>
      </c>
      <c r="O20" s="26">
        <f>VLOOKUP(N20,'KoAct AI인프라액티브'!$B$11:$E$1000,4,0)</f>
        <v>2.77</v>
      </c>
      <c r="P20" s="26">
        <f>IFERROR(VLOOKUP(N20,'KoAct AI인프라액티브(과거)'!$B$11:$E$1000,4,0),0)</f>
        <v>2.84</v>
      </c>
      <c r="Q20" s="26">
        <f t="shared" si="4"/>
        <v>-6.999999999999984E-2</v>
      </c>
      <c r="R20" s="27">
        <f t="shared" si="5"/>
        <v>-2.4647887323943629E-2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파두</v>
      </c>
      <c r="C21" s="65">
        <f>VLOOKUP(B21,'TIMEFOLIO K이노베이션액티브'!$B$11:$E$1000,4,0)</f>
        <v>2.57</v>
      </c>
      <c r="D21" s="65">
        <f>IFERROR(VLOOKUP(B21,'TIMEFOLIO K이노베이션액티브(과거)'!$B$11:$E$1000,4,0),0)</f>
        <v>5.12</v>
      </c>
      <c r="E21" s="26">
        <f t="shared" si="0"/>
        <v>-2.5500000000000003</v>
      </c>
      <c r="F21" s="27">
        <f t="shared" si="1"/>
        <v>-0.498046875</v>
      </c>
      <c r="G21" s="63" t="e">
        <f>VLOOKUP(H21,유니버스!$C$14:$D$2561,2,0)</f>
        <v>#N/A</v>
      </c>
      <c r="H21" s="65" t="str">
        <f>'VITA MZ소비액티브'!B27</f>
        <v>원화현금</v>
      </c>
      <c r="I21" s="65">
        <f>VLOOKUP(H21,'VITA MZ소비액티브'!$B$11:$E$1000,4,0)</f>
        <v>0.82</v>
      </c>
      <c r="J21" s="65">
        <f>IFERROR(VLOOKUP(H21,'VITA MZ소비액티브(과거)'!$B$11:$E$1000,4,0),0)</f>
        <v>0.94</v>
      </c>
      <c r="K21" s="20">
        <f t="shared" si="2"/>
        <v>-0.12</v>
      </c>
      <c r="L21" s="21">
        <f t="shared" si="3"/>
        <v>-0.12765957446808507</v>
      </c>
      <c r="M21" s="62" t="str">
        <f>VLOOKUP(N21,유니버스!$C$14:$D$2561,2,0)</f>
        <v>KQ</v>
      </c>
      <c r="N21" s="26" t="str">
        <f>'KoAct AI인프라액티브'!B27</f>
        <v>심텍</v>
      </c>
      <c r="O21" s="26">
        <f>VLOOKUP(N21,'KoAct AI인프라액티브'!$B$11:$E$1000,4,0)</f>
        <v>2.71</v>
      </c>
      <c r="P21" s="26">
        <f>IFERROR(VLOOKUP(N21,'KoAct AI인프라액티브(과거)'!$B$11:$E$1000,4,0),0)</f>
        <v>2.2400000000000002</v>
      </c>
      <c r="Q21" s="26">
        <f t="shared" si="4"/>
        <v>0.46999999999999975</v>
      </c>
      <c r="R21" s="27">
        <f t="shared" si="5"/>
        <v>0.20982142857142838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이노스페이스</v>
      </c>
      <c r="C22" s="65">
        <f>VLOOKUP(B22,'TIMEFOLIO K이노베이션액티브'!$B$11:$E$1000,4,0)</f>
        <v>2.23</v>
      </c>
      <c r="D22" s="65">
        <f>IFERROR(VLOOKUP(B22,'TIMEFOLIO K이노베이션액티브(과거)'!$B$11:$E$1000,4,0),0)</f>
        <v>2.62</v>
      </c>
      <c r="E22" s="26">
        <f t="shared" si="0"/>
        <v>-0.39000000000000012</v>
      </c>
      <c r="F22" s="27">
        <f t="shared" si="1"/>
        <v>-0.14885496183206115</v>
      </c>
      <c r="H22" s="65"/>
      <c r="I22" s="65"/>
      <c r="J22" s="65"/>
      <c r="K22" s="20"/>
      <c r="L22" s="21"/>
      <c r="M22" s="62" t="str">
        <f>VLOOKUP(N22,유니버스!$C$14:$D$2561,2,0)</f>
        <v>KQ</v>
      </c>
      <c r="N22" s="26" t="str">
        <f>'KoAct AI인프라액티브'!B28</f>
        <v>HPSP</v>
      </c>
      <c r="O22" s="26">
        <f>VLOOKUP(N22,'KoAct AI인프라액티브'!$B$11:$E$1000,4,0)</f>
        <v>2.4300000000000002</v>
      </c>
      <c r="P22" s="26">
        <f>IFERROR(VLOOKUP(N22,'KoAct AI인프라액티브(과거)'!$B$11:$E$1000,4,0),0)</f>
        <v>2.0099999999999998</v>
      </c>
      <c r="Q22" s="26">
        <f t="shared" si="4"/>
        <v>0.42000000000000037</v>
      </c>
      <c r="R22" s="27">
        <f t="shared" si="5"/>
        <v>0.20895522388059717</v>
      </c>
    </row>
    <row r="23" spans="1:18" x14ac:dyDescent="0.4">
      <c r="A23" s="63" t="str">
        <f>VLOOKUP(B23,유니버스!$C$14:$D$2561,2,0)</f>
        <v>KQ</v>
      </c>
      <c r="B23" s="65" t="str">
        <f>'TIMEFOLIO K이노베이션액티브'!B29</f>
        <v>서진시스템</v>
      </c>
      <c r="C23" s="65">
        <f>VLOOKUP(B23,'TIMEFOLIO K이노베이션액티브'!$B$11:$E$1000,4,0)</f>
        <v>2.2000000000000002</v>
      </c>
      <c r="D23" s="65">
        <f>IFERROR(VLOOKUP(B23,'TIMEFOLIO K이노베이션액티브(과거)'!$B$11:$E$1000,4,0),0)</f>
        <v>6.96</v>
      </c>
      <c r="E23" s="26">
        <f t="shared" si="0"/>
        <v>-4.76</v>
      </c>
      <c r="F23" s="27">
        <f t="shared" si="1"/>
        <v>-0.68390804597701149</v>
      </c>
      <c r="H23" s="65"/>
      <c r="I23" s="65"/>
      <c r="J23" s="65"/>
      <c r="K23" s="20"/>
      <c r="L23" s="21"/>
      <c r="M23" s="62" t="str">
        <f>VLOOKUP(N23,유니버스!$C$14:$D$2561,2,0)</f>
        <v>KQ</v>
      </c>
      <c r="N23" s="26" t="str">
        <f>'KoAct AI인프라액티브'!B29</f>
        <v>하나마이크론</v>
      </c>
      <c r="O23" s="26">
        <f>VLOOKUP(N23,'KoAct AI인프라액티브'!$B$11:$E$1000,4,0)</f>
        <v>2.2000000000000002</v>
      </c>
      <c r="P23" s="26">
        <f>IFERROR(VLOOKUP(N23,'KoAct AI인프라액티브(과거)'!$B$11:$E$1000,4,0),0)</f>
        <v>0</v>
      </c>
      <c r="Q23" s="26">
        <f t="shared" si="4"/>
        <v>2.2000000000000002</v>
      </c>
      <c r="R23" s="27" t="str">
        <f t="shared" si="5"/>
        <v>신규편입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제주반도체</v>
      </c>
      <c r="C24" s="65">
        <f>VLOOKUP(B24,'TIMEFOLIO K이노베이션액티브'!$B$11:$E$1000,4,0)</f>
        <v>1.38</v>
      </c>
      <c r="D24" s="65">
        <f>IFERROR(VLOOKUP(B24,'TIMEFOLIO K이노베이션액티브(과거)'!$B$11:$E$1000,4,0),0)</f>
        <v>1.23</v>
      </c>
      <c r="E24" s="26">
        <f t="shared" si="0"/>
        <v>0.14999999999999991</v>
      </c>
      <c r="F24" s="27">
        <f t="shared" si="1"/>
        <v>0.12195121951219501</v>
      </c>
      <c r="H24" s="65"/>
      <c r="I24" s="65"/>
      <c r="J24" s="65"/>
      <c r="K24" s="20"/>
      <c r="L24" s="21"/>
      <c r="M24" s="62" t="str">
        <f>VLOOKUP(N24,유니버스!$C$14:$D$2561,2,0)</f>
        <v>KS</v>
      </c>
      <c r="N24" s="26" t="str">
        <f>'KoAct AI인프라액티브'!B30</f>
        <v>대한전선</v>
      </c>
      <c r="O24" s="26">
        <f>VLOOKUP(N24,'KoAct AI인프라액티브'!$B$11:$E$1000,4,0)</f>
        <v>2.1800000000000002</v>
      </c>
      <c r="P24" s="26">
        <f>IFERROR(VLOOKUP(N24,'KoAct AI인프라액티브(과거)'!$B$11:$E$1000,4,0),0)</f>
        <v>2.72</v>
      </c>
      <c r="Q24" s="26">
        <f t="shared" si="4"/>
        <v>-0.54</v>
      </c>
      <c r="R24" s="27">
        <f t="shared" si="5"/>
        <v>-0.19852941176470584</v>
      </c>
    </row>
    <row r="25" spans="1:18" x14ac:dyDescent="0.4">
      <c r="A25" s="63" t="str">
        <f>VLOOKUP(B25,유니버스!$C$14:$D$2561,2,0)</f>
        <v>KQ</v>
      </c>
      <c r="B25" s="65" t="str">
        <f>'TIMEFOLIO K이노베이션액티브'!B31</f>
        <v>에스피지</v>
      </c>
      <c r="C25" s="65">
        <f>VLOOKUP(B25,'TIMEFOLIO K이노베이션액티브'!$B$11:$E$1000,4,0)</f>
        <v>1.35</v>
      </c>
      <c r="D25" s="65">
        <f>IFERROR(VLOOKUP(B25,'TIMEFOLIO K이노베이션액티브(과거)'!$B$11:$E$1000,4,0),0)</f>
        <v>2.66</v>
      </c>
      <c r="E25" s="26">
        <f t="shared" si="0"/>
        <v>-1.31</v>
      </c>
      <c r="F25" s="27">
        <f t="shared" si="1"/>
        <v>-0.49248120300751874</v>
      </c>
      <c r="H25" s="65"/>
      <c r="I25" s="65"/>
      <c r="J25" s="65"/>
      <c r="K25" s="20"/>
      <c r="L25" s="21"/>
      <c r="M25" s="62" t="str">
        <f>VLOOKUP(N25,유니버스!$C$14:$D$2561,2,0)</f>
        <v>KQ</v>
      </c>
      <c r="N25" s="26" t="str">
        <f>'KoAct AI인프라액티브'!B31</f>
        <v>한양디지텍</v>
      </c>
      <c r="O25" s="26">
        <f>VLOOKUP(N25,'KoAct AI인프라액티브'!$B$11:$E$1000,4,0)</f>
        <v>2.15</v>
      </c>
      <c r="P25" s="26">
        <f>IFERROR(VLOOKUP(N25,'KoAct AI인프라액티브(과거)'!$B$11:$E$1000,4,0),0)</f>
        <v>2.35</v>
      </c>
      <c r="Q25" s="26">
        <f t="shared" si="4"/>
        <v>-0.20000000000000018</v>
      </c>
      <c r="R25" s="27">
        <f t="shared" si="5"/>
        <v>-8.5106382978723527E-2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대주전자재료</v>
      </c>
      <c r="C26" s="65">
        <f>VLOOKUP(B26,'TIMEFOLIO K이노베이션액티브'!$B$11:$E$1000,4,0)</f>
        <v>1.29</v>
      </c>
      <c r="D26" s="65">
        <f>IFERROR(VLOOKUP(B26,'TIMEFOLIO K이노베이션액티브(과거)'!$B$11:$E$1000,4,0),0)</f>
        <v>2.5</v>
      </c>
      <c r="E26" s="26">
        <f t="shared" si="0"/>
        <v>-1.21</v>
      </c>
      <c r="F26" s="27">
        <f t="shared" si="1"/>
        <v>-0.48399999999999999</v>
      </c>
      <c r="H26" s="65"/>
      <c r="I26" s="65"/>
      <c r="J26" s="65"/>
      <c r="K26" s="20"/>
      <c r="L26" s="21"/>
      <c r="M26" s="62" t="str">
        <f>VLOOKUP(N26,유니버스!$C$14:$D$2561,2,0)</f>
        <v>KQ</v>
      </c>
      <c r="N26" s="26" t="str">
        <f>'KoAct AI인프라액티브'!B32</f>
        <v>피에스케이홀딩스</v>
      </c>
      <c r="O26" s="26">
        <f>VLOOKUP(N26,'KoAct AI인프라액티브'!$B$11:$E$1000,4,0)</f>
        <v>2.12</v>
      </c>
      <c r="P26" s="26">
        <f>IFERROR(VLOOKUP(N26,'KoAct AI인프라액티브(과거)'!$B$11:$E$1000,4,0),0)</f>
        <v>0</v>
      </c>
      <c r="Q26" s="26">
        <f t="shared" si="4"/>
        <v>2.12</v>
      </c>
      <c r="R26" s="27" t="str">
        <f t="shared" si="5"/>
        <v>신규편입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티엘비</v>
      </c>
      <c r="C27" s="65">
        <f>VLOOKUP(B27,'TIMEFOLIO K이노베이션액티브'!$B$11:$E$1000,4,0)</f>
        <v>1.17</v>
      </c>
      <c r="D27" s="65">
        <f>IFERROR(VLOOKUP(B27,'TIMEFOLIO K이노베이션액티브(과거)'!$B$11:$E$1000,4,0),0)</f>
        <v>1.51</v>
      </c>
      <c r="E27" s="26">
        <f t="shared" si="0"/>
        <v>-0.34000000000000008</v>
      </c>
      <c r="F27" s="27">
        <f t="shared" si="1"/>
        <v>-0.22516556291390732</v>
      </c>
      <c r="H27" s="65"/>
      <c r="I27" s="65"/>
      <c r="J27" s="65"/>
      <c r="K27" s="20"/>
      <c r="L27" s="21"/>
      <c r="M27" s="62" t="str">
        <f>VLOOKUP(N27,유니버스!$C$14:$D$2561,2,0)</f>
        <v>KS</v>
      </c>
      <c r="N27" s="26" t="str">
        <f>'KoAct AI인프라액티브'!B33</f>
        <v>산일전기</v>
      </c>
      <c r="O27" s="26">
        <f>VLOOKUP(N27,'KoAct AI인프라액티브'!$B$11:$E$1000,4,0)</f>
        <v>1.97</v>
      </c>
      <c r="P27" s="26">
        <f>IFERROR(VLOOKUP(N27,'KoAct AI인프라액티브(과거)'!$B$11:$E$1000,4,0),0)</f>
        <v>2.13</v>
      </c>
      <c r="Q27" s="26">
        <f t="shared" si="4"/>
        <v>-0.15999999999999992</v>
      </c>
      <c r="R27" s="27">
        <f t="shared" si="5"/>
        <v>-7.5117370892018753E-2</v>
      </c>
    </row>
    <row r="28" spans="1:18" x14ac:dyDescent="0.4">
      <c r="A28" s="63" t="str">
        <f>VLOOKUP(B28,유니버스!$C$14:$D$2561,2,0)</f>
        <v>KS</v>
      </c>
      <c r="B28" s="65" t="str">
        <f>'TIMEFOLIO K이노베이션액티브'!B34</f>
        <v>대덕전자</v>
      </c>
      <c r="C28" s="65">
        <f>VLOOKUP(B28,'TIMEFOLIO K이노베이션액티브'!$B$11:$E$1000,4,0)</f>
        <v>1.1499999999999999</v>
      </c>
      <c r="D28" s="65">
        <f>IFERROR(VLOOKUP(B28,'TIMEFOLIO K이노베이션액티브(과거)'!$B$11:$E$1000,4,0),0)</f>
        <v>0</v>
      </c>
      <c r="E28" s="26">
        <f t="shared" si="0"/>
        <v>1.1499999999999999</v>
      </c>
      <c r="F28" s="27" t="str">
        <f t="shared" si="1"/>
        <v>신규편입</v>
      </c>
      <c r="H28" s="65"/>
      <c r="I28" s="65"/>
      <c r="J28" s="65"/>
      <c r="K28" s="20"/>
      <c r="L28" s="21"/>
      <c r="M28" s="62" t="str">
        <f>VLOOKUP(N28,유니버스!$C$14:$D$2561,2,0)</f>
        <v>KS</v>
      </c>
      <c r="N28" s="26" t="str">
        <f>'KoAct AI인프라액티브'!B34</f>
        <v>LG이노텍</v>
      </c>
      <c r="O28" s="26">
        <f>VLOOKUP(N28,'KoAct AI인프라액티브'!$B$11:$E$1000,4,0)</f>
        <v>1.92</v>
      </c>
      <c r="P28" s="26">
        <f>IFERROR(VLOOKUP(N28,'KoAct AI인프라액티브(과거)'!$B$11:$E$1000,4,0),0)</f>
        <v>8.5299999999999994</v>
      </c>
      <c r="Q28" s="26">
        <f t="shared" si="4"/>
        <v>-6.6099999999999994</v>
      </c>
      <c r="R28" s="27">
        <f t="shared" si="5"/>
        <v>-0.77491207502930837</v>
      </c>
    </row>
    <row r="29" spans="1:18" x14ac:dyDescent="0.4">
      <c r="A29" s="63" t="str">
        <f>VLOOKUP(B29,유니버스!$C$14:$D$2561,2,0)</f>
        <v>KQ</v>
      </c>
      <c r="B29" s="65" t="str">
        <f>'TIMEFOLIO K이노베이션액티브'!B35</f>
        <v>RF머트리얼즈</v>
      </c>
      <c r="C29" s="65">
        <f>VLOOKUP(B29,'TIMEFOLIO K이노베이션액티브'!$B$11:$E$1000,4,0)</f>
        <v>0.96</v>
      </c>
      <c r="D29" s="65">
        <f>IFERROR(VLOOKUP(B29,'TIMEFOLIO K이노베이션액티브(과거)'!$B$11:$E$1000,4,0),0)</f>
        <v>0</v>
      </c>
      <c r="E29" s="26">
        <f t="shared" si="0"/>
        <v>0.96</v>
      </c>
      <c r="F29" s="27" t="str">
        <f t="shared" si="1"/>
        <v>신규편입</v>
      </c>
      <c r="H29" s="65"/>
      <c r="I29" s="65"/>
      <c r="J29" s="65"/>
      <c r="K29" s="20"/>
      <c r="L29" s="21"/>
      <c r="M29" s="62" t="str">
        <f>VLOOKUP(N29,유니버스!$C$14:$D$2561,2,0)</f>
        <v>KS</v>
      </c>
      <c r="N29" s="26" t="str">
        <f>'KoAct AI인프라액티브'!B35</f>
        <v>HD현대중공업</v>
      </c>
      <c r="O29" s="26">
        <f>VLOOKUP(N29,'KoAct AI인프라액티브'!$B$11:$E$1000,4,0)</f>
        <v>1.92</v>
      </c>
      <c r="P29" s="26">
        <f>IFERROR(VLOOKUP(N29,'KoAct AI인프라액티브(과거)'!$B$11:$E$1000,4,0),0)</f>
        <v>1.93</v>
      </c>
      <c r="Q29" s="26">
        <f t="shared" si="4"/>
        <v>-1.0000000000000009E-2</v>
      </c>
      <c r="R29" s="27">
        <f t="shared" si="5"/>
        <v>-5.1813471502590858E-3</v>
      </c>
    </row>
    <row r="30" spans="1:18" x14ac:dyDescent="0.4">
      <c r="A30" s="63" t="str">
        <f>VLOOKUP(B30,유니버스!$C$14:$D$2561,2,0)</f>
        <v>KQ</v>
      </c>
      <c r="B30" s="65" t="str">
        <f>'TIMEFOLIO K이노베이션액티브'!B36</f>
        <v>미래에셋벤처투자</v>
      </c>
      <c r="C30" s="65">
        <f>VLOOKUP(B30,'TIMEFOLIO K이노베이션액티브'!$B$11:$E$1000,4,0)</f>
        <v>0.94</v>
      </c>
      <c r="D30" s="65">
        <f>IFERROR(VLOOKUP(B30,'TIMEFOLIO K이노베이션액티브(과거)'!$B$11:$E$1000,4,0),0)</f>
        <v>4.8</v>
      </c>
      <c r="E30" s="26">
        <f t="shared" ref="E30:E31" si="6">C30-D30</f>
        <v>-3.86</v>
      </c>
      <c r="F30" s="27">
        <f t="shared" ref="F30:F31" si="7">IFERROR(C30/D30-1,"신규편입")</f>
        <v>-0.8041666666666667</v>
      </c>
      <c r="H30" s="65"/>
      <c r="I30" s="65"/>
      <c r="J30" s="65"/>
      <c r="K30" s="20"/>
      <c r="L30" s="21"/>
      <c r="M30" s="62" t="str">
        <f>VLOOKUP(N30,유니버스!$C$14:$D$2561,2,0)</f>
        <v>KS</v>
      </c>
      <c r="N30" s="26" t="str">
        <f>'KoAct AI인프라액티브'!B36</f>
        <v>LG에너지솔루션</v>
      </c>
      <c r="O30" s="26">
        <f>VLOOKUP(N30,'KoAct AI인프라액티브'!$B$11:$E$1000,4,0)</f>
        <v>1.83</v>
      </c>
      <c r="P30" s="26">
        <f>IFERROR(VLOOKUP(N30,'KoAct AI인프라액티브(과거)'!$B$11:$E$1000,4,0),0)</f>
        <v>2.0299999999999998</v>
      </c>
      <c r="Q30" s="26">
        <f t="shared" si="4"/>
        <v>-0.19999999999999973</v>
      </c>
      <c r="R30" s="27">
        <f t="shared" si="5"/>
        <v>-9.8522167487684609E-2</v>
      </c>
    </row>
    <row r="31" spans="1:18" x14ac:dyDescent="0.4">
      <c r="A31" s="63" t="str">
        <f>VLOOKUP(B31,유니버스!$C$14:$D$2561,2,0)</f>
        <v>KQ</v>
      </c>
      <c r="B31" s="65" t="str">
        <f>'TIMEFOLIO K이노베이션액티브'!B37</f>
        <v>인텔리안테크</v>
      </c>
      <c r="C31" s="65">
        <f>VLOOKUP(B31,'TIMEFOLIO K이노베이션액티브'!$B$11:$E$1000,4,0)</f>
        <v>0.77</v>
      </c>
      <c r="D31" s="65">
        <f>IFERROR(VLOOKUP(B31,'TIMEFOLIO K이노베이션액티브(과거)'!$B$11:$E$1000,4,0),0)</f>
        <v>3.48</v>
      </c>
      <c r="E31" s="26">
        <f t="shared" si="6"/>
        <v>-2.71</v>
      </c>
      <c r="F31" s="27">
        <f t="shared" si="7"/>
        <v>-0.77873563218390807</v>
      </c>
      <c r="H31" s="65"/>
      <c r="I31" s="65"/>
      <c r="J31" s="65"/>
      <c r="K31" s="20"/>
      <c r="L31" s="21"/>
      <c r="M31" s="62" t="str">
        <f>VLOOKUP(N31,유니버스!$C$14:$D$2561,2,0)</f>
        <v>KS</v>
      </c>
      <c r="N31" s="26" t="str">
        <f>'KoAct AI인프라액티브'!B37</f>
        <v>현대건설</v>
      </c>
      <c r="O31" s="26">
        <f>VLOOKUP(N31,'KoAct AI인프라액티브'!$B$11:$E$1000,4,0)</f>
        <v>1.7</v>
      </c>
      <c r="P31" s="26">
        <f>IFERROR(VLOOKUP(N31,'KoAct AI인프라액티브(과거)'!$B$11:$E$1000,4,0),0)</f>
        <v>1.9</v>
      </c>
      <c r="Q31" s="26">
        <f t="shared" si="4"/>
        <v>-0.19999999999999996</v>
      </c>
      <c r="R31" s="27">
        <f t="shared" si="5"/>
        <v>-0.10526315789473684</v>
      </c>
    </row>
    <row r="32" spans="1:18" x14ac:dyDescent="0.4">
      <c r="B32" s="65"/>
      <c r="C32" s="65"/>
      <c r="D32" s="65"/>
      <c r="E32" s="26"/>
      <c r="F32" s="27"/>
      <c r="H32" s="65"/>
      <c r="I32" s="65"/>
      <c r="J32" s="65"/>
      <c r="K32" s="20"/>
      <c r="L32" s="21"/>
      <c r="M32" s="62" t="str">
        <f>VLOOKUP(N32,유니버스!$C$14:$D$2561,2,0)</f>
        <v>KS</v>
      </c>
      <c r="N32" s="26" t="str">
        <f>'KoAct AI인프라액티브'!B38</f>
        <v>삼성에스디에스</v>
      </c>
      <c r="O32" s="26">
        <f>VLOOKUP(N32,'KoAct AI인프라액티브'!$B$11:$E$1000,4,0)</f>
        <v>1.67</v>
      </c>
      <c r="P32" s="26">
        <f>IFERROR(VLOOKUP(N32,'KoAct AI인프라액티브(과거)'!$B$11:$E$1000,4,0),0)</f>
        <v>2.0299999999999998</v>
      </c>
      <c r="Q32" s="26">
        <f t="shared" ref="Q32:Q33" si="8">O32-P32</f>
        <v>-0.35999999999999988</v>
      </c>
      <c r="R32" s="27">
        <f t="shared" ref="R32:R33" si="9">IFERROR(O32/P32-1,"신규편입")</f>
        <v>-0.17733990147783252</v>
      </c>
    </row>
    <row r="33" spans="1:18" x14ac:dyDescent="0.4">
      <c r="B33" s="65"/>
      <c r="C33" s="65"/>
      <c r="D33" s="65"/>
      <c r="E33" s="26"/>
      <c r="F33" s="27"/>
      <c r="H33" s="65"/>
      <c r="I33" s="65"/>
      <c r="J33" s="65"/>
      <c r="K33" s="20"/>
      <c r="L33" s="21"/>
      <c r="M33" s="62" t="str">
        <f>VLOOKUP(N33,유니버스!$C$14:$D$2561,2,0)</f>
        <v>KQ</v>
      </c>
      <c r="N33" s="26" t="str">
        <f>'KoAct AI인프라액티브'!B39</f>
        <v>이오테크닉스</v>
      </c>
      <c r="O33" s="26">
        <f>VLOOKUP(N33,'KoAct AI인프라액티브'!$B$11:$E$1000,4,0)</f>
        <v>0.73</v>
      </c>
      <c r="P33" s="26">
        <f>IFERROR(VLOOKUP(N33,'KoAct AI인프라액티브(과거)'!$B$11:$E$1000,4,0),0)</f>
        <v>0.62</v>
      </c>
      <c r="Q33" s="26">
        <f t="shared" si="8"/>
        <v>0.10999999999999999</v>
      </c>
      <c r="R33" s="27">
        <f t="shared" si="9"/>
        <v>0.17741935483870974</v>
      </c>
    </row>
    <row r="34" spans="1:18" x14ac:dyDescent="0.4">
      <c r="B34" s="65"/>
      <c r="C34" s="65"/>
      <c r="D34" s="65"/>
      <c r="E34" s="26"/>
      <c r="F34" s="27"/>
      <c r="H34" s="65"/>
      <c r="I34" s="65"/>
      <c r="J34" s="65"/>
      <c r="K34" s="20"/>
      <c r="L34" s="21"/>
      <c r="M34" s="62" t="str">
        <f>VLOOKUP(N34,유니버스!$C$14:$D$2561,2,0)</f>
        <v>KS</v>
      </c>
      <c r="N34" s="26" t="str">
        <f>'KoAct AI인프라액티브'!B40</f>
        <v>두산에너빌리티</v>
      </c>
      <c r="O34" s="26">
        <f>VLOOKUP(N34,'KoAct AI인프라액티브'!$B$11:$E$1000,4,0)</f>
        <v>0.55000000000000004</v>
      </c>
      <c r="P34" s="26">
        <f>IFERROR(VLOOKUP(N34,'KoAct AI인프라액티브(과거)'!$B$11:$E$1000,4,0),0)</f>
        <v>0.61</v>
      </c>
      <c r="Q34" s="26">
        <f t="shared" ref="Q34:Q35" si="10">O34-P34</f>
        <v>-5.9999999999999942E-2</v>
      </c>
      <c r="R34" s="27">
        <f t="shared" ref="R34:R35" si="11">IFERROR(O34/P34-1,"신규편입")</f>
        <v>-9.8360655737704805E-2</v>
      </c>
    </row>
    <row r="35" spans="1:18" x14ac:dyDescent="0.4">
      <c r="B35" s="65"/>
      <c r="C35" s="65"/>
      <c r="D35" s="65"/>
      <c r="E35" s="26"/>
      <c r="F35" s="27"/>
      <c r="H35" s="65"/>
      <c r="I35" s="65"/>
      <c r="J35" s="65"/>
      <c r="K35" s="20"/>
      <c r="L35" s="21"/>
      <c r="M35" s="62" t="str">
        <f>VLOOKUP(N35,유니버스!$C$14:$D$2561,2,0)</f>
        <v>KQ</v>
      </c>
      <c r="N35" s="26" t="str">
        <f>'KoAct AI인프라액티브'!B41</f>
        <v>저스템</v>
      </c>
      <c r="O35" s="26">
        <f>VLOOKUP(N35,'KoAct AI인프라액티브'!$B$11:$E$1000,4,0)</f>
        <v>0.4</v>
      </c>
      <c r="P35" s="26">
        <f>IFERROR(VLOOKUP(N35,'KoAct AI인프라액티브(과거)'!$B$11:$E$1000,4,0),0)</f>
        <v>0.43</v>
      </c>
      <c r="Q35" s="26">
        <f t="shared" si="10"/>
        <v>-2.9999999999999971E-2</v>
      </c>
      <c r="R35" s="27">
        <f t="shared" si="11"/>
        <v>-6.9767441860465018E-2</v>
      </c>
    </row>
    <row r="36" spans="1:18" x14ac:dyDescent="0.4">
      <c r="B36" s="65"/>
      <c r="C36" s="65"/>
      <c r="D36" s="65"/>
      <c r="E36" s="26"/>
      <c r="F36" s="27"/>
      <c r="H36" s="65"/>
      <c r="I36" s="65"/>
      <c r="J36" s="65"/>
      <c r="K36" s="20"/>
      <c r="L36" s="21"/>
      <c r="M36" s="62" t="str">
        <f>VLOOKUP(N36,유니버스!$C$14:$D$2561,2,0)</f>
        <v>KQ</v>
      </c>
      <c r="N36" s="26" t="str">
        <f>'KoAct AI인프라액티브'!B42</f>
        <v>고영</v>
      </c>
      <c r="O36" s="26">
        <f>VLOOKUP(N36,'KoAct AI인프라액티브'!$B$11:$E$1000,4,0)</f>
        <v>0.2</v>
      </c>
      <c r="P36" s="26">
        <f>IFERROR(VLOOKUP(N36,'KoAct AI인프라액티브(과거)'!$B$11:$E$1000,4,0),0)</f>
        <v>0.18</v>
      </c>
      <c r="Q36" s="26">
        <f t="shared" ref="Q36:Q37" si="12">O36-P36</f>
        <v>2.0000000000000018E-2</v>
      </c>
      <c r="R36" s="27">
        <f t="shared" ref="R36:R37" si="13">IFERROR(O36/P36-1,"신규편입")</f>
        <v>0.11111111111111116</v>
      </c>
    </row>
    <row r="37" spans="1:18" x14ac:dyDescent="0.4">
      <c r="B37" s="65"/>
      <c r="C37" s="65"/>
      <c r="D37" s="65"/>
      <c r="E37" s="26"/>
      <c r="F37" s="27"/>
      <c r="H37" s="65"/>
      <c r="I37" s="65"/>
      <c r="J37" s="65"/>
      <c r="K37" s="20"/>
      <c r="L37" s="21"/>
      <c r="M37" s="62" t="e">
        <f>VLOOKUP(N37,유니버스!$C$14:$D$2561,2,0)</f>
        <v>#N/A</v>
      </c>
      <c r="N37" s="26" t="str">
        <f>'KoAct AI인프라액티브'!B43</f>
        <v>원화현금</v>
      </c>
      <c r="O37" s="26">
        <f>VLOOKUP(N37,'KoAct AI인프라액티브'!$B$11:$E$1000,4,0)</f>
        <v>0.51</v>
      </c>
      <c r="P37" s="26">
        <f>IFERROR(VLOOKUP(N37,'KoAct AI인프라액티브(과거)'!$B$11:$E$1000,4,0),0)</f>
        <v>0.34</v>
      </c>
      <c r="Q37" s="26">
        <f t="shared" si="12"/>
        <v>0.16999999999999998</v>
      </c>
      <c r="R37" s="27">
        <f t="shared" si="13"/>
        <v>0.5</v>
      </c>
    </row>
    <row r="38" spans="1:18" x14ac:dyDescent="0.4">
      <c r="B38" s="65"/>
      <c r="C38" s="65"/>
      <c r="D38" s="65"/>
      <c r="E38" s="26"/>
      <c r="F38" s="27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C18" zoomScaleNormal="100" workbookViewId="0">
      <selection activeCell="H22" sqref="H22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[20260611]</v>
      </c>
      <c r="D4" s="66" t="str">
        <f>'KODEX 신재생에너지액티브(과거)'!B4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23" t="str">
        <f>C4</f>
        <v>CPD [20260611]</v>
      </c>
      <c r="P4" s="23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23.5</v>
      </c>
      <c r="D5" s="65">
        <f>IFERROR(VLOOKUP(B5,'TIMEFOLIO 코스피액티브(과거)'!$B$11:$E$1000,4,0),0)</f>
        <v>27.75</v>
      </c>
      <c r="E5" s="20">
        <f>C5-D5</f>
        <v>-4.25</v>
      </c>
      <c r="F5" s="21">
        <f>IFERROR(C5/D5-1,"신규편입")</f>
        <v>-0.15315315315315314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10.23</v>
      </c>
      <c r="J5" s="65">
        <f>IFERROR(VLOOKUP(H5,'KODEX 친환경조선해운액티브(과거)'!$B$11:$E$1000,4,0),0)</f>
        <v>10.11</v>
      </c>
      <c r="K5" s="20">
        <f>I5-J5</f>
        <v>0.12000000000000099</v>
      </c>
      <c r="L5" s="21">
        <f>IFERROR(I5/J5-1,"신규편입")</f>
        <v>1.1869436201780603E-2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23.68</v>
      </c>
      <c r="P5" s="26">
        <f>IFERROR(VLOOKUP(N5,'TIGER 코리아테크액티브(과거)'!$B$11:$E$1000,4,0),0)</f>
        <v>22.95</v>
      </c>
      <c r="Q5" s="26">
        <f>O5-P5</f>
        <v>0.73000000000000043</v>
      </c>
      <c r="R5" s="27">
        <f>IFERROR(O5/P5-1,"신규편입")</f>
        <v>3.1808278867102358E-2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19.2</v>
      </c>
      <c r="D6" s="65">
        <f>IFERROR(VLOOKUP(B6,'TIMEFOLIO 코스피액티브(과거)'!$B$11:$E$1000,4,0),0)</f>
        <v>19.02</v>
      </c>
      <c r="E6" s="20">
        <f t="shared" ref="E6:E28" si="0">C6-D6</f>
        <v>0.17999999999999972</v>
      </c>
      <c r="F6" s="21">
        <f t="shared" ref="F6:F28" si="1">IFERROR(C6/D6-1,"신규편입")</f>
        <v>9.4637223974762819E-3</v>
      </c>
      <c r="G6" s="63" t="str">
        <f>VLOOKUP(H6,유니버스!$C$14:$D$2561,2,0)</f>
        <v>KS</v>
      </c>
      <c r="H6" s="65" t="str">
        <f>'KODEX 친환경조선해운액티브'!B12</f>
        <v>삼성중공업</v>
      </c>
      <c r="I6" s="65">
        <f>VLOOKUP(H6,'KODEX 친환경조선해운액티브'!$B$11:$E$1000,4,0)</f>
        <v>8.7100000000000009</v>
      </c>
      <c r="J6" s="65">
        <f>IFERROR(VLOOKUP(H6,'KODEX 친환경조선해운액티브(과거)'!$B$11:$E$1000,4,0),0)</f>
        <v>8.67</v>
      </c>
      <c r="K6" s="20">
        <f t="shared" ref="K6:K26" si="2">I6-J6</f>
        <v>4.0000000000000924E-2</v>
      </c>
      <c r="L6" s="21">
        <f t="shared" ref="L6:L26" si="3">IFERROR(I6/J6-1,"신규편입")</f>
        <v>4.6136101499423265E-3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18.809999999999999</v>
      </c>
      <c r="P6" s="26">
        <f>IFERROR(VLOOKUP(N6,'TIGER 코리아테크액티브(과거)'!$B$11:$E$1000,4,0),0)</f>
        <v>14.99</v>
      </c>
      <c r="Q6" s="26">
        <f t="shared" ref="Q6:Q27" si="4">O6-P6</f>
        <v>3.8199999999999985</v>
      </c>
      <c r="R6" s="27">
        <f t="shared" ref="R6:R27" si="5">IFERROR(O6/P6-1,"신규편입")</f>
        <v>0.25483655770513658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7.1</v>
      </c>
      <c r="D7" s="65">
        <f>IFERROR(VLOOKUP(B7,'TIMEFOLIO 코스피액티브(과거)'!$B$11:$E$1000,4,0),0)</f>
        <v>7.43</v>
      </c>
      <c r="E7" s="20">
        <f t="shared" si="0"/>
        <v>-0.33000000000000007</v>
      </c>
      <c r="F7" s="21">
        <f t="shared" si="1"/>
        <v>-4.4414535666218002E-2</v>
      </c>
      <c r="G7" s="63" t="str">
        <f>VLOOKUP(H7,유니버스!$C$14:$D$2561,2,0)</f>
        <v>KS</v>
      </c>
      <c r="H7" s="65" t="str">
        <f>'KODEX 친환경조선해운액티브'!B13</f>
        <v>한화오션</v>
      </c>
      <c r="I7" s="65">
        <f>VLOOKUP(H7,'KODEX 친환경조선해운액티브'!$B$11:$E$1000,4,0)</f>
        <v>8.2899999999999991</v>
      </c>
      <c r="J7" s="65">
        <f>IFERROR(VLOOKUP(H7,'KODEX 친환경조선해운액티브(과거)'!$B$11:$E$1000,4,0),0)</f>
        <v>8.81</v>
      </c>
      <c r="K7" s="20">
        <f t="shared" si="2"/>
        <v>-0.52000000000000135</v>
      </c>
      <c r="L7" s="21">
        <f t="shared" si="3"/>
        <v>-5.9023836549375819E-2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13.26</v>
      </c>
      <c r="P7" s="26">
        <f>IFERROR(VLOOKUP(N7,'TIGER 코리아테크액티브(과거)'!$B$11:$E$1000,4,0),0)</f>
        <v>15.49</v>
      </c>
      <c r="Q7" s="26">
        <f t="shared" si="4"/>
        <v>-2.2300000000000004</v>
      </c>
      <c r="R7" s="27">
        <f t="shared" si="5"/>
        <v>-0.14396384764364112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에이피알</v>
      </c>
      <c r="C8" s="65">
        <f>VLOOKUP(B8,'TIMEFOLIO 코스피액티브'!$B$11:$E$1000,4,0)</f>
        <v>4.3</v>
      </c>
      <c r="D8" s="65">
        <f>IFERROR(VLOOKUP(B8,'TIMEFOLIO 코스피액티브(과거)'!$B$11:$E$1000,4,0),0)</f>
        <v>3.69</v>
      </c>
      <c r="E8" s="20">
        <f t="shared" si="0"/>
        <v>0.60999999999999988</v>
      </c>
      <c r="F8" s="21">
        <f t="shared" si="1"/>
        <v>0.16531165311653107</v>
      </c>
      <c r="G8" s="63" t="str">
        <f>VLOOKUP(H8,유니버스!$C$14:$D$2561,2,0)</f>
        <v>KS</v>
      </c>
      <c r="H8" s="65" t="str">
        <f>'KODEX 친환경조선해운액티브'!B14</f>
        <v>HD현대마린솔루션</v>
      </c>
      <c r="I8" s="65">
        <f>VLOOKUP(H8,'KODEX 친환경조선해운액티브'!$B$11:$E$1000,4,0)</f>
        <v>8.2799999999999994</v>
      </c>
      <c r="J8" s="65">
        <f>IFERROR(VLOOKUP(H8,'KODEX 친환경조선해운액티브(과거)'!$B$11:$E$1000,4,0),0)</f>
        <v>5.42</v>
      </c>
      <c r="K8" s="20">
        <f t="shared" si="2"/>
        <v>2.8599999999999994</v>
      </c>
      <c r="L8" s="21">
        <f t="shared" si="3"/>
        <v>0.52767527675276749</v>
      </c>
      <c r="M8" s="62" t="str">
        <f>VLOOKUP(N8,유니버스!$C$14:$D$2561,2,0)</f>
        <v>KS</v>
      </c>
      <c r="N8" s="26" t="str">
        <f>'TIGER 코리아테크액티브'!B14</f>
        <v>대덕전자</v>
      </c>
      <c r="O8" s="26">
        <f>VLOOKUP(N8,'TIGER 코리아테크액티브'!$B$11:$E$1000,4,0)</f>
        <v>4.32</v>
      </c>
      <c r="P8" s="26">
        <f>IFERROR(VLOOKUP(N8,'TIGER 코리아테크액티브(과거)'!$B$11:$E$1000,4,0),0)</f>
        <v>4.91</v>
      </c>
      <c r="Q8" s="26">
        <f t="shared" si="4"/>
        <v>-0.58999999999999986</v>
      </c>
      <c r="R8" s="27">
        <f t="shared" si="5"/>
        <v>-0.12016293279022405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SK스퀘어</v>
      </c>
      <c r="C9" s="65">
        <f>VLOOKUP(B9,'TIMEFOLIO 코스피액티브'!$B$11:$E$1000,4,0)</f>
        <v>3.87</v>
      </c>
      <c r="D9" s="65">
        <f>IFERROR(VLOOKUP(B9,'TIMEFOLIO 코스피액티브(과거)'!$B$11:$E$1000,4,0),0)</f>
        <v>3.45</v>
      </c>
      <c r="E9" s="20">
        <f t="shared" si="0"/>
        <v>0.41999999999999993</v>
      </c>
      <c r="F9" s="21">
        <f t="shared" si="1"/>
        <v>0.12173913043478257</v>
      </c>
      <c r="G9" s="63" t="str">
        <f>VLOOKUP(H9,유니버스!$C$14:$D$2561,2,0)</f>
        <v>KS</v>
      </c>
      <c r="H9" s="65" t="str">
        <f>'KODEX 친환경조선해운액티브'!B15</f>
        <v>HD한국조선해양</v>
      </c>
      <c r="I9" s="65">
        <f>VLOOKUP(H9,'KODEX 친환경조선해운액티브'!$B$11:$E$1000,4,0)</f>
        <v>7.61</v>
      </c>
      <c r="J9" s="65">
        <f>IFERROR(VLOOKUP(H9,'KODEX 친환경조선해운액티브(과거)'!$B$11:$E$1000,4,0),0)</f>
        <v>7.52</v>
      </c>
      <c r="K9" s="20">
        <f t="shared" si="2"/>
        <v>9.0000000000000746E-2</v>
      </c>
      <c r="L9" s="21">
        <f t="shared" si="3"/>
        <v>1.1968085106383031E-2</v>
      </c>
      <c r="M9" s="62" t="str">
        <f>VLOOKUP(N9,유니버스!$C$14:$D$2561,2,0)</f>
        <v>KQ</v>
      </c>
      <c r="N9" s="26" t="str">
        <f>'TIGER 코리아테크액티브'!B15</f>
        <v>피에스케이</v>
      </c>
      <c r="O9" s="26">
        <f>VLOOKUP(N9,'TIGER 코리아테크액티브'!$B$11:$E$1000,4,0)</f>
        <v>3.47</v>
      </c>
      <c r="P9" s="26">
        <f>IFERROR(VLOOKUP(N9,'TIGER 코리아테크액티브(과거)'!$B$11:$E$1000,4,0),0)</f>
        <v>2.2599999999999998</v>
      </c>
      <c r="Q9" s="26">
        <f t="shared" si="4"/>
        <v>1.2100000000000004</v>
      </c>
      <c r="R9" s="27">
        <f t="shared" si="5"/>
        <v>0.53539823008849585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삼양식품</v>
      </c>
      <c r="C10" s="65">
        <f>VLOOKUP(B10,'TIMEFOLIO 코스피액티브'!$B$11:$E$1000,4,0)</f>
        <v>3.39</v>
      </c>
      <c r="D10" s="65">
        <f>IFERROR(VLOOKUP(B10,'TIMEFOLIO 코스피액티브(과거)'!$B$11:$E$1000,4,0),0)</f>
        <v>1.81</v>
      </c>
      <c r="E10" s="20">
        <f t="shared" si="0"/>
        <v>1.58</v>
      </c>
      <c r="F10" s="21">
        <f t="shared" si="1"/>
        <v>0.8729281767955801</v>
      </c>
      <c r="G10" s="63" t="str">
        <f>VLOOKUP(H10,유니버스!$C$14:$D$2561,2,0)</f>
        <v>KS</v>
      </c>
      <c r="H10" s="65" t="str">
        <f>'KODEX 친환경조선해운액티브'!B16</f>
        <v>한화엔진</v>
      </c>
      <c r="I10" s="65">
        <f>VLOOKUP(H10,'KODEX 친환경조선해운액티브'!$B$11:$E$1000,4,0)</f>
        <v>7.12</v>
      </c>
      <c r="J10" s="65">
        <f>IFERROR(VLOOKUP(H10,'KODEX 친환경조선해운액티브(과거)'!$B$11:$E$1000,4,0),0)</f>
        <v>8.2100000000000009</v>
      </c>
      <c r="K10" s="20">
        <f t="shared" si="2"/>
        <v>-1.0900000000000007</v>
      </c>
      <c r="L10" s="21">
        <f t="shared" si="3"/>
        <v>-0.1327649208282583</v>
      </c>
      <c r="M10" s="62" t="str">
        <f>VLOOKUP(N10,유니버스!$C$14:$D$2561,2,0)</f>
        <v>KS</v>
      </c>
      <c r="N10" s="26" t="str">
        <f>'TIGER 코리아테크액티브'!B16</f>
        <v>삼성SDI</v>
      </c>
      <c r="O10" s="26">
        <f>VLOOKUP(N10,'TIGER 코리아테크액티브'!$B$11:$E$1000,4,0)</f>
        <v>3.09</v>
      </c>
      <c r="P10" s="26">
        <f>IFERROR(VLOOKUP(N10,'TIGER 코리아테크액티브(과거)'!$B$11:$E$1000,4,0),0)</f>
        <v>3.98</v>
      </c>
      <c r="Q10" s="26">
        <f t="shared" si="4"/>
        <v>-0.89000000000000012</v>
      </c>
      <c r="R10" s="27">
        <f t="shared" si="5"/>
        <v>-0.22361809045226133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삼성SDI</v>
      </c>
      <c r="C11" s="65">
        <f>VLOOKUP(B11,'TIMEFOLIO 코스피액티브'!$B$11:$E$1000,4,0)</f>
        <v>3.38</v>
      </c>
      <c r="D11" s="65">
        <f>IFERROR(VLOOKUP(B11,'TIMEFOLIO 코스피액티브(과거)'!$B$11:$E$1000,4,0),0)</f>
        <v>4.1399999999999997</v>
      </c>
      <c r="E11" s="20">
        <f t="shared" si="0"/>
        <v>-0.75999999999999979</v>
      </c>
      <c r="F11" s="21">
        <f t="shared" si="1"/>
        <v>-0.18357487922705307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6.49</v>
      </c>
      <c r="J11" s="65">
        <f>IFERROR(VLOOKUP(H11,'KODEX 친환경조선해운액티브(과거)'!$B$11:$E$1000,4,0),0)</f>
        <v>6.03</v>
      </c>
      <c r="K11" s="20">
        <f t="shared" si="2"/>
        <v>0.45999999999999996</v>
      </c>
      <c r="L11" s="21">
        <f t="shared" si="3"/>
        <v>7.6285240464345039E-2</v>
      </c>
      <c r="M11" s="62" t="str">
        <f>VLOOKUP(N11,유니버스!$C$14:$D$2561,2,0)</f>
        <v>KS</v>
      </c>
      <c r="N11" s="26" t="str">
        <f>'TIGER 코리아테크액티브'!B17</f>
        <v>코리아써키트</v>
      </c>
      <c r="O11" s="26">
        <f>VLOOKUP(N11,'TIGER 코리아테크액티브'!$B$11:$E$1000,4,0)</f>
        <v>3.04</v>
      </c>
      <c r="P11" s="26">
        <f>IFERROR(VLOOKUP(N11,'TIGER 코리아테크액티브(과거)'!$B$11:$E$1000,4,0),0)</f>
        <v>0</v>
      </c>
      <c r="Q11" s="26">
        <f t="shared" si="4"/>
        <v>3.04</v>
      </c>
      <c r="R11" s="27" t="str">
        <f t="shared" si="5"/>
        <v>신규편입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LG에너지솔루션</v>
      </c>
      <c r="C12" s="65">
        <f>VLOOKUP(B12,'TIMEFOLIO 코스피액티브'!$B$11:$E$1000,4,0)</f>
        <v>3.02</v>
      </c>
      <c r="D12" s="65">
        <f>IFERROR(VLOOKUP(B12,'TIMEFOLIO 코스피액티브(과거)'!$B$11:$E$1000,4,0),0)</f>
        <v>2.21</v>
      </c>
      <c r="E12" s="20">
        <f t="shared" si="0"/>
        <v>0.81</v>
      </c>
      <c r="F12" s="21">
        <f t="shared" si="1"/>
        <v>0.36651583710407243</v>
      </c>
      <c r="G12" s="63" t="str">
        <f>VLOOKUP(H12,유니버스!$C$14:$D$2561,2,0)</f>
        <v>KS</v>
      </c>
      <c r="H12" s="65" t="str">
        <f>'KODEX 친환경조선해운액티브'!B18</f>
        <v>HD현대</v>
      </c>
      <c r="I12" s="65">
        <f>VLOOKUP(H12,'KODEX 친환경조선해운액티브'!$B$11:$E$1000,4,0)</f>
        <v>6.17</v>
      </c>
      <c r="J12" s="65">
        <f>IFERROR(VLOOKUP(H12,'KODEX 친환경조선해운액티브(과거)'!$B$11:$E$1000,4,0),0)</f>
        <v>8.27</v>
      </c>
      <c r="K12" s="20">
        <f t="shared" si="2"/>
        <v>-2.0999999999999996</v>
      </c>
      <c r="L12" s="21">
        <f t="shared" si="3"/>
        <v>-0.25392986698911724</v>
      </c>
      <c r="M12" s="62" t="str">
        <f>VLOOKUP(N12,유니버스!$C$14:$D$2561,2,0)</f>
        <v>KQ</v>
      </c>
      <c r="N12" s="26" t="str">
        <f>'TIGER 코리아테크액티브'!B18</f>
        <v>브이엠</v>
      </c>
      <c r="O12" s="26">
        <f>VLOOKUP(N12,'TIGER 코리아테크액티브'!$B$11:$E$1000,4,0)</f>
        <v>2.73</v>
      </c>
      <c r="P12" s="26">
        <f>IFERROR(VLOOKUP(N12,'TIGER 코리아테크액티브(과거)'!$B$11:$E$1000,4,0),0)</f>
        <v>1.45</v>
      </c>
      <c r="Q12" s="26">
        <f t="shared" si="4"/>
        <v>1.28</v>
      </c>
      <c r="R12" s="27">
        <f t="shared" si="5"/>
        <v>0.88275862068965516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현대차</v>
      </c>
      <c r="C13" s="65">
        <f>VLOOKUP(B13,'TIMEFOLIO 코스피액티브'!$B$11:$E$1000,4,0)</f>
        <v>2.91</v>
      </c>
      <c r="D13" s="65">
        <f>IFERROR(VLOOKUP(B13,'TIMEFOLIO 코스피액티브(과거)'!$B$11:$E$1000,4,0),0)</f>
        <v>4.3099999999999996</v>
      </c>
      <c r="E13" s="20">
        <f t="shared" si="0"/>
        <v>-1.3999999999999995</v>
      </c>
      <c r="F13" s="21">
        <f t="shared" si="1"/>
        <v>-0.32482598607888624</v>
      </c>
      <c r="G13" s="63" t="str">
        <f>VLOOKUP(H13,유니버스!$C$14:$D$2561,2,0)</f>
        <v>KS</v>
      </c>
      <c r="H13" s="65" t="str">
        <f>'KODEX 친환경조선해운액티브'!B19</f>
        <v>HD현대마린엔진</v>
      </c>
      <c r="I13" s="65">
        <f>VLOOKUP(H13,'KODEX 친환경조선해운액티브'!$B$11:$E$1000,4,0)</f>
        <v>5.68</v>
      </c>
      <c r="J13" s="65">
        <f>IFERROR(VLOOKUP(H13,'KODEX 친환경조선해운액티브(과거)'!$B$11:$E$1000,4,0),0)</f>
        <v>5.84</v>
      </c>
      <c r="K13" s="20">
        <f t="shared" si="2"/>
        <v>-0.16000000000000014</v>
      </c>
      <c r="L13" s="21">
        <f t="shared" si="3"/>
        <v>-2.7397260273972601E-2</v>
      </c>
      <c r="M13" s="62" t="str">
        <f>VLOOKUP(N13,유니버스!$C$14:$D$2561,2,0)</f>
        <v>KQ</v>
      </c>
      <c r="N13" s="26" t="str">
        <f>'TIGER 코리아테크액티브'!B19</f>
        <v>두산테스나</v>
      </c>
      <c r="O13" s="26">
        <f>VLOOKUP(N13,'TIGER 코리아테크액티브'!$B$11:$E$1000,4,0)</f>
        <v>2.62</v>
      </c>
      <c r="P13" s="26">
        <f>IFERROR(VLOOKUP(N13,'TIGER 코리아테크액티브(과거)'!$B$11:$E$1000,4,0),0)</f>
        <v>2.29</v>
      </c>
      <c r="Q13" s="26">
        <f t="shared" si="4"/>
        <v>0.33000000000000007</v>
      </c>
      <c r="R13" s="27">
        <f t="shared" si="5"/>
        <v>0.14410480349344978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두산</v>
      </c>
      <c r="C14" s="65">
        <f>VLOOKUP(B14,'TIMEFOLIO 코스피액티브'!$B$11:$E$1000,4,0)</f>
        <v>2.91</v>
      </c>
      <c r="D14" s="65">
        <f>IFERROR(VLOOKUP(B14,'TIMEFOLIO 코스피액티브(과거)'!$B$11:$E$1000,4,0),0)</f>
        <v>1.78</v>
      </c>
      <c r="E14" s="20">
        <f t="shared" si="0"/>
        <v>1.1300000000000001</v>
      </c>
      <c r="F14" s="21">
        <f t="shared" si="1"/>
        <v>0.63483146067415741</v>
      </c>
      <c r="G14" s="63" t="str">
        <f>VLOOKUP(H14,유니버스!$C$14:$D$2561,2,0)</f>
        <v>KS</v>
      </c>
      <c r="H14" s="65" t="str">
        <f>'KODEX 친환경조선해운액티브'!B20</f>
        <v>대한조선</v>
      </c>
      <c r="I14" s="65">
        <f>VLOOKUP(H14,'KODEX 친환경조선해운액티브'!$B$11:$E$1000,4,0)</f>
        <v>4.09</v>
      </c>
      <c r="J14" s="65">
        <f>IFERROR(VLOOKUP(H14,'KODEX 친환경조선해운액티브(과거)'!$B$11:$E$1000,4,0),0)</f>
        <v>3.38</v>
      </c>
      <c r="K14" s="20">
        <f t="shared" si="2"/>
        <v>0.71</v>
      </c>
      <c r="L14" s="21">
        <f t="shared" si="3"/>
        <v>0.21005917159763321</v>
      </c>
      <c r="M14" s="62" t="str">
        <f>VLOOKUP(N14,유니버스!$C$14:$D$2561,2,0)</f>
        <v>KQ</v>
      </c>
      <c r="N14" s="26" t="str">
        <f>'TIGER 코리아테크액티브'!B20</f>
        <v>테스</v>
      </c>
      <c r="O14" s="26">
        <f>VLOOKUP(N14,'TIGER 코리아테크액티브'!$B$11:$E$1000,4,0)</f>
        <v>2.58</v>
      </c>
      <c r="P14" s="26">
        <f>IFERROR(VLOOKUP(N14,'TIGER 코리아테크액티브(과거)'!$B$11:$E$1000,4,0),0)</f>
        <v>0.94</v>
      </c>
      <c r="Q14" s="26">
        <f t="shared" si="4"/>
        <v>1.6400000000000001</v>
      </c>
      <c r="R14" s="27">
        <f t="shared" si="5"/>
        <v>1.7446808510638299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효성중공업</v>
      </c>
      <c r="C15" s="65">
        <f>VLOOKUP(B15,'TIMEFOLIO 코스피액티브'!$B$11:$E$1000,4,0)</f>
        <v>2.75</v>
      </c>
      <c r="D15" s="65">
        <f>IFERROR(VLOOKUP(B15,'TIMEFOLIO 코스피액티브(과거)'!$B$11:$E$1000,4,0),0)</f>
        <v>2.77</v>
      </c>
      <c r="E15" s="20">
        <f t="shared" si="0"/>
        <v>-2.0000000000000018E-2</v>
      </c>
      <c r="F15" s="21">
        <f t="shared" si="1"/>
        <v>-7.2202166064981865E-3</v>
      </c>
      <c r="G15" s="63" t="str">
        <f>VLOOKUP(H15,유니버스!$C$14:$D$2561,2,0)</f>
        <v>KS</v>
      </c>
      <c r="H15" s="65" t="str">
        <f>'KODEX 친환경조선해운액티브'!B21</f>
        <v>SK</v>
      </c>
      <c r="I15" s="65">
        <f>VLOOKUP(H15,'KODEX 친환경조선해운액티브'!$B$11:$E$1000,4,0)</f>
        <v>4.05</v>
      </c>
      <c r="J15" s="65">
        <f>IFERROR(VLOOKUP(H15,'KODEX 친환경조선해운액티브(과거)'!$B$11:$E$1000,4,0),0)</f>
        <v>4.29</v>
      </c>
      <c r="K15" s="20">
        <f t="shared" si="2"/>
        <v>-0.24000000000000021</v>
      </c>
      <c r="L15" s="21">
        <f t="shared" si="3"/>
        <v>-5.5944055944056048E-2</v>
      </c>
      <c r="M15" s="62" t="str">
        <f>VLOOKUP(N15,유니버스!$C$14:$D$2561,2,0)</f>
        <v>KQ</v>
      </c>
      <c r="N15" s="26" t="str">
        <f>'TIGER 코리아테크액티브'!B21</f>
        <v>파두</v>
      </c>
      <c r="O15" s="26">
        <f>VLOOKUP(N15,'TIGER 코리아테크액티브'!$B$11:$E$1000,4,0)</f>
        <v>2.42</v>
      </c>
      <c r="P15" s="26">
        <f>IFERROR(VLOOKUP(N15,'TIGER 코리아테크액티브(과거)'!$B$11:$E$1000,4,0),0)</f>
        <v>2.81</v>
      </c>
      <c r="Q15" s="26">
        <f t="shared" si="4"/>
        <v>-0.39000000000000012</v>
      </c>
      <c r="R15" s="27">
        <f t="shared" si="5"/>
        <v>-0.13879003558718861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KB금융</v>
      </c>
      <c r="C16" s="65">
        <f>VLOOKUP(B16,'TIMEFOLIO 코스피액티브'!$B$11:$E$1000,4,0)</f>
        <v>2.4500000000000002</v>
      </c>
      <c r="D16" s="65">
        <f>IFERROR(VLOOKUP(B16,'TIMEFOLIO 코스피액티브(과거)'!$B$11:$E$1000,4,0),0)</f>
        <v>0</v>
      </c>
      <c r="E16" s="20">
        <f t="shared" si="0"/>
        <v>2.4500000000000002</v>
      </c>
      <c r="F16" s="21" t="str">
        <f t="shared" si="1"/>
        <v>신규편입</v>
      </c>
      <c r="G16" s="63" t="str">
        <f>VLOOKUP(H16,유니버스!$C$14:$D$2561,2,0)</f>
        <v>KQ</v>
      </c>
      <c r="H16" s="65" t="str">
        <f>'KODEX 친환경조선해운액티브'!B22</f>
        <v>동성화인텍</v>
      </c>
      <c r="I16" s="65">
        <f>VLOOKUP(H16,'KODEX 친환경조선해운액티브'!$B$11:$E$1000,4,0)</f>
        <v>4.03</v>
      </c>
      <c r="J16" s="65">
        <f>IFERROR(VLOOKUP(H16,'KODEX 친환경조선해운액티브(과거)'!$B$11:$E$1000,4,0),0)</f>
        <v>4.0999999999999996</v>
      </c>
      <c r="K16" s="20">
        <f t="shared" si="2"/>
        <v>-6.9999999999999396E-2</v>
      </c>
      <c r="L16" s="21">
        <f t="shared" si="3"/>
        <v>-1.7073170731707221E-2</v>
      </c>
      <c r="M16" s="62" t="str">
        <f>VLOOKUP(N16,유니버스!$C$14:$D$2561,2,0)</f>
        <v>KQ</v>
      </c>
      <c r="N16" s="26" t="str">
        <f>'TIGER 코리아테크액티브'!B22</f>
        <v>기가비스</v>
      </c>
      <c r="O16" s="26">
        <f>VLOOKUP(N16,'TIGER 코리아테크액티브'!$B$11:$E$1000,4,0)</f>
        <v>2.37</v>
      </c>
      <c r="P16" s="26">
        <f>IFERROR(VLOOKUP(N16,'TIGER 코리아테크액티브(과거)'!$B$11:$E$1000,4,0),0)</f>
        <v>2.33</v>
      </c>
      <c r="Q16" s="26">
        <f t="shared" si="4"/>
        <v>4.0000000000000036E-2</v>
      </c>
      <c r="R16" s="27">
        <f t="shared" si="5"/>
        <v>1.7167381974249052E-2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신세계</v>
      </c>
      <c r="C17" s="65">
        <f>VLOOKUP(B17,'TIMEFOLIO 코스피액티브'!$B$11:$E$1000,4,0)</f>
        <v>2.42</v>
      </c>
      <c r="D17" s="65">
        <f>IFERROR(VLOOKUP(B17,'TIMEFOLIO 코스피액티브(과거)'!$B$11:$E$1000,4,0),0)</f>
        <v>0</v>
      </c>
      <c r="E17" s="20">
        <f t="shared" si="0"/>
        <v>2.42</v>
      </c>
      <c r="F17" s="21" t="str">
        <f t="shared" si="1"/>
        <v>신규편입</v>
      </c>
      <c r="G17" s="63" t="str">
        <f>VLOOKUP(H17,유니버스!$C$14:$D$2561,2,0)</f>
        <v>KS</v>
      </c>
      <c r="H17" s="65" t="str">
        <f>'KODEX 친환경조선해운액티브'!B23</f>
        <v>팬오션</v>
      </c>
      <c r="I17" s="65">
        <f>VLOOKUP(H17,'KODEX 친환경조선해운액티브'!$B$11:$E$1000,4,0)</f>
        <v>3.93</v>
      </c>
      <c r="J17" s="65">
        <f>IFERROR(VLOOKUP(H17,'KODEX 친환경조선해운액티브(과거)'!$B$11:$E$1000,4,0),0)</f>
        <v>3.88</v>
      </c>
      <c r="K17" s="20">
        <f t="shared" si="2"/>
        <v>5.0000000000000266E-2</v>
      </c>
      <c r="L17" s="21">
        <f t="shared" si="3"/>
        <v>1.2886597938144506E-2</v>
      </c>
      <c r="M17" s="62" t="str">
        <f>VLOOKUP(N17,유니버스!$C$14:$D$2561,2,0)</f>
        <v>KQ</v>
      </c>
      <c r="N17" s="26" t="str">
        <f>'TIGER 코리아테크액티브'!B23</f>
        <v>올릭스</v>
      </c>
      <c r="O17" s="26">
        <f>VLOOKUP(N17,'TIGER 코리아테크액티브'!$B$11:$E$1000,4,0)</f>
        <v>1.91</v>
      </c>
      <c r="P17" s="26">
        <f>IFERROR(VLOOKUP(N17,'TIGER 코리아테크액티브(과거)'!$B$11:$E$1000,4,0),0)</f>
        <v>4.6900000000000004</v>
      </c>
      <c r="Q17" s="26">
        <f t="shared" si="4"/>
        <v>-2.7800000000000002</v>
      </c>
      <c r="R17" s="27">
        <f t="shared" si="5"/>
        <v>-0.59275053304904057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삼성화재</v>
      </c>
      <c r="C18" s="65">
        <f>VLOOKUP(B18,'TIMEFOLIO 코스피액티브'!$B$11:$E$1000,4,0)</f>
        <v>2.25</v>
      </c>
      <c r="D18" s="65">
        <f>IFERROR(VLOOKUP(B18,'TIMEFOLIO 코스피액티브(과거)'!$B$11:$E$1000,4,0),0)</f>
        <v>1.71</v>
      </c>
      <c r="E18" s="20">
        <f t="shared" si="0"/>
        <v>0.54</v>
      </c>
      <c r="F18" s="21">
        <f t="shared" si="1"/>
        <v>0.31578947368421062</v>
      </c>
      <c r="G18" s="63" t="str">
        <f>VLOOKUP(H18,유니버스!$C$14:$D$2561,2,0)</f>
        <v>KS</v>
      </c>
      <c r="H18" s="65" t="str">
        <f>'KODEX 친환경조선해운액티브'!B24</f>
        <v>STX엔진</v>
      </c>
      <c r="I18" s="65">
        <f>VLOOKUP(H18,'KODEX 친환경조선해운액티브'!$B$11:$E$1000,4,0)</f>
        <v>2.98</v>
      </c>
      <c r="J18" s="65">
        <f>IFERROR(VLOOKUP(H18,'KODEX 친환경조선해운액티브(과거)'!$B$11:$E$1000,4,0),0)</f>
        <v>3.42</v>
      </c>
      <c r="K18" s="20">
        <f t="shared" si="2"/>
        <v>-0.43999999999999995</v>
      </c>
      <c r="L18" s="21">
        <f t="shared" si="3"/>
        <v>-0.12865497076023391</v>
      </c>
      <c r="M18" s="62" t="str">
        <f>VLOOKUP(N18,유니버스!$C$14:$D$2561,2,0)</f>
        <v>KQ</v>
      </c>
      <c r="N18" s="26" t="str">
        <f>'TIGER 코리아테크액티브'!B24</f>
        <v>네오티스</v>
      </c>
      <c r="O18" s="26">
        <f>VLOOKUP(N18,'TIGER 코리아테크액티브'!$B$11:$E$1000,4,0)</f>
        <v>1.75</v>
      </c>
      <c r="P18" s="26">
        <f>IFERROR(VLOOKUP(N18,'TIGER 코리아테크액티브(과거)'!$B$11:$E$1000,4,0),0)</f>
        <v>1.75</v>
      </c>
      <c r="Q18" s="26">
        <f t="shared" si="4"/>
        <v>0</v>
      </c>
      <c r="R18" s="27">
        <f t="shared" si="5"/>
        <v>0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현대모비스</v>
      </c>
      <c r="C19" s="65">
        <f>VLOOKUP(B19,'TIMEFOLIO 코스피액티브'!$B$11:$E$1000,4,0)</f>
        <v>1.99</v>
      </c>
      <c r="D19" s="65">
        <f>IFERROR(VLOOKUP(B19,'TIMEFOLIO 코스피액티브(과거)'!$B$11:$E$1000,4,0),0)</f>
        <v>2.36</v>
      </c>
      <c r="E19" s="20">
        <f t="shared" si="0"/>
        <v>-0.36999999999999988</v>
      </c>
      <c r="F19" s="21">
        <f t="shared" si="1"/>
        <v>-0.15677966101694907</v>
      </c>
      <c r="G19" s="63" t="str">
        <f>VLOOKUP(H19,유니버스!$C$14:$D$2561,2,0)</f>
        <v>KS</v>
      </c>
      <c r="H19" s="65" t="str">
        <f>'KODEX 친환경조선해운액티브'!B25</f>
        <v>HMM</v>
      </c>
      <c r="I19" s="65">
        <f>VLOOKUP(H19,'KODEX 친환경조선해운액티브'!$B$11:$E$1000,4,0)</f>
        <v>2.95</v>
      </c>
      <c r="J19" s="65">
        <f>IFERROR(VLOOKUP(H19,'KODEX 친환경조선해운액티브(과거)'!$B$11:$E$1000,4,0),0)</f>
        <v>2.75</v>
      </c>
      <c r="K19" s="20">
        <f t="shared" si="2"/>
        <v>0.20000000000000018</v>
      </c>
      <c r="L19" s="21">
        <f t="shared" si="3"/>
        <v>7.2727272727272751E-2</v>
      </c>
      <c r="M19" s="62" t="str">
        <f>VLOOKUP(N19,유니버스!$C$14:$D$2561,2,0)</f>
        <v>KQ</v>
      </c>
      <c r="N19" s="26" t="str">
        <f>'TIGER 코리아테크액티브'!B25</f>
        <v>피에스케이홀딩스</v>
      </c>
      <c r="O19" s="26">
        <f>VLOOKUP(N19,'TIGER 코리아테크액티브'!$B$11:$E$1000,4,0)</f>
        <v>1.57</v>
      </c>
      <c r="P19" s="26">
        <f>IFERROR(VLOOKUP(N19,'TIGER 코리아테크액티브(과거)'!$B$11:$E$1000,4,0),0)</f>
        <v>0</v>
      </c>
      <c r="Q19" s="26">
        <f t="shared" si="4"/>
        <v>1.57</v>
      </c>
      <c r="R19" s="27" t="str">
        <f t="shared" si="5"/>
        <v>신규편입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SK</v>
      </c>
      <c r="C20" s="65">
        <f>VLOOKUP(B20,'TIMEFOLIO 코스피액티브'!$B$11:$E$1000,4,0)</f>
        <v>1.77</v>
      </c>
      <c r="D20" s="65">
        <f>IFERROR(VLOOKUP(B20,'TIMEFOLIO 코스피액티브(과거)'!$B$11:$E$1000,4,0),0)</f>
        <v>1.85</v>
      </c>
      <c r="E20" s="20">
        <f t="shared" si="0"/>
        <v>-8.0000000000000071E-2</v>
      </c>
      <c r="F20" s="21">
        <f t="shared" si="1"/>
        <v>-4.3243243243243246E-2</v>
      </c>
      <c r="G20" s="63" t="str">
        <f>VLOOKUP(H20,유니버스!$C$14:$D$2561,2,0)</f>
        <v>KS</v>
      </c>
      <c r="H20" s="65" t="str">
        <f>'KODEX 친환경조선해운액티브'!B26</f>
        <v>한화시스템</v>
      </c>
      <c r="I20" s="65">
        <f>VLOOKUP(H20,'KODEX 친환경조선해운액티브'!$B$11:$E$1000,4,0)</f>
        <v>2.84</v>
      </c>
      <c r="J20" s="65">
        <f>IFERROR(VLOOKUP(H20,'KODEX 친환경조선해운액티브(과거)'!$B$11:$E$1000,4,0),0)</f>
        <v>3.03</v>
      </c>
      <c r="K20" s="20">
        <f t="shared" si="2"/>
        <v>-0.18999999999999995</v>
      </c>
      <c r="L20" s="21">
        <f t="shared" si="3"/>
        <v>-6.2706270627062688E-2</v>
      </c>
      <c r="M20" s="62" t="str">
        <f>VLOOKUP(N20,유니버스!$C$14:$D$2561,2,0)</f>
        <v>KQ</v>
      </c>
      <c r="N20" s="26" t="str">
        <f>'TIGER 코리아테크액티브'!B26</f>
        <v>엠케이전자</v>
      </c>
      <c r="O20" s="26">
        <f>VLOOKUP(N20,'TIGER 코리아테크액티브'!$B$11:$E$1000,4,0)</f>
        <v>1.5</v>
      </c>
      <c r="P20" s="26">
        <f>IFERROR(VLOOKUP(N20,'TIGER 코리아테크액티브(과거)'!$B$11:$E$1000,4,0),0)</f>
        <v>1.08</v>
      </c>
      <c r="Q20" s="26">
        <f t="shared" si="4"/>
        <v>0.41999999999999993</v>
      </c>
      <c r="R20" s="27">
        <f t="shared" si="5"/>
        <v>0.38888888888888884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LIG디펜스앤에어로스페이스</v>
      </c>
      <c r="C21" s="65">
        <f>VLOOKUP(B21,'TIMEFOLIO 코스피액티브'!$B$11:$E$1000,4,0)</f>
        <v>1.37</v>
      </c>
      <c r="D21" s="65">
        <f>IFERROR(VLOOKUP(B21,'TIMEFOLIO 코스피액티브(과거)'!$B$11:$E$1000,4,0),0)</f>
        <v>0</v>
      </c>
      <c r="E21" s="20">
        <f t="shared" si="0"/>
        <v>1.37</v>
      </c>
      <c r="F21" s="21" t="str">
        <f t="shared" si="1"/>
        <v>신규편입</v>
      </c>
      <c r="G21" s="63" t="str">
        <f>VLOOKUP(H21,유니버스!$C$14:$D$2561,2,0)</f>
        <v>KS</v>
      </c>
      <c r="H21" s="65" t="str">
        <f>'KODEX 친환경조선해운액티브'!B27</f>
        <v>HJ중공업</v>
      </c>
      <c r="I21" s="65">
        <f>VLOOKUP(H21,'KODEX 친환경조선해운액티브'!$B$11:$E$1000,4,0)</f>
        <v>1.28</v>
      </c>
      <c r="J21" s="65">
        <f>IFERROR(VLOOKUP(H21,'KODEX 친환경조선해운액티브(과거)'!$B$11:$E$1000,4,0),0)</f>
        <v>1.1399999999999999</v>
      </c>
      <c r="K21" s="20">
        <f t="shared" si="2"/>
        <v>0.14000000000000012</v>
      </c>
      <c r="L21" s="21">
        <f t="shared" si="3"/>
        <v>0.12280701754385981</v>
      </c>
      <c r="M21" s="62" t="str">
        <f>VLOOKUP(N21,유니버스!$C$14:$D$2561,2,0)</f>
        <v>KQ</v>
      </c>
      <c r="N21" s="26" t="str">
        <f>'TIGER 코리아테크액티브'!B27</f>
        <v>티에스이</v>
      </c>
      <c r="O21" s="26">
        <f>VLOOKUP(N21,'TIGER 코리아테크액티브'!$B$11:$E$1000,4,0)</f>
        <v>1.49</v>
      </c>
      <c r="P21" s="26">
        <f>IFERROR(VLOOKUP(N21,'TIGER 코리아테크액티브(과거)'!$B$11:$E$1000,4,0),0)</f>
        <v>1.07</v>
      </c>
      <c r="Q21" s="26">
        <f t="shared" si="4"/>
        <v>0.41999999999999993</v>
      </c>
      <c r="R21" s="27">
        <f t="shared" si="5"/>
        <v>0.39252336448598113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HD현대중공업</v>
      </c>
      <c r="C22" s="65">
        <f>VLOOKUP(B22,'TIMEFOLIO 코스피액티브'!$B$11:$E$1000,4,0)</f>
        <v>1.34</v>
      </c>
      <c r="D22" s="65">
        <f>IFERROR(VLOOKUP(B22,'TIMEFOLIO 코스피액티브(과거)'!$B$11:$E$1000,4,0),0)</f>
        <v>1.28</v>
      </c>
      <c r="E22" s="20">
        <f t="shared" si="0"/>
        <v>6.0000000000000053E-2</v>
      </c>
      <c r="F22" s="21">
        <f t="shared" si="1"/>
        <v>4.6875E-2</v>
      </c>
      <c r="G22" s="63" t="str">
        <f>VLOOKUP(H22,유니버스!$C$14:$D$2561,2,0)</f>
        <v>KS</v>
      </c>
      <c r="H22" s="65" t="str">
        <f>'KODEX 친환경조선해운액티브'!B28</f>
        <v>대한해운</v>
      </c>
      <c r="I22" s="65">
        <f>VLOOKUP(H22,'KODEX 친환경조선해운액티브'!$B$11:$E$1000,4,0)</f>
        <v>0.97</v>
      </c>
      <c r="J22" s="65">
        <f>IFERROR(VLOOKUP(H22,'KODEX 친환경조선해운액티브(과거)'!$B$11:$E$1000,4,0),0)</f>
        <v>1.01</v>
      </c>
      <c r="K22" s="20">
        <f t="shared" si="2"/>
        <v>-4.0000000000000036E-2</v>
      </c>
      <c r="L22" s="21">
        <f t="shared" si="3"/>
        <v>-3.9603960396039639E-2</v>
      </c>
      <c r="M22" s="62" t="str">
        <f>VLOOKUP(N22,유니버스!$C$14:$D$2561,2,0)</f>
        <v>KS</v>
      </c>
      <c r="N22" s="26" t="str">
        <f>'TIGER 코리아테크액티브'!B28</f>
        <v>두산</v>
      </c>
      <c r="O22" s="26">
        <f>VLOOKUP(N22,'TIGER 코리아테크액티브'!$B$11:$E$1000,4,0)</f>
        <v>1.49</v>
      </c>
      <c r="P22" s="26">
        <f>IFERROR(VLOOKUP(N22,'TIGER 코리아테크액티브(과거)'!$B$11:$E$1000,4,0),0)</f>
        <v>1.69</v>
      </c>
      <c r="Q22" s="26">
        <f t="shared" si="4"/>
        <v>-0.19999999999999996</v>
      </c>
      <c r="R22" s="27">
        <f t="shared" si="5"/>
        <v>-0.11834319526627213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현대백화점</v>
      </c>
      <c r="C23" s="65">
        <f>VLOOKUP(B23,'TIMEFOLIO 코스피액티브'!$B$11:$E$1000,4,0)</f>
        <v>1.32</v>
      </c>
      <c r="D23" s="65">
        <f>IFERROR(VLOOKUP(B23,'TIMEFOLIO 코스피액티브(과거)'!$B$11:$E$1000,4,0),0)</f>
        <v>0</v>
      </c>
      <c r="E23" s="20">
        <f t="shared" si="0"/>
        <v>1.32</v>
      </c>
      <c r="F23" s="21" t="str">
        <f t="shared" si="1"/>
        <v>신규편입</v>
      </c>
      <c r="G23" s="63" t="str">
        <f>VLOOKUP(H23,유니버스!$C$14:$D$2561,2,0)</f>
        <v>KS</v>
      </c>
      <c r="H23" s="65" t="str">
        <f>'KODEX 친환경조선해운액티브'!B29</f>
        <v>GS</v>
      </c>
      <c r="I23" s="65">
        <f>VLOOKUP(H23,'KODEX 친환경조선해운액티브'!$B$11:$E$1000,4,0)</f>
        <v>0.9</v>
      </c>
      <c r="J23" s="65">
        <f>IFERROR(VLOOKUP(H23,'KODEX 친환경조선해운액티브(과거)'!$B$11:$E$1000,4,0),0)</f>
        <v>0.82</v>
      </c>
      <c r="K23" s="20">
        <f t="shared" si="2"/>
        <v>8.0000000000000071E-2</v>
      </c>
      <c r="L23" s="21">
        <f t="shared" si="3"/>
        <v>9.7560975609756184E-2</v>
      </c>
      <c r="M23" s="62" t="str">
        <f>VLOOKUP(N23,유니버스!$C$14:$D$2561,2,0)</f>
        <v>KQ</v>
      </c>
      <c r="N23" s="26" t="str">
        <f>'TIGER 코리아테크액티브'!B29</f>
        <v>GST</v>
      </c>
      <c r="O23" s="26">
        <f>VLOOKUP(N23,'TIGER 코리아테크액티브'!$B$11:$E$1000,4,0)</f>
        <v>1.45</v>
      </c>
      <c r="P23" s="26">
        <f>IFERROR(VLOOKUP(N23,'TIGER 코리아테크액티브(과거)'!$B$11:$E$1000,4,0),0)</f>
        <v>1.21</v>
      </c>
      <c r="Q23" s="26">
        <f t="shared" si="4"/>
        <v>0.24</v>
      </c>
      <c r="R23" s="27">
        <f t="shared" si="5"/>
        <v>0.19834710743801653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삼성물산</v>
      </c>
      <c r="C24" s="65">
        <f>VLOOKUP(B24,'TIMEFOLIO 코스피액티브'!$B$11:$E$1000,4,0)</f>
        <v>1.22</v>
      </c>
      <c r="D24" s="65">
        <f>IFERROR(VLOOKUP(B24,'TIMEFOLIO 코스피액티브(과거)'!$B$11:$E$1000,4,0),0)</f>
        <v>1.97</v>
      </c>
      <c r="E24" s="20">
        <f t="shared" si="0"/>
        <v>-0.75</v>
      </c>
      <c r="F24" s="21">
        <f t="shared" si="1"/>
        <v>-0.38071065989847719</v>
      </c>
      <c r="G24" s="63" t="str">
        <f>VLOOKUP(H24,유니버스!$C$14:$D$2561,2,0)</f>
        <v>KS</v>
      </c>
      <c r="H24" s="65" t="str">
        <f>'KODEX 친환경조선해운액티브'!B30</f>
        <v>SK오션플랜트</v>
      </c>
      <c r="I24" s="65">
        <f>VLOOKUP(H24,'KODEX 친환경조선해운액티브'!$B$11:$E$1000,4,0)</f>
        <v>0.87</v>
      </c>
      <c r="J24" s="65">
        <f>IFERROR(VLOOKUP(H24,'KODEX 친환경조선해운액티브(과거)'!$B$11:$E$1000,4,0),0)</f>
        <v>0.88</v>
      </c>
      <c r="K24" s="20">
        <f t="shared" si="2"/>
        <v>-1.0000000000000009E-2</v>
      </c>
      <c r="L24" s="21">
        <f t="shared" si="3"/>
        <v>-1.1363636363636354E-2</v>
      </c>
      <c r="M24" s="62" t="str">
        <f>VLOOKUP(N24,유니버스!$C$14:$D$2561,2,0)</f>
        <v>KS</v>
      </c>
      <c r="N24" s="26" t="str">
        <f>'TIGER 코리아테크액티브'!B30</f>
        <v>이수페타시스</v>
      </c>
      <c r="O24" s="26">
        <f>VLOOKUP(N24,'TIGER 코리아테크액티브'!$B$11:$E$1000,4,0)</f>
        <v>1.1599999999999999</v>
      </c>
      <c r="P24" s="26">
        <f>IFERROR(VLOOKUP(N24,'TIGER 코리아테크액티브(과거)'!$B$11:$E$1000,4,0),0)</f>
        <v>1.25</v>
      </c>
      <c r="Q24" s="26">
        <f t="shared" si="4"/>
        <v>-9.000000000000008E-2</v>
      </c>
      <c r="R24" s="27">
        <f t="shared" si="5"/>
        <v>-7.2000000000000064E-2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POSCO홀딩스</v>
      </c>
      <c r="C25" s="65">
        <f>VLOOKUP(B25,'TIMEFOLIO 코스피액티브'!$B$11:$E$1000,4,0)</f>
        <v>1.21</v>
      </c>
      <c r="D25" s="65">
        <f>IFERROR(VLOOKUP(B25,'TIMEFOLIO 코스피액티브(과거)'!$B$11:$E$1000,4,0),0)</f>
        <v>1.28</v>
      </c>
      <c r="E25" s="20">
        <f t="shared" si="0"/>
        <v>-7.0000000000000062E-2</v>
      </c>
      <c r="F25" s="21">
        <f t="shared" si="1"/>
        <v>-5.46875E-2</v>
      </c>
      <c r="G25" s="63" t="str">
        <f>VLOOKUP(H25,유니버스!$C$14:$D$2561,2,0)</f>
        <v>KQ</v>
      </c>
      <c r="H25" s="65" t="str">
        <f>'KODEX 친환경조선해운액티브'!B31</f>
        <v>성광벤드</v>
      </c>
      <c r="I25" s="65">
        <f>VLOOKUP(H25,'KODEX 친환경조선해운액티브'!$B$11:$E$1000,4,0)</f>
        <v>0.85</v>
      </c>
      <c r="J25" s="65">
        <f>IFERROR(VLOOKUP(H25,'KODEX 친환경조선해운액티브(과거)'!$B$11:$E$1000,4,0),0)</f>
        <v>0.84</v>
      </c>
      <c r="K25" s="20">
        <f t="shared" si="2"/>
        <v>1.0000000000000009E-2</v>
      </c>
      <c r="L25" s="21">
        <f t="shared" si="3"/>
        <v>1.1904761904761862E-2</v>
      </c>
      <c r="M25" s="62" t="str">
        <f>VLOOKUP(N25,유니버스!$C$14:$D$2561,2,0)</f>
        <v>KS</v>
      </c>
      <c r="N25" s="26" t="str">
        <f>'TIGER 코리아테크액티브'!B31</f>
        <v>SK스퀘어</v>
      </c>
      <c r="O25" s="26">
        <f>VLOOKUP(N25,'TIGER 코리아테크액티브'!$B$11:$E$1000,4,0)</f>
        <v>1.1299999999999999</v>
      </c>
      <c r="P25" s="26">
        <f>IFERROR(VLOOKUP(N25,'TIGER 코리아테크액티브(과거)'!$B$11:$E$1000,4,0),0)</f>
        <v>7.66</v>
      </c>
      <c r="Q25" s="26">
        <f t="shared" si="4"/>
        <v>-6.53</v>
      </c>
      <c r="R25" s="27">
        <f t="shared" si="5"/>
        <v>-0.85248041775456918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SK텔레콤</v>
      </c>
      <c r="C26" s="65">
        <f>VLOOKUP(B26,'TIMEFOLIO 코스피액티브'!$B$11:$E$1000,4,0)</f>
        <v>1.19</v>
      </c>
      <c r="D26" s="65">
        <f>IFERROR(VLOOKUP(B26,'TIMEFOLIO 코스피액티브(과거)'!$B$11:$E$1000,4,0),0)</f>
        <v>0.76</v>
      </c>
      <c r="E26" s="20">
        <f t="shared" si="0"/>
        <v>0.42999999999999994</v>
      </c>
      <c r="F26" s="21">
        <f t="shared" si="1"/>
        <v>0.5657894736842104</v>
      </c>
      <c r="G26" s="63" t="str">
        <f>VLOOKUP(H26,유니버스!$C$14:$D$2561,2,0)</f>
        <v>KS</v>
      </c>
      <c r="H26" s="65" t="str">
        <f>'KODEX 친환경조선해운액티브'!B32</f>
        <v>S-Oil</v>
      </c>
      <c r="I26" s="65">
        <f>VLOOKUP(H26,'KODEX 친환경조선해운액티브'!$B$11:$E$1000,4,0)</f>
        <v>0.78</v>
      </c>
      <c r="J26" s="65">
        <f>IFERROR(VLOOKUP(H26,'KODEX 친환경조선해운액티브(과거)'!$B$11:$E$1000,4,0),0)</f>
        <v>0.66</v>
      </c>
      <c r="K26" s="20">
        <f t="shared" si="2"/>
        <v>0.12</v>
      </c>
      <c r="L26" s="21">
        <f t="shared" si="3"/>
        <v>0.18181818181818188</v>
      </c>
      <c r="M26" s="62" t="str">
        <f>VLOOKUP(N26,유니버스!$C$14:$D$2561,2,0)</f>
        <v>KQ</v>
      </c>
      <c r="N26" s="26" t="str">
        <f>'TIGER 코리아테크액티브'!B32</f>
        <v>티씨케이</v>
      </c>
      <c r="O26" s="26">
        <f>VLOOKUP(N26,'TIGER 코리아테크액티브'!$B$11:$E$1000,4,0)</f>
        <v>1.08</v>
      </c>
      <c r="P26" s="26">
        <f>IFERROR(VLOOKUP(N26,'TIGER 코리아테크액티브(과거)'!$B$11:$E$1000,4,0),0)</f>
        <v>0.85</v>
      </c>
      <c r="Q26" s="26">
        <f t="shared" si="4"/>
        <v>0.23000000000000009</v>
      </c>
      <c r="R26" s="27">
        <f t="shared" si="5"/>
        <v>0.2705882352941178</v>
      </c>
    </row>
    <row r="27" spans="1:18" x14ac:dyDescent="0.4">
      <c r="A27" s="63" t="str">
        <f>VLOOKUP(B27,유니버스!$C$14:$D$2561,2,0)</f>
        <v>KQ</v>
      </c>
      <c r="B27" s="65" t="str">
        <f>'TIMEFOLIO 코스피액티브'!B33</f>
        <v>디앤디파마텍</v>
      </c>
      <c r="C27" s="65">
        <f>VLOOKUP(B27,'TIMEFOLIO 코스피액티브'!$B$11:$E$1000,4,0)</f>
        <v>1.1200000000000001</v>
      </c>
      <c r="D27" s="65">
        <f>IFERROR(VLOOKUP(B27,'TIMEFOLIO 코스피액티브(과거)'!$B$11:$E$1000,4,0),0)</f>
        <v>0</v>
      </c>
      <c r="E27" s="20">
        <f t="shared" si="0"/>
        <v>1.1200000000000001</v>
      </c>
      <c r="F27" s="21" t="str">
        <f t="shared" si="1"/>
        <v>신규편입</v>
      </c>
      <c r="G27" s="63" t="str">
        <f>VLOOKUP(H27,유니버스!$C$14:$D$2561,2,0)</f>
        <v>KS</v>
      </c>
      <c r="H27" s="65" t="str">
        <f>'KODEX 친환경조선해운액티브'!B33</f>
        <v>KSS해운</v>
      </c>
      <c r="I27" s="65">
        <f>VLOOKUP(H27,'KODEX 친환경조선해운액티브'!$B$11:$E$1000,4,0)</f>
        <v>0.34</v>
      </c>
      <c r="J27" s="65">
        <f>IFERROR(VLOOKUP(H27,'KODEX 친환경조선해운액티브(과거)'!$B$11:$E$1000,4,0),0)</f>
        <v>0.32</v>
      </c>
      <c r="K27" s="20">
        <f t="shared" ref="K27:K29" si="6">I27-J27</f>
        <v>2.0000000000000018E-2</v>
      </c>
      <c r="L27" s="21">
        <f t="shared" ref="L27:L29" si="7">IFERROR(I27/J27-1,"신규편입")</f>
        <v>6.25E-2</v>
      </c>
      <c r="M27" s="62" t="str">
        <f>VLOOKUP(N27,유니버스!$C$14:$D$2561,2,0)</f>
        <v>KQ</v>
      </c>
      <c r="N27" s="26" t="str">
        <f>'TIGER 코리아테크액티브'!B33</f>
        <v>네패스</v>
      </c>
      <c r="O27" s="26">
        <f>VLOOKUP(N27,'TIGER 코리아테크액티브'!$B$11:$E$1000,4,0)</f>
        <v>1.01</v>
      </c>
      <c r="P27" s="26">
        <f>IFERROR(VLOOKUP(N27,'TIGER 코리아테크액티브(과거)'!$B$11:$E$1000,4,0),0)</f>
        <v>0.84</v>
      </c>
      <c r="Q27" s="26">
        <f t="shared" si="4"/>
        <v>0.17000000000000004</v>
      </c>
      <c r="R27" s="27">
        <f t="shared" si="5"/>
        <v>0.20238095238095233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LS</v>
      </c>
      <c r="C28" s="65">
        <f>VLOOKUP(B28,'TIMEFOLIO 코스피액티브'!$B$11:$E$1000,4,0)</f>
        <v>1.01</v>
      </c>
      <c r="D28" s="65">
        <f>IFERROR(VLOOKUP(B28,'TIMEFOLIO 코스피액티브(과거)'!$B$11:$E$1000,4,0),0)</f>
        <v>2.42</v>
      </c>
      <c r="E28" s="20">
        <f t="shared" si="0"/>
        <v>-1.41</v>
      </c>
      <c r="F28" s="21">
        <f t="shared" si="1"/>
        <v>-0.5826446280991735</v>
      </c>
      <c r="G28" s="63" t="str">
        <f>VLOOKUP(H28,유니버스!$C$14:$D$2561,2,0)</f>
        <v>KS</v>
      </c>
      <c r="H28" s="65" t="str">
        <f>'KODEX 친환경조선해운액티브'!B34</f>
        <v>롯데정밀화학</v>
      </c>
      <c r="I28" s="65">
        <f>VLOOKUP(H28,'KODEX 친환경조선해운액티브'!$B$11:$E$1000,4,0)</f>
        <v>0.19</v>
      </c>
      <c r="J28" s="65">
        <f>IFERROR(VLOOKUP(H28,'KODEX 친환경조선해운액티브(과거)'!$B$11:$E$1000,4,0),0)</f>
        <v>0.18</v>
      </c>
      <c r="K28" s="20">
        <f t="shared" si="6"/>
        <v>1.0000000000000009E-2</v>
      </c>
      <c r="L28" s="21">
        <f t="shared" si="7"/>
        <v>5.555555555555558E-2</v>
      </c>
      <c r="M28" s="62" t="str">
        <f>VLOOKUP(N28,유니버스!$C$14:$D$2561,2,0)</f>
        <v>KQ</v>
      </c>
      <c r="N28" s="26" t="str">
        <f>'TIGER 코리아테크액티브'!B34</f>
        <v>더블유씨피</v>
      </c>
      <c r="O28" s="26">
        <f>VLOOKUP(N28,'TIGER 코리아테크액티브'!$B$11:$E$1000,4,0)</f>
        <v>0.97</v>
      </c>
      <c r="P28" s="26">
        <f>IFERROR(VLOOKUP(N28,'TIGER 코리아테크액티브(과거)'!$B$11:$E$1000,4,0),0)</f>
        <v>0.88</v>
      </c>
      <c r="Q28" s="26">
        <f t="shared" ref="Q28:Q29" si="8">O28-P28</f>
        <v>8.9999999999999969E-2</v>
      </c>
      <c r="R28" s="27">
        <f t="shared" ref="R28:R29" si="9">IFERROR(O28/P28-1,"신규편입")</f>
        <v>0.10227272727272729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LG이노텍</v>
      </c>
      <c r="C29" s="65">
        <f>VLOOKUP(B29,'TIMEFOLIO 코스피액티브'!$B$11:$E$1000,4,0)</f>
        <v>0.8</v>
      </c>
      <c r="D29" s="65">
        <f>IFERROR(VLOOKUP(B29,'TIMEFOLIO 코스피액티브(과거)'!$B$11:$E$1000,4,0),0)</f>
        <v>1.89</v>
      </c>
      <c r="E29" s="20">
        <f t="shared" ref="E29:E30" si="10">C29-D29</f>
        <v>-1.0899999999999999</v>
      </c>
      <c r="F29" s="21">
        <f t="shared" ref="F29:F30" si="11">IFERROR(C29/D29-1,"신규편입")</f>
        <v>-0.57671957671957674</v>
      </c>
      <c r="G29" s="63" t="e">
        <f>VLOOKUP(H29,유니버스!$C$14:$D$2561,2,0)</f>
        <v>#N/A</v>
      </c>
      <c r="H29" s="65" t="str">
        <f>'KODEX 친환경조선해운액티브'!B35</f>
        <v>원화현금</v>
      </c>
      <c r="I29" s="65">
        <f>VLOOKUP(H29,'KODEX 친환경조선해운액티브'!$B$11:$E$1000,4,0)</f>
        <v>0.41</v>
      </c>
      <c r="J29" s="65">
        <f>IFERROR(VLOOKUP(H29,'KODEX 친환경조선해운액티브(과거)'!$B$11:$E$1000,4,0),0)</f>
        <v>0.45</v>
      </c>
      <c r="K29" s="20">
        <f t="shared" si="6"/>
        <v>-4.0000000000000036E-2</v>
      </c>
      <c r="L29" s="21">
        <f t="shared" si="7"/>
        <v>-8.8888888888889017E-2</v>
      </c>
      <c r="M29" s="62" t="str">
        <f>VLOOKUP(N29,유니버스!$C$14:$D$2561,2,0)</f>
        <v>KS</v>
      </c>
      <c r="N29" s="26" t="str">
        <f>'TIGER 코리아테크액티브'!B35</f>
        <v>DB하이텍</v>
      </c>
      <c r="O29" s="26">
        <f>VLOOKUP(N29,'TIGER 코리아테크액티브'!$B$11:$E$1000,4,0)</f>
        <v>0.93</v>
      </c>
      <c r="P29" s="26">
        <f>IFERROR(VLOOKUP(N29,'TIGER 코리아테크액티브(과거)'!$B$11:$E$1000,4,0),0)</f>
        <v>0.87</v>
      </c>
      <c r="Q29" s="26">
        <f t="shared" si="8"/>
        <v>6.0000000000000053E-2</v>
      </c>
      <c r="R29" s="27">
        <f t="shared" si="9"/>
        <v>6.8965517241379448E-2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LG전자</v>
      </c>
      <c r="C30" s="65">
        <f>VLOOKUP(B30,'TIMEFOLIO 코스피액티브'!$B$11:$E$1000,4,0)</f>
        <v>0.67</v>
      </c>
      <c r="D30" s="65">
        <f>IFERROR(VLOOKUP(B30,'TIMEFOLIO 코스피액티브(과거)'!$B$11:$E$1000,4,0),0)</f>
        <v>0</v>
      </c>
      <c r="E30" s="20">
        <f t="shared" si="10"/>
        <v>0.67</v>
      </c>
      <c r="F30" s="21" t="str">
        <f t="shared" si="11"/>
        <v>신규편입</v>
      </c>
      <c r="H30" s="65"/>
      <c r="I30" s="65"/>
      <c r="J30" s="65"/>
      <c r="K30" s="20"/>
      <c r="L30" s="21"/>
      <c r="M30" s="62" t="e">
        <f>VLOOKUP(N30,유니버스!$C$14:$D$2561,2,0)</f>
        <v>#N/A</v>
      </c>
      <c r="N30" s="26" t="str">
        <f>'TIGER 코리아테크액티브'!B36</f>
        <v>원화현금</v>
      </c>
      <c r="O30" s="26">
        <f>VLOOKUP(N30,'TIGER 코리아테크액티브'!$B$11:$E$1000,4,0)</f>
        <v>0.18</v>
      </c>
      <c r="P30" s="26">
        <f>IFERROR(VLOOKUP(N30,'TIGER 코리아테크액티브(과거)'!$B$11:$E$1000,4,0),0)</f>
        <v>0.36</v>
      </c>
      <c r="Q30" s="26">
        <f t="shared" ref="Q30" si="12">O30-P30</f>
        <v>-0.18</v>
      </c>
      <c r="R30" s="27">
        <f t="shared" ref="R30" si="13">IFERROR(O30/P30-1,"신규편입")</f>
        <v>-0.5</v>
      </c>
    </row>
    <row r="31" spans="1:18" x14ac:dyDescent="0.4">
      <c r="B31" s="65"/>
      <c r="C31" s="65"/>
      <c r="D31" s="65"/>
      <c r="E31" s="20"/>
      <c r="F31" s="21"/>
      <c r="H31" s="65"/>
      <c r="I31" s="65"/>
      <c r="J31" s="65"/>
      <c r="K31" s="20"/>
      <c r="L31" s="21"/>
      <c r="M31" s="62" t="e">
        <f>VLOOKUP(N31,유니버스!$C$14:$D$2561,2,0)</f>
        <v>#N/A</v>
      </c>
      <c r="N31" s="26">
        <f>'TIGER 코리아테크액티브'!B37</f>
        <v>0</v>
      </c>
      <c r="O31" s="26" t="e">
        <f>VLOOKUP(N31,'TIGER 코리아테크액티브'!$B$11:$E$1000,4,0)</f>
        <v>#N/A</v>
      </c>
      <c r="P31" s="26">
        <f>IFERROR(VLOOKUP(N31,'TIGER 코리아테크액티브(과거)'!$B$11:$E$1000,4,0),0)</f>
        <v>0</v>
      </c>
      <c r="Q31" s="26" t="e">
        <f t="shared" ref="Q31" si="14">O31-P31</f>
        <v>#N/A</v>
      </c>
      <c r="R31" s="27" t="str">
        <f t="shared" ref="R31" si="15">IFERROR(O31/P31-1,"신규편입")</f>
        <v>신규편입</v>
      </c>
    </row>
    <row r="32" spans="1:18" x14ac:dyDescent="0.4">
      <c r="B32" s="65"/>
      <c r="C32" s="65"/>
      <c r="D32" s="65"/>
      <c r="E32" s="20"/>
      <c r="F32" s="21"/>
      <c r="H32" s="65"/>
      <c r="I32" s="65"/>
      <c r="J32" s="65"/>
      <c r="K32" s="20"/>
      <c r="L32" s="21"/>
      <c r="N32" s="26"/>
      <c r="O32" s="26"/>
      <c r="P32" s="26"/>
      <c r="Q32" s="26"/>
      <c r="R32" s="27"/>
    </row>
    <row r="33" spans="2:18" x14ac:dyDescent="0.4">
      <c r="B33" s="65"/>
      <c r="C33" s="65"/>
      <c r="D33" s="65"/>
      <c r="E33" s="20"/>
      <c r="F33" s="21"/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2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2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2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2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2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B13" zoomScaleNormal="100" workbookViewId="0">
      <selection activeCell="H17" sqref="H1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[20260611]</v>
      </c>
      <c r="D4" s="66" t="str">
        <f>'KODEX 신재생에너지액티브(과거)'!B4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23" t="str">
        <f>C4</f>
        <v>CPD [20260611]</v>
      </c>
      <c r="P4" s="23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16.12</v>
      </c>
      <c r="D5" s="65">
        <f>IFERROR(VLOOKUP(B5,'KoAct K수출핵심기업TOP30액티브(과거)'!$B$11:$E$1000,4,0),0)</f>
        <v>15.57</v>
      </c>
      <c r="E5" s="20">
        <f>C5-D5</f>
        <v>0.55000000000000071</v>
      </c>
      <c r="F5" s="21">
        <f>IFERROR(C5/D5-1,"신규편입")</f>
        <v>3.5324341682723137E-2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13.31</v>
      </c>
      <c r="J5" s="65">
        <f>IFERROR(VLOOKUP(H5,'KODEX 로봇액티브(과거)'!$B$11:$E$1000,4,0),0)</f>
        <v>12.14</v>
      </c>
      <c r="K5" s="26">
        <f>I5-J5</f>
        <v>1.17</v>
      </c>
      <c r="L5" s="27">
        <f>IFERROR(I5/J5-1,"신규편입")</f>
        <v>9.6375617792421764E-2</v>
      </c>
      <c r="M5" s="62" t="str">
        <f>VLOOKUP(N5,유니버스!$C$14:$D$2561,2,0)</f>
        <v>KS</v>
      </c>
      <c r="N5" s="26" t="str">
        <f>'TIMEFOLIO K컬처액티브'!B11</f>
        <v>롯데쇼핑</v>
      </c>
      <c r="O5" s="20">
        <f>VLOOKUP(N5,'TIMEFOLIO K컬처액티브'!$B$11:$E$1000,4,0)</f>
        <v>7.31</v>
      </c>
      <c r="P5" s="20">
        <f>IFERROR(VLOOKUP(N5,'TIMEFOLIO K컬처액티브(과거)'!$B$11:$E$1000,4,0),0)</f>
        <v>5.54</v>
      </c>
      <c r="Q5" s="20">
        <f>O5-P5</f>
        <v>1.7699999999999996</v>
      </c>
      <c r="R5" s="21">
        <f>IFERROR(O5/P5-1,"신규편입")</f>
        <v>0.319494584837545</v>
      </c>
    </row>
    <row r="6" spans="1:18" x14ac:dyDescent="0.4">
      <c r="A6" s="63" t="str">
        <f>VLOOKUP(B6,유니버스!$C$14:$D$2561,2,0)</f>
        <v>KS</v>
      </c>
      <c r="B6" s="65" t="str">
        <f>'KoAct K수출핵심기업TOP30액티브'!B12</f>
        <v>삼성전자</v>
      </c>
      <c r="C6" s="65">
        <f>VLOOKUP(B6,'KoAct K수출핵심기업TOP30액티브'!$B$11:$E$1000,4,0)</f>
        <v>9.86</v>
      </c>
      <c r="D6" s="65">
        <f>IFERROR(VLOOKUP(B6,'KoAct K수출핵심기업TOP30액티브(과거)'!$B$11:$E$1000,4,0),0)</f>
        <v>9.4600000000000009</v>
      </c>
      <c r="E6" s="20">
        <f t="shared" ref="E6:E39" si="0">C6-D6</f>
        <v>0.39999999999999858</v>
      </c>
      <c r="F6" s="21">
        <f t="shared" ref="F6:F39" si="1">IFERROR(C6/D6-1,"신규편입")</f>
        <v>4.2283298097251398E-2</v>
      </c>
      <c r="G6" s="63" t="str">
        <f>VLOOKUP(H6,유니버스!$C$14:$D$2561,2,0)</f>
        <v>KS</v>
      </c>
      <c r="H6" s="65" t="str">
        <f>'KODEX 로봇액티브'!B12</f>
        <v>현대오토에버</v>
      </c>
      <c r="I6" s="65">
        <f>VLOOKUP(H6,'KODEX 로봇액티브'!$B$11:$E$1000,4,0)</f>
        <v>7.79</v>
      </c>
      <c r="J6" s="65">
        <f>IFERROR(VLOOKUP(H6,'KODEX 로봇액티브(과거)'!$B$11:$E$1000,4,0),0)</f>
        <v>9.91</v>
      </c>
      <c r="K6" s="26">
        <f t="shared" ref="K6:K37" si="2">I6-J6</f>
        <v>-2.12</v>
      </c>
      <c r="L6" s="27">
        <f t="shared" ref="L6:L37" si="3">IFERROR(I6/J6-1,"신규편입")</f>
        <v>-0.21392532795156405</v>
      </c>
      <c r="M6" s="62" t="str">
        <f>VLOOKUP(N6,유니버스!$C$14:$D$2561,2,0)</f>
        <v>KS</v>
      </c>
      <c r="N6" s="26" t="str">
        <f>'TIMEFOLIO K컬처액티브'!B12</f>
        <v>신세계</v>
      </c>
      <c r="O6" s="20">
        <f>VLOOKUP(N6,'TIMEFOLIO K컬처액티브'!$B$11:$E$1000,4,0)</f>
        <v>6.46</v>
      </c>
      <c r="P6" s="20">
        <f>IFERROR(VLOOKUP(N6,'TIMEFOLIO K컬처액티브(과거)'!$B$11:$E$1000,4,0),0)</f>
        <v>4.83</v>
      </c>
      <c r="Q6" s="20">
        <f t="shared" ref="Q6:Q24" si="4">O6-P6</f>
        <v>1.63</v>
      </c>
      <c r="R6" s="21">
        <f t="shared" ref="R6:R24" si="5">IFERROR(O6/P6-1,"신규편입")</f>
        <v>0.33747412008281574</v>
      </c>
    </row>
    <row r="7" spans="1:18" x14ac:dyDescent="0.4">
      <c r="A7" s="63" t="str">
        <f>VLOOKUP(B7,유니버스!$C$14:$D$2561,2,0)</f>
        <v>KQ</v>
      </c>
      <c r="B7" s="65" t="str">
        <f>'KoAct K수출핵심기업TOP30액티브'!B13</f>
        <v>제주반도체</v>
      </c>
      <c r="C7" s="65">
        <f>VLOOKUP(B7,'KoAct K수출핵심기업TOP30액티브'!$B$11:$E$1000,4,0)</f>
        <v>9.26</v>
      </c>
      <c r="D7" s="65">
        <f>IFERROR(VLOOKUP(B7,'KoAct K수출핵심기업TOP30액티브(과거)'!$B$11:$E$1000,4,0),0)</f>
        <v>8.4499999999999993</v>
      </c>
      <c r="E7" s="20">
        <f t="shared" si="0"/>
        <v>0.8100000000000005</v>
      </c>
      <c r="F7" s="21">
        <f t="shared" si="1"/>
        <v>9.5857988165680474E-2</v>
      </c>
      <c r="G7" s="63" t="str">
        <f>VLOOKUP(H7,유니버스!$C$14:$D$2561,2,0)</f>
        <v>KQ</v>
      </c>
      <c r="H7" s="65" t="str">
        <f>'KODEX 로봇액티브'!B13</f>
        <v>로보티즈</v>
      </c>
      <c r="I7" s="65">
        <f>VLOOKUP(H7,'KODEX 로봇액티브'!$B$11:$E$1000,4,0)</f>
        <v>7.62</v>
      </c>
      <c r="J7" s="65">
        <f>IFERROR(VLOOKUP(H7,'KODEX 로봇액티브(과거)'!$B$11:$E$1000,4,0),0)</f>
        <v>7.02</v>
      </c>
      <c r="K7" s="26">
        <f t="shared" si="2"/>
        <v>0.60000000000000053</v>
      </c>
      <c r="L7" s="27">
        <f t="shared" si="3"/>
        <v>8.5470085470085611E-2</v>
      </c>
      <c r="M7" s="62" t="str">
        <f>VLOOKUP(N7,유니버스!$C$14:$D$2561,2,0)</f>
        <v>KS</v>
      </c>
      <c r="N7" s="26" t="str">
        <f>'TIMEFOLIO K컬처액티브'!B13</f>
        <v>삼양식품</v>
      </c>
      <c r="O7" s="20">
        <f>VLOOKUP(N7,'TIMEFOLIO K컬처액티브'!$B$11:$E$1000,4,0)</f>
        <v>6.38</v>
      </c>
      <c r="P7" s="20">
        <f>IFERROR(VLOOKUP(N7,'TIMEFOLIO K컬처액티브(과거)'!$B$11:$E$1000,4,0),0)</f>
        <v>6.78</v>
      </c>
      <c r="Q7" s="20">
        <f t="shared" si="4"/>
        <v>-0.40000000000000036</v>
      </c>
      <c r="R7" s="21">
        <f t="shared" si="5"/>
        <v>-5.899705014749268E-2</v>
      </c>
    </row>
    <row r="8" spans="1:18" x14ac:dyDescent="0.4">
      <c r="A8" s="63" t="str">
        <f>VLOOKUP(B8,유니버스!$C$14:$D$2561,2,0)</f>
        <v>KS</v>
      </c>
      <c r="B8" s="65" t="str">
        <f>'KoAct K수출핵심기업TOP30액티브'!B14</f>
        <v>삼성전기</v>
      </c>
      <c r="C8" s="65">
        <f>VLOOKUP(B8,'KoAct K수출핵심기업TOP30액티브'!$B$11:$E$1000,4,0)</f>
        <v>6.84</v>
      </c>
      <c r="D8" s="65">
        <f>IFERROR(VLOOKUP(B8,'KoAct K수출핵심기업TOP30액티브(과거)'!$B$11:$E$1000,4,0),0)</f>
        <v>7.87</v>
      </c>
      <c r="E8" s="20">
        <f t="shared" si="0"/>
        <v>-1.0300000000000002</v>
      </c>
      <c r="F8" s="21">
        <f t="shared" si="1"/>
        <v>-0.13087674714104192</v>
      </c>
      <c r="G8" s="63" t="str">
        <f>VLOOKUP(H8,유니버스!$C$14:$D$2561,2,0)</f>
        <v>KS</v>
      </c>
      <c r="H8" s="65" t="str">
        <f>'KODEX 로봇액티브'!B14</f>
        <v>현대모비스</v>
      </c>
      <c r="I8" s="65">
        <f>VLOOKUP(H8,'KODEX 로봇액티브'!$B$11:$E$1000,4,0)</f>
        <v>7.47</v>
      </c>
      <c r="J8" s="65">
        <f>IFERROR(VLOOKUP(H8,'KODEX 로봇액티브(과거)'!$B$11:$E$1000,4,0),0)</f>
        <v>8.25</v>
      </c>
      <c r="K8" s="26">
        <f t="shared" si="2"/>
        <v>-0.78000000000000025</v>
      </c>
      <c r="L8" s="27">
        <f t="shared" si="3"/>
        <v>-9.4545454545454599E-2</v>
      </c>
      <c r="M8" s="62" t="str">
        <f>VLOOKUP(N8,유니버스!$C$14:$D$2561,2,0)</f>
        <v>KQ</v>
      </c>
      <c r="N8" s="26" t="str">
        <f>'TIMEFOLIO K컬처액티브'!B14</f>
        <v>펄어비스</v>
      </c>
      <c r="O8" s="20">
        <f>VLOOKUP(N8,'TIMEFOLIO K컬처액티브'!$B$11:$E$1000,4,0)</f>
        <v>5.91</v>
      </c>
      <c r="P8" s="20">
        <f>IFERROR(VLOOKUP(N8,'TIMEFOLIO K컬처액티브(과거)'!$B$11:$E$1000,4,0),0)</f>
        <v>6.52</v>
      </c>
      <c r="Q8" s="20">
        <f t="shared" si="4"/>
        <v>-0.60999999999999943</v>
      </c>
      <c r="R8" s="21">
        <f t="shared" si="5"/>
        <v>-9.3558282208588861E-2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4.8</v>
      </c>
      <c r="D9" s="65">
        <f>IFERROR(VLOOKUP(B9,'KoAct K수출핵심기업TOP30액티브(과거)'!$B$11:$E$1000,4,0),0)</f>
        <v>4.55</v>
      </c>
      <c r="E9" s="20">
        <f t="shared" si="0"/>
        <v>0.25</v>
      </c>
      <c r="F9" s="21">
        <f t="shared" si="1"/>
        <v>5.4945054945054972E-2</v>
      </c>
      <c r="G9" s="63" t="str">
        <f>VLOOKUP(H9,유니버스!$C$14:$D$2561,2,0)</f>
        <v>KS</v>
      </c>
      <c r="H9" s="65" t="str">
        <f>'KODEX 로봇액티브'!B15</f>
        <v>LG전자</v>
      </c>
      <c r="I9" s="65">
        <f>VLOOKUP(H9,'KODEX 로봇액티브'!$B$11:$E$1000,4,0)</f>
        <v>6.99</v>
      </c>
      <c r="J9" s="65">
        <f>IFERROR(VLOOKUP(H9,'KODEX 로봇액티브(과거)'!$B$11:$E$1000,4,0),0)</f>
        <v>7.79</v>
      </c>
      <c r="K9" s="26">
        <f t="shared" si="2"/>
        <v>-0.79999999999999982</v>
      </c>
      <c r="L9" s="27">
        <f t="shared" si="3"/>
        <v>-0.10269576379974321</v>
      </c>
      <c r="M9" s="62" t="str">
        <f>VLOOKUP(N9,유니버스!$C$14:$D$2561,2,0)</f>
        <v>KS</v>
      </c>
      <c r="N9" s="26" t="str">
        <f>'TIMEFOLIO K컬처액티브'!B15</f>
        <v>NC</v>
      </c>
      <c r="O9" s="20">
        <f>VLOOKUP(N9,'TIMEFOLIO K컬처액티브'!$B$11:$E$1000,4,0)</f>
        <v>5.88</v>
      </c>
      <c r="P9" s="20">
        <f>IFERROR(VLOOKUP(N9,'TIMEFOLIO K컬처액티브(과거)'!$B$11:$E$1000,4,0),0)</f>
        <v>6.79</v>
      </c>
      <c r="Q9" s="20">
        <f t="shared" si="4"/>
        <v>-0.91000000000000014</v>
      </c>
      <c r="R9" s="21">
        <f t="shared" si="5"/>
        <v>-0.134020618556701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HD현대중공업</v>
      </c>
      <c r="C10" s="65">
        <f>VLOOKUP(B10,'KoAct K수출핵심기업TOP30액티브'!$B$11:$E$1000,4,0)</f>
        <v>3.8</v>
      </c>
      <c r="D10" s="65">
        <f>IFERROR(VLOOKUP(B10,'KoAct K수출핵심기업TOP30액티브(과거)'!$B$11:$E$1000,4,0),0)</f>
        <v>3.45</v>
      </c>
      <c r="E10" s="20">
        <f t="shared" si="0"/>
        <v>0.34999999999999964</v>
      </c>
      <c r="F10" s="21">
        <f t="shared" si="1"/>
        <v>0.10144927536231862</v>
      </c>
      <c r="G10" s="63" t="str">
        <f>VLOOKUP(H10,유니버스!$C$14:$D$2561,2,0)</f>
        <v>KS</v>
      </c>
      <c r="H10" s="65" t="str">
        <f>'KODEX 로봇액티브'!B16</f>
        <v>SK하이닉스</v>
      </c>
      <c r="I10" s="65">
        <f>VLOOKUP(H10,'KODEX 로봇액티브'!$B$11:$E$1000,4,0)</f>
        <v>6.81</v>
      </c>
      <c r="J10" s="65">
        <f>IFERROR(VLOOKUP(H10,'KODEX 로봇액티브(과거)'!$B$11:$E$1000,4,0),0)</f>
        <v>6.92</v>
      </c>
      <c r="K10" s="26">
        <f t="shared" si="2"/>
        <v>-0.11000000000000032</v>
      </c>
      <c r="L10" s="27">
        <f t="shared" si="3"/>
        <v>-1.5895953757225523E-2</v>
      </c>
      <c r="M10" s="62" t="str">
        <f>VLOOKUP(N10,유니버스!$C$14:$D$2561,2,0)</f>
        <v>KS</v>
      </c>
      <c r="N10" s="26" t="str">
        <f>'TIMEFOLIO K컬처액티브'!B16</f>
        <v>달바글로벌</v>
      </c>
      <c r="O10" s="20">
        <f>VLOOKUP(N10,'TIMEFOLIO K컬처액티브'!$B$11:$E$1000,4,0)</f>
        <v>5.74</v>
      </c>
      <c r="P10" s="20">
        <f>IFERROR(VLOOKUP(N10,'TIMEFOLIO K컬처액티브(과거)'!$B$11:$E$1000,4,0),0)</f>
        <v>5.56</v>
      </c>
      <c r="Q10" s="20">
        <f t="shared" si="4"/>
        <v>0.1800000000000006</v>
      </c>
      <c r="R10" s="21">
        <f t="shared" si="5"/>
        <v>3.2374100719424481E-2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한화비전</v>
      </c>
      <c r="C11" s="65">
        <f>VLOOKUP(B11,'KoAct K수출핵심기업TOP30액티브'!$B$11:$E$1000,4,0)</f>
        <v>3.69</v>
      </c>
      <c r="D11" s="65">
        <f>IFERROR(VLOOKUP(B11,'KoAct K수출핵심기업TOP30액티브(과거)'!$B$11:$E$1000,4,0),0)</f>
        <v>3.18</v>
      </c>
      <c r="E11" s="20">
        <f t="shared" si="0"/>
        <v>0.50999999999999979</v>
      </c>
      <c r="F11" s="21">
        <f t="shared" si="1"/>
        <v>0.16037735849056589</v>
      </c>
      <c r="G11" s="63" t="str">
        <f>VLOOKUP(H11,유니버스!$C$14:$D$2561,2,0)</f>
        <v>KS</v>
      </c>
      <c r="H11" s="65" t="str">
        <f>'KODEX 로봇액티브'!B17</f>
        <v>현대차</v>
      </c>
      <c r="I11" s="65">
        <f>VLOOKUP(H11,'KODEX 로봇액티브'!$B$11:$E$1000,4,0)</f>
        <v>5.93</v>
      </c>
      <c r="J11" s="65">
        <f>IFERROR(VLOOKUP(H11,'KODEX 로봇액티브(과거)'!$B$11:$E$1000,4,0),0)</f>
        <v>6.17</v>
      </c>
      <c r="K11" s="26">
        <f t="shared" si="2"/>
        <v>-0.24000000000000021</v>
      </c>
      <c r="L11" s="27">
        <f t="shared" si="3"/>
        <v>-3.8897893030794162E-2</v>
      </c>
      <c r="M11" s="62" t="str">
        <f>VLOOKUP(N11,유니버스!$C$14:$D$2561,2,0)</f>
        <v>KS</v>
      </c>
      <c r="N11" s="26" t="str">
        <f>'TIMEFOLIO K컬처액티브'!B17</f>
        <v>에이피알</v>
      </c>
      <c r="O11" s="20">
        <f>VLOOKUP(N11,'TIMEFOLIO K컬처액티브'!$B$11:$E$1000,4,0)</f>
        <v>5.61</v>
      </c>
      <c r="P11" s="20">
        <f>IFERROR(VLOOKUP(N11,'TIMEFOLIO K컬처액티브(과거)'!$B$11:$E$1000,4,0),0)</f>
        <v>5.6</v>
      </c>
      <c r="Q11" s="20">
        <f t="shared" si="4"/>
        <v>1.0000000000000675E-2</v>
      </c>
      <c r="R11" s="21">
        <f t="shared" si="5"/>
        <v>1.7857142857145014E-3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산일전기</v>
      </c>
      <c r="C12" s="65">
        <f>VLOOKUP(B12,'KoAct K수출핵심기업TOP30액티브'!$B$11:$E$1000,4,0)</f>
        <v>3.31</v>
      </c>
      <c r="D12" s="65">
        <f>IFERROR(VLOOKUP(B12,'KoAct K수출핵심기업TOP30액티브(과거)'!$B$11:$E$1000,4,0),0)</f>
        <v>3.48</v>
      </c>
      <c r="E12" s="20">
        <f t="shared" si="0"/>
        <v>-0.16999999999999993</v>
      </c>
      <c r="F12" s="21">
        <f t="shared" si="1"/>
        <v>-4.8850574712643646E-2</v>
      </c>
      <c r="G12" s="63" t="str">
        <f>VLOOKUP(H12,유니버스!$C$14:$D$2561,2,0)</f>
        <v>KS</v>
      </c>
      <c r="H12" s="65" t="str">
        <f>'KODEX 로봇액티브'!B18</f>
        <v>두산로보틱스</v>
      </c>
      <c r="I12" s="65">
        <f>VLOOKUP(H12,'KODEX 로봇액티브'!$B$11:$E$1000,4,0)</f>
        <v>5.54</v>
      </c>
      <c r="J12" s="65">
        <f>IFERROR(VLOOKUP(H12,'KODEX 로봇액티브(과거)'!$B$11:$E$1000,4,0),0)</f>
        <v>4.6399999999999997</v>
      </c>
      <c r="K12" s="26">
        <f t="shared" si="2"/>
        <v>0.90000000000000036</v>
      </c>
      <c r="L12" s="27">
        <f t="shared" si="3"/>
        <v>0.19396551724137945</v>
      </c>
      <c r="M12" s="62" t="str">
        <f>VLOOKUP(N12,유니버스!$C$14:$D$2561,2,0)</f>
        <v>KQ</v>
      </c>
      <c r="N12" s="26" t="str">
        <f>'TIMEFOLIO K컬처액티브'!B18</f>
        <v>휴젤</v>
      </c>
      <c r="O12" s="20">
        <f>VLOOKUP(N12,'TIMEFOLIO K컬처액티브'!$B$11:$E$1000,4,0)</f>
        <v>5.55</v>
      </c>
      <c r="P12" s="20">
        <f>IFERROR(VLOOKUP(N12,'TIMEFOLIO K컬처액티브(과거)'!$B$11:$E$1000,4,0),0)</f>
        <v>5.83</v>
      </c>
      <c r="Q12" s="20">
        <f t="shared" si="4"/>
        <v>-0.28000000000000025</v>
      </c>
      <c r="R12" s="21">
        <f t="shared" si="5"/>
        <v>-4.8027444253859408E-2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현대차</v>
      </c>
      <c r="C13" s="65">
        <f>VLOOKUP(B13,'KoAct K수출핵심기업TOP30액티브'!$B$11:$E$1000,4,0)</f>
        <v>3.21</v>
      </c>
      <c r="D13" s="65">
        <f>IFERROR(VLOOKUP(B13,'KoAct K수출핵심기업TOP30액티브(과거)'!$B$11:$E$1000,4,0),0)</f>
        <v>3.52</v>
      </c>
      <c r="E13" s="20">
        <f t="shared" si="0"/>
        <v>-0.31000000000000005</v>
      </c>
      <c r="F13" s="21">
        <f t="shared" si="1"/>
        <v>-8.8068181818181879E-2</v>
      </c>
      <c r="G13" s="63" t="str">
        <f>VLOOKUP(H13,유니버스!$C$14:$D$2561,2,0)</f>
        <v>KQ</v>
      </c>
      <c r="H13" s="65" t="str">
        <f>'KODEX 로봇액티브'!B19</f>
        <v>레인보우로보틱스</v>
      </c>
      <c r="I13" s="65">
        <f>VLOOKUP(H13,'KODEX 로봇액티브'!$B$11:$E$1000,4,0)</f>
        <v>5.09</v>
      </c>
      <c r="J13" s="65">
        <f>IFERROR(VLOOKUP(H13,'KODEX 로봇액티브(과거)'!$B$11:$E$1000,4,0),0)</f>
        <v>5.08</v>
      </c>
      <c r="K13" s="26">
        <f t="shared" si="2"/>
        <v>9.9999999999997868E-3</v>
      </c>
      <c r="L13" s="27">
        <f t="shared" si="3"/>
        <v>1.9685039370078705E-3</v>
      </c>
      <c r="M13" s="62" t="str">
        <f>VLOOKUP(N13,유니버스!$C$14:$D$2561,2,0)</f>
        <v>KS</v>
      </c>
      <c r="N13" s="26" t="str">
        <f>'TIMEFOLIO K컬처액티브'!B19</f>
        <v>CJ</v>
      </c>
      <c r="O13" s="20">
        <f>VLOOKUP(N13,'TIMEFOLIO K컬처액티브'!$B$11:$E$1000,4,0)</f>
        <v>4.6900000000000004</v>
      </c>
      <c r="P13" s="20">
        <f>IFERROR(VLOOKUP(N13,'TIMEFOLIO K컬처액티브(과거)'!$B$11:$E$1000,4,0),0)</f>
        <v>4.55</v>
      </c>
      <c r="Q13" s="20">
        <f t="shared" si="4"/>
        <v>0.14000000000000057</v>
      </c>
      <c r="R13" s="21">
        <f t="shared" si="5"/>
        <v>3.0769230769230882E-2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LS ELECTRIC</v>
      </c>
      <c r="C14" s="65">
        <f>VLOOKUP(B14,'KoAct K수출핵심기업TOP30액티브'!$B$11:$E$1000,4,0)</f>
        <v>3.18</v>
      </c>
      <c r="D14" s="65">
        <f>IFERROR(VLOOKUP(B14,'KoAct K수출핵심기업TOP30액티브(과거)'!$B$11:$E$1000,4,0),0)</f>
        <v>3.03</v>
      </c>
      <c r="E14" s="20">
        <f t="shared" si="0"/>
        <v>0.15000000000000036</v>
      </c>
      <c r="F14" s="21">
        <f t="shared" si="1"/>
        <v>4.9504950495049549E-2</v>
      </c>
      <c r="G14" s="63" t="str">
        <f>VLOOKUP(H14,유니버스!$C$14:$D$2561,2,0)</f>
        <v>KS</v>
      </c>
      <c r="H14" s="65" t="str">
        <f>'KODEX 로봇액티브'!B20</f>
        <v>NAVER</v>
      </c>
      <c r="I14" s="65">
        <f>VLOOKUP(H14,'KODEX 로봇액티브'!$B$11:$E$1000,4,0)</f>
        <v>3.3</v>
      </c>
      <c r="J14" s="65">
        <f>IFERROR(VLOOKUP(H14,'KODEX 로봇액티브(과거)'!$B$11:$E$1000,4,0),0)</f>
        <v>2.11</v>
      </c>
      <c r="K14" s="26">
        <f t="shared" si="2"/>
        <v>1.19</v>
      </c>
      <c r="L14" s="27">
        <f t="shared" si="3"/>
        <v>0.56398104265402837</v>
      </c>
      <c r="M14" s="62" t="str">
        <f>VLOOKUP(N14,유니버스!$C$14:$D$2561,2,0)</f>
        <v>KQ</v>
      </c>
      <c r="N14" s="26" t="str">
        <f>'TIMEFOLIO K컬처액티브'!B20</f>
        <v>JYP Ent.</v>
      </c>
      <c r="O14" s="20">
        <f>VLOOKUP(N14,'TIMEFOLIO K컬처액티브'!$B$11:$E$1000,4,0)</f>
        <v>3.98</v>
      </c>
      <c r="P14" s="20">
        <f>IFERROR(VLOOKUP(N14,'TIMEFOLIO K컬처액티브(과거)'!$B$11:$E$1000,4,0),0)</f>
        <v>4.34</v>
      </c>
      <c r="Q14" s="20">
        <f t="shared" si="4"/>
        <v>-0.35999999999999988</v>
      </c>
      <c r="R14" s="21">
        <f t="shared" si="5"/>
        <v>-8.2949308755760343E-2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한화시스템</v>
      </c>
      <c r="C15" s="65">
        <f>VLOOKUP(B15,'KoAct K수출핵심기업TOP30액티브'!$B$11:$E$1000,4,0)</f>
        <v>3.17</v>
      </c>
      <c r="D15" s="65">
        <f>IFERROR(VLOOKUP(B15,'KoAct K수출핵심기업TOP30액티브(과거)'!$B$11:$E$1000,4,0),0)</f>
        <v>3.4</v>
      </c>
      <c r="E15" s="20">
        <f t="shared" si="0"/>
        <v>-0.22999999999999998</v>
      </c>
      <c r="F15" s="21">
        <f t="shared" si="1"/>
        <v>-6.7647058823529393E-2</v>
      </c>
      <c r="G15" s="63" t="str">
        <f>VLOOKUP(H15,유니버스!$C$14:$D$2561,2,0)</f>
        <v>KQ</v>
      </c>
      <c r="H15" s="65" t="str">
        <f>'KODEX 로봇액티브'!B21</f>
        <v>에스피지</v>
      </c>
      <c r="I15" s="65">
        <f>VLOOKUP(H15,'KODEX 로봇액티브'!$B$11:$E$1000,4,0)</f>
        <v>3.22</v>
      </c>
      <c r="J15" s="65">
        <f>IFERROR(VLOOKUP(H15,'KODEX 로봇액티브(과거)'!$B$11:$E$1000,4,0),0)</f>
        <v>3.54</v>
      </c>
      <c r="K15" s="26">
        <f t="shared" si="2"/>
        <v>-0.31999999999999984</v>
      </c>
      <c r="L15" s="27">
        <f t="shared" si="3"/>
        <v>-9.0395480225988645E-2</v>
      </c>
      <c r="M15" s="62" t="str">
        <f>VLOOKUP(N15,유니버스!$C$14:$D$2561,2,0)</f>
        <v>KS</v>
      </c>
      <c r="N15" s="26" t="str">
        <f>'TIMEFOLIO K컬처액티브'!B21</f>
        <v>하이브</v>
      </c>
      <c r="O15" s="20">
        <f>VLOOKUP(N15,'TIMEFOLIO K컬처액티브'!$B$11:$E$1000,4,0)</f>
        <v>3.94</v>
      </c>
      <c r="P15" s="20">
        <f>IFERROR(VLOOKUP(N15,'TIMEFOLIO K컬처액티브(과거)'!$B$11:$E$1000,4,0),0)</f>
        <v>4.13</v>
      </c>
      <c r="Q15" s="20">
        <f t="shared" si="4"/>
        <v>-0.18999999999999995</v>
      </c>
      <c r="R15" s="21">
        <f t="shared" si="5"/>
        <v>-4.6004842615012143E-2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LG전자</v>
      </c>
      <c r="C16" s="65">
        <f>VLOOKUP(B16,'KoAct K수출핵심기업TOP30액티브'!$B$11:$E$1000,4,0)</f>
        <v>2.91</v>
      </c>
      <c r="D16" s="65">
        <f>IFERROR(VLOOKUP(B16,'KoAct K수출핵심기업TOP30액티브(과거)'!$B$11:$E$1000,4,0),0)</f>
        <v>3.41</v>
      </c>
      <c r="E16" s="20">
        <f t="shared" si="0"/>
        <v>-0.5</v>
      </c>
      <c r="F16" s="21">
        <f t="shared" si="1"/>
        <v>-0.14662756598240467</v>
      </c>
      <c r="G16" s="63" t="str">
        <f>VLOOKUP(H16,유니버스!$C$14:$D$2561,2,0)</f>
        <v>KS</v>
      </c>
      <c r="H16" s="65" t="str">
        <f>'KODEX 로봇액티브'!B22</f>
        <v>LG이노텍</v>
      </c>
      <c r="I16" s="65">
        <f>VLOOKUP(H16,'KODEX 로봇액티브'!$B$11:$E$1000,4,0)</f>
        <v>2.69</v>
      </c>
      <c r="J16" s="65">
        <f>IFERROR(VLOOKUP(H16,'KODEX 로봇액티브(과거)'!$B$11:$E$1000,4,0),0)</f>
        <v>3.14</v>
      </c>
      <c r="K16" s="26">
        <f t="shared" si="2"/>
        <v>-0.45000000000000018</v>
      </c>
      <c r="L16" s="27">
        <f t="shared" si="3"/>
        <v>-0.1433121019108281</v>
      </c>
      <c r="M16" s="62" t="str">
        <f>VLOOKUP(N16,유니버스!$C$14:$D$2561,2,0)</f>
        <v>KQ</v>
      </c>
      <c r="N16" s="26" t="str">
        <f>'TIMEFOLIO K컬처액티브'!B22</f>
        <v>엘앤씨바이오</v>
      </c>
      <c r="O16" s="20">
        <f>VLOOKUP(N16,'TIMEFOLIO K컬처액티브'!$B$11:$E$1000,4,0)</f>
        <v>3.82</v>
      </c>
      <c r="P16" s="20">
        <f>IFERROR(VLOOKUP(N16,'TIMEFOLIO K컬처액티브(과거)'!$B$11:$E$1000,4,0),0)</f>
        <v>3.55</v>
      </c>
      <c r="Q16" s="20">
        <f t="shared" si="4"/>
        <v>0.27</v>
      </c>
      <c r="R16" s="21">
        <f t="shared" si="5"/>
        <v>7.6056338028168913E-2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에이피알</v>
      </c>
      <c r="C17" s="65">
        <f>VLOOKUP(B17,'KoAct K수출핵심기업TOP30액티브'!$B$11:$E$1000,4,0)</f>
        <v>2.82</v>
      </c>
      <c r="D17" s="65">
        <f>IFERROR(VLOOKUP(B17,'KoAct K수출핵심기업TOP30액티브(과거)'!$B$11:$E$1000,4,0),0)</f>
        <v>2.46</v>
      </c>
      <c r="E17" s="20">
        <f t="shared" si="0"/>
        <v>0.35999999999999988</v>
      </c>
      <c r="F17" s="21">
        <f t="shared" si="1"/>
        <v>0.14634146341463405</v>
      </c>
      <c r="G17" s="63" t="str">
        <f>VLOOKUP(H17,유니버스!$C$14:$D$2561,2,0)</f>
        <v>KS</v>
      </c>
      <c r="H17" s="65" t="str">
        <f>'KODEX 로봇액티브'!B23</f>
        <v>HD현대</v>
      </c>
      <c r="I17" s="65">
        <f>VLOOKUP(H17,'KODEX 로봇액티브'!$B$11:$E$1000,4,0)</f>
        <v>2.46</v>
      </c>
      <c r="J17" s="65">
        <f>IFERROR(VLOOKUP(H17,'KODEX 로봇액티브(과거)'!$B$11:$E$1000,4,0),0)</f>
        <v>2.39</v>
      </c>
      <c r="K17" s="26">
        <f t="shared" si="2"/>
        <v>6.999999999999984E-2</v>
      </c>
      <c r="L17" s="27">
        <f t="shared" si="3"/>
        <v>2.9288702928870203E-2</v>
      </c>
      <c r="M17" s="62" t="str">
        <f>VLOOKUP(N17,유니버스!$C$14:$D$2561,2,0)</f>
        <v>KQ</v>
      </c>
      <c r="N17" s="26" t="str">
        <f>'TIMEFOLIO K컬처액티브'!B23</f>
        <v>와이지엔터테인먼트</v>
      </c>
      <c r="O17" s="20">
        <f>VLOOKUP(N17,'TIMEFOLIO K컬처액티브'!$B$11:$E$1000,4,0)</f>
        <v>3.62</v>
      </c>
      <c r="P17" s="20">
        <f>IFERROR(VLOOKUP(N17,'TIMEFOLIO K컬처액티브(과거)'!$B$11:$E$1000,4,0),0)</f>
        <v>3.76</v>
      </c>
      <c r="Q17" s="20">
        <f t="shared" si="4"/>
        <v>-0.13999999999999968</v>
      </c>
      <c r="R17" s="21">
        <f t="shared" si="5"/>
        <v>-3.7234042553191404E-2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HD한국조선해양</v>
      </c>
      <c r="C18" s="65">
        <f>VLOOKUP(B18,'KoAct K수출핵심기업TOP30액티브'!$B$11:$E$1000,4,0)</f>
        <v>2.4300000000000002</v>
      </c>
      <c r="D18" s="65">
        <f>IFERROR(VLOOKUP(B18,'KoAct K수출핵심기업TOP30액티브(과거)'!$B$11:$E$1000,4,0),0)</f>
        <v>2.48</v>
      </c>
      <c r="E18" s="20">
        <f t="shared" si="0"/>
        <v>-4.9999999999999822E-2</v>
      </c>
      <c r="F18" s="21">
        <f t="shared" si="1"/>
        <v>-2.0161290322580627E-2</v>
      </c>
      <c r="G18" s="63" t="str">
        <f>VLOOKUP(H18,유니버스!$C$14:$D$2561,2,0)</f>
        <v>KQ</v>
      </c>
      <c r="H18" s="65" t="str">
        <f>'KODEX 로봇액티브'!B24</f>
        <v>뉴로메카</v>
      </c>
      <c r="I18" s="65">
        <f>VLOOKUP(H18,'KODEX 로봇액티브'!$B$11:$E$1000,4,0)</f>
        <v>2.41</v>
      </c>
      <c r="J18" s="65">
        <f>IFERROR(VLOOKUP(H18,'KODEX 로봇액티브(과거)'!$B$11:$E$1000,4,0),0)</f>
        <v>2.4</v>
      </c>
      <c r="K18" s="26">
        <f t="shared" si="2"/>
        <v>1.0000000000000231E-2</v>
      </c>
      <c r="L18" s="27">
        <f t="shared" si="3"/>
        <v>4.1666666666668739E-3</v>
      </c>
      <c r="M18" s="62" t="str">
        <f>VLOOKUP(N18,유니버스!$C$14:$D$2561,2,0)</f>
        <v>KS</v>
      </c>
      <c r="N18" s="26" t="str">
        <f>'TIMEFOLIO K컬처액티브'!B24</f>
        <v>현대백화점</v>
      </c>
      <c r="O18" s="20">
        <f>VLOOKUP(N18,'TIMEFOLIO K컬처액티브'!$B$11:$E$1000,4,0)</f>
        <v>3.38</v>
      </c>
      <c r="P18" s="20">
        <f>IFERROR(VLOOKUP(N18,'TIMEFOLIO K컬처액티브(과거)'!$B$11:$E$1000,4,0),0)</f>
        <v>2.06</v>
      </c>
      <c r="Q18" s="20">
        <f t="shared" si="4"/>
        <v>1.3199999999999998</v>
      </c>
      <c r="R18" s="21">
        <f t="shared" si="5"/>
        <v>0.64077669902912615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효성중공업</v>
      </c>
      <c r="C19" s="65">
        <f>VLOOKUP(B19,'KoAct K수출핵심기업TOP30액티브'!$B$11:$E$1000,4,0)</f>
        <v>2.2599999999999998</v>
      </c>
      <c r="D19" s="65">
        <f>IFERROR(VLOOKUP(B19,'KoAct K수출핵심기업TOP30액티브(과거)'!$B$11:$E$1000,4,0),0)</f>
        <v>2.33</v>
      </c>
      <c r="E19" s="20">
        <f t="shared" si="0"/>
        <v>-7.0000000000000284E-2</v>
      </c>
      <c r="F19" s="21">
        <f t="shared" si="1"/>
        <v>-3.0042918454935785E-2</v>
      </c>
      <c r="G19" s="63" t="str">
        <f>VLOOKUP(H19,유니버스!$C$14:$D$2561,2,0)</f>
        <v>KS</v>
      </c>
      <c r="H19" s="65" t="str">
        <f>'KODEX 로봇액티브'!B25</f>
        <v>삼성에스디에스</v>
      </c>
      <c r="I19" s="65">
        <f>VLOOKUP(H19,'KODEX 로봇액티브'!$B$11:$E$1000,4,0)</f>
        <v>2.35</v>
      </c>
      <c r="J19" s="65">
        <f>IFERROR(VLOOKUP(H19,'KODEX 로봇액티브(과거)'!$B$11:$E$1000,4,0),0)</f>
        <v>2.63</v>
      </c>
      <c r="K19" s="26">
        <f t="shared" si="2"/>
        <v>-0.2799999999999998</v>
      </c>
      <c r="L19" s="27">
        <f t="shared" si="3"/>
        <v>-0.10646387832699611</v>
      </c>
      <c r="M19" s="62" t="str">
        <f>VLOOKUP(N19,유니버스!$C$14:$D$2561,2,0)</f>
        <v>KQ</v>
      </c>
      <c r="N19" s="26" t="str">
        <f>'TIMEFOLIO K컬처액티브'!B25</f>
        <v>올릭스</v>
      </c>
      <c r="O19" s="20">
        <f>VLOOKUP(N19,'TIMEFOLIO K컬처액티브'!$B$11:$E$1000,4,0)</f>
        <v>3.38</v>
      </c>
      <c r="P19" s="20">
        <f>IFERROR(VLOOKUP(N19,'TIMEFOLIO K컬처액티브(과거)'!$B$11:$E$1000,4,0),0)</f>
        <v>4.9400000000000004</v>
      </c>
      <c r="Q19" s="20">
        <f t="shared" si="4"/>
        <v>-1.5600000000000005</v>
      </c>
      <c r="R19" s="21">
        <f t="shared" si="5"/>
        <v>-0.31578947368421062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이수페타시스</v>
      </c>
      <c r="C20" s="65">
        <f>VLOOKUP(B20,'KoAct K수출핵심기업TOP30액티브'!$B$11:$E$1000,4,0)</f>
        <v>2.25</v>
      </c>
      <c r="D20" s="65">
        <f>IFERROR(VLOOKUP(B20,'KoAct K수출핵심기업TOP30액티브(과거)'!$B$11:$E$1000,4,0),0)</f>
        <v>2.13</v>
      </c>
      <c r="E20" s="20">
        <f t="shared" si="0"/>
        <v>0.12000000000000011</v>
      </c>
      <c r="F20" s="21">
        <f t="shared" si="1"/>
        <v>5.6338028169014231E-2</v>
      </c>
      <c r="G20" s="63" t="str">
        <f>VLOOKUP(H20,유니버스!$C$14:$D$2561,2,0)</f>
        <v>KQ</v>
      </c>
      <c r="H20" s="65" t="str">
        <f>'KODEX 로봇액티브'!B26</f>
        <v>유진로봇</v>
      </c>
      <c r="I20" s="65">
        <f>VLOOKUP(H20,'KODEX 로봇액티브'!$B$11:$E$1000,4,0)</f>
        <v>1.88</v>
      </c>
      <c r="J20" s="65">
        <f>IFERROR(VLOOKUP(H20,'KODEX 로봇액티브(과거)'!$B$11:$E$1000,4,0),0)</f>
        <v>1.75</v>
      </c>
      <c r="K20" s="26">
        <f t="shared" si="2"/>
        <v>0.12999999999999989</v>
      </c>
      <c r="L20" s="27">
        <f t="shared" si="3"/>
        <v>7.4285714285714288E-2</v>
      </c>
      <c r="M20" s="62" t="str">
        <f>VLOOKUP(N20,유니버스!$C$14:$D$2561,2,0)</f>
        <v>KQ</v>
      </c>
      <c r="N20" s="26" t="str">
        <f>'TIMEFOLIO K컬처액티브'!B26</f>
        <v>에스엠</v>
      </c>
      <c r="O20" s="20">
        <f>VLOOKUP(N20,'TIMEFOLIO K컬처액티브'!$B$11:$E$1000,4,0)</f>
        <v>3.21</v>
      </c>
      <c r="P20" s="20">
        <f>IFERROR(VLOOKUP(N20,'TIMEFOLIO K컬처액티브(과거)'!$B$11:$E$1000,4,0),0)</f>
        <v>2.99</v>
      </c>
      <c r="Q20" s="20">
        <f t="shared" si="4"/>
        <v>0.21999999999999975</v>
      </c>
      <c r="R20" s="21">
        <f t="shared" si="5"/>
        <v>7.3578595317725703E-2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한화오션</v>
      </c>
      <c r="C21" s="65">
        <f>VLOOKUP(B21,'KoAct K수출핵심기업TOP30액티브'!$B$11:$E$1000,4,0)</f>
        <v>2.2000000000000002</v>
      </c>
      <c r="D21" s="65">
        <f>IFERROR(VLOOKUP(B21,'KoAct K수출핵심기업TOP30액티브(과거)'!$B$11:$E$1000,4,0),0)</f>
        <v>2.35</v>
      </c>
      <c r="E21" s="20">
        <f t="shared" si="0"/>
        <v>-0.14999999999999991</v>
      </c>
      <c r="F21" s="21">
        <f t="shared" si="1"/>
        <v>-6.3829787234042534E-2</v>
      </c>
      <c r="G21" s="63" t="str">
        <f>VLOOKUP(H21,유니버스!$C$14:$D$2561,2,0)</f>
        <v>KS</v>
      </c>
      <c r="H21" s="65" t="str">
        <f>'KODEX 로봇액티브'!B27</f>
        <v>KT</v>
      </c>
      <c r="I21" s="65">
        <f>VLOOKUP(H21,'KODEX 로봇액티브'!$B$11:$E$1000,4,0)</f>
        <v>1.69</v>
      </c>
      <c r="J21" s="65">
        <f>IFERROR(VLOOKUP(H21,'KODEX 로봇액티브(과거)'!$B$11:$E$1000,4,0),0)</f>
        <v>1.28</v>
      </c>
      <c r="K21" s="26">
        <f t="shared" si="2"/>
        <v>0.40999999999999992</v>
      </c>
      <c r="L21" s="27">
        <f t="shared" si="3"/>
        <v>0.3203125</v>
      </c>
      <c r="M21" s="62" t="str">
        <f>VLOOKUP(N21,유니버스!$C$14:$D$2561,2,0)</f>
        <v>KQ</v>
      </c>
      <c r="N21" s="26" t="str">
        <f>'TIMEFOLIO K컬처액티브'!B27</f>
        <v>실리콘투</v>
      </c>
      <c r="O21" s="20">
        <f>VLOOKUP(N21,'TIMEFOLIO K컬처액티브'!$B$11:$E$1000,4,0)</f>
        <v>3.2</v>
      </c>
      <c r="P21" s="20">
        <f>IFERROR(VLOOKUP(N21,'TIMEFOLIO K컬처액티브(과거)'!$B$11:$E$1000,4,0),0)</f>
        <v>3.39</v>
      </c>
      <c r="Q21" s="20">
        <f t="shared" si="4"/>
        <v>-0.18999999999999995</v>
      </c>
      <c r="R21" s="21">
        <f t="shared" si="5"/>
        <v>-5.6047197640118007E-2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한국항공우주</v>
      </c>
      <c r="C22" s="65">
        <f>VLOOKUP(B22,'KoAct K수출핵심기업TOP30액티브'!$B$11:$E$1000,4,0)</f>
        <v>1.97</v>
      </c>
      <c r="D22" s="65">
        <f>IFERROR(VLOOKUP(B22,'KoAct K수출핵심기업TOP30액티브(과거)'!$B$11:$E$1000,4,0),0)</f>
        <v>2.11</v>
      </c>
      <c r="E22" s="20">
        <f t="shared" si="0"/>
        <v>-0.1399999999999999</v>
      </c>
      <c r="F22" s="21">
        <f t="shared" si="1"/>
        <v>-6.6350710900473842E-2</v>
      </c>
      <c r="G22" s="63" t="str">
        <f>VLOOKUP(H22,유니버스!$C$14:$D$2561,2,0)</f>
        <v>KQ</v>
      </c>
      <c r="H22" s="65" t="str">
        <f>'KODEX 로봇액티브'!B28</f>
        <v>유일로보틱스</v>
      </c>
      <c r="I22" s="65">
        <f>VLOOKUP(H22,'KODEX 로봇액티브'!$B$11:$E$1000,4,0)</f>
        <v>1.48</v>
      </c>
      <c r="J22" s="65">
        <f>IFERROR(VLOOKUP(H22,'KODEX 로봇액티브(과거)'!$B$11:$E$1000,4,0),0)</f>
        <v>1.3</v>
      </c>
      <c r="K22" s="26">
        <f t="shared" si="2"/>
        <v>0.17999999999999994</v>
      </c>
      <c r="L22" s="27">
        <f t="shared" si="3"/>
        <v>0.13846153846153841</v>
      </c>
      <c r="M22" s="62" t="str">
        <f>VLOOKUP(N22,유니버스!$C$14:$D$2561,2,0)</f>
        <v>KQ</v>
      </c>
      <c r="N22" s="26" t="str">
        <f>'TIMEFOLIO K컬처액티브'!B28</f>
        <v>아이티센글로벌</v>
      </c>
      <c r="O22" s="20">
        <f>VLOOKUP(N22,'TIMEFOLIO K컬처액티브'!$B$11:$E$1000,4,0)</f>
        <v>2.75</v>
      </c>
      <c r="P22" s="20">
        <f>IFERROR(VLOOKUP(N22,'TIMEFOLIO K컬처액티브(과거)'!$B$11:$E$1000,4,0),0)</f>
        <v>2.88</v>
      </c>
      <c r="Q22" s="20">
        <f t="shared" si="4"/>
        <v>-0.12999999999999989</v>
      </c>
      <c r="R22" s="21">
        <f t="shared" si="5"/>
        <v>-4.513888888888884E-2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삼성SDI</v>
      </c>
      <c r="C23" s="65">
        <f>VLOOKUP(B23,'KoAct K수출핵심기업TOP30액티브'!$B$11:$E$1000,4,0)</f>
        <v>1.94</v>
      </c>
      <c r="D23" s="65">
        <f>IFERROR(VLOOKUP(B23,'KoAct K수출핵심기업TOP30액티브(과거)'!$B$11:$E$1000,4,0),0)</f>
        <v>2.36</v>
      </c>
      <c r="E23" s="20">
        <f t="shared" si="0"/>
        <v>-0.41999999999999993</v>
      </c>
      <c r="F23" s="21">
        <f t="shared" si="1"/>
        <v>-0.17796610169491522</v>
      </c>
      <c r="G23" s="63" t="str">
        <f>VLOOKUP(H23,유니버스!$C$14:$D$2561,2,0)</f>
        <v>KQ</v>
      </c>
      <c r="H23" s="65" t="str">
        <f>'KODEX 로봇액티브'!B29</f>
        <v>클로봇</v>
      </c>
      <c r="I23" s="65">
        <f>VLOOKUP(H23,'KODEX 로봇액티브'!$B$11:$E$1000,4,0)</f>
        <v>1.4</v>
      </c>
      <c r="J23" s="65">
        <f>IFERROR(VLOOKUP(H23,'KODEX 로봇액티브(과거)'!$B$11:$E$1000,4,0),0)</f>
        <v>1.47</v>
      </c>
      <c r="K23" s="26">
        <f t="shared" si="2"/>
        <v>-7.0000000000000062E-2</v>
      </c>
      <c r="L23" s="27">
        <f t="shared" si="3"/>
        <v>-4.7619047619047672E-2</v>
      </c>
      <c r="M23" s="62" t="str">
        <f>VLOOKUP(N23,유니버스!$C$14:$D$2561,2,0)</f>
        <v>KQ</v>
      </c>
      <c r="N23" s="26" t="str">
        <f>'TIMEFOLIO K컬처액티브'!B29</f>
        <v>제닉</v>
      </c>
      <c r="O23" s="20">
        <f>VLOOKUP(N23,'TIMEFOLIO K컬처액티브'!$B$11:$E$1000,4,0)</f>
        <v>2.63</v>
      </c>
      <c r="P23" s="20">
        <f>IFERROR(VLOOKUP(N23,'TIMEFOLIO K컬처액티브(과거)'!$B$11:$E$1000,4,0),0)</f>
        <v>2.78</v>
      </c>
      <c r="Q23" s="20">
        <f t="shared" si="4"/>
        <v>-0.14999999999999991</v>
      </c>
      <c r="R23" s="21">
        <f t="shared" si="5"/>
        <v>-5.3956834532374098E-2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엘앤에프</v>
      </c>
      <c r="C24" s="65">
        <f>VLOOKUP(B24,'KoAct K수출핵심기업TOP30액티브'!$B$11:$E$1000,4,0)</f>
        <v>1.93</v>
      </c>
      <c r="D24" s="65">
        <f>IFERROR(VLOOKUP(B24,'KoAct K수출핵심기업TOP30액티브(과거)'!$B$11:$E$1000,4,0),0)</f>
        <v>2.23</v>
      </c>
      <c r="E24" s="20">
        <f t="shared" si="0"/>
        <v>-0.30000000000000004</v>
      </c>
      <c r="F24" s="21">
        <f t="shared" si="1"/>
        <v>-0.13452914798206284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1.35</v>
      </c>
      <c r="J24" s="65">
        <f>IFERROR(VLOOKUP(H24,'KODEX 로봇액티브(과거)'!$B$11:$E$1000,4,0),0)</f>
        <v>1.1000000000000001</v>
      </c>
      <c r="K24" s="26">
        <f t="shared" si="2"/>
        <v>0.25</v>
      </c>
      <c r="L24" s="27">
        <f t="shared" si="3"/>
        <v>0.22727272727272729</v>
      </c>
      <c r="M24" s="62" t="str">
        <f>VLOOKUP(N24,유니버스!$C$14:$D$2561,2,0)</f>
        <v>KQ</v>
      </c>
      <c r="N24" s="26" t="str">
        <f>'TIMEFOLIO K컬처액티브'!B30</f>
        <v>코스메카코리아</v>
      </c>
      <c r="O24" s="20">
        <f>VLOOKUP(N24,'TIMEFOLIO K컬처액티브'!$B$11:$E$1000,4,0)</f>
        <v>2.5499999999999998</v>
      </c>
      <c r="P24" s="20">
        <f>IFERROR(VLOOKUP(N24,'TIMEFOLIO K컬처액티브(과거)'!$B$11:$E$1000,4,0),0)</f>
        <v>2.69</v>
      </c>
      <c r="Q24" s="20">
        <f t="shared" si="4"/>
        <v>-0.14000000000000012</v>
      </c>
      <c r="R24" s="21">
        <f t="shared" si="5"/>
        <v>-5.2044609665427566E-2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HD현대일렉트릭</v>
      </c>
      <c r="C25" s="65">
        <f>VLOOKUP(B25,'KoAct K수출핵심기업TOP30액티브'!$B$11:$E$1000,4,0)</f>
        <v>1.65</v>
      </c>
      <c r="D25" s="65">
        <f>IFERROR(VLOOKUP(B25,'KoAct K수출핵심기업TOP30액티브(과거)'!$B$11:$E$1000,4,0),0)</f>
        <v>1.52</v>
      </c>
      <c r="E25" s="20">
        <f t="shared" si="0"/>
        <v>0.12999999999999989</v>
      </c>
      <c r="F25" s="21">
        <f t="shared" si="1"/>
        <v>8.5526315789473673E-2</v>
      </c>
      <c r="G25" s="63" t="str">
        <f>VLOOKUP(H25,유니버스!$C$14:$D$2561,2,0)</f>
        <v>KQ</v>
      </c>
      <c r="H25" s="65" t="str">
        <f>'KODEX 로봇액티브'!B31</f>
        <v>삼현</v>
      </c>
      <c r="I25" s="65">
        <f>VLOOKUP(H25,'KODEX 로봇액티브'!$B$11:$E$1000,4,0)</f>
        <v>1.28</v>
      </c>
      <c r="J25" s="65">
        <f>IFERROR(VLOOKUP(H25,'KODEX 로봇액티브(과거)'!$B$11:$E$1000,4,0),0)</f>
        <v>1.07</v>
      </c>
      <c r="K25" s="26">
        <f t="shared" si="2"/>
        <v>0.20999999999999996</v>
      </c>
      <c r="L25" s="27">
        <f t="shared" si="3"/>
        <v>0.19626168224299056</v>
      </c>
      <c r="M25" s="62" t="str">
        <f>VLOOKUP(N25,유니버스!$C$14:$D$2561,2,0)</f>
        <v>KQ</v>
      </c>
      <c r="N25" s="26" t="str">
        <f>'TIMEFOLIO K컬처액티브'!B31</f>
        <v>파마리서치</v>
      </c>
      <c r="O25" s="20">
        <f>VLOOKUP(N25,'TIMEFOLIO K컬처액티브'!$B$11:$E$1000,4,0)</f>
        <v>2.5299999999999998</v>
      </c>
      <c r="P25" s="20">
        <f>IFERROR(VLOOKUP(N25,'TIMEFOLIO K컬처액티브(과거)'!$B$11:$E$1000,4,0),0)</f>
        <v>2.68</v>
      </c>
      <c r="Q25" s="20">
        <f t="shared" ref="Q25:Q30" si="6">O25-P25</f>
        <v>-0.15000000000000036</v>
      </c>
      <c r="R25" s="21">
        <f t="shared" ref="R25:R30" si="7">IFERROR(O25/P25-1,"신규편입")</f>
        <v>-5.5970149253731449E-2</v>
      </c>
    </row>
    <row r="26" spans="1:18" x14ac:dyDescent="0.4">
      <c r="A26" s="63" t="str">
        <f>VLOOKUP(B26,유니버스!$C$14:$D$2561,2,0)</f>
        <v>KS</v>
      </c>
      <c r="B26" s="65" t="str">
        <f>'KoAct K수출핵심기업TOP30액티브'!B32</f>
        <v>삼양식품</v>
      </c>
      <c r="C26" s="65">
        <f>VLOOKUP(B26,'KoAct K수출핵심기업TOP30액티브'!$B$11:$E$1000,4,0)</f>
        <v>1.64</v>
      </c>
      <c r="D26" s="65">
        <f>IFERROR(VLOOKUP(B26,'KoAct K수출핵심기업TOP30액티브(과거)'!$B$11:$E$1000,4,0),0)</f>
        <v>1.74</v>
      </c>
      <c r="E26" s="20">
        <f t="shared" si="0"/>
        <v>-0.10000000000000009</v>
      </c>
      <c r="F26" s="21">
        <f t="shared" si="1"/>
        <v>-5.7471264367816133E-2</v>
      </c>
      <c r="G26" s="63" t="str">
        <f>VLOOKUP(H26,유니버스!$C$14:$D$2561,2,0)</f>
        <v>KQ</v>
      </c>
      <c r="H26" s="65" t="str">
        <f>'KODEX 로봇액티브'!B32</f>
        <v>큐렉소</v>
      </c>
      <c r="I26" s="65">
        <f>VLOOKUP(H26,'KODEX 로봇액티브'!$B$11:$E$1000,4,0)</f>
        <v>1</v>
      </c>
      <c r="J26" s="65">
        <f>IFERROR(VLOOKUP(H26,'KODEX 로봇액티브(과거)'!$B$11:$E$1000,4,0),0)</f>
        <v>0.94</v>
      </c>
      <c r="K26" s="26">
        <f t="shared" si="2"/>
        <v>6.0000000000000053E-2</v>
      </c>
      <c r="L26" s="27">
        <f t="shared" si="3"/>
        <v>6.3829787234042534E-2</v>
      </c>
      <c r="M26" s="62" t="str">
        <f>VLOOKUP(N26,유니버스!$C$14:$D$2561,2,0)</f>
        <v>KQ</v>
      </c>
      <c r="N26" s="26" t="str">
        <f>'TIMEFOLIO K컬처액티브'!B32</f>
        <v>서부T&amp;D</v>
      </c>
      <c r="O26" s="20">
        <f>VLOOKUP(N26,'TIMEFOLIO K컬처액티브'!$B$11:$E$1000,4,0)</f>
        <v>2.13</v>
      </c>
      <c r="P26" s="20">
        <f>IFERROR(VLOOKUP(N26,'TIMEFOLIO K컬처액티브(과거)'!$B$11:$E$1000,4,0),0)</f>
        <v>2</v>
      </c>
      <c r="Q26" s="20">
        <f t="shared" si="6"/>
        <v>0.12999999999999989</v>
      </c>
      <c r="R26" s="21">
        <f t="shared" si="7"/>
        <v>6.4999999999999947E-2</v>
      </c>
    </row>
    <row r="27" spans="1:18" x14ac:dyDescent="0.4">
      <c r="A27" s="63" t="str">
        <f>VLOOKUP(B27,유니버스!$C$14:$D$2561,2,0)</f>
        <v>KQ</v>
      </c>
      <c r="B27" s="65" t="str">
        <f>'KoAct K수출핵심기업TOP30액티브'!B33</f>
        <v>ISC</v>
      </c>
      <c r="C27" s="65">
        <f>VLOOKUP(B27,'KoAct K수출핵심기업TOP30액티브'!$B$11:$E$1000,4,0)</f>
        <v>1.61</v>
      </c>
      <c r="D27" s="65">
        <f>IFERROR(VLOOKUP(B27,'KoAct K수출핵심기업TOP30액티브(과거)'!$B$11:$E$1000,4,0),0)</f>
        <v>1.55</v>
      </c>
      <c r="E27" s="20">
        <f t="shared" si="0"/>
        <v>6.0000000000000053E-2</v>
      </c>
      <c r="F27" s="21">
        <f t="shared" si="1"/>
        <v>3.8709677419354938E-2</v>
      </c>
      <c r="G27" s="63" t="str">
        <f>VLOOKUP(H27,유니버스!$C$14:$D$2561,2,0)</f>
        <v>KQ</v>
      </c>
      <c r="H27" s="65" t="str">
        <f>'KODEX 로봇액티브'!B33</f>
        <v>에스비비테크</v>
      </c>
      <c r="I27" s="65">
        <f>VLOOKUP(H27,'KODEX 로봇액티브'!$B$11:$E$1000,4,0)</f>
        <v>0.95</v>
      </c>
      <c r="J27" s="65">
        <f>IFERROR(VLOOKUP(H27,'KODEX 로봇액티브(과거)'!$B$11:$E$1000,4,0),0)</f>
        <v>1.1200000000000001</v>
      </c>
      <c r="K27" s="26">
        <f t="shared" si="2"/>
        <v>-0.17000000000000015</v>
      </c>
      <c r="L27" s="27">
        <f t="shared" si="3"/>
        <v>-0.15178571428571441</v>
      </c>
      <c r="M27" s="62" t="str">
        <f>VLOOKUP(N27,유니버스!$C$14:$D$2561,2,0)</f>
        <v>KQ</v>
      </c>
      <c r="N27" s="26" t="str">
        <f>'TIMEFOLIO K컬처액티브'!B33</f>
        <v>CJ ENM</v>
      </c>
      <c r="O27" s="20">
        <f>VLOOKUP(N27,'TIMEFOLIO K컬처액티브'!$B$11:$E$1000,4,0)</f>
        <v>1.72</v>
      </c>
      <c r="P27" s="20">
        <f>IFERROR(VLOOKUP(N27,'TIMEFOLIO K컬처액티브(과거)'!$B$11:$E$1000,4,0),0)</f>
        <v>1.85</v>
      </c>
      <c r="Q27" s="20">
        <f t="shared" si="6"/>
        <v>-0.13000000000000012</v>
      </c>
      <c r="R27" s="21">
        <f t="shared" si="7"/>
        <v>-7.027027027027033E-2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하이브</v>
      </c>
      <c r="C28" s="65">
        <f>VLOOKUP(B28,'KoAct K수출핵심기업TOP30액티브'!$B$11:$E$1000,4,0)</f>
        <v>1.46</v>
      </c>
      <c r="D28" s="65">
        <f>IFERROR(VLOOKUP(B28,'KoAct K수출핵심기업TOP30액티브(과거)'!$B$11:$E$1000,4,0),0)</f>
        <v>1.33</v>
      </c>
      <c r="E28" s="20">
        <f t="shared" si="0"/>
        <v>0.12999999999999989</v>
      </c>
      <c r="F28" s="21">
        <f t="shared" si="1"/>
        <v>9.7744360902255467E-2</v>
      </c>
      <c r="G28" s="63" t="str">
        <f>VLOOKUP(H28,유니버스!$C$14:$D$2561,2,0)</f>
        <v>KS</v>
      </c>
      <c r="H28" s="65" t="str">
        <f>'KODEX 로봇액티브'!B34</f>
        <v>현대로템</v>
      </c>
      <c r="I28" s="65">
        <f>VLOOKUP(H28,'KODEX 로봇액티브'!$B$11:$E$1000,4,0)</f>
        <v>0.93</v>
      </c>
      <c r="J28" s="65">
        <f>IFERROR(VLOOKUP(H28,'KODEX 로봇액티브(과거)'!$B$11:$E$1000,4,0),0)</f>
        <v>0.85</v>
      </c>
      <c r="K28" s="26">
        <f t="shared" si="2"/>
        <v>8.0000000000000071E-2</v>
      </c>
      <c r="L28" s="27">
        <f t="shared" si="3"/>
        <v>9.4117647058823639E-2</v>
      </c>
      <c r="M28" s="62" t="str">
        <f>VLOOKUP(N28,유니버스!$C$14:$D$2561,2,0)</f>
        <v>KQ</v>
      </c>
      <c r="N28" s="26" t="str">
        <f>'TIMEFOLIO K컬처액티브'!B34</f>
        <v>스튜디오드래곤</v>
      </c>
      <c r="O28" s="20">
        <f>VLOOKUP(N28,'TIMEFOLIO K컬처액티브'!$B$11:$E$1000,4,0)</f>
        <v>1.1299999999999999</v>
      </c>
      <c r="P28" s="20">
        <f>IFERROR(VLOOKUP(N28,'TIMEFOLIO K컬처액티브(과거)'!$B$11:$E$1000,4,0),0)</f>
        <v>1.25</v>
      </c>
      <c r="Q28" s="20">
        <f t="shared" si="6"/>
        <v>-0.12000000000000011</v>
      </c>
      <c r="R28" s="21">
        <f t="shared" si="7"/>
        <v>-9.6000000000000085E-2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현대모비스</v>
      </c>
      <c r="C29" s="65">
        <f>VLOOKUP(B29,'KoAct K수출핵심기업TOP30액티브'!$B$11:$E$1000,4,0)</f>
        <v>1.21</v>
      </c>
      <c r="D29" s="65">
        <f>IFERROR(VLOOKUP(B29,'KoAct K수출핵심기업TOP30액티브(과거)'!$B$11:$E$1000,4,0),0)</f>
        <v>1.45</v>
      </c>
      <c r="E29" s="20">
        <f t="shared" si="0"/>
        <v>-0.24</v>
      </c>
      <c r="F29" s="21">
        <f t="shared" si="1"/>
        <v>-0.16551724137931034</v>
      </c>
      <c r="G29" s="63" t="str">
        <f>VLOOKUP(H29,유니버스!$C$14:$D$2561,2,0)</f>
        <v>KQ</v>
      </c>
      <c r="H29" s="65" t="str">
        <f>'KODEX 로봇액티브'!B35</f>
        <v>고영</v>
      </c>
      <c r="I29" s="65">
        <f>VLOOKUP(H29,'KODEX 로봇액티브'!$B$11:$E$1000,4,0)</f>
        <v>0.92</v>
      </c>
      <c r="J29" s="65">
        <f>IFERROR(VLOOKUP(H29,'KODEX 로봇액티브(과거)'!$B$11:$E$1000,4,0),0)</f>
        <v>0.79</v>
      </c>
      <c r="K29" s="26">
        <f t="shared" si="2"/>
        <v>0.13</v>
      </c>
      <c r="L29" s="27">
        <f t="shared" si="3"/>
        <v>0.16455696202531644</v>
      </c>
      <c r="M29" s="62" t="str">
        <f>VLOOKUP(N29,유니버스!$C$14:$D$2561,2,0)</f>
        <v>KQ</v>
      </c>
      <c r="N29" s="26" t="str">
        <f>'TIMEFOLIO K컬처액티브'!B35</f>
        <v>더핑크퐁컴퍼니</v>
      </c>
      <c r="O29" s="20">
        <f>VLOOKUP(N29,'TIMEFOLIO K컬처액티브'!$B$11:$E$1000,4,0)</f>
        <v>1.03</v>
      </c>
      <c r="P29" s="20">
        <f>IFERROR(VLOOKUP(N29,'TIMEFOLIO K컬처액티브(과거)'!$B$11:$E$1000,4,0),0)</f>
        <v>1.1499999999999999</v>
      </c>
      <c r="Q29" s="20">
        <f t="shared" si="6"/>
        <v>-0.11999999999999988</v>
      </c>
      <c r="R29" s="21">
        <f t="shared" si="7"/>
        <v>-0.10434782608695647</v>
      </c>
    </row>
    <row r="30" spans="1:18" x14ac:dyDescent="0.4">
      <c r="A30" s="63" t="str">
        <f>VLOOKUP(B30,유니버스!$C$14:$D$2561,2,0)</f>
        <v>KQ</v>
      </c>
      <c r="B30" s="65" t="str">
        <f>'KoAct K수출핵심기업TOP30액티브'!B36</f>
        <v>성호전자</v>
      </c>
      <c r="C30" s="65">
        <f>VLOOKUP(B30,'KoAct K수출핵심기업TOP30액티브'!$B$11:$E$1000,4,0)</f>
        <v>1.05</v>
      </c>
      <c r="D30" s="65">
        <f>IFERROR(VLOOKUP(B30,'KoAct K수출핵심기업TOP30액티브(과거)'!$B$11:$E$1000,4,0),0)</f>
        <v>0.77</v>
      </c>
      <c r="E30" s="20">
        <f t="shared" si="0"/>
        <v>0.28000000000000003</v>
      </c>
      <c r="F30" s="21">
        <f t="shared" si="1"/>
        <v>0.36363636363636376</v>
      </c>
      <c r="G30" s="63" t="str">
        <f>VLOOKUP(H30,유니버스!$C$14:$D$2561,2,0)</f>
        <v>KQ</v>
      </c>
      <c r="H30" s="65" t="str">
        <f>'KODEX 로봇액티브'!B36</f>
        <v>제이브이엠</v>
      </c>
      <c r="I30" s="65">
        <f>VLOOKUP(H30,'KODEX 로봇액티브'!$B$11:$E$1000,4,0)</f>
        <v>0.6</v>
      </c>
      <c r="J30" s="65">
        <f>IFERROR(VLOOKUP(H30,'KODEX 로봇액티브(과거)'!$B$11:$E$1000,4,0),0)</f>
        <v>0.51</v>
      </c>
      <c r="K30" s="26">
        <f t="shared" si="2"/>
        <v>8.9999999999999969E-2</v>
      </c>
      <c r="L30" s="27">
        <f t="shared" si="3"/>
        <v>0.17647058823529416</v>
      </c>
      <c r="M30" s="62" t="e">
        <f>VLOOKUP(N30,유니버스!$C$14:$D$2561,2,0)</f>
        <v>#N/A</v>
      </c>
      <c r="N30" s="26" t="str">
        <f>'TIMEFOLIO K컬처액티브'!B36</f>
        <v>원화현금</v>
      </c>
      <c r="O30" s="20">
        <f>VLOOKUP(N30,'TIMEFOLIO K컬처액티브'!$B$11:$E$1000,4,0)</f>
        <v>1.47</v>
      </c>
      <c r="P30" s="20">
        <f>IFERROR(VLOOKUP(N30,'TIMEFOLIO K컬처액티브(과거)'!$B$11:$E$1000,4,0),0)</f>
        <v>1.54</v>
      </c>
      <c r="Q30" s="20">
        <f t="shared" si="6"/>
        <v>-7.0000000000000062E-2</v>
      </c>
      <c r="R30" s="21">
        <f t="shared" si="7"/>
        <v>-4.5454545454545525E-2</v>
      </c>
    </row>
    <row r="31" spans="1:18" x14ac:dyDescent="0.4">
      <c r="A31" s="63" t="str">
        <f>VLOOKUP(B31,유니버스!$C$14:$D$2561,2,0)</f>
        <v>KQ</v>
      </c>
      <c r="B31" s="65" t="str">
        <f>'KoAct K수출핵심기업TOP30액티브'!B37</f>
        <v>에코프로</v>
      </c>
      <c r="C31" s="65">
        <f>VLOOKUP(B31,'KoAct K수출핵심기업TOP30액티브'!$B$11:$E$1000,4,0)</f>
        <v>0.93</v>
      </c>
      <c r="D31" s="65">
        <f>IFERROR(VLOOKUP(B31,'KoAct K수출핵심기업TOP30액티브(과거)'!$B$11:$E$1000,4,0),0)</f>
        <v>1.08</v>
      </c>
      <c r="E31" s="20">
        <f t="shared" si="0"/>
        <v>-0.15000000000000002</v>
      </c>
      <c r="F31" s="21">
        <f t="shared" si="1"/>
        <v>-0.13888888888888895</v>
      </c>
      <c r="G31" s="63" t="str">
        <f>VLOOKUP(H31,유니버스!$C$14:$D$2561,2,0)</f>
        <v>KS</v>
      </c>
      <c r="H31" s="65" t="str">
        <f>'KODEX 로봇액티브'!B37</f>
        <v>카카오</v>
      </c>
      <c r="I31" s="65">
        <f>VLOOKUP(H31,'KODEX 로봇액티브'!$B$11:$E$1000,4,0)</f>
        <v>0.49</v>
      </c>
      <c r="J31" s="65">
        <f>IFERROR(VLOOKUP(H31,'KODEX 로봇액티브(과거)'!$B$11:$E$1000,4,0),0)</f>
        <v>0.45</v>
      </c>
      <c r="K31" s="26">
        <f t="shared" si="2"/>
        <v>3.999999999999998E-2</v>
      </c>
      <c r="L31" s="27">
        <f t="shared" si="3"/>
        <v>8.8888888888888795E-2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'KoAct K수출핵심기업TOP30액티브'!B38</f>
        <v>한화에어로스페이스</v>
      </c>
      <c r="C32" s="65">
        <f>VLOOKUP(B32,'KoAct K수출핵심기업TOP30액티브'!$B$11:$E$1000,4,0)</f>
        <v>0.71</v>
      </c>
      <c r="D32" s="65">
        <f>IFERROR(VLOOKUP(B32,'KoAct K수출핵심기업TOP30액티브(과거)'!$B$11:$E$1000,4,0),0)</f>
        <v>1.06</v>
      </c>
      <c r="E32" s="20">
        <f t="shared" si="0"/>
        <v>-0.35000000000000009</v>
      </c>
      <c r="F32" s="21">
        <f t="shared" si="1"/>
        <v>-0.33018867924528306</v>
      </c>
      <c r="G32" s="63" t="str">
        <f>VLOOKUP(H32,유니버스!$C$14:$D$2561,2,0)</f>
        <v>KQ</v>
      </c>
      <c r="H32" s="65" t="str">
        <f>'KODEX 로봇액티브'!B38</f>
        <v>하이젠알앤엠</v>
      </c>
      <c r="I32" s="65">
        <f>VLOOKUP(H32,'KODEX 로봇액티브'!$B$11:$E$1000,4,0)</f>
        <v>0.34</v>
      </c>
      <c r="J32" s="65">
        <f>IFERROR(VLOOKUP(H32,'KODEX 로봇액티브(과거)'!$B$11:$E$1000,4,0),0)</f>
        <v>0.33</v>
      </c>
      <c r="K32" s="26">
        <f t="shared" si="2"/>
        <v>1.0000000000000009E-2</v>
      </c>
      <c r="L32" s="27">
        <f t="shared" si="3"/>
        <v>3.0303030303030276E-2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리노공업</v>
      </c>
      <c r="C33" s="65">
        <f>VLOOKUP(B33,'KoAct K수출핵심기업TOP30액티브'!$B$11:$E$1000,4,0)</f>
        <v>0.4</v>
      </c>
      <c r="D33" s="65">
        <f>IFERROR(VLOOKUP(B33,'KoAct K수출핵심기업TOP30액티브(과거)'!$B$11:$E$1000,4,0),0)</f>
        <v>0.35</v>
      </c>
      <c r="E33" s="20">
        <f t="shared" si="0"/>
        <v>5.0000000000000044E-2</v>
      </c>
      <c r="F33" s="21">
        <f t="shared" si="1"/>
        <v>0.14285714285714302</v>
      </c>
      <c r="G33" s="63" t="str">
        <f>VLOOKUP(H33,유니버스!$C$14:$D$2561,2,0)</f>
        <v>KQ</v>
      </c>
      <c r="H33" s="65" t="str">
        <f>'KODEX 로봇액티브'!B39</f>
        <v>엔젤로보틱스</v>
      </c>
      <c r="I33" s="65">
        <f>VLOOKUP(H33,'KODEX 로봇액티브'!$B$11:$E$1000,4,0)</f>
        <v>0.34</v>
      </c>
      <c r="J33" s="65">
        <f>IFERROR(VLOOKUP(H33,'KODEX 로봇액티브(과거)'!$B$11:$E$1000,4,0),0)</f>
        <v>0.34</v>
      </c>
      <c r="K33" s="26">
        <f t="shared" si="2"/>
        <v>0</v>
      </c>
      <c r="L33" s="27">
        <f t="shared" si="3"/>
        <v>0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에스티팜</v>
      </c>
      <c r="C34" s="65">
        <f>VLOOKUP(B34,'KoAct K수출핵심기업TOP30액티브'!$B$11:$E$1000,4,0)</f>
        <v>0.36</v>
      </c>
      <c r="D34" s="65">
        <f>IFERROR(VLOOKUP(B34,'KoAct K수출핵심기업TOP30액티브(과거)'!$B$11:$E$1000,4,0),0)</f>
        <v>0.35</v>
      </c>
      <c r="E34" s="20">
        <f t="shared" si="0"/>
        <v>1.0000000000000009E-2</v>
      </c>
      <c r="F34" s="21">
        <f t="shared" si="1"/>
        <v>2.8571428571428692E-2</v>
      </c>
      <c r="G34" s="63" t="str">
        <f>VLOOKUP(H34,유니버스!$C$14:$D$2561,2,0)</f>
        <v>KS</v>
      </c>
      <c r="H34" s="65" t="str">
        <f>'KODEX 로봇액티브'!B40</f>
        <v>LIG디펜스앤에어로스페이스</v>
      </c>
      <c r="I34" s="65">
        <f>VLOOKUP(H34,'KODEX 로봇액티브'!$B$11:$E$1000,4,0)</f>
        <v>0.28000000000000003</v>
      </c>
      <c r="J34" s="65">
        <f>IFERROR(VLOOKUP(H34,'KODEX 로봇액티브(과거)'!$B$11:$E$1000,4,0),0)</f>
        <v>0.57999999999999996</v>
      </c>
      <c r="K34" s="26">
        <f t="shared" si="2"/>
        <v>-0.29999999999999993</v>
      </c>
      <c r="L34" s="27">
        <f t="shared" si="3"/>
        <v>-0.51724137931034475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KS</v>
      </c>
      <c r="B35" s="65" t="str">
        <f>'KoAct K수출핵심기업TOP30액티브'!B41</f>
        <v>삼성바이오로직스</v>
      </c>
      <c r="C35" s="65">
        <f>VLOOKUP(B35,'KoAct K수출핵심기업TOP30액티브'!$B$11:$E$1000,4,0)</f>
        <v>0.26</v>
      </c>
      <c r="D35" s="65">
        <f>IFERROR(VLOOKUP(B35,'KoAct K수출핵심기업TOP30액티브(과거)'!$B$11:$E$1000,4,0),0)</f>
        <v>0.25</v>
      </c>
      <c r="E35" s="20">
        <f t="shared" si="0"/>
        <v>1.0000000000000009E-2</v>
      </c>
      <c r="F35" s="21">
        <f t="shared" si="1"/>
        <v>4.0000000000000036E-2</v>
      </c>
      <c r="G35" s="63" t="str">
        <f>VLOOKUP(H35,유니버스!$C$14:$D$2561,2,0)</f>
        <v>KQ</v>
      </c>
      <c r="H35" s="65" t="str">
        <f>'KODEX 로봇액티브'!B41</f>
        <v>나우로보틱스</v>
      </c>
      <c r="I35" s="65">
        <f>VLOOKUP(H35,'KODEX 로봇액티브'!$B$11:$E$1000,4,0)</f>
        <v>0.25</v>
      </c>
      <c r="J35" s="65">
        <f>IFERROR(VLOOKUP(H35,'KODEX 로봇액티브(과거)'!$B$11:$E$1000,4,0),0)</f>
        <v>0.25</v>
      </c>
      <c r="K35" s="26">
        <f t="shared" si="2"/>
        <v>0</v>
      </c>
      <c r="L35" s="27">
        <f t="shared" si="3"/>
        <v>0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'KoAct K수출핵심기업TOP30액티브'!B42</f>
        <v>에이비엘바이오</v>
      </c>
      <c r="C36" s="65">
        <f>VLOOKUP(B36,'KoAct K수출핵심기업TOP30액티브'!$B$11:$E$1000,4,0)</f>
        <v>0.25</v>
      </c>
      <c r="D36" s="65">
        <f>IFERROR(VLOOKUP(B36,'KoAct K수출핵심기업TOP30액티브(과거)'!$B$11:$E$1000,4,0),0)</f>
        <v>0.27</v>
      </c>
      <c r="E36" s="20">
        <f t="shared" si="0"/>
        <v>-2.0000000000000018E-2</v>
      </c>
      <c r="F36" s="21">
        <f t="shared" si="1"/>
        <v>-7.4074074074074181E-2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0.22</v>
      </c>
      <c r="J36" s="65">
        <f>IFERROR(VLOOKUP(H36,'KODEX 로봇액티브(과거)'!$B$11:$E$1000,4,0),0)</f>
        <v>0.23</v>
      </c>
      <c r="K36" s="26">
        <f t="shared" si="2"/>
        <v>-1.0000000000000009E-2</v>
      </c>
      <c r="L36" s="27">
        <f t="shared" si="3"/>
        <v>-4.3478260869565299E-2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로보티즈</v>
      </c>
      <c r="C37" s="65">
        <f>VLOOKUP(B37,'KoAct K수출핵심기업TOP30액티브'!$B$11:$E$1000,4,0)</f>
        <v>0.09</v>
      </c>
      <c r="D37" s="65">
        <f>IFERROR(VLOOKUP(B37,'KoAct K수출핵심기업TOP30액티브(과거)'!$B$11:$E$1000,4,0),0)</f>
        <v>0.12</v>
      </c>
      <c r="E37" s="20">
        <f t="shared" si="0"/>
        <v>-0.03</v>
      </c>
      <c r="F37" s="21">
        <f t="shared" si="1"/>
        <v>-0.25</v>
      </c>
      <c r="G37" s="63" t="str">
        <f>VLOOKUP(H37,유니버스!$C$14:$D$2561,2,0)</f>
        <v>KS</v>
      </c>
      <c r="H37" s="65" t="str">
        <f>'KODEX 로봇액티브'!B43</f>
        <v>비에이치</v>
      </c>
      <c r="I37" s="65">
        <f>VLOOKUP(H37,'KODEX 로봇액티브'!$B$11:$E$1000,4,0)</f>
        <v>0.19</v>
      </c>
      <c r="J37" s="65">
        <f>IFERROR(VLOOKUP(H37,'KODEX 로봇액티브(과거)'!$B$11:$E$1000,4,0),0)</f>
        <v>0.19</v>
      </c>
      <c r="K37" s="26">
        <f t="shared" si="2"/>
        <v>0</v>
      </c>
      <c r="L37" s="27">
        <f t="shared" si="3"/>
        <v>0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성우하이텍</v>
      </c>
      <c r="C38" s="65">
        <f>VLOOKUP(B38,'KoAct K수출핵심기업TOP30액티브'!$B$11:$E$1000,4,0)</f>
        <v>0.04</v>
      </c>
      <c r="D38" s="65">
        <f>IFERROR(VLOOKUP(B38,'KoAct K수출핵심기업TOP30액티브(과거)'!$B$11:$E$1000,4,0),0)</f>
        <v>7.0000000000000007E-2</v>
      </c>
      <c r="E38" s="20">
        <f t="shared" si="0"/>
        <v>-3.0000000000000006E-2</v>
      </c>
      <c r="F38" s="21">
        <f t="shared" si="1"/>
        <v>-0.4285714285714286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1.44</v>
      </c>
      <c r="J38" s="65">
        <f>IFERROR(VLOOKUP(H38,'KODEX 로봇액티브(과거)'!$B$11:$E$1000,4,0),0)</f>
        <v>1.22</v>
      </c>
      <c r="K38" s="26">
        <f t="shared" ref="K38:K39" si="8">I38-J38</f>
        <v>0.21999999999999997</v>
      </c>
      <c r="L38" s="27">
        <f t="shared" ref="L38:L39" si="9">IFERROR(I38/J38-1,"신규편입")</f>
        <v>0.18032786885245899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 t="str">
        <f>'KoAct K수출핵심기업TOP30액티브'!B45</f>
        <v>원화현금</v>
      </c>
      <c r="C39" s="65">
        <f>VLOOKUP(B39,'KoAct K수출핵심기업TOP30액티브'!$B$11:$E$1000,4,0)</f>
        <v>0.41</v>
      </c>
      <c r="D39" s="65">
        <f>IFERROR(VLOOKUP(B39,'KoAct K수출핵심기업TOP30액티브(과거)'!$B$11:$E$1000,4,0),0)</f>
        <v>0.28000000000000003</v>
      </c>
      <c r="E39" s="20">
        <f t="shared" si="0"/>
        <v>0.12999999999999995</v>
      </c>
      <c r="F39" s="21">
        <f t="shared" si="1"/>
        <v>0.46428571428571397</v>
      </c>
      <c r="G39" s="63" t="e">
        <f>VLOOKUP(H39,유니버스!$C$14:$D$2561,2,0)</f>
        <v>#N/A</v>
      </c>
      <c r="H39" s="65">
        <f>'KODEX 로봇액티브'!B45</f>
        <v>0</v>
      </c>
      <c r="I39" s="65" t="e">
        <f>VLOOKUP(H39,'KODEX 로봇액티브'!$B$11:$E$1000,4,0)</f>
        <v>#N/A</v>
      </c>
      <c r="J39" s="65">
        <f>IFERROR(VLOOKUP(H39,'KODEX 로봇액티브(과거)'!$B$11:$E$1000,4,0),0)</f>
        <v>0</v>
      </c>
      <c r="K39" s="26" t="e">
        <f t="shared" si="8"/>
        <v>#N/A</v>
      </c>
      <c r="L39" s="27" t="str">
        <f t="shared" si="9"/>
        <v>신규편입</v>
      </c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I2" zoomScaleNormal="100" workbookViewId="0">
      <selection activeCell="M3" sqref="M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[20260611]</v>
      </c>
      <c r="D4" s="66" t="str">
        <f>'KODEX 신재생에너지액티브(과거)'!B4</f>
        <v>20260529</v>
      </c>
      <c r="E4" s="22" t="s">
        <v>76</v>
      </c>
      <c r="F4" s="22" t="s">
        <v>77</v>
      </c>
      <c r="H4" s="65" t="s">
        <v>75</v>
      </c>
      <c r="I4" s="66" t="str">
        <f>C4</f>
        <v>CPD [20260611]</v>
      </c>
      <c r="J4" s="66" t="str">
        <f>D4</f>
        <v>20260529</v>
      </c>
      <c r="K4" s="23" t="s">
        <v>448</v>
      </c>
      <c r="L4" s="22" t="s">
        <v>77</v>
      </c>
      <c r="N4" s="26" t="s">
        <v>75</v>
      </c>
      <c r="O4" s="23" t="str">
        <f>C4</f>
        <v>CPD [20260611]</v>
      </c>
      <c r="P4" s="23" t="str">
        <f>D4</f>
        <v>20260529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27.45</v>
      </c>
      <c r="D5" s="65">
        <f>IFERROR(VLOOKUP(B5,'TIMEFOLIO 코리아밸류업액티브(과거)'!$B$11:$E$1000,4,0),0)</f>
        <v>31.23</v>
      </c>
      <c r="E5" s="20">
        <f t="shared" ref="E5" si="0">C5-D5</f>
        <v>-3.7800000000000011</v>
      </c>
      <c r="F5" s="21">
        <f t="shared" ref="F5" si="1">IFERROR(C5/D5-1,"신규편입")</f>
        <v>-0.12103746397694526</v>
      </c>
      <c r="G5" s="63" t="str">
        <f>VLOOKUP(H5,유니버스!$C$14:$D$2561,2,0)</f>
        <v>KS</v>
      </c>
      <c r="H5" s="65" t="str">
        <f>'PLUS K제조업핵심기업액티브'!B11</f>
        <v>삼성전자</v>
      </c>
      <c r="I5" s="65">
        <f>VLOOKUP(H5,'PLUS K제조업핵심기업액티브'!$B$11:$E$1000,4,0)</f>
        <v>22.84</v>
      </c>
      <c r="J5" s="65">
        <f>IFERROR(VLOOKUP(H5,'PLUS K제조업핵심기업액티브(과거)'!$B$11:$E$1000,4,0),0)</f>
        <v>20.239999999999998</v>
      </c>
      <c r="K5" s="20">
        <f t="shared" ref="K5" si="2">I5-J5</f>
        <v>2.6000000000000014</v>
      </c>
      <c r="L5" s="21">
        <f t="shared" ref="L5" si="3">IFERROR(I5/J5-1,"신규편입")</f>
        <v>0.12845849802371556</v>
      </c>
      <c r="M5" s="62" t="str">
        <f>VLOOKUP(N5,유니버스!$C$14:$D$2561,2,0)</f>
        <v>KQ</v>
      </c>
      <c r="N5" s="26" t="str">
        <f>'타이커 기술이전'!B11</f>
        <v>올릭스</v>
      </c>
      <c r="O5" s="20">
        <f>VLOOKUP(N5,'타이커 기술이전'!$B$11:$E$1000,4,0)</f>
        <v>12.28</v>
      </c>
      <c r="P5" s="20">
        <f>IFERROR(VLOOKUP(N5,'타이커 기술이전(과거)'!$B$11:$E$1000,4,0),0)</f>
        <v>14.69</v>
      </c>
      <c r="Q5" s="20">
        <f t="shared" ref="Q5" si="4">O5-P5</f>
        <v>-2.41</v>
      </c>
      <c r="R5" s="21">
        <f t="shared" ref="R5" si="5">IFERROR(O5/P5-1,"신규편입")</f>
        <v>-0.1640571817562968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삼성전자</v>
      </c>
      <c r="C6" s="65">
        <f>VLOOKUP(B6,'TIMEFOLIO 코리아밸류업액티브'!$B$11:$E$1000,4,0)</f>
        <v>18.47</v>
      </c>
      <c r="D6" s="65">
        <f>IFERROR(VLOOKUP(B6,'TIMEFOLIO 코리아밸류업액티브(과거)'!$B$11:$E$1000,4,0),0)</f>
        <v>13.2</v>
      </c>
      <c r="E6" s="20">
        <f t="shared" ref="E6:E32" si="6">C6-D6</f>
        <v>5.27</v>
      </c>
      <c r="F6" s="21">
        <f t="shared" ref="F6:F32" si="7">IFERROR(C6/D6-1,"신규편입")</f>
        <v>0.39924242424242418</v>
      </c>
      <c r="G6" s="63" t="str">
        <f>VLOOKUP(H6,유니버스!$C$14:$D$2561,2,0)</f>
        <v>KS</v>
      </c>
      <c r="H6" s="65" t="str">
        <f>'PLUS K제조업핵심기업액티브'!B12</f>
        <v>SK하이닉스</v>
      </c>
      <c r="I6" s="65">
        <f>VLOOKUP(H6,'PLUS K제조업핵심기업액티브'!$B$11:$E$1000,4,0)</f>
        <v>21.44</v>
      </c>
      <c r="J6" s="65">
        <f>IFERROR(VLOOKUP(H6,'PLUS K제조업핵심기업액티브(과거)'!$B$11:$E$1000,4,0),0)</f>
        <v>26.94</v>
      </c>
      <c r="K6" s="20">
        <f t="shared" ref="K6:K37" si="8">I6-J6</f>
        <v>-5.5</v>
      </c>
      <c r="L6" s="21">
        <f t="shared" ref="L6:L37" si="9">IFERROR(I6/J6-1,"신규편입")</f>
        <v>-0.20415738678544915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11.1</v>
      </c>
      <c r="P6" s="20">
        <f>IFERROR(VLOOKUP(N6,'타이커 기술이전(과거)'!$B$11:$E$1000,4,0),0)</f>
        <v>10.56</v>
      </c>
      <c r="Q6" s="20">
        <f t="shared" ref="Q6:Q31" si="10">O6-P6</f>
        <v>0.53999999999999915</v>
      </c>
      <c r="R6" s="21">
        <f t="shared" ref="R6:R31" si="11">IFERROR(O6/P6-1,"신규편입")</f>
        <v>5.1136363636363535E-2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SK스퀘어</v>
      </c>
      <c r="C7" s="65">
        <f>VLOOKUP(B7,'TIMEFOLIO 코리아밸류업액티브'!$B$11:$E$1000,4,0)</f>
        <v>6.36</v>
      </c>
      <c r="D7" s="65">
        <f>IFERROR(VLOOKUP(B7,'TIMEFOLIO 코리아밸류업액티브(과거)'!$B$11:$E$1000,4,0),0)</f>
        <v>0</v>
      </c>
      <c r="E7" s="20">
        <f t="shared" si="6"/>
        <v>6.36</v>
      </c>
      <c r="F7" s="21" t="str">
        <f t="shared" si="7"/>
        <v>신규편입</v>
      </c>
      <c r="G7" s="63" t="e">
        <f>VLOOKUP(H7,유니버스!$C$14:$D$2561,2,0)</f>
        <v>#N/A</v>
      </c>
      <c r="H7" s="65" t="str">
        <f>'PLUS K제조업핵심기업액티브'!B13</f>
        <v>삼성전자우</v>
      </c>
      <c r="I7" s="65">
        <f>VLOOKUP(H7,'PLUS K제조업핵심기업액티브'!$B$11:$E$1000,4,0)</f>
        <v>4.6500000000000004</v>
      </c>
      <c r="J7" s="65">
        <f>IFERROR(VLOOKUP(H7,'PLUS K제조업핵심기업액티브(과거)'!$B$11:$E$1000,4,0),0)</f>
        <v>0</v>
      </c>
      <c r="K7" s="20">
        <f t="shared" si="8"/>
        <v>4.6500000000000004</v>
      </c>
      <c r="L7" s="21" t="str">
        <f t="shared" si="9"/>
        <v>신규편입</v>
      </c>
      <c r="M7" s="62" t="str">
        <f>VLOOKUP(N7,유니버스!$C$14:$D$2561,2,0)</f>
        <v>KQ</v>
      </c>
      <c r="N7" s="26" t="str">
        <f>'타이커 기술이전'!B13</f>
        <v>에이비엘바이오</v>
      </c>
      <c r="O7" s="20">
        <f>VLOOKUP(N7,'타이커 기술이전'!$B$11:$E$1000,4,0)</f>
        <v>6.52</v>
      </c>
      <c r="P7" s="20">
        <f>IFERROR(VLOOKUP(N7,'타이커 기술이전(과거)'!$B$11:$E$1000,4,0),0)</f>
        <v>6.65</v>
      </c>
      <c r="Q7" s="20">
        <f t="shared" si="10"/>
        <v>-0.13000000000000078</v>
      </c>
      <c r="R7" s="21">
        <f t="shared" si="11"/>
        <v>-1.9548872180451204E-2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현대차</v>
      </c>
      <c r="C8" s="65">
        <f>VLOOKUP(B8,'TIMEFOLIO 코리아밸류업액티브'!$B$11:$E$1000,4,0)</f>
        <v>4.0199999999999996</v>
      </c>
      <c r="D8" s="65">
        <f>IFERROR(VLOOKUP(B8,'TIMEFOLIO 코리아밸류업액티브(과거)'!$B$11:$E$1000,4,0),0)</f>
        <v>3.71</v>
      </c>
      <c r="E8" s="20">
        <f t="shared" si="6"/>
        <v>0.30999999999999961</v>
      </c>
      <c r="F8" s="21">
        <f t="shared" si="7"/>
        <v>8.3557951482479575E-2</v>
      </c>
      <c r="G8" s="63" t="str">
        <f>VLOOKUP(H8,유니버스!$C$14:$D$2561,2,0)</f>
        <v>KS</v>
      </c>
      <c r="H8" s="65" t="str">
        <f>'PLUS K제조업핵심기업액티브'!B14</f>
        <v>현대차</v>
      </c>
      <c r="I8" s="65">
        <f>VLOOKUP(H8,'PLUS K제조업핵심기업액티브'!$B$11:$E$1000,4,0)</f>
        <v>3.49</v>
      </c>
      <c r="J8" s="65">
        <f>IFERROR(VLOOKUP(H8,'PLUS K제조업핵심기업액티브(과거)'!$B$11:$E$1000,4,0),0)</f>
        <v>2.97</v>
      </c>
      <c r="K8" s="20">
        <f t="shared" si="8"/>
        <v>0.52</v>
      </c>
      <c r="L8" s="21">
        <f t="shared" si="9"/>
        <v>0.17508417508417518</v>
      </c>
      <c r="M8" s="62" t="str">
        <f>VLOOKUP(N8,유니버스!$C$14:$D$2561,2,0)</f>
        <v>KQ</v>
      </c>
      <c r="N8" s="26" t="str">
        <f>'타이커 기술이전'!B14</f>
        <v>디앤디파마텍</v>
      </c>
      <c r="O8" s="20">
        <f>VLOOKUP(N8,'타이커 기술이전'!$B$11:$E$1000,4,0)</f>
        <v>6.48</v>
      </c>
      <c r="P8" s="20">
        <f>IFERROR(VLOOKUP(N8,'타이커 기술이전(과거)'!$B$11:$E$1000,4,0),0)</f>
        <v>5.51</v>
      </c>
      <c r="Q8" s="20">
        <f t="shared" si="10"/>
        <v>0.97000000000000064</v>
      </c>
      <c r="R8" s="21">
        <f t="shared" si="11"/>
        <v>0.17604355716878417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삼성전기</v>
      </c>
      <c r="C9" s="65">
        <f>VLOOKUP(B9,'TIMEFOLIO 코리아밸류업액티브'!$B$11:$E$1000,4,0)</f>
        <v>3.53</v>
      </c>
      <c r="D9" s="65">
        <f>IFERROR(VLOOKUP(B9,'TIMEFOLIO 코리아밸류업액티브(과거)'!$B$11:$E$1000,4,0),0)</f>
        <v>0</v>
      </c>
      <c r="E9" s="20">
        <f t="shared" si="6"/>
        <v>3.53</v>
      </c>
      <c r="F9" s="21" t="str">
        <f t="shared" si="7"/>
        <v>신규편입</v>
      </c>
      <c r="G9" s="63" t="str">
        <f>VLOOKUP(H9,유니버스!$C$14:$D$2561,2,0)</f>
        <v>KS</v>
      </c>
      <c r="H9" s="65" t="str">
        <f>'PLUS K제조업핵심기업액티브'!B15</f>
        <v>SK스퀘어</v>
      </c>
      <c r="I9" s="65">
        <f>VLOOKUP(H9,'PLUS K제조업핵심기업액티브'!$B$11:$E$1000,4,0)</f>
        <v>2.95</v>
      </c>
      <c r="J9" s="65">
        <f>IFERROR(VLOOKUP(H9,'PLUS K제조업핵심기업액티브(과거)'!$B$11:$E$1000,4,0),0)</f>
        <v>0</v>
      </c>
      <c r="K9" s="20">
        <f t="shared" si="8"/>
        <v>2.95</v>
      </c>
      <c r="L9" s="21" t="str">
        <f t="shared" si="9"/>
        <v>신규편입</v>
      </c>
      <c r="M9" s="62" t="str">
        <f>VLOOKUP(N9,유니버스!$C$14:$D$2561,2,0)</f>
        <v>KS</v>
      </c>
      <c r="N9" s="26" t="str">
        <f>'타이커 기술이전'!B15</f>
        <v>셀트리온</v>
      </c>
      <c r="O9" s="20">
        <f>VLOOKUP(N9,'타이커 기술이전'!$B$11:$E$1000,4,0)</f>
        <v>4.79</v>
      </c>
      <c r="P9" s="20">
        <f>IFERROR(VLOOKUP(N9,'타이커 기술이전(과거)'!$B$11:$E$1000,4,0),0)</f>
        <v>4.5</v>
      </c>
      <c r="Q9" s="20">
        <f t="shared" si="10"/>
        <v>0.29000000000000004</v>
      </c>
      <c r="R9" s="21">
        <f t="shared" si="11"/>
        <v>6.4444444444444526E-2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LG이노텍</v>
      </c>
      <c r="C10" s="65">
        <f>VLOOKUP(B10,'TIMEFOLIO 코리아밸류업액티브'!$B$11:$E$1000,4,0)</f>
        <v>3.52</v>
      </c>
      <c r="D10" s="65">
        <f>IFERROR(VLOOKUP(B10,'TIMEFOLIO 코리아밸류업액티브(과거)'!$B$11:$E$1000,4,0),0)</f>
        <v>0</v>
      </c>
      <c r="E10" s="20">
        <f t="shared" si="6"/>
        <v>3.52</v>
      </c>
      <c r="F10" s="21" t="str">
        <f t="shared" si="7"/>
        <v>신규편입</v>
      </c>
      <c r="G10" s="63" t="str">
        <f>VLOOKUP(H10,유니버스!$C$14:$D$2561,2,0)</f>
        <v>KS</v>
      </c>
      <c r="H10" s="65" t="str">
        <f>'PLUS K제조업핵심기업액티브'!B16</f>
        <v>LG에너지솔루션</v>
      </c>
      <c r="I10" s="65">
        <f>VLOOKUP(H10,'PLUS K제조업핵심기업액티브'!$B$11:$E$1000,4,0)</f>
        <v>2.88</v>
      </c>
      <c r="J10" s="65">
        <f>IFERROR(VLOOKUP(H10,'PLUS K제조업핵심기업액티브(과거)'!$B$11:$E$1000,4,0),0)</f>
        <v>3.04</v>
      </c>
      <c r="K10" s="20">
        <f t="shared" si="8"/>
        <v>-0.16000000000000014</v>
      </c>
      <c r="L10" s="21">
        <f t="shared" si="9"/>
        <v>-5.2631578947368474E-2</v>
      </c>
      <c r="M10" s="62" t="str">
        <f>VLOOKUP(N10,유니버스!$C$14:$D$2561,2,0)</f>
        <v>KQ</v>
      </c>
      <c r="N10" s="26" t="str">
        <f>'타이커 기술이전'!B16</f>
        <v>알테오젠</v>
      </c>
      <c r="O10" s="20">
        <f>VLOOKUP(N10,'타이커 기술이전'!$B$11:$E$1000,4,0)</f>
        <v>4.76</v>
      </c>
      <c r="P10" s="20">
        <f>IFERROR(VLOOKUP(N10,'타이커 기술이전(과거)'!$B$11:$E$1000,4,0),0)</f>
        <v>4.3</v>
      </c>
      <c r="Q10" s="20">
        <f t="shared" si="10"/>
        <v>0.45999999999999996</v>
      </c>
      <c r="R10" s="21">
        <f t="shared" si="11"/>
        <v>0.10697674418604652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현대모비스</v>
      </c>
      <c r="C11" s="65">
        <f>VLOOKUP(B11,'TIMEFOLIO 코리아밸류업액티브'!$B$11:$E$1000,4,0)</f>
        <v>3.05</v>
      </c>
      <c r="D11" s="65">
        <f>IFERROR(VLOOKUP(B11,'TIMEFOLIO 코리아밸류업액티브(과거)'!$B$11:$E$1000,4,0),0)</f>
        <v>0</v>
      </c>
      <c r="E11" s="20">
        <f t="shared" si="6"/>
        <v>3.05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현대모비스</v>
      </c>
      <c r="I11" s="65">
        <f>VLOOKUP(H11,'PLUS K제조업핵심기업액티브'!$B$11:$E$1000,4,0)</f>
        <v>2.68</v>
      </c>
      <c r="J11" s="65">
        <f>IFERROR(VLOOKUP(H11,'PLUS K제조업핵심기업액티브(과거)'!$B$11:$E$1000,4,0),0)</f>
        <v>3.16</v>
      </c>
      <c r="K11" s="20">
        <f t="shared" si="8"/>
        <v>-0.48</v>
      </c>
      <c r="L11" s="21">
        <f t="shared" si="9"/>
        <v>-0.15189873417721522</v>
      </c>
      <c r="M11" s="62" t="str">
        <f>VLOOKUP(N11,유니버스!$C$14:$D$2561,2,0)</f>
        <v>KQ</v>
      </c>
      <c r="N11" s="26" t="str">
        <f>'타이커 기술이전'!B17</f>
        <v>에스티팜</v>
      </c>
      <c r="O11" s="20">
        <f>VLOOKUP(N11,'타이커 기술이전'!$B$11:$E$1000,4,0)</f>
        <v>4.7300000000000004</v>
      </c>
      <c r="P11" s="20">
        <f>IFERROR(VLOOKUP(N11,'타이커 기술이전(과거)'!$B$11:$E$1000,4,0),0)</f>
        <v>4.38</v>
      </c>
      <c r="Q11" s="20">
        <f t="shared" si="10"/>
        <v>0.35000000000000053</v>
      </c>
      <c r="R11" s="21">
        <f t="shared" si="11"/>
        <v>7.9908675799086781E-2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KB금융</v>
      </c>
      <c r="C12" s="65">
        <f>VLOOKUP(B12,'TIMEFOLIO 코리아밸류업액티브'!$B$11:$E$1000,4,0)</f>
        <v>2.6</v>
      </c>
      <c r="D12" s="65">
        <f>IFERROR(VLOOKUP(B12,'TIMEFOLIO 코리아밸류업액티브(과거)'!$B$11:$E$1000,4,0),0)</f>
        <v>2.2400000000000002</v>
      </c>
      <c r="E12" s="20">
        <f t="shared" si="6"/>
        <v>0.35999999999999988</v>
      </c>
      <c r="F12" s="21">
        <f t="shared" si="7"/>
        <v>0.16071428571428559</v>
      </c>
      <c r="G12" s="63" t="str">
        <f>VLOOKUP(H12,유니버스!$C$14:$D$2561,2,0)</f>
        <v>KS</v>
      </c>
      <c r="H12" s="65" t="str">
        <f>'PLUS K제조업핵심기업액티브'!B18</f>
        <v>한화오션</v>
      </c>
      <c r="I12" s="65">
        <f>VLOOKUP(H12,'PLUS K제조업핵심기업액티브'!$B$11:$E$1000,4,0)</f>
        <v>2.4</v>
      </c>
      <c r="J12" s="65">
        <f>IFERROR(VLOOKUP(H12,'PLUS K제조업핵심기업액티브(과거)'!$B$11:$E$1000,4,0),0)</f>
        <v>2.5</v>
      </c>
      <c r="K12" s="20">
        <f t="shared" si="8"/>
        <v>-0.10000000000000009</v>
      </c>
      <c r="L12" s="21">
        <f t="shared" si="9"/>
        <v>-4.0000000000000036E-2</v>
      </c>
      <c r="M12" s="62" t="str">
        <f>VLOOKUP(N12,유니버스!$C$14:$D$2561,2,0)</f>
        <v>KS</v>
      </c>
      <c r="N12" s="26" t="str">
        <f>'타이커 기술이전'!B18</f>
        <v>한올바이오파마</v>
      </c>
      <c r="O12" s="20">
        <f>VLOOKUP(N12,'타이커 기술이전'!$B$11:$E$1000,4,0)</f>
        <v>4.51</v>
      </c>
      <c r="P12" s="20">
        <f>IFERROR(VLOOKUP(N12,'타이커 기술이전(과거)'!$B$11:$E$1000,4,0),0)</f>
        <v>4.95</v>
      </c>
      <c r="Q12" s="20">
        <f t="shared" si="10"/>
        <v>-0.44000000000000039</v>
      </c>
      <c r="R12" s="21">
        <f t="shared" si="11"/>
        <v>-8.8888888888889017E-2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삼성생명</v>
      </c>
      <c r="C13" s="65">
        <f>VLOOKUP(B13,'TIMEFOLIO 코리아밸류업액티브'!$B$11:$E$1000,4,0)</f>
        <v>2.35</v>
      </c>
      <c r="D13" s="65">
        <f>IFERROR(VLOOKUP(B13,'TIMEFOLIO 코리아밸류업액티브(과거)'!$B$11:$E$1000,4,0),0)</f>
        <v>2.57</v>
      </c>
      <c r="E13" s="20">
        <f t="shared" si="6"/>
        <v>-0.21999999999999975</v>
      </c>
      <c r="F13" s="21">
        <f t="shared" si="7"/>
        <v>-8.5603112840466844E-2</v>
      </c>
      <c r="G13" s="63" t="str">
        <f>VLOOKUP(H13,유니버스!$C$14:$D$2561,2,0)</f>
        <v>KS</v>
      </c>
      <c r="H13" s="65" t="str">
        <f>'PLUS K제조업핵심기업액티브'!B19</f>
        <v>한화비전</v>
      </c>
      <c r="I13" s="65">
        <f>VLOOKUP(H13,'PLUS K제조업핵심기업액티브'!$B$11:$E$1000,4,0)</f>
        <v>2.2000000000000002</v>
      </c>
      <c r="J13" s="65">
        <f>IFERROR(VLOOKUP(H13,'PLUS K제조업핵심기업액티브(과거)'!$B$11:$E$1000,4,0),0)</f>
        <v>1.86</v>
      </c>
      <c r="K13" s="20">
        <f t="shared" si="8"/>
        <v>0.34000000000000008</v>
      </c>
      <c r="L13" s="21">
        <f t="shared" si="9"/>
        <v>0.18279569892473124</v>
      </c>
      <c r="M13" s="62" t="str">
        <f>VLOOKUP(N13,유니버스!$C$14:$D$2561,2,0)</f>
        <v>KQ</v>
      </c>
      <c r="N13" s="26" t="str">
        <f>'타이커 기술이전'!B19</f>
        <v>에이프릴바이오</v>
      </c>
      <c r="O13" s="20">
        <f>VLOOKUP(N13,'타이커 기술이전'!$B$11:$E$1000,4,0)</f>
        <v>3.96</v>
      </c>
      <c r="P13" s="20">
        <f>IFERROR(VLOOKUP(N13,'타이커 기술이전(과거)'!$B$11:$E$1000,4,0),0)</f>
        <v>4.91</v>
      </c>
      <c r="Q13" s="20">
        <f t="shared" si="10"/>
        <v>-0.95000000000000018</v>
      </c>
      <c r="R13" s="21">
        <f t="shared" si="11"/>
        <v>-0.19348268839103877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SK</v>
      </c>
      <c r="C14" s="65">
        <f>VLOOKUP(B14,'TIMEFOLIO 코리아밸류업액티브'!$B$11:$E$1000,4,0)</f>
        <v>2.0499999999999998</v>
      </c>
      <c r="D14" s="65">
        <f>IFERROR(VLOOKUP(B14,'TIMEFOLIO 코리아밸류업액티브(과거)'!$B$11:$E$1000,4,0),0)</f>
        <v>2.74</v>
      </c>
      <c r="E14" s="20">
        <f t="shared" si="6"/>
        <v>-0.69000000000000039</v>
      </c>
      <c r="F14" s="21">
        <f t="shared" si="7"/>
        <v>-0.25182481751824826</v>
      </c>
      <c r="G14" s="63" t="str">
        <f>VLOOKUP(H14,유니버스!$C$14:$D$2561,2,0)</f>
        <v>KS</v>
      </c>
      <c r="H14" s="65" t="str">
        <f>'PLUS K제조업핵심기업액티브'!B20</f>
        <v>두산</v>
      </c>
      <c r="I14" s="65">
        <f>VLOOKUP(H14,'PLUS K제조업핵심기업액티브'!$B$11:$E$1000,4,0)</f>
        <v>2.19</v>
      </c>
      <c r="J14" s="65">
        <f>IFERROR(VLOOKUP(H14,'PLUS K제조업핵심기업액티브(과거)'!$B$11:$E$1000,4,0),0)</f>
        <v>2.36</v>
      </c>
      <c r="K14" s="20">
        <f t="shared" si="8"/>
        <v>-0.16999999999999993</v>
      </c>
      <c r="L14" s="21">
        <f t="shared" si="9"/>
        <v>-7.2033898305084665E-2</v>
      </c>
      <c r="M14" s="62" t="str">
        <f>VLOOKUP(N14,유니버스!$C$14:$D$2561,2,0)</f>
        <v>KS</v>
      </c>
      <c r="N14" s="26" t="str">
        <f>'타이커 기술이전'!B20</f>
        <v>한미약품</v>
      </c>
      <c r="O14" s="20">
        <f>VLOOKUP(N14,'타이커 기술이전'!$B$11:$E$1000,4,0)</f>
        <v>3.95</v>
      </c>
      <c r="P14" s="20">
        <f>IFERROR(VLOOKUP(N14,'타이커 기술이전(과거)'!$B$11:$E$1000,4,0),0)</f>
        <v>4.58</v>
      </c>
      <c r="Q14" s="20">
        <f t="shared" si="10"/>
        <v>-0.62999999999999989</v>
      </c>
      <c r="R14" s="21">
        <f t="shared" si="11"/>
        <v>-0.13755458515283836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두산</v>
      </c>
      <c r="C15" s="65">
        <f>VLOOKUP(B15,'TIMEFOLIO 코리아밸류업액티브'!$B$11:$E$1000,4,0)</f>
        <v>1.96</v>
      </c>
      <c r="D15" s="65">
        <f>IFERROR(VLOOKUP(B15,'TIMEFOLIO 코리아밸류업액티브(과거)'!$B$11:$E$1000,4,0),0)</f>
        <v>2.67</v>
      </c>
      <c r="E15" s="20">
        <f t="shared" si="6"/>
        <v>-0.71</v>
      </c>
      <c r="F15" s="21">
        <f t="shared" si="7"/>
        <v>-0.26591760299625467</v>
      </c>
      <c r="G15" s="63" t="str">
        <f>VLOOKUP(H15,유니버스!$C$14:$D$2561,2,0)</f>
        <v>KS</v>
      </c>
      <c r="H15" s="65" t="str">
        <f>'PLUS K제조업핵심기업액티브'!B21</f>
        <v>삼성전기</v>
      </c>
      <c r="I15" s="65">
        <f>VLOOKUP(H15,'PLUS K제조업핵심기업액티브'!$B$11:$E$1000,4,0)</f>
        <v>2.17</v>
      </c>
      <c r="J15" s="65">
        <f>IFERROR(VLOOKUP(H15,'PLUS K제조업핵심기업액티브(과거)'!$B$11:$E$1000,4,0),0)</f>
        <v>0</v>
      </c>
      <c r="K15" s="20">
        <f t="shared" si="8"/>
        <v>2.17</v>
      </c>
      <c r="L15" s="21" t="str">
        <f t="shared" si="9"/>
        <v>신규편입</v>
      </c>
      <c r="M15" s="62" t="str">
        <f>VLOOKUP(N15,유니버스!$C$14:$D$2561,2,0)</f>
        <v>KS</v>
      </c>
      <c r="N15" s="26" t="str">
        <f>'타이커 기술이전'!B21</f>
        <v>삼성바이오로직스</v>
      </c>
      <c r="O15" s="20">
        <f>VLOOKUP(N15,'타이커 기술이전'!$B$11:$E$1000,4,0)</f>
        <v>3.53</v>
      </c>
      <c r="P15" s="20">
        <f>IFERROR(VLOOKUP(N15,'타이커 기술이전(과거)'!$B$11:$E$1000,4,0),0)</f>
        <v>3.18</v>
      </c>
      <c r="Q15" s="20">
        <f t="shared" si="10"/>
        <v>0.34999999999999964</v>
      </c>
      <c r="R15" s="21">
        <f t="shared" si="11"/>
        <v>0.11006289308176087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신한지주</v>
      </c>
      <c r="C16" s="65">
        <f>VLOOKUP(B16,'TIMEFOLIO 코리아밸류업액티브'!$B$11:$E$1000,4,0)</f>
        <v>1.87</v>
      </c>
      <c r="D16" s="65">
        <f>IFERROR(VLOOKUP(B16,'TIMEFOLIO 코리아밸류업액티브(과거)'!$B$11:$E$1000,4,0),0)</f>
        <v>0.76</v>
      </c>
      <c r="E16" s="20">
        <f t="shared" si="6"/>
        <v>1.1100000000000001</v>
      </c>
      <c r="F16" s="21">
        <f t="shared" si="7"/>
        <v>1.4605263157894739</v>
      </c>
      <c r="G16" s="63" t="str">
        <f>VLOOKUP(H16,유니버스!$C$14:$D$2561,2,0)</f>
        <v>KS</v>
      </c>
      <c r="H16" s="65" t="str">
        <f>'PLUS K제조업핵심기업액티브'!B22</f>
        <v>삼성SDI</v>
      </c>
      <c r="I16" s="65">
        <f>VLOOKUP(H16,'PLUS K제조업핵심기업액티브'!$B$11:$E$1000,4,0)</f>
        <v>1.87</v>
      </c>
      <c r="J16" s="65">
        <f>IFERROR(VLOOKUP(H16,'PLUS K제조업핵심기업액티브(과거)'!$B$11:$E$1000,4,0),0)</f>
        <v>2.2799999999999998</v>
      </c>
      <c r="K16" s="20">
        <f t="shared" si="8"/>
        <v>-0.4099999999999997</v>
      </c>
      <c r="L16" s="21">
        <f t="shared" si="9"/>
        <v>-0.17982456140350866</v>
      </c>
      <c r="M16" s="62" t="str">
        <f>VLOOKUP(N16,유니버스!$C$14:$D$2561,2,0)</f>
        <v>KQ</v>
      </c>
      <c r="N16" s="26" t="str">
        <f>'타이커 기술이전'!B22</f>
        <v>보로노이</v>
      </c>
      <c r="O16" s="20">
        <f>VLOOKUP(N16,'타이커 기술이전'!$B$11:$E$1000,4,0)</f>
        <v>3.41</v>
      </c>
      <c r="P16" s="20">
        <f>IFERROR(VLOOKUP(N16,'타이커 기술이전(과거)'!$B$11:$E$1000,4,0),0)</f>
        <v>4.01</v>
      </c>
      <c r="Q16" s="20">
        <f t="shared" si="10"/>
        <v>-0.59999999999999964</v>
      </c>
      <c r="R16" s="21">
        <f t="shared" si="11"/>
        <v>-0.14962593516209466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SK텔레콤</v>
      </c>
      <c r="C17" s="65">
        <f>VLOOKUP(B17,'TIMEFOLIO 코리아밸류업액티브'!$B$11:$E$1000,4,0)</f>
        <v>1.82</v>
      </c>
      <c r="D17" s="65">
        <f>IFERROR(VLOOKUP(B17,'TIMEFOLIO 코리아밸류업액티브(과거)'!$B$11:$E$1000,4,0),0)</f>
        <v>0.68</v>
      </c>
      <c r="E17" s="20">
        <f t="shared" si="6"/>
        <v>1.1400000000000001</v>
      </c>
      <c r="F17" s="21">
        <f t="shared" si="7"/>
        <v>1.6764705882352939</v>
      </c>
      <c r="G17" s="63" t="str">
        <f>VLOOKUP(H17,유니버스!$C$14:$D$2561,2,0)</f>
        <v>KS</v>
      </c>
      <c r="H17" s="65" t="str">
        <f>'PLUS K제조업핵심기업액티브'!B23</f>
        <v>HD현대중공업</v>
      </c>
      <c r="I17" s="65">
        <f>VLOOKUP(H17,'PLUS K제조업핵심기업액티브'!$B$11:$E$1000,4,0)</f>
        <v>1.74</v>
      </c>
      <c r="J17" s="65">
        <f>IFERROR(VLOOKUP(H17,'PLUS K제조업핵심기업액티브(과거)'!$B$11:$E$1000,4,0),0)</f>
        <v>1.66</v>
      </c>
      <c r="K17" s="20">
        <f t="shared" si="8"/>
        <v>8.0000000000000071E-2</v>
      </c>
      <c r="L17" s="21">
        <f t="shared" si="9"/>
        <v>4.8192771084337505E-2</v>
      </c>
      <c r="M17" s="62" t="str">
        <f>VLOOKUP(N17,유니버스!$C$14:$D$2561,2,0)</f>
        <v>KQ</v>
      </c>
      <c r="N17" s="26" t="str">
        <f>'타이커 기술이전'!B23</f>
        <v>알지노믹스</v>
      </c>
      <c r="O17" s="20">
        <f>VLOOKUP(N17,'타이커 기술이전'!$B$11:$E$1000,4,0)</f>
        <v>3.31</v>
      </c>
      <c r="P17" s="20">
        <f>IFERROR(VLOOKUP(N17,'타이커 기술이전(과거)'!$B$11:$E$1000,4,0),0)</f>
        <v>3.38</v>
      </c>
      <c r="Q17" s="20">
        <f t="shared" si="10"/>
        <v>-6.999999999999984E-2</v>
      </c>
      <c r="R17" s="21">
        <f t="shared" si="11"/>
        <v>-2.0710059171597628E-2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한화에어로스페이스</v>
      </c>
      <c r="C18" s="65">
        <f>VLOOKUP(B18,'TIMEFOLIO 코리아밸류업액티브'!$B$11:$E$1000,4,0)</f>
        <v>1.58</v>
      </c>
      <c r="D18" s="65">
        <f>IFERROR(VLOOKUP(B18,'TIMEFOLIO 코리아밸류업액티브(과거)'!$B$11:$E$1000,4,0),0)</f>
        <v>0</v>
      </c>
      <c r="E18" s="20">
        <f t="shared" si="6"/>
        <v>1.58</v>
      </c>
      <c r="F18" s="21" t="str">
        <f t="shared" si="7"/>
        <v>신규편입</v>
      </c>
      <c r="G18" s="63" t="str">
        <f>VLOOKUP(H18,유니버스!$C$14:$D$2561,2,0)</f>
        <v>KS</v>
      </c>
      <c r="H18" s="65" t="str">
        <f>'PLUS K제조업핵심기업액티브'!B24</f>
        <v>삼성중공업</v>
      </c>
      <c r="I18" s="65">
        <f>VLOOKUP(H18,'PLUS K제조업핵심기업액티브'!$B$11:$E$1000,4,0)</f>
        <v>1.67</v>
      </c>
      <c r="J18" s="65">
        <f>IFERROR(VLOOKUP(H18,'PLUS K제조업핵심기업액티브(과거)'!$B$11:$E$1000,4,0),0)</f>
        <v>1.64</v>
      </c>
      <c r="K18" s="20">
        <f t="shared" si="8"/>
        <v>3.0000000000000027E-2</v>
      </c>
      <c r="L18" s="21">
        <f t="shared" si="9"/>
        <v>1.8292682926829285E-2</v>
      </c>
      <c r="M18" s="62" t="str">
        <f>VLOOKUP(N18,유니버스!$C$14:$D$2561,2,0)</f>
        <v>KQ</v>
      </c>
      <c r="N18" s="26" t="str">
        <f>'타이커 기술이전'!B24</f>
        <v>오스코텍</v>
      </c>
      <c r="O18" s="20">
        <f>VLOOKUP(N18,'타이커 기술이전'!$B$11:$E$1000,4,0)</f>
        <v>2.4</v>
      </c>
      <c r="P18" s="20">
        <f>IFERROR(VLOOKUP(N18,'타이커 기술이전(과거)'!$B$11:$E$1000,4,0),0)</f>
        <v>2.11</v>
      </c>
      <c r="Q18" s="20">
        <f t="shared" si="10"/>
        <v>0.29000000000000004</v>
      </c>
      <c r="R18" s="21">
        <f t="shared" si="11"/>
        <v>0.13744075829383884</v>
      </c>
    </row>
    <row r="19" spans="1:18" x14ac:dyDescent="0.4">
      <c r="A19" s="63" t="str">
        <f>VLOOKUP(B19,유니버스!$C$14:$D$2561,2,0)</f>
        <v>KQ</v>
      </c>
      <c r="B19" s="65" t="str">
        <f>'TIMEFOLIO 코리아밸류업액티브'!B25</f>
        <v>피에스케이</v>
      </c>
      <c r="C19" s="65">
        <f>VLOOKUP(B19,'TIMEFOLIO 코리아밸류업액티브'!$B$11:$E$1000,4,0)</f>
        <v>1.46</v>
      </c>
      <c r="D19" s="65">
        <f>IFERROR(VLOOKUP(B19,'TIMEFOLIO 코리아밸류업액티브(과거)'!$B$11:$E$1000,4,0),0)</f>
        <v>0</v>
      </c>
      <c r="E19" s="20">
        <f t="shared" si="6"/>
        <v>1.46</v>
      </c>
      <c r="F19" s="21" t="str">
        <f t="shared" si="7"/>
        <v>신규편입</v>
      </c>
      <c r="G19" s="63" t="str">
        <f>VLOOKUP(H19,유니버스!$C$14:$D$2561,2,0)</f>
        <v>KS</v>
      </c>
      <c r="H19" s="65" t="str">
        <f>'PLUS K제조업핵심기업액티브'!B25</f>
        <v>OCI홀딩스</v>
      </c>
      <c r="I19" s="65">
        <f>VLOOKUP(H19,'PLUS K제조업핵심기업액티브'!$B$11:$E$1000,4,0)</f>
        <v>1.53</v>
      </c>
      <c r="J19" s="65">
        <f>IFERROR(VLOOKUP(H19,'PLUS K제조업핵심기업액티브(과거)'!$B$11:$E$1000,4,0),0)</f>
        <v>1.67</v>
      </c>
      <c r="K19" s="20">
        <f t="shared" si="8"/>
        <v>-0.1399999999999999</v>
      </c>
      <c r="L19" s="21">
        <f t="shared" si="9"/>
        <v>-8.3832335329341312E-2</v>
      </c>
      <c r="M19" s="62" t="str">
        <f>VLOOKUP(N19,유니버스!$C$14:$D$2561,2,0)</f>
        <v>KQ</v>
      </c>
      <c r="N19" s="26" t="str">
        <f>'타이커 기술이전'!B25</f>
        <v>오름테라퓨틱</v>
      </c>
      <c r="O19" s="20">
        <f>VLOOKUP(N19,'타이커 기술이전'!$B$11:$E$1000,4,0)</f>
        <v>2.15</v>
      </c>
      <c r="P19" s="20">
        <f>IFERROR(VLOOKUP(N19,'타이커 기술이전(과거)'!$B$11:$E$1000,4,0),0)</f>
        <v>1.42</v>
      </c>
      <c r="Q19" s="20">
        <f t="shared" si="10"/>
        <v>0.73</v>
      </c>
      <c r="R19" s="21">
        <f t="shared" si="11"/>
        <v>0.5140845070422535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하나금융지주</v>
      </c>
      <c r="C20" s="65">
        <f>VLOOKUP(B20,'TIMEFOLIO 코리아밸류업액티브'!$B$11:$E$1000,4,0)</f>
        <v>1.37</v>
      </c>
      <c r="D20" s="65">
        <f>IFERROR(VLOOKUP(B20,'TIMEFOLIO 코리아밸류업액티브(과거)'!$B$11:$E$1000,4,0),0)</f>
        <v>0.93</v>
      </c>
      <c r="E20" s="20">
        <f t="shared" si="6"/>
        <v>0.44000000000000006</v>
      </c>
      <c r="F20" s="21">
        <f t="shared" si="7"/>
        <v>0.4731182795698925</v>
      </c>
      <c r="G20" s="63" t="str">
        <f>VLOOKUP(H20,유니버스!$C$14:$D$2561,2,0)</f>
        <v>KS</v>
      </c>
      <c r="H20" s="65" t="str">
        <f>'PLUS K제조업핵심기업액티브'!B26</f>
        <v>대덕전자</v>
      </c>
      <c r="I20" s="65">
        <f>VLOOKUP(H20,'PLUS K제조업핵심기업액티브'!$B$11:$E$1000,4,0)</f>
        <v>1.51</v>
      </c>
      <c r="J20" s="65">
        <f>IFERROR(VLOOKUP(H20,'PLUS K제조업핵심기업액티브(과거)'!$B$11:$E$1000,4,0),0)</f>
        <v>1.7</v>
      </c>
      <c r="K20" s="20">
        <f t="shared" si="8"/>
        <v>-0.18999999999999995</v>
      </c>
      <c r="L20" s="21">
        <f t="shared" si="9"/>
        <v>-0.11176470588235288</v>
      </c>
      <c r="M20" s="62" t="str">
        <f>VLOOKUP(N20,유니버스!$C$14:$D$2561,2,0)</f>
        <v>KS</v>
      </c>
      <c r="N20" s="26" t="str">
        <f>'타이커 기술이전'!B26</f>
        <v>부광약품</v>
      </c>
      <c r="O20" s="20">
        <f>VLOOKUP(N20,'타이커 기술이전'!$B$11:$E$1000,4,0)</f>
        <v>1.96</v>
      </c>
      <c r="P20" s="20">
        <f>IFERROR(VLOOKUP(N20,'타이커 기술이전(과거)'!$B$11:$E$1000,4,0),0)</f>
        <v>1.87</v>
      </c>
      <c r="Q20" s="20">
        <f t="shared" si="10"/>
        <v>8.9999999999999858E-2</v>
      </c>
      <c r="R20" s="21">
        <f t="shared" si="11"/>
        <v>4.8128342245989275E-2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삼성물산</v>
      </c>
      <c r="C21" s="65">
        <f>VLOOKUP(B21,'TIMEFOLIO 코리아밸류업액티브'!$B$11:$E$1000,4,0)</f>
        <v>1.35</v>
      </c>
      <c r="D21" s="65">
        <f>IFERROR(VLOOKUP(B21,'TIMEFOLIO 코리아밸류업액티브(과거)'!$B$11:$E$1000,4,0),0)</f>
        <v>3.45</v>
      </c>
      <c r="E21" s="20">
        <f t="shared" si="6"/>
        <v>-2.1</v>
      </c>
      <c r="F21" s="21">
        <f t="shared" si="7"/>
        <v>-0.60869565217391308</v>
      </c>
      <c r="G21" s="63" t="str">
        <f>VLOOKUP(H21,유니버스!$C$14:$D$2561,2,0)</f>
        <v>KS</v>
      </c>
      <c r="H21" s="65" t="str">
        <f>'PLUS K제조업핵심기업액티브'!B27</f>
        <v>DL이앤씨</v>
      </c>
      <c r="I21" s="65">
        <f>VLOOKUP(H21,'PLUS K제조업핵심기업액티브'!$B$11:$E$1000,4,0)</f>
        <v>1.42</v>
      </c>
      <c r="J21" s="65">
        <f>IFERROR(VLOOKUP(H21,'PLUS K제조업핵심기업액티브(과거)'!$B$11:$E$1000,4,0),0)</f>
        <v>1.37</v>
      </c>
      <c r="K21" s="20">
        <f t="shared" si="8"/>
        <v>4.9999999999999822E-2</v>
      </c>
      <c r="L21" s="21">
        <f t="shared" si="9"/>
        <v>3.6496350364963348E-2</v>
      </c>
      <c r="M21" s="62" t="str">
        <f>VLOOKUP(N21,유니버스!$C$14:$D$2561,2,0)</f>
        <v>KQ</v>
      </c>
      <c r="N21" s="26" t="str">
        <f>'타이커 기술이전'!B27</f>
        <v>온코닉테라퓨틱스</v>
      </c>
      <c r="O21" s="20">
        <f>VLOOKUP(N21,'타이커 기술이전'!$B$11:$E$1000,4,0)</f>
        <v>1.81</v>
      </c>
      <c r="P21" s="20">
        <f>IFERROR(VLOOKUP(N21,'타이커 기술이전(과거)'!$B$11:$E$1000,4,0),0)</f>
        <v>1.84</v>
      </c>
      <c r="Q21" s="20">
        <f t="shared" si="10"/>
        <v>-3.0000000000000027E-2</v>
      </c>
      <c r="R21" s="21">
        <f t="shared" si="11"/>
        <v>-1.6304347826086918E-2</v>
      </c>
    </row>
    <row r="22" spans="1:18" x14ac:dyDescent="0.4">
      <c r="A22" s="63" t="str">
        <f>VLOOKUP(B22,유니버스!$C$14:$D$2561,2,0)</f>
        <v>KS</v>
      </c>
      <c r="B22" s="65" t="str">
        <f>'TIMEFOLIO 코리아밸류업액티브'!B28</f>
        <v>HD현대중공업</v>
      </c>
      <c r="C22" s="65">
        <f>VLOOKUP(B22,'TIMEFOLIO 코리아밸류업액티브'!$B$11:$E$1000,4,0)</f>
        <v>1.34</v>
      </c>
      <c r="D22" s="65">
        <f>IFERROR(VLOOKUP(B22,'TIMEFOLIO 코리아밸류업액티브(과거)'!$B$11:$E$1000,4,0),0)</f>
        <v>0</v>
      </c>
      <c r="E22" s="20">
        <f t="shared" si="6"/>
        <v>1.34</v>
      </c>
      <c r="F22" s="21" t="str">
        <f t="shared" si="7"/>
        <v>신규편입</v>
      </c>
      <c r="G22" s="63" t="str">
        <f>VLOOKUP(H22,유니버스!$C$14:$D$2561,2,0)</f>
        <v>KQ</v>
      </c>
      <c r="H22" s="65" t="str">
        <f>'PLUS K제조업핵심기업액티브'!B28</f>
        <v>테스</v>
      </c>
      <c r="I22" s="65">
        <f>VLOOKUP(H22,'PLUS K제조업핵심기업액티브'!$B$11:$E$1000,4,0)</f>
        <v>1.41</v>
      </c>
      <c r="J22" s="65">
        <f>IFERROR(VLOOKUP(H22,'PLUS K제조업핵심기업액티브(과거)'!$B$11:$E$1000,4,0),0)</f>
        <v>0.87</v>
      </c>
      <c r="K22" s="20">
        <f t="shared" si="8"/>
        <v>0.53999999999999992</v>
      </c>
      <c r="L22" s="21">
        <f t="shared" si="9"/>
        <v>0.6206896551724137</v>
      </c>
      <c r="M22" s="62" t="str">
        <f>VLOOKUP(N22,유니버스!$C$14:$D$2561,2,0)</f>
        <v>KQ</v>
      </c>
      <c r="N22" s="26" t="str">
        <f>'타이커 기술이전'!B28</f>
        <v>지투지바이오</v>
      </c>
      <c r="O22" s="20">
        <f>VLOOKUP(N22,'타이커 기술이전'!$B$11:$E$1000,4,0)</f>
        <v>1.71</v>
      </c>
      <c r="P22" s="20">
        <f>IFERROR(VLOOKUP(N22,'타이커 기술이전(과거)'!$B$11:$E$1000,4,0),0)</f>
        <v>1.83</v>
      </c>
      <c r="Q22" s="20">
        <f t="shared" si="10"/>
        <v>-0.12000000000000011</v>
      </c>
      <c r="R22" s="21">
        <f t="shared" si="11"/>
        <v>-6.5573770491803351E-2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효성중공업</v>
      </c>
      <c r="C23" s="65">
        <f>VLOOKUP(B23,'TIMEFOLIO 코리아밸류업액티브'!$B$11:$E$1000,4,0)</f>
        <v>1.31</v>
      </c>
      <c r="D23" s="65">
        <f>IFERROR(VLOOKUP(B23,'TIMEFOLIO 코리아밸류업액티브(과거)'!$B$11:$E$1000,4,0),0)</f>
        <v>0</v>
      </c>
      <c r="E23" s="20">
        <f t="shared" si="6"/>
        <v>1.31</v>
      </c>
      <c r="F23" s="21" t="str">
        <f t="shared" si="7"/>
        <v>신규편입</v>
      </c>
      <c r="G23" s="63" t="str">
        <f>VLOOKUP(H23,유니버스!$C$14:$D$2561,2,0)</f>
        <v>KS</v>
      </c>
      <c r="H23" s="65" t="str">
        <f>'PLUS K제조업핵심기업액티브'!B29</f>
        <v>DI동일</v>
      </c>
      <c r="I23" s="65">
        <f>VLOOKUP(H23,'PLUS K제조업핵심기업액티브'!$B$11:$E$1000,4,0)</f>
        <v>1.19</v>
      </c>
      <c r="J23" s="65">
        <f>IFERROR(VLOOKUP(H23,'PLUS K제조업핵심기업액티브(과거)'!$B$11:$E$1000,4,0),0)</f>
        <v>1.1599999999999999</v>
      </c>
      <c r="K23" s="20">
        <f t="shared" si="8"/>
        <v>3.0000000000000027E-2</v>
      </c>
      <c r="L23" s="21">
        <f t="shared" si="9"/>
        <v>2.5862068965517349E-2</v>
      </c>
      <c r="M23" s="62" t="str">
        <f>VLOOKUP(N23,유니버스!$C$14:$D$2561,2,0)</f>
        <v>KQ</v>
      </c>
      <c r="N23" s="26" t="str">
        <f>'타이커 기술이전'!B29</f>
        <v>펩트론</v>
      </c>
      <c r="O23" s="20">
        <f>VLOOKUP(N23,'타이커 기술이전'!$B$11:$E$1000,4,0)</f>
        <v>1.63</v>
      </c>
      <c r="P23" s="20">
        <f>IFERROR(VLOOKUP(N23,'타이커 기술이전(과거)'!$B$11:$E$1000,4,0),0)</f>
        <v>2.46</v>
      </c>
      <c r="Q23" s="20">
        <f t="shared" si="10"/>
        <v>-0.83000000000000007</v>
      </c>
      <c r="R23" s="21">
        <f t="shared" si="11"/>
        <v>-0.33739837398373984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LIG디펜스앤에어로스페이스</v>
      </c>
      <c r="C24" s="65">
        <f>VLOOKUP(B24,'TIMEFOLIO 코리아밸류업액티브'!$B$11:$E$1000,4,0)</f>
        <v>1.23</v>
      </c>
      <c r="D24" s="65">
        <f>IFERROR(VLOOKUP(B24,'TIMEFOLIO 코리아밸류업액티브(과거)'!$B$11:$E$1000,4,0),0)</f>
        <v>0</v>
      </c>
      <c r="E24" s="20">
        <f t="shared" si="6"/>
        <v>1.23</v>
      </c>
      <c r="F24" s="21" t="str">
        <f t="shared" si="7"/>
        <v>신규편입</v>
      </c>
      <c r="G24" s="63" t="str">
        <f>VLOOKUP(H24,유니버스!$C$14:$D$2561,2,0)</f>
        <v>KS</v>
      </c>
      <c r="H24" s="65" t="str">
        <f>'PLUS K제조업핵심기업액티브'!B30</f>
        <v>솔루스첨단소재</v>
      </c>
      <c r="I24" s="65">
        <f>VLOOKUP(H24,'PLUS K제조업핵심기업액티브'!$B$11:$E$1000,4,0)</f>
        <v>1.08</v>
      </c>
      <c r="J24" s="65">
        <f>IFERROR(VLOOKUP(H24,'PLUS K제조업핵심기업액티브(과거)'!$B$11:$E$1000,4,0),0)</f>
        <v>0</v>
      </c>
      <c r="K24" s="20">
        <f t="shared" si="8"/>
        <v>1.08</v>
      </c>
      <c r="L24" s="21" t="str">
        <f t="shared" si="9"/>
        <v>신규편입</v>
      </c>
      <c r="M24" s="62" t="str">
        <f>VLOOKUP(N24,유니버스!$C$14:$D$2561,2,0)</f>
        <v>KQ</v>
      </c>
      <c r="N24" s="26" t="str">
        <f>'타이커 기술이전'!B30</f>
        <v>인투셀</v>
      </c>
      <c r="O24" s="20">
        <f>VLOOKUP(N24,'타이커 기술이전'!$B$11:$E$1000,4,0)</f>
        <v>1.44</v>
      </c>
      <c r="P24" s="20">
        <f>IFERROR(VLOOKUP(N24,'타이커 기술이전(과거)'!$B$11:$E$1000,4,0),0)</f>
        <v>1.39</v>
      </c>
      <c r="Q24" s="20">
        <f t="shared" si="10"/>
        <v>5.0000000000000044E-2</v>
      </c>
      <c r="R24" s="21">
        <f t="shared" si="11"/>
        <v>3.5971223021582732E-2</v>
      </c>
    </row>
    <row r="25" spans="1:18" x14ac:dyDescent="0.4">
      <c r="A25" s="63" t="str">
        <f>VLOOKUP(B25,유니버스!$C$14:$D$2561,2,0)</f>
        <v>KQ</v>
      </c>
      <c r="B25" s="65" t="str">
        <f>'TIMEFOLIO 코리아밸류업액티브'!B31</f>
        <v>테스</v>
      </c>
      <c r="C25" s="65">
        <f>VLOOKUP(B25,'TIMEFOLIO 코리아밸류업액티브'!$B$11:$E$1000,4,0)</f>
        <v>1.18</v>
      </c>
      <c r="D25" s="65">
        <f>IFERROR(VLOOKUP(B25,'TIMEFOLIO 코리아밸류업액티브(과거)'!$B$11:$E$1000,4,0),0)</f>
        <v>0</v>
      </c>
      <c r="E25" s="20">
        <f t="shared" si="6"/>
        <v>1.18</v>
      </c>
      <c r="F25" s="21" t="str">
        <f t="shared" si="7"/>
        <v>신규편입</v>
      </c>
      <c r="G25" s="63" t="str">
        <f>VLOOKUP(H25,유니버스!$C$14:$D$2561,2,0)</f>
        <v>KQ</v>
      </c>
      <c r="H25" s="65" t="str">
        <f>'PLUS K제조업핵심기업액티브'!B31</f>
        <v>대주전자재료</v>
      </c>
      <c r="I25" s="65">
        <f>VLOOKUP(H25,'PLUS K제조업핵심기업액티브'!$B$11:$E$1000,4,0)</f>
        <v>1.05</v>
      </c>
      <c r="J25" s="65">
        <f>IFERROR(VLOOKUP(H25,'PLUS K제조업핵심기업액티브(과거)'!$B$11:$E$1000,4,0),0)</f>
        <v>1.22</v>
      </c>
      <c r="K25" s="20">
        <f t="shared" si="8"/>
        <v>-0.16999999999999993</v>
      </c>
      <c r="L25" s="21">
        <f t="shared" si="9"/>
        <v>-0.1393442622950819</v>
      </c>
      <c r="M25" s="62" t="str">
        <f>VLOOKUP(N25,유니버스!$C$14:$D$2561,2,0)</f>
        <v>KS</v>
      </c>
      <c r="N25" s="26" t="str">
        <f>'타이커 기술이전'!B31</f>
        <v>SK바이오팜</v>
      </c>
      <c r="O25" s="20">
        <f>VLOOKUP(N25,'타이커 기술이전'!$B$11:$E$1000,4,0)</f>
        <v>1.34</v>
      </c>
      <c r="P25" s="20">
        <f>IFERROR(VLOOKUP(N25,'타이커 기술이전(과거)'!$B$11:$E$1000,4,0),0)</f>
        <v>0.84</v>
      </c>
      <c r="Q25" s="20">
        <f t="shared" si="10"/>
        <v>0.50000000000000011</v>
      </c>
      <c r="R25" s="21">
        <f t="shared" si="11"/>
        <v>0.59523809523809534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한국금융지주</v>
      </c>
      <c r="C26" s="65">
        <f>VLOOKUP(B26,'TIMEFOLIO 코리아밸류업액티브'!$B$11:$E$1000,4,0)</f>
        <v>1.1299999999999999</v>
      </c>
      <c r="D26" s="65">
        <f>IFERROR(VLOOKUP(B26,'TIMEFOLIO 코리아밸류업액티브(과거)'!$B$11:$E$1000,4,0),0)</f>
        <v>0.93</v>
      </c>
      <c r="E26" s="20">
        <f t="shared" si="6"/>
        <v>0.19999999999999984</v>
      </c>
      <c r="F26" s="21">
        <f t="shared" si="7"/>
        <v>0.21505376344086002</v>
      </c>
      <c r="G26" s="63" t="str">
        <f>VLOOKUP(H26,유니버스!$C$14:$D$2561,2,0)</f>
        <v>KS</v>
      </c>
      <c r="H26" s="65" t="str">
        <f>'PLUS K제조업핵심기업액티브'!B32</f>
        <v>LIG디펜스앤에어로스페이스</v>
      </c>
      <c r="I26" s="65">
        <f>VLOOKUP(H26,'PLUS K제조업핵심기업액티브'!$B$11:$E$1000,4,0)</f>
        <v>1.03</v>
      </c>
      <c r="J26" s="65">
        <f>IFERROR(VLOOKUP(H26,'PLUS K제조업핵심기업액티브(과거)'!$B$11:$E$1000,4,0),0)</f>
        <v>0.96</v>
      </c>
      <c r="K26" s="20">
        <f t="shared" si="8"/>
        <v>7.0000000000000062E-2</v>
      </c>
      <c r="L26" s="21">
        <f t="shared" si="9"/>
        <v>7.2916666666666741E-2</v>
      </c>
      <c r="M26" s="62" t="str">
        <f>VLOOKUP(N26,유니버스!$C$14:$D$2561,2,0)</f>
        <v>KQ</v>
      </c>
      <c r="N26" s="26" t="str">
        <f>'타이커 기술이전'!B32</f>
        <v>앱클론</v>
      </c>
      <c r="O26" s="20">
        <f>VLOOKUP(N26,'타이커 기술이전'!$B$11:$E$1000,4,0)</f>
        <v>1.26</v>
      </c>
      <c r="P26" s="20">
        <f>IFERROR(VLOOKUP(N26,'타이커 기술이전(과거)'!$B$11:$E$1000,4,0),0)</f>
        <v>1.18</v>
      </c>
      <c r="Q26" s="20">
        <f t="shared" si="10"/>
        <v>8.0000000000000071E-2</v>
      </c>
      <c r="R26" s="21">
        <f t="shared" si="11"/>
        <v>6.7796610169491567E-2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에이피알</v>
      </c>
      <c r="C27" s="65">
        <f>VLOOKUP(B27,'TIMEFOLIO 코리아밸류업액티브'!$B$11:$E$1000,4,0)</f>
        <v>1.0900000000000001</v>
      </c>
      <c r="D27" s="65">
        <f>IFERROR(VLOOKUP(B27,'TIMEFOLIO 코리아밸류업액티브(과거)'!$B$11:$E$1000,4,0),0)</f>
        <v>0</v>
      </c>
      <c r="E27" s="20">
        <f t="shared" si="6"/>
        <v>1.0900000000000001</v>
      </c>
      <c r="F27" s="21" t="str">
        <f t="shared" si="7"/>
        <v>신규편입</v>
      </c>
      <c r="G27" s="63" t="str">
        <f>VLOOKUP(H27,유니버스!$C$14:$D$2561,2,0)</f>
        <v>KS</v>
      </c>
      <c r="H27" s="65" t="str">
        <f>'PLUS K제조업핵심기업액티브'!B33</f>
        <v>한화솔루션</v>
      </c>
      <c r="I27" s="65">
        <f>VLOOKUP(H27,'PLUS K제조업핵심기업액티브'!$B$11:$E$1000,4,0)</f>
        <v>0.99</v>
      </c>
      <c r="J27" s="65">
        <f>IFERROR(VLOOKUP(H27,'PLUS K제조업핵심기업액티브(과거)'!$B$11:$E$1000,4,0),0)</f>
        <v>0.99</v>
      </c>
      <c r="K27" s="20">
        <f t="shared" si="8"/>
        <v>0</v>
      </c>
      <c r="L27" s="21">
        <f t="shared" si="9"/>
        <v>0</v>
      </c>
      <c r="M27" s="62" t="str">
        <f>VLOOKUP(N27,유니버스!$C$14:$D$2561,2,0)</f>
        <v>KQ</v>
      </c>
      <c r="N27" s="26" t="str">
        <f>'타이커 기술이전'!B33</f>
        <v>넥스트바이오메디컬</v>
      </c>
      <c r="O27" s="20">
        <f>VLOOKUP(N27,'타이커 기술이전'!$B$11:$E$1000,4,0)</f>
        <v>1.17</v>
      </c>
      <c r="P27" s="20">
        <f>IFERROR(VLOOKUP(N27,'타이커 기술이전(과거)'!$B$11:$E$1000,4,0),0)</f>
        <v>1.02</v>
      </c>
      <c r="Q27" s="20">
        <f t="shared" si="10"/>
        <v>0.14999999999999991</v>
      </c>
      <c r="R27" s="21">
        <f t="shared" si="11"/>
        <v>0.14705882352941169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HD현대</v>
      </c>
      <c r="C28" s="65">
        <f>VLOOKUP(B28,'TIMEFOLIO 코리아밸류업액티브'!$B$11:$E$1000,4,0)</f>
        <v>0.76</v>
      </c>
      <c r="D28" s="65">
        <f>IFERROR(VLOOKUP(B28,'TIMEFOLIO 코리아밸류업액티브(과거)'!$B$11:$E$1000,4,0),0)</f>
        <v>0</v>
      </c>
      <c r="E28" s="20">
        <f t="shared" si="6"/>
        <v>0.76</v>
      </c>
      <c r="F28" s="21" t="str">
        <f t="shared" si="7"/>
        <v>신규편입</v>
      </c>
      <c r="G28" s="63" t="str">
        <f>VLOOKUP(H28,유니버스!$C$14:$D$2561,2,0)</f>
        <v>KS</v>
      </c>
      <c r="H28" s="65" t="str">
        <f>'PLUS K제조업핵심기업액티브'!B34</f>
        <v>삼성물산</v>
      </c>
      <c r="I28" s="65">
        <f>VLOOKUP(H28,'PLUS K제조업핵심기업액티브'!$B$11:$E$1000,4,0)</f>
        <v>0.98</v>
      </c>
      <c r="J28" s="65">
        <f>IFERROR(VLOOKUP(H28,'PLUS K제조업핵심기업액티브(과거)'!$B$11:$E$1000,4,0),0)</f>
        <v>0.92</v>
      </c>
      <c r="K28" s="20">
        <f t="shared" si="8"/>
        <v>5.9999999999999942E-2</v>
      </c>
      <c r="L28" s="21">
        <f t="shared" si="9"/>
        <v>6.5217391304347672E-2</v>
      </c>
      <c r="M28" s="62" t="str">
        <f>VLOOKUP(N28,유니버스!$C$14:$D$2561,2,0)</f>
        <v>KQ</v>
      </c>
      <c r="N28" s="26" t="str">
        <f>'타이커 기술이전'!B34</f>
        <v>쓰리빌리언</v>
      </c>
      <c r="O28" s="20">
        <f>VLOOKUP(N28,'타이커 기술이전'!$B$11:$E$1000,4,0)</f>
        <v>1</v>
      </c>
      <c r="P28" s="20">
        <f>IFERROR(VLOOKUP(N28,'타이커 기술이전(과거)'!$B$11:$E$1000,4,0),0)</f>
        <v>1.01</v>
      </c>
      <c r="Q28" s="20">
        <f t="shared" si="10"/>
        <v>-1.0000000000000009E-2</v>
      </c>
      <c r="R28" s="21">
        <f t="shared" si="11"/>
        <v>-9.9009900990099098E-3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삼성증권</v>
      </c>
      <c r="C29" s="65">
        <f>VLOOKUP(B29,'TIMEFOLIO 코리아밸류업액티브'!$B$11:$E$1000,4,0)</f>
        <v>0.73</v>
      </c>
      <c r="D29" s="65">
        <f>IFERROR(VLOOKUP(B29,'TIMEFOLIO 코리아밸류업액티브(과거)'!$B$11:$E$1000,4,0),0)</f>
        <v>3.27</v>
      </c>
      <c r="E29" s="20">
        <f t="shared" si="6"/>
        <v>-2.54</v>
      </c>
      <c r="F29" s="21">
        <f t="shared" si="7"/>
        <v>-0.77675840978593269</v>
      </c>
      <c r="G29" s="63" t="str">
        <f>VLOOKUP(H29,유니버스!$C$14:$D$2561,2,0)</f>
        <v>KQ</v>
      </c>
      <c r="H29" s="65" t="str">
        <f>'PLUS K제조업핵심기업액티브'!B35</f>
        <v>HPSP</v>
      </c>
      <c r="I29" s="65">
        <f>VLOOKUP(H29,'PLUS K제조업핵심기업액티브'!$B$11:$E$1000,4,0)</f>
        <v>0.97</v>
      </c>
      <c r="J29" s="65">
        <f>IFERROR(VLOOKUP(H29,'PLUS K제조업핵심기업액티브(과거)'!$B$11:$E$1000,4,0),0)</f>
        <v>0.76</v>
      </c>
      <c r="K29" s="20">
        <f t="shared" si="8"/>
        <v>0.20999999999999996</v>
      </c>
      <c r="L29" s="21">
        <f t="shared" si="9"/>
        <v>0.27631578947368407</v>
      </c>
      <c r="M29" s="62" t="str">
        <f>VLOOKUP(N29,유니버스!$C$14:$D$2561,2,0)</f>
        <v>KQ</v>
      </c>
      <c r="N29" s="26" t="str">
        <f>'타이커 기술이전'!B35</f>
        <v>지아이이노베이션</v>
      </c>
      <c r="O29" s="20">
        <f>VLOOKUP(N29,'타이커 기술이전'!$B$11:$E$1000,4,0)</f>
        <v>0.97</v>
      </c>
      <c r="P29" s="20">
        <f>IFERROR(VLOOKUP(N29,'타이커 기술이전(과거)'!$B$11:$E$1000,4,0),0)</f>
        <v>0.86</v>
      </c>
      <c r="Q29" s="20">
        <f t="shared" si="10"/>
        <v>0.10999999999999999</v>
      </c>
      <c r="R29" s="21">
        <f t="shared" si="11"/>
        <v>0.12790697674418605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키움증권</v>
      </c>
      <c r="C30" s="65">
        <f>VLOOKUP(B30,'TIMEFOLIO 코리아밸류업액티브'!$B$11:$E$1000,4,0)</f>
        <v>0.65</v>
      </c>
      <c r="D30" s="65">
        <f>IFERROR(VLOOKUP(B30,'TIMEFOLIO 코리아밸류업액티브(과거)'!$B$11:$E$1000,4,0),0)</f>
        <v>2.76</v>
      </c>
      <c r="E30" s="20">
        <f t="shared" si="6"/>
        <v>-2.11</v>
      </c>
      <c r="F30" s="21">
        <f t="shared" si="7"/>
        <v>-0.76449275362318836</v>
      </c>
      <c r="G30" s="63" t="str">
        <f>VLOOKUP(H30,유니버스!$C$14:$D$2561,2,0)</f>
        <v>KS</v>
      </c>
      <c r="H30" s="65" t="str">
        <f>'PLUS K제조업핵심기업액티브'!B36</f>
        <v>LG이노텍</v>
      </c>
      <c r="I30" s="65">
        <f>VLOOKUP(H30,'PLUS K제조업핵심기업액티브'!$B$11:$E$1000,4,0)</f>
        <v>0.97</v>
      </c>
      <c r="J30" s="65">
        <f>IFERROR(VLOOKUP(H30,'PLUS K제조업핵심기업액티브(과거)'!$B$11:$E$1000,4,0),0)</f>
        <v>3.48</v>
      </c>
      <c r="K30" s="20">
        <f t="shared" si="8"/>
        <v>-2.5099999999999998</v>
      </c>
      <c r="L30" s="21">
        <f t="shared" si="9"/>
        <v>-0.72126436781609193</v>
      </c>
      <c r="M30" s="62" t="str">
        <f>VLOOKUP(N30,유니버스!$C$14:$D$2561,2,0)</f>
        <v>KQ</v>
      </c>
      <c r="N30" s="26" t="str">
        <f>'타이커 기술이전'!B36</f>
        <v>와이바이오로직스</v>
      </c>
      <c r="O30" s="20">
        <f>VLOOKUP(N30,'타이커 기술이전'!$B$11:$E$1000,4,0)</f>
        <v>0.63</v>
      </c>
      <c r="P30" s="20">
        <f>IFERROR(VLOOKUP(N30,'타이커 기술이전(과거)'!$B$11:$E$1000,4,0),0)</f>
        <v>0.67</v>
      </c>
      <c r="Q30" s="20">
        <f t="shared" si="10"/>
        <v>-4.0000000000000036E-2</v>
      </c>
      <c r="R30" s="21">
        <f t="shared" si="11"/>
        <v>-5.9701492537313494E-2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LS</v>
      </c>
      <c r="C31" s="65">
        <f>VLOOKUP(B31,'TIMEFOLIO 코리아밸류업액티브'!$B$11:$E$1000,4,0)</f>
        <v>0.62</v>
      </c>
      <c r="D31" s="65">
        <f>IFERROR(VLOOKUP(B31,'TIMEFOLIO 코리아밸류업액티브(과거)'!$B$11:$E$1000,4,0),0)</f>
        <v>3.32</v>
      </c>
      <c r="E31" s="20">
        <f t="shared" si="6"/>
        <v>-2.6999999999999997</v>
      </c>
      <c r="F31" s="21">
        <f t="shared" si="7"/>
        <v>-0.81325301204819278</v>
      </c>
      <c r="G31" s="63" t="str">
        <f>VLOOKUP(H31,유니버스!$C$14:$D$2561,2,0)</f>
        <v>KQ</v>
      </c>
      <c r="H31" s="65" t="str">
        <f>'PLUS K제조업핵심기업액티브'!B37</f>
        <v>에코프로에이치엔</v>
      </c>
      <c r="I31" s="65">
        <f>VLOOKUP(H31,'PLUS K제조업핵심기업액티브'!$B$11:$E$1000,4,0)</f>
        <v>0.93</v>
      </c>
      <c r="J31" s="65">
        <f>IFERROR(VLOOKUP(H31,'PLUS K제조업핵심기업액티브(과거)'!$B$11:$E$1000,4,0),0)</f>
        <v>0.97</v>
      </c>
      <c r="K31" s="20">
        <f t="shared" si="8"/>
        <v>-3.9999999999999925E-2</v>
      </c>
      <c r="L31" s="21">
        <f t="shared" si="9"/>
        <v>-4.123711340206182E-2</v>
      </c>
      <c r="M31" s="62" t="str">
        <f>VLOOKUP(N31,유니버스!$C$14:$D$2561,2,0)</f>
        <v>KQ</v>
      </c>
      <c r="N31" s="26" t="str">
        <f>'타이커 기술이전'!B37</f>
        <v>메디포스트</v>
      </c>
      <c r="O31" s="20">
        <f>VLOOKUP(N31,'타이커 기술이전'!$B$11:$E$1000,4,0)</f>
        <v>0.47</v>
      </c>
      <c r="P31" s="20">
        <f>IFERROR(VLOOKUP(N31,'타이커 기술이전(과거)'!$B$11:$E$1000,4,0),0)</f>
        <v>0.47</v>
      </c>
      <c r="Q31" s="20">
        <f t="shared" si="10"/>
        <v>0</v>
      </c>
      <c r="R31" s="21">
        <f t="shared" si="11"/>
        <v>0</v>
      </c>
    </row>
    <row r="32" spans="1:18" x14ac:dyDescent="0.4">
      <c r="A32" s="63" t="str">
        <f>VLOOKUP(B32,유니버스!$C$14:$D$2561,2,0)</f>
        <v>KQ</v>
      </c>
      <c r="B32" s="65" t="str">
        <f>'TIMEFOLIO 코리아밸류업액티브'!B38</f>
        <v>현대무벡스</v>
      </c>
      <c r="C32" s="65">
        <f>VLOOKUP(B32,'TIMEFOLIO 코리아밸류업액티브'!$B$11:$E$1000,4,0)</f>
        <v>0.57999999999999996</v>
      </c>
      <c r="D32" s="65">
        <f>IFERROR(VLOOKUP(B32,'TIMEFOLIO 코리아밸류업액티브(과거)'!$B$11:$E$1000,4,0),0)</f>
        <v>0</v>
      </c>
      <c r="E32" s="20">
        <f t="shared" si="6"/>
        <v>0.57999999999999996</v>
      </c>
      <c r="F32" s="21" t="str">
        <f t="shared" si="7"/>
        <v>신규편입</v>
      </c>
      <c r="G32" s="63" t="str">
        <f>VLOOKUP(H32,유니버스!$C$14:$D$2561,2,0)</f>
        <v>KS</v>
      </c>
      <c r="H32" s="65" t="str">
        <f>'PLUS K제조업핵심기업액티브'!B38</f>
        <v>두산에너빌리티</v>
      </c>
      <c r="I32" s="65">
        <f>VLOOKUP(H32,'PLUS K제조업핵심기업액티브'!$B$11:$E$1000,4,0)</f>
        <v>0.93</v>
      </c>
      <c r="J32" s="65">
        <f>IFERROR(VLOOKUP(H32,'PLUS K제조업핵심기업액티브(과거)'!$B$11:$E$1000,4,0),0)</f>
        <v>0.98</v>
      </c>
      <c r="K32" s="20">
        <f t="shared" si="8"/>
        <v>-4.9999999999999933E-2</v>
      </c>
      <c r="L32" s="21">
        <f t="shared" si="9"/>
        <v>-5.1020408163265252E-2</v>
      </c>
      <c r="M32" s="62" t="str">
        <f>VLOOKUP(N32,유니버스!$C$14:$D$2561,2,0)</f>
        <v>KQ</v>
      </c>
      <c r="N32" s="26" t="str">
        <f>'타이커 기술이전'!B38</f>
        <v>티움바이오</v>
      </c>
      <c r="O32" s="20">
        <f>VLOOKUP(N32,'타이커 기술이전'!$B$11:$E$1000,4,0)</f>
        <v>0.37</v>
      </c>
      <c r="P32" s="20">
        <f>IFERROR(VLOOKUP(N32,'타이커 기술이전(과거)'!$B$11:$E$1000,4,0),0)</f>
        <v>0.42</v>
      </c>
      <c r="Q32" s="20">
        <f t="shared" ref="Q32:Q35" si="12">O32-P32</f>
        <v>-4.9999999999999989E-2</v>
      </c>
      <c r="R32" s="21">
        <f t="shared" ref="R32:R35" si="13">IFERROR(O32/P32-1,"신규편입")</f>
        <v>-0.11904761904761907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HD현대마린솔루션</v>
      </c>
      <c r="C33" s="65">
        <f>VLOOKUP(B33,'TIMEFOLIO 코리아밸류업액티브'!$B$11:$E$1000,4,0)</f>
        <v>0.56999999999999995</v>
      </c>
      <c r="D33" s="65">
        <f>IFERROR(VLOOKUP(B33,'TIMEFOLIO 코리아밸류업액티브(과거)'!$B$11:$E$1000,4,0),0)</f>
        <v>0</v>
      </c>
      <c r="E33" s="20">
        <f t="shared" ref="E33:E34" si="14">C33-D33</f>
        <v>0.56999999999999995</v>
      </c>
      <c r="F33" s="21" t="str">
        <f t="shared" ref="F33:F34" si="15">IFERROR(C33/D33-1,"신규편입")</f>
        <v>신규편입</v>
      </c>
      <c r="G33" s="63" t="str">
        <f>VLOOKUP(H33,유니버스!$C$14:$D$2561,2,0)</f>
        <v>KQ</v>
      </c>
      <c r="H33" s="65" t="str">
        <f>'PLUS K제조업핵심기업액티브'!B39</f>
        <v>에코프로비엠</v>
      </c>
      <c r="I33" s="65">
        <f>VLOOKUP(H33,'PLUS K제조업핵심기업액티브'!$B$11:$E$1000,4,0)</f>
        <v>0.81</v>
      </c>
      <c r="J33" s="65">
        <f>IFERROR(VLOOKUP(H33,'PLUS K제조업핵심기업액티브(과거)'!$B$11:$E$1000,4,0),0)</f>
        <v>0.95</v>
      </c>
      <c r="K33" s="20">
        <f t="shared" si="8"/>
        <v>-0.1399999999999999</v>
      </c>
      <c r="L33" s="21">
        <f t="shared" si="9"/>
        <v>-0.14736842105263148</v>
      </c>
      <c r="M33" s="62" t="str">
        <f>VLOOKUP(N33,유니버스!$C$14:$D$2561,2,0)</f>
        <v>KS</v>
      </c>
      <c r="N33" s="26" t="str">
        <f>'타이커 기술이전'!B39</f>
        <v>삼양바이오팜</v>
      </c>
      <c r="O33" s="20">
        <f>VLOOKUP(N33,'타이커 기술이전'!$B$11:$E$1000,4,0)</f>
        <v>0.27</v>
      </c>
      <c r="P33" s="20">
        <f>IFERROR(VLOOKUP(N33,'타이커 기술이전(과거)'!$B$11:$E$1000,4,0),0)</f>
        <v>0.27</v>
      </c>
      <c r="Q33" s="20">
        <f t="shared" si="12"/>
        <v>0</v>
      </c>
      <c r="R33" s="21">
        <f t="shared" si="13"/>
        <v>0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미래에셋증권</v>
      </c>
      <c r="C34" s="65">
        <f>VLOOKUP(B34,'TIMEFOLIO 코리아밸류업액티브'!$B$11:$E$1000,4,0)</f>
        <v>0.53</v>
      </c>
      <c r="D34" s="65">
        <f>IFERROR(VLOOKUP(B34,'TIMEFOLIO 코리아밸류업액티브(과거)'!$B$11:$E$1000,4,0),0)</f>
        <v>3.32</v>
      </c>
      <c r="E34" s="20">
        <f t="shared" si="14"/>
        <v>-2.79</v>
      </c>
      <c r="F34" s="21">
        <f t="shared" si="15"/>
        <v>-0.84036144578313254</v>
      </c>
      <c r="G34" s="63" t="str">
        <f>VLOOKUP(H34,유니버스!$C$14:$D$2561,2,0)</f>
        <v>KS</v>
      </c>
      <c r="H34" s="65" t="str">
        <f>'PLUS K제조업핵심기업액티브'!B40</f>
        <v>산일전기</v>
      </c>
      <c r="I34" s="65">
        <f>VLOOKUP(H34,'PLUS K제조업핵심기업액티브'!$B$11:$E$1000,4,0)</f>
        <v>0.8</v>
      </c>
      <c r="J34" s="65">
        <f>IFERROR(VLOOKUP(H34,'PLUS K제조업핵심기업액티브(과거)'!$B$11:$E$1000,4,0),0)</f>
        <v>0.82</v>
      </c>
      <c r="K34" s="20">
        <f t="shared" si="8"/>
        <v>-1.9999999999999907E-2</v>
      </c>
      <c r="L34" s="21">
        <f t="shared" si="9"/>
        <v>-2.4390243902438935E-2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0.22</v>
      </c>
      <c r="P34" s="20">
        <f>IFERROR(VLOOKUP(N34,'타이커 기술이전(과거)'!$B$11:$E$1000,4,0),0)</f>
        <v>0.23</v>
      </c>
      <c r="Q34" s="20">
        <f t="shared" si="12"/>
        <v>-1.0000000000000009E-2</v>
      </c>
      <c r="R34" s="21">
        <f t="shared" si="13"/>
        <v>-4.3478260869565299E-2</v>
      </c>
    </row>
    <row r="35" spans="1:18" x14ac:dyDescent="0.4">
      <c r="A35" s="63" t="str">
        <f>VLOOKUP(B35,유니버스!$C$14:$D$2561,2,0)</f>
        <v>KQ</v>
      </c>
      <c r="B35" s="65" t="str">
        <f>'TIMEFOLIO 코리아밸류업액티브'!B41</f>
        <v>미래에셋벤처투자</v>
      </c>
      <c r="C35" s="65">
        <f>VLOOKUP(B35,'TIMEFOLIO 코리아밸류업액티브'!$B$11:$E$1000,4,0)</f>
        <v>0.51</v>
      </c>
      <c r="D35" s="65">
        <f>IFERROR(VLOOKUP(B35,'TIMEFOLIO 코리아밸류업액티브(과거)'!$B$11:$E$1000,4,0),0)</f>
        <v>0</v>
      </c>
      <c r="E35" s="20">
        <f t="shared" ref="E35" si="16">C35-D35</f>
        <v>0.51</v>
      </c>
      <c r="F35" s="21" t="str">
        <f t="shared" ref="F35" si="17">IFERROR(C35/D35-1,"신규편입")</f>
        <v>신규편입</v>
      </c>
      <c r="G35" s="63" t="str">
        <f>VLOOKUP(H35,유니버스!$C$14:$D$2561,2,0)</f>
        <v>KS</v>
      </c>
      <c r="H35" s="65" t="str">
        <f>'PLUS K제조업핵심기업액티브'!B41</f>
        <v>엘앤에프</v>
      </c>
      <c r="I35" s="65">
        <f>VLOOKUP(H35,'PLUS K제조업핵심기업액티브'!$B$11:$E$1000,4,0)</f>
        <v>0.79</v>
      </c>
      <c r="J35" s="65">
        <f>IFERROR(VLOOKUP(H35,'PLUS K제조업핵심기업액티브(과거)'!$B$11:$E$1000,4,0),0)</f>
        <v>0.94</v>
      </c>
      <c r="K35" s="20">
        <f t="shared" si="8"/>
        <v>-0.14999999999999991</v>
      </c>
      <c r="L35" s="21">
        <f t="shared" si="9"/>
        <v>-0.15957446808510634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5.86</v>
      </c>
      <c r="P35" s="20">
        <f>IFERROR(VLOOKUP(N35,'타이커 기술이전(과거)'!$B$11:$E$1000,4,0),0)</f>
        <v>4.51</v>
      </c>
      <c r="Q35" s="20">
        <f t="shared" si="12"/>
        <v>1.3500000000000005</v>
      </c>
      <c r="R35" s="21">
        <f t="shared" si="13"/>
        <v>0.29933481152993369</v>
      </c>
    </row>
    <row r="36" spans="1:18" x14ac:dyDescent="0.4">
      <c r="A36" s="63" t="str">
        <f>VLOOKUP(B36,유니버스!$C$14:$D$2561,2,0)</f>
        <v>KS</v>
      </c>
      <c r="B36" s="65" t="str">
        <f>'TIMEFOLIO 코리아밸류업액티브'!B42</f>
        <v>산일전기</v>
      </c>
      <c r="C36" s="65">
        <f>VLOOKUP(B36,'TIMEFOLIO 코리아밸류업액티브'!$B$11:$E$1000,4,0)</f>
        <v>0.48</v>
      </c>
      <c r="D36" s="65">
        <f>IFERROR(VLOOKUP(B36,'TIMEFOLIO 코리아밸류업액티브(과거)'!$B$11:$E$1000,4,0),0)</f>
        <v>0</v>
      </c>
      <c r="E36" s="20">
        <f t="shared" ref="E36:E38" si="18">C36-D36</f>
        <v>0.48</v>
      </c>
      <c r="F36" s="21" t="str">
        <f t="shared" ref="F36:F38" si="19">IFERROR(C36/D36-1,"신규편입")</f>
        <v>신규편입</v>
      </c>
      <c r="G36" s="63" t="str">
        <f>VLOOKUP(H36,유니버스!$C$14:$D$2561,2,0)</f>
        <v>KS</v>
      </c>
      <c r="H36" s="65" t="str">
        <f>'PLUS K제조업핵심기업액티브'!B42</f>
        <v>LS ELECTRIC</v>
      </c>
      <c r="I36" s="65">
        <f>VLOOKUP(H36,'PLUS K제조업핵심기업액티브'!$B$11:$E$1000,4,0)</f>
        <v>0.79</v>
      </c>
      <c r="J36" s="65">
        <f>IFERROR(VLOOKUP(H36,'PLUS K제조업핵심기업액티브(과거)'!$B$11:$E$1000,4,0),0)</f>
        <v>0.74</v>
      </c>
      <c r="K36" s="20">
        <f t="shared" si="8"/>
        <v>5.0000000000000044E-2</v>
      </c>
      <c r="L36" s="21">
        <f t="shared" si="9"/>
        <v>6.7567567567567544E-2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'TIMEFOLIO 코리아밸류업액티브'!B43</f>
        <v>HD현대일렉트릭</v>
      </c>
      <c r="C37" s="65">
        <f>VLOOKUP(B37,'TIMEFOLIO 코리아밸류업액티브'!$B$11:$E$1000,4,0)</f>
        <v>0.48</v>
      </c>
      <c r="D37" s="65">
        <f>IFERROR(VLOOKUP(B37,'TIMEFOLIO 코리아밸류업액티브(과거)'!$B$11:$E$1000,4,0),0)</f>
        <v>0</v>
      </c>
      <c r="E37" s="20">
        <f t="shared" si="18"/>
        <v>0.48</v>
      </c>
      <c r="F37" s="21" t="str">
        <f t="shared" si="19"/>
        <v>신규편입</v>
      </c>
      <c r="G37" s="63" t="str">
        <f>VLOOKUP(H37,유니버스!$C$14:$D$2561,2,0)</f>
        <v>KS</v>
      </c>
      <c r="H37" s="65" t="str">
        <f>'PLUS K제조업핵심기업액티브'!B43</f>
        <v>LS</v>
      </c>
      <c r="I37" s="65">
        <f>VLOOKUP(H37,'PLUS K제조업핵심기업액티브'!$B$11:$E$1000,4,0)</f>
        <v>0.78</v>
      </c>
      <c r="J37" s="65">
        <f>IFERROR(VLOOKUP(H37,'PLUS K제조업핵심기업액티브(과거)'!$B$11:$E$1000,4,0),0)</f>
        <v>0.83</v>
      </c>
      <c r="K37" s="20">
        <f t="shared" si="8"/>
        <v>-4.9999999999999933E-2</v>
      </c>
      <c r="L37" s="21">
        <f t="shared" si="9"/>
        <v>-6.0240963855421659E-2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KS</v>
      </c>
      <c r="B38" s="65" t="str">
        <f>'TIMEFOLIO 코리아밸류업액티브'!B44</f>
        <v>삼성E&amp;A</v>
      </c>
      <c r="C38" s="65">
        <f>VLOOKUP(B38,'TIMEFOLIO 코리아밸류업액티브'!$B$11:$E$1000,4,0)</f>
        <v>0.47</v>
      </c>
      <c r="D38" s="65">
        <f>IFERROR(VLOOKUP(B38,'TIMEFOLIO 코리아밸류업액티브(과거)'!$B$11:$E$1000,4,0),0)</f>
        <v>0</v>
      </c>
      <c r="E38" s="20">
        <f t="shared" si="18"/>
        <v>0.47</v>
      </c>
      <c r="F38" s="21" t="str">
        <f t="shared" si="19"/>
        <v>신규편입</v>
      </c>
      <c r="G38" s="63" t="str">
        <f>VLOOKUP(H38,유니버스!$C$14:$D$2561,2,0)</f>
        <v>KS</v>
      </c>
      <c r="H38" s="65" t="str">
        <f>'PLUS K제조업핵심기업액티브'!B44</f>
        <v>한화엔진</v>
      </c>
      <c r="I38" s="65">
        <f>VLOOKUP(H38,'PLUS K제조업핵심기업액티브'!$B$11:$E$1000,4,0)</f>
        <v>0.76</v>
      </c>
      <c r="J38" s="65">
        <f>IFERROR(VLOOKUP(H38,'PLUS K제조업핵심기업액티브(과거)'!$B$11:$E$1000,4,0),0)</f>
        <v>0.86</v>
      </c>
      <c r="K38" s="20">
        <f t="shared" ref="K38:K39" si="20">I38-J38</f>
        <v>-9.9999999999999978E-2</v>
      </c>
      <c r="L38" s="21">
        <f t="shared" ref="L38:L39" si="21">IFERROR(I38/J38-1,"신규편입")</f>
        <v>-0.11627906976744184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'TIMEFOLIO 코리아밸류업액티브'!B45</f>
        <v>삼양식품</v>
      </c>
      <c r="C39" s="65">
        <f>VLOOKUP(B39,'TIMEFOLIO 코리아밸류업액티브'!$B$11:$E$1000,4,0)</f>
        <v>0.41</v>
      </c>
      <c r="D39" s="65">
        <f>IFERROR(VLOOKUP(B39,'TIMEFOLIO 코리아밸류업액티브(과거)'!$B$11:$E$1000,4,0),0)</f>
        <v>1.96</v>
      </c>
      <c r="E39" s="20">
        <f t="shared" ref="E39:E42" si="22">C39-D39</f>
        <v>-1.55</v>
      </c>
      <c r="F39" s="21">
        <f t="shared" ref="F39:F42" si="23">IFERROR(C39/D39-1,"신규편입")</f>
        <v>-0.79081632653061229</v>
      </c>
      <c r="G39" s="63" t="str">
        <f>VLOOKUP(H39,유니버스!$C$14:$D$2561,2,0)</f>
        <v>KQ</v>
      </c>
      <c r="H39" s="65" t="str">
        <f>'PLUS K제조업핵심기업액티브'!B45</f>
        <v>레인보우로보틱스</v>
      </c>
      <c r="I39" s="65">
        <f>VLOOKUP(H39,'PLUS K제조업핵심기업액티브'!$B$11:$E$1000,4,0)</f>
        <v>0.64</v>
      </c>
      <c r="J39" s="65">
        <f>IFERROR(VLOOKUP(H39,'PLUS K제조업핵심기업액티브(과거)'!$B$11:$E$1000,4,0),0)</f>
        <v>0.65</v>
      </c>
      <c r="K39" s="20">
        <f t="shared" si="20"/>
        <v>-1.0000000000000009E-2</v>
      </c>
      <c r="L39" s="21">
        <f t="shared" si="21"/>
        <v>-1.5384615384615441E-2</v>
      </c>
      <c r="N39" s="26"/>
      <c r="O39" s="20"/>
      <c r="P39" s="20"/>
      <c r="Q39" s="20"/>
      <c r="R39" s="21"/>
    </row>
    <row r="40" spans="1:18" x14ac:dyDescent="0.4">
      <c r="A40" s="63" t="str">
        <f>VLOOKUP(B40,유니버스!$C$14:$D$2561,2,0)</f>
        <v>KQ</v>
      </c>
      <c r="B40" s="65" t="str">
        <f>'TIMEFOLIO 코리아밸류업액티브'!B46</f>
        <v>비츠로셀</v>
      </c>
      <c r="C40" s="65">
        <f>VLOOKUP(B40,'TIMEFOLIO 코리아밸류업액티브'!$B$11:$E$1000,4,0)</f>
        <v>0.28999999999999998</v>
      </c>
      <c r="D40" s="65">
        <f>IFERROR(VLOOKUP(B40,'TIMEFOLIO 코리아밸류업액티브(과거)'!$B$11:$E$1000,4,0),0)</f>
        <v>0</v>
      </c>
      <c r="E40" s="20">
        <f t="shared" si="22"/>
        <v>0.28999999999999998</v>
      </c>
      <c r="F40" s="21" t="str">
        <f t="shared" si="23"/>
        <v>신규편입</v>
      </c>
      <c r="G40" s="63" t="str">
        <f>VLOOKUP(H40,유니버스!$C$14:$D$2561,2,0)</f>
        <v>KQ</v>
      </c>
      <c r="H40" s="65" t="str">
        <f>'PLUS K제조업핵심기업액티브'!B46</f>
        <v>한국피아이엠</v>
      </c>
      <c r="I40" s="65">
        <f>VLOOKUP(H40,'PLUS K제조업핵심기업액티브'!$B$11:$E$1000,4,0)</f>
        <v>0.62</v>
      </c>
      <c r="J40" s="65">
        <f>IFERROR(VLOOKUP(H40,'PLUS K제조업핵심기업액티브(과거)'!$B$11:$E$1000,4,0),0)</f>
        <v>0.72</v>
      </c>
      <c r="K40" s="20">
        <f t="shared" ref="K40:K43" si="24">I40-J40</f>
        <v>-9.9999999999999978E-2</v>
      </c>
      <c r="L40" s="21">
        <f t="shared" ref="L40:L43" si="25">IFERROR(I40/J40-1,"신규편입")</f>
        <v>-0.13888888888888884</v>
      </c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 t="str">
        <f>'TIMEFOLIO 코리아밸류업액티브'!B47</f>
        <v>원화현금</v>
      </c>
      <c r="C41" s="65">
        <f>VLOOKUP(B41,'TIMEFOLIO 코리아밸류업액티브'!$B$11:$E$1000,4,0)</f>
        <v>0.85</v>
      </c>
      <c r="D41" s="65">
        <f>IFERROR(VLOOKUP(B41,'TIMEFOLIO 코리아밸류업액티브(과거)'!$B$11:$E$1000,4,0),0)</f>
        <v>2.91</v>
      </c>
      <c r="E41" s="20">
        <f t="shared" si="22"/>
        <v>-2.06</v>
      </c>
      <c r="F41" s="21">
        <f t="shared" si="23"/>
        <v>-0.70790378006872856</v>
      </c>
      <c r="G41" s="63" t="str">
        <f>VLOOKUP(H41,유니버스!$C$14:$D$2561,2,0)</f>
        <v>KQ</v>
      </c>
      <c r="H41" s="65" t="str">
        <f>'PLUS K제조업핵심기업액티브'!B47</f>
        <v>로보티즈</v>
      </c>
      <c r="I41" s="65">
        <f>VLOOKUP(H41,'PLUS K제조업핵심기업액티브'!$B$11:$E$1000,4,0)</f>
        <v>0.6</v>
      </c>
      <c r="J41" s="65">
        <f>IFERROR(VLOOKUP(H41,'PLUS K제조업핵심기업액티브(과거)'!$B$11:$E$1000,4,0),0)</f>
        <v>0.6</v>
      </c>
      <c r="K41" s="20">
        <f t="shared" si="24"/>
        <v>0</v>
      </c>
      <c r="L41" s="21">
        <f t="shared" si="25"/>
        <v>0</v>
      </c>
      <c r="N41" s="26"/>
      <c r="O41" s="20"/>
      <c r="P41" s="20"/>
      <c r="Q41" s="20"/>
      <c r="R41" s="21"/>
    </row>
    <row r="42" spans="1:18" x14ac:dyDescent="0.4">
      <c r="A42" s="63" t="e">
        <f>VLOOKUP(B42,유니버스!$C$14:$D$2561,2,0)</f>
        <v>#N/A</v>
      </c>
      <c r="B42" s="65">
        <f>'TIMEFOLIO 코리아밸류업액티브'!B48</f>
        <v>0</v>
      </c>
      <c r="C42" s="65" t="e">
        <f>VLOOKUP(B42,'TIMEFOLIO 코리아밸류업액티브'!$B$11:$E$1000,4,0)</f>
        <v>#N/A</v>
      </c>
      <c r="D42" s="65">
        <f>IFERROR(VLOOKUP(B42,'TIMEFOLIO 코리아밸류업액티브(과거)'!$B$11:$E$1000,4,0),0)</f>
        <v>0</v>
      </c>
      <c r="E42" s="20" t="e">
        <f t="shared" si="22"/>
        <v>#N/A</v>
      </c>
      <c r="F42" s="21" t="str">
        <f t="shared" si="23"/>
        <v>신규편입</v>
      </c>
      <c r="G42" s="63" t="str">
        <f>VLOOKUP(H42,유니버스!$C$14:$D$2561,2,0)</f>
        <v>KQ</v>
      </c>
      <c r="H42" s="65" t="str">
        <f>'PLUS K제조업핵심기업액티브'!B48</f>
        <v>나노신소재</v>
      </c>
      <c r="I42" s="65">
        <f>VLOOKUP(H42,'PLUS K제조업핵심기업액티브'!$B$11:$E$1000,4,0)</f>
        <v>0.56999999999999995</v>
      </c>
      <c r="J42" s="65">
        <f>IFERROR(VLOOKUP(H42,'PLUS K제조업핵심기업액티브(과거)'!$B$11:$E$1000,4,0),0)</f>
        <v>0.61</v>
      </c>
      <c r="K42" s="20">
        <f t="shared" si="24"/>
        <v>-4.0000000000000036E-2</v>
      </c>
      <c r="L42" s="21">
        <f t="shared" si="25"/>
        <v>-6.5573770491803351E-2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str">
        <f>VLOOKUP(H43,유니버스!$C$14:$D$2561,2,0)</f>
        <v>KS</v>
      </c>
      <c r="H43" s="65" t="str">
        <f>'PLUS K제조업핵심기업액티브'!B49</f>
        <v>현대건설</v>
      </c>
      <c r="I43" s="65">
        <f>VLOOKUP(H43,'PLUS K제조업핵심기업액티브'!$B$11:$E$1000,4,0)</f>
        <v>0.53</v>
      </c>
      <c r="J43" s="65">
        <f>IFERROR(VLOOKUP(H43,'PLUS K제조업핵심기업액티브(과거)'!$B$11:$E$1000,4,0),0)</f>
        <v>0.56999999999999995</v>
      </c>
      <c r="K43" s="20">
        <f t="shared" si="24"/>
        <v>-3.9999999999999925E-2</v>
      </c>
      <c r="L43" s="21">
        <f t="shared" si="25"/>
        <v>-7.0175438596491113E-2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str">
        <f>VLOOKUP(H44,유니버스!$C$14:$D$2561,2,0)</f>
        <v>KS</v>
      </c>
      <c r="H44" s="65" t="str">
        <f>'PLUS K제조업핵심기업액티브'!B50</f>
        <v>효성중공업</v>
      </c>
      <c r="I44" s="65">
        <f>VLOOKUP(H44,'PLUS K제조업핵심기업액티브'!$B$11:$E$1000,4,0)</f>
        <v>0.49</v>
      </c>
      <c r="J44" s="65">
        <f>IFERROR(VLOOKUP(H44,'PLUS K제조업핵심기업액티브(과거)'!$B$11:$E$1000,4,0),0)</f>
        <v>0.49</v>
      </c>
      <c r="K44" s="20">
        <f t="shared" ref="K44:K46" si="26">I44-J44</f>
        <v>0</v>
      </c>
      <c r="L44" s="21">
        <f t="shared" ref="L44:L46" si="27">IFERROR(I44/J44-1,"신규편입")</f>
        <v>0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str">
        <f>VLOOKUP(H45,유니버스!$C$14:$D$2561,2,0)</f>
        <v>KS</v>
      </c>
      <c r="H45" s="65" t="str">
        <f>'PLUS K제조업핵심기업액티브'!B51</f>
        <v>이수페타시스</v>
      </c>
      <c r="I45" s="65">
        <f>VLOOKUP(H45,'PLUS K제조업핵심기업액티브'!$B$11:$E$1000,4,0)</f>
        <v>0.18</v>
      </c>
      <c r="J45" s="65">
        <f>IFERROR(VLOOKUP(H45,'PLUS K제조업핵심기업액티브(과거)'!$B$11:$E$1000,4,0),0)</f>
        <v>0.17</v>
      </c>
      <c r="K45" s="20">
        <f t="shared" si="26"/>
        <v>9.9999999999999811E-3</v>
      </c>
      <c r="L45" s="21">
        <f t="shared" si="27"/>
        <v>5.8823529411764497E-2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G46" s="63" t="e">
        <f>VLOOKUP(H46,유니버스!$C$14:$D$2561,2,0)</f>
        <v>#N/A</v>
      </c>
      <c r="H46" s="65" t="str">
        <f>'PLUS K제조업핵심기업액티브'!B52</f>
        <v>원화현금</v>
      </c>
      <c r="I46" s="65">
        <f>VLOOKUP(H46,'PLUS K제조업핵심기업액티브'!$B$11:$E$1000,4,0)</f>
        <v>0.45</v>
      </c>
      <c r="J46" s="65">
        <f>IFERROR(VLOOKUP(H46,'PLUS K제조업핵심기업액티브(과거)'!$B$11:$E$1000,4,0),0)</f>
        <v>0</v>
      </c>
      <c r="K46" s="20">
        <f t="shared" si="26"/>
        <v>0.45</v>
      </c>
      <c r="L46" s="21" t="str">
        <f t="shared" si="27"/>
        <v>신규편입</v>
      </c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A17" zoomScaleNormal="100" workbookViewId="0">
      <selection activeCell="B26" sqref="B26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[20260611]</v>
      </c>
      <c r="D4" s="64" t="str">
        <f>'KODEX 신재생에너지액티브(과거)'!B4</f>
        <v>20260529</v>
      </c>
      <c r="E4" s="22" t="s">
        <v>76</v>
      </c>
      <c r="F4" s="22" t="s">
        <v>77</v>
      </c>
      <c r="H4" s="26" t="s">
        <v>75</v>
      </c>
      <c r="I4" s="64" t="str">
        <f>C4</f>
        <v>CPD [20260611]</v>
      </c>
      <c r="J4" s="64" t="str">
        <f>D4</f>
        <v>20260529</v>
      </c>
      <c r="K4" s="23" t="s">
        <v>448</v>
      </c>
      <c r="L4" s="22" t="s">
        <v>77</v>
      </c>
      <c r="N4" s="26" t="s">
        <v>75</v>
      </c>
      <c r="O4" s="23" t="str">
        <f>C4</f>
        <v>CPD [20260611]</v>
      </c>
      <c r="P4" s="23" t="str">
        <f>D4</f>
        <v>20260529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KQ</v>
      </c>
      <c r="B5" s="26" t="str">
        <f>'TIMEFOLIO K바이오액티브'!B11</f>
        <v>알테오젠</v>
      </c>
      <c r="C5" s="26">
        <f>VLOOKUP(B5,'TIMEFOLIO K바이오액티브'!$B$11:$E$1000,4,0)</f>
        <v>10.85</v>
      </c>
      <c r="D5" s="26">
        <f>IFERROR(VLOOKUP(B5,'TIMEFOLIO K바이오액티브(과거)'!$B$11:$E$1000,4,0),0)</f>
        <v>10.08</v>
      </c>
      <c r="E5" s="20">
        <f t="shared" ref="E5" si="0">C5-D5</f>
        <v>0.76999999999999957</v>
      </c>
      <c r="F5" s="21">
        <f t="shared" ref="F5" si="1">IFERROR(C5/D5-1,"신규편입")</f>
        <v>7.638888888888884E-2</v>
      </c>
      <c r="G5" s="62" t="str">
        <f>VLOOKUP(H5,유니버스!$C$14:$D$2561,2,0)</f>
        <v>KQ</v>
      </c>
      <c r="H5" s="26" t="str">
        <f>'KoAct 바이오헬스케어액티브'!B11</f>
        <v>알테오젠</v>
      </c>
      <c r="I5" s="26">
        <f>VLOOKUP(H5,'KoAct 바이오헬스케어액티브'!$B$11:$E$1000,4,0)</f>
        <v>10.039999999999999</v>
      </c>
      <c r="J5" s="26">
        <f>IFERROR(VLOOKUP(H5,'KoAct 바이오헬스케어액티브(과거)'!$B$11:$E$1000,4,0),0)</f>
        <v>9.1</v>
      </c>
      <c r="K5" s="26">
        <f t="shared" ref="K5" si="2">I5-J5</f>
        <v>0.9399999999999995</v>
      </c>
      <c r="L5" s="27">
        <f t="shared" ref="L5" si="3">IFERROR(I5/J5-1,"신규편입")</f>
        <v>0.10329670329670315</v>
      </c>
      <c r="M5" s="62" t="str">
        <f>VLOOKUP(N5,유니버스!$C$14:$D$2561,2,0)</f>
        <v>KQ</v>
      </c>
      <c r="N5" s="26" t="str">
        <f>'RISE 바이오TOP10액티브'!B11</f>
        <v>알테오젠</v>
      </c>
      <c r="O5" s="26">
        <f>VLOOKUP(N5,'RISE 바이오TOP10액티브'!$B$11:$E$1000,4,0)</f>
        <v>13.33</v>
      </c>
      <c r="P5" s="26">
        <f>IFERROR(VLOOKUP(N5,'RISE 바이오TOP10액티브(과거)'!$B$11:$E$1000,4,0),0)</f>
        <v>13.99</v>
      </c>
      <c r="Q5" s="26">
        <f t="shared" ref="Q5" si="4">O5-P5</f>
        <v>-0.66000000000000014</v>
      </c>
      <c r="R5" s="27">
        <f t="shared" ref="R5" si="5">IFERROR(O5/P5-1,"신규편입")</f>
        <v>-4.7176554681915617E-2</v>
      </c>
    </row>
    <row r="6" spans="1:18" x14ac:dyDescent="0.4">
      <c r="A6" s="62" t="str">
        <f>VLOOKUP(B6,유니버스!$C$14:$D$2561,2,0)</f>
        <v>KS</v>
      </c>
      <c r="B6" s="26" t="str">
        <f>'TIMEFOLIO K바이오액티브'!B12</f>
        <v>셀트리온</v>
      </c>
      <c r="C6" s="26">
        <f>VLOOKUP(B6,'TIMEFOLIO K바이오액티브'!$B$11:$E$1000,4,0)</f>
        <v>9.93</v>
      </c>
      <c r="D6" s="26">
        <f>IFERROR(VLOOKUP(B6,'TIMEFOLIO K바이오액티브(과거)'!$B$11:$E$1000,4,0),0)</f>
        <v>9.58</v>
      </c>
      <c r="E6" s="20">
        <f t="shared" ref="E6:E38" si="6">C6-D6</f>
        <v>0.34999999999999964</v>
      </c>
      <c r="F6" s="21">
        <f t="shared" ref="F6:F38" si="7">IFERROR(C6/D6-1,"신규편입")</f>
        <v>3.6534446764091788E-2</v>
      </c>
      <c r="G6" s="62" t="str">
        <f>VLOOKUP(H6,유니버스!$C$14:$D$2561,2,0)</f>
        <v>KS</v>
      </c>
      <c r="H6" s="26" t="str">
        <f>'KoAct 바이오헬스케어액티브'!B12</f>
        <v>셀트리온</v>
      </c>
      <c r="I6" s="26">
        <f>VLOOKUP(H6,'KoAct 바이오헬스케어액티브'!$B$11:$E$1000,4,0)</f>
        <v>8.51</v>
      </c>
      <c r="J6" s="26">
        <f>IFERROR(VLOOKUP(H6,'KoAct 바이오헬스케어액티브(과거)'!$B$11:$E$1000,4,0),0)</f>
        <v>8.0399999999999991</v>
      </c>
      <c r="K6" s="26">
        <f t="shared" ref="K6:K29" si="8">I6-J6</f>
        <v>0.47000000000000064</v>
      </c>
      <c r="L6" s="27">
        <f t="shared" ref="L6:L29" si="9">IFERROR(I6/J6-1,"신규편입")</f>
        <v>5.845771144278622E-2</v>
      </c>
      <c r="M6" s="62" t="str">
        <f>VLOOKUP(N6,유니버스!$C$14:$D$2561,2,0)</f>
        <v>KQ</v>
      </c>
      <c r="N6" s="26" t="str">
        <f>'RISE 바이오TOP10액티브'!B12</f>
        <v>올릭스</v>
      </c>
      <c r="O6" s="26">
        <f>VLOOKUP(N6,'RISE 바이오TOP10액티브'!$B$11:$E$1000,4,0)</f>
        <v>10.41</v>
      </c>
      <c r="P6" s="26">
        <f>IFERROR(VLOOKUP(N6,'RISE 바이오TOP10액티브(과거)'!$B$11:$E$1000,4,0),0)</f>
        <v>14.42</v>
      </c>
      <c r="Q6" s="26">
        <f t="shared" ref="Q6:Q26" si="10">O6-P6</f>
        <v>-4.01</v>
      </c>
      <c r="R6" s="27">
        <f t="shared" ref="R6:R26" si="11">IFERROR(O6/P6-1,"신규편입")</f>
        <v>-0.27808599167822468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삼성바이오로직스</v>
      </c>
      <c r="C7" s="26">
        <f>VLOOKUP(B7,'TIMEFOLIO K바이오액티브'!$B$11:$E$1000,4,0)</f>
        <v>7.31</v>
      </c>
      <c r="D7" s="26">
        <f>IFERROR(VLOOKUP(B7,'TIMEFOLIO K바이오액티브(과거)'!$B$11:$E$1000,4,0),0)</f>
        <v>6.77</v>
      </c>
      <c r="E7" s="20">
        <f t="shared" si="6"/>
        <v>0.54</v>
      </c>
      <c r="F7" s="21">
        <f t="shared" si="7"/>
        <v>7.9763663220088654E-2</v>
      </c>
      <c r="G7" s="62" t="str">
        <f>VLOOKUP(H7,유니버스!$C$14:$D$2561,2,0)</f>
        <v>KQ</v>
      </c>
      <c r="H7" s="26" t="str">
        <f>'KoAct 바이오헬스케어액티브'!B13</f>
        <v>리가켐바이오</v>
      </c>
      <c r="I7" s="26">
        <f>VLOOKUP(H7,'KoAct 바이오헬스케어액티브'!$B$11:$E$1000,4,0)</f>
        <v>8.01</v>
      </c>
      <c r="J7" s="26">
        <f>IFERROR(VLOOKUP(H7,'KoAct 바이오헬스케어액티브(과거)'!$B$11:$E$1000,4,0),0)</f>
        <v>7.66</v>
      </c>
      <c r="K7" s="26">
        <f t="shared" si="8"/>
        <v>0.34999999999999964</v>
      </c>
      <c r="L7" s="27">
        <f t="shared" si="9"/>
        <v>4.5691906005221883E-2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9.65</v>
      </c>
      <c r="P7" s="26">
        <f>IFERROR(VLOOKUP(N7,'RISE 바이오TOP10액티브(과거)'!$B$11:$E$1000,4,0),0)</f>
        <v>10.06</v>
      </c>
      <c r="Q7" s="26">
        <f t="shared" si="10"/>
        <v>-0.41000000000000014</v>
      </c>
      <c r="R7" s="27">
        <f t="shared" si="11"/>
        <v>-4.0755467196819106E-2</v>
      </c>
    </row>
    <row r="8" spans="1:18" x14ac:dyDescent="0.4">
      <c r="A8" s="62" t="str">
        <f>VLOOKUP(B8,유니버스!$C$14:$D$2561,2,0)</f>
        <v>KS</v>
      </c>
      <c r="B8" s="26" t="str">
        <f>'TIMEFOLIO K바이오액티브'!B14</f>
        <v>한미약품</v>
      </c>
      <c r="C8" s="26">
        <f>VLOOKUP(B8,'TIMEFOLIO K바이오액티브'!$B$11:$E$1000,4,0)</f>
        <v>7.01</v>
      </c>
      <c r="D8" s="26">
        <f>IFERROR(VLOOKUP(B8,'TIMEFOLIO K바이오액티브(과거)'!$B$11:$E$1000,4,0),0)</f>
        <v>7.32</v>
      </c>
      <c r="E8" s="20">
        <f t="shared" si="6"/>
        <v>-0.3100000000000005</v>
      </c>
      <c r="F8" s="21">
        <f t="shared" si="7"/>
        <v>-4.2349726775956387E-2</v>
      </c>
      <c r="G8" s="62" t="str">
        <f>VLOOKUP(H8,유니버스!$C$14:$D$2561,2,0)</f>
        <v>KQ</v>
      </c>
      <c r="H8" s="26" t="str">
        <f>'KoAct 바이오헬스케어액티브'!B14</f>
        <v>올릭스</v>
      </c>
      <c r="I8" s="26">
        <f>VLOOKUP(H8,'KoAct 바이오헬스케어액티브'!$B$11:$E$1000,4,0)</f>
        <v>7.86</v>
      </c>
      <c r="J8" s="26">
        <f>IFERROR(VLOOKUP(H8,'KoAct 바이오헬스케어액티브(과거)'!$B$11:$E$1000,4,0),0)</f>
        <v>9.83</v>
      </c>
      <c r="K8" s="26">
        <f t="shared" si="8"/>
        <v>-1.9699999999999998</v>
      </c>
      <c r="L8" s="27">
        <f t="shared" si="9"/>
        <v>-0.20040691759918616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6.9</v>
      </c>
      <c r="P8" s="26">
        <f>IFERROR(VLOOKUP(N8,'RISE 바이오TOP10액티브(과거)'!$B$11:$E$1000,4,0),0)</f>
        <v>8.4499999999999993</v>
      </c>
      <c r="Q8" s="26">
        <f t="shared" si="10"/>
        <v>-1.5499999999999989</v>
      </c>
      <c r="R8" s="27">
        <f t="shared" si="11"/>
        <v>-0.18343195266272183</v>
      </c>
    </row>
    <row r="9" spans="1:18" x14ac:dyDescent="0.4">
      <c r="A9" s="62" t="str">
        <f>VLOOKUP(B9,유니버스!$C$14:$D$2561,2,0)</f>
        <v>KQ</v>
      </c>
      <c r="B9" s="26" t="str">
        <f>'TIMEFOLIO K바이오액티브'!B15</f>
        <v>올릭스</v>
      </c>
      <c r="C9" s="26">
        <f>VLOOKUP(B9,'TIMEFOLIO K바이오액티브'!$B$11:$E$1000,4,0)</f>
        <v>6.15</v>
      </c>
      <c r="D9" s="26">
        <f>IFERROR(VLOOKUP(B9,'TIMEFOLIO K바이오액티브(과거)'!$B$11:$E$1000,4,0),0)</f>
        <v>7.57</v>
      </c>
      <c r="E9" s="20">
        <f t="shared" si="6"/>
        <v>-1.42</v>
      </c>
      <c r="F9" s="21">
        <f t="shared" si="7"/>
        <v>-0.18758256274768825</v>
      </c>
      <c r="G9" s="62" t="str">
        <f>VLOOKUP(H9,유니버스!$C$14:$D$2561,2,0)</f>
        <v>KQ</v>
      </c>
      <c r="H9" s="26" t="str">
        <f>'KoAct 바이오헬스케어액티브'!B15</f>
        <v>에스티팜</v>
      </c>
      <c r="I9" s="26">
        <f>VLOOKUP(H9,'KoAct 바이오헬스케어액티브'!$B$11:$E$1000,4,0)</f>
        <v>7.79</v>
      </c>
      <c r="J9" s="26">
        <f>IFERROR(VLOOKUP(H9,'KoAct 바이오헬스케어액티브(과거)'!$B$11:$E$1000,4,0),0)</f>
        <v>7.24</v>
      </c>
      <c r="K9" s="26">
        <f t="shared" si="8"/>
        <v>0.54999999999999982</v>
      </c>
      <c r="L9" s="27">
        <f t="shared" si="9"/>
        <v>7.5966850828729227E-2</v>
      </c>
      <c r="M9" s="62" t="str">
        <f>VLOOKUP(N9,유니버스!$C$14:$D$2561,2,0)</f>
        <v>KQ</v>
      </c>
      <c r="N9" s="26" t="str">
        <f>'RISE 바이오TOP10액티브'!B15</f>
        <v>디앤디파마텍</v>
      </c>
      <c r="O9" s="26">
        <f>VLOOKUP(N9,'RISE 바이오TOP10액티브'!$B$11:$E$1000,4,0)</f>
        <v>4.72</v>
      </c>
      <c r="P9" s="26">
        <f>IFERROR(VLOOKUP(N9,'RISE 바이오TOP10액티브(과거)'!$B$11:$E$1000,4,0),0)</f>
        <v>3.74</v>
      </c>
      <c r="Q9" s="26">
        <f t="shared" si="10"/>
        <v>0.97999999999999954</v>
      </c>
      <c r="R9" s="27">
        <f t="shared" si="11"/>
        <v>0.26203208556149726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5.75</v>
      </c>
      <c r="D10" s="26">
        <f>IFERROR(VLOOKUP(B10,'TIMEFOLIO K바이오액티브(과거)'!$B$11:$E$1000,4,0),0)</f>
        <v>5.63</v>
      </c>
      <c r="E10" s="20">
        <f t="shared" si="6"/>
        <v>0.12000000000000011</v>
      </c>
      <c r="F10" s="21">
        <f t="shared" si="7"/>
        <v>2.1314387211367691E-2</v>
      </c>
      <c r="G10" s="62" t="str">
        <f>VLOOKUP(H10,유니버스!$C$14:$D$2561,2,0)</f>
        <v>KQ</v>
      </c>
      <c r="H10" s="26" t="str">
        <f>'KoAct 바이오헬스케어액티브'!B16</f>
        <v>에이비엘바이오</v>
      </c>
      <c r="I10" s="26">
        <f>VLOOKUP(H10,'KoAct 바이오헬스케어액티브'!$B$11:$E$1000,4,0)</f>
        <v>7.53</v>
      </c>
      <c r="J10" s="26">
        <f>IFERROR(VLOOKUP(H10,'KoAct 바이오헬스케어액티브(과거)'!$B$11:$E$1000,4,0),0)</f>
        <v>7.72</v>
      </c>
      <c r="K10" s="26">
        <f t="shared" si="8"/>
        <v>-0.1899999999999995</v>
      </c>
      <c r="L10" s="27">
        <f t="shared" si="9"/>
        <v>-2.4611398963730546E-2</v>
      </c>
      <c r="M10" s="62" t="str">
        <f>VLOOKUP(N10,유니버스!$C$14:$D$2561,2,0)</f>
        <v>KS</v>
      </c>
      <c r="N10" s="26" t="str">
        <f>'RISE 바이오TOP10액티브'!B16</f>
        <v>한올바이오파마</v>
      </c>
      <c r="O10" s="26">
        <f>VLOOKUP(N10,'RISE 바이오TOP10액티브'!$B$11:$E$1000,4,0)</f>
        <v>4.55</v>
      </c>
      <c r="P10" s="26">
        <f>IFERROR(VLOOKUP(N10,'RISE 바이오TOP10액티브(과거)'!$B$11:$E$1000,4,0),0)</f>
        <v>4.49</v>
      </c>
      <c r="Q10" s="26">
        <f t="shared" si="10"/>
        <v>5.9999999999999609E-2</v>
      </c>
      <c r="R10" s="27">
        <f t="shared" si="11"/>
        <v>1.3363028953229383E-2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4.38</v>
      </c>
      <c r="D11" s="26">
        <f>IFERROR(VLOOKUP(B11,'TIMEFOLIO K바이오액티브(과거)'!$B$11:$E$1000,4,0),0)</f>
        <v>4.16</v>
      </c>
      <c r="E11" s="20">
        <f t="shared" si="6"/>
        <v>0.21999999999999975</v>
      </c>
      <c r="F11" s="21">
        <f t="shared" si="7"/>
        <v>5.2884615384615419E-2</v>
      </c>
      <c r="G11" s="62" t="str">
        <f>VLOOKUP(H11,유니버스!$C$14:$D$2561,2,0)</f>
        <v>KQ</v>
      </c>
      <c r="H11" s="26" t="str">
        <f>'KoAct 바이오헬스케어액티브'!B17</f>
        <v>디앤디파마텍</v>
      </c>
      <c r="I11" s="26">
        <f>VLOOKUP(H11,'KoAct 바이오헬스케어액티브'!$B$11:$E$1000,4,0)</f>
        <v>5.55</v>
      </c>
      <c r="J11" s="26">
        <f>IFERROR(VLOOKUP(H11,'KoAct 바이오헬스케어액티브(과거)'!$B$11:$E$1000,4,0),0)</f>
        <v>4.75</v>
      </c>
      <c r="K11" s="26">
        <f t="shared" si="8"/>
        <v>0.79999999999999982</v>
      </c>
      <c r="L11" s="27">
        <f t="shared" si="9"/>
        <v>0.1684210526315788</v>
      </c>
      <c r="M11" s="62" t="str">
        <f>VLOOKUP(N11,유니버스!$C$14:$D$2561,2,0)</f>
        <v>KQ</v>
      </c>
      <c r="N11" s="26" t="str">
        <f>'RISE 바이오TOP10액티브'!B17</f>
        <v>에스티팜</v>
      </c>
      <c r="O11" s="26">
        <f>VLOOKUP(N11,'RISE 바이오TOP10액티브'!$B$11:$E$1000,4,0)</f>
        <v>4.1100000000000003</v>
      </c>
      <c r="P11" s="26">
        <f>IFERROR(VLOOKUP(N11,'RISE 바이오TOP10액티브(과거)'!$B$11:$E$1000,4,0),0)</f>
        <v>3.74</v>
      </c>
      <c r="Q11" s="26">
        <f t="shared" si="10"/>
        <v>0.37000000000000011</v>
      </c>
      <c r="R11" s="27">
        <f t="shared" si="11"/>
        <v>9.8930481283422411E-2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디앤디파마텍</v>
      </c>
      <c r="C12" s="26">
        <f>VLOOKUP(B12,'TIMEFOLIO K바이오액티브'!$B$11:$E$1000,4,0)</f>
        <v>4.03</v>
      </c>
      <c r="D12" s="26">
        <f>IFERROR(VLOOKUP(B12,'TIMEFOLIO K바이오액티브(과거)'!$B$11:$E$1000,4,0),0)</f>
        <v>3.52</v>
      </c>
      <c r="E12" s="20">
        <f t="shared" si="6"/>
        <v>0.51000000000000023</v>
      </c>
      <c r="F12" s="21">
        <f t="shared" si="7"/>
        <v>0.14488636363636376</v>
      </c>
      <c r="G12" s="62" t="str">
        <f>VLOOKUP(H12,유니버스!$C$14:$D$2561,2,0)</f>
        <v>KQ</v>
      </c>
      <c r="H12" s="26" t="str">
        <f>'KoAct 바이오헬스케어액티브'!B18</f>
        <v>에이프릴바이오</v>
      </c>
      <c r="I12" s="26">
        <f>VLOOKUP(H12,'KoAct 바이오헬스케어액티브'!$B$11:$E$1000,4,0)</f>
        <v>4.8</v>
      </c>
      <c r="J12" s="26">
        <f>IFERROR(VLOOKUP(H12,'KoAct 바이오헬스케어액티브(과거)'!$B$11:$E$1000,4,0),0)</f>
        <v>6.05</v>
      </c>
      <c r="K12" s="26">
        <f t="shared" si="8"/>
        <v>-1.25</v>
      </c>
      <c r="L12" s="27">
        <f t="shared" si="9"/>
        <v>-0.20661157024793386</v>
      </c>
      <c r="M12" s="62" t="str">
        <f>VLOOKUP(N12,유니버스!$C$14:$D$2561,2,0)</f>
        <v>KS</v>
      </c>
      <c r="N12" s="26" t="str">
        <f>'RISE 바이오TOP10액티브'!B18</f>
        <v>셀트리온</v>
      </c>
      <c r="O12" s="26">
        <f>VLOOKUP(N12,'RISE 바이오TOP10액티브'!$B$11:$E$1000,4,0)</f>
        <v>3.92</v>
      </c>
      <c r="P12" s="26">
        <f>IFERROR(VLOOKUP(N12,'RISE 바이오TOP10액티브(과거)'!$B$11:$E$1000,4,0),0)</f>
        <v>0</v>
      </c>
      <c r="Q12" s="26">
        <f t="shared" si="10"/>
        <v>3.92</v>
      </c>
      <c r="R12" s="27" t="str">
        <f t="shared" si="11"/>
        <v>신규편입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3.31</v>
      </c>
      <c r="D13" s="26">
        <f>IFERROR(VLOOKUP(B13,'TIMEFOLIO K바이오액티브(과거)'!$B$11:$E$1000,4,0),0)</f>
        <v>3.47</v>
      </c>
      <c r="E13" s="20">
        <f t="shared" si="6"/>
        <v>-0.16000000000000014</v>
      </c>
      <c r="F13" s="21">
        <f t="shared" si="7"/>
        <v>-4.6109510086455363E-2</v>
      </c>
      <c r="G13" s="62" t="str">
        <f>VLOOKUP(H13,유니버스!$C$14:$D$2561,2,0)</f>
        <v>KQ</v>
      </c>
      <c r="H13" s="26" t="str">
        <f>'KoAct 바이오헬스케어액티브'!B19</f>
        <v>알지노믹스</v>
      </c>
      <c r="I13" s="26">
        <f>VLOOKUP(H13,'KoAct 바이오헬스케어액티브'!$B$11:$E$1000,4,0)</f>
        <v>4.55</v>
      </c>
      <c r="J13" s="26">
        <f>IFERROR(VLOOKUP(H13,'KoAct 바이오헬스케어액티브(과거)'!$B$11:$E$1000,4,0),0)</f>
        <v>5.27</v>
      </c>
      <c r="K13" s="26">
        <f t="shared" si="8"/>
        <v>-0.71999999999999975</v>
      </c>
      <c r="L13" s="27">
        <f t="shared" si="9"/>
        <v>-0.13662239089184058</v>
      </c>
      <c r="M13" s="62" t="str">
        <f>VLOOKUP(N13,유니버스!$C$14:$D$2561,2,0)</f>
        <v>KQ</v>
      </c>
      <c r="N13" s="26" t="str">
        <f>'RISE 바이오TOP10액티브'!B19</f>
        <v>코오롱티슈진</v>
      </c>
      <c r="O13" s="26">
        <f>VLOOKUP(N13,'RISE 바이오TOP10액티브'!$B$11:$E$1000,4,0)</f>
        <v>3.68</v>
      </c>
      <c r="P13" s="26">
        <f>IFERROR(VLOOKUP(N13,'RISE 바이오TOP10액티브(과거)'!$B$11:$E$1000,4,0),0)</f>
        <v>2.95</v>
      </c>
      <c r="Q13" s="26">
        <f t="shared" si="10"/>
        <v>0.73</v>
      </c>
      <c r="R13" s="27">
        <f t="shared" si="11"/>
        <v>0.24745762711864394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에이프릴바이오</v>
      </c>
      <c r="C14" s="26">
        <f>VLOOKUP(B14,'TIMEFOLIO K바이오액티브'!$B$11:$E$1000,4,0)</f>
        <v>2.92</v>
      </c>
      <c r="D14" s="26">
        <f>IFERROR(VLOOKUP(B14,'TIMEFOLIO K바이오액티브(과거)'!$B$11:$E$1000,4,0),0)</f>
        <v>3.77</v>
      </c>
      <c r="E14" s="20">
        <f t="shared" si="6"/>
        <v>-0.85000000000000009</v>
      </c>
      <c r="F14" s="21">
        <f t="shared" si="7"/>
        <v>-0.22546419098143233</v>
      </c>
      <c r="G14" s="62" t="str">
        <f>VLOOKUP(H14,유니버스!$C$14:$D$2561,2,0)</f>
        <v>KS</v>
      </c>
      <c r="H14" s="26" t="str">
        <f>'KoAct 바이오헬스케어액티브'!B20</f>
        <v>한미약품</v>
      </c>
      <c r="I14" s="26">
        <f>VLOOKUP(H14,'KoAct 바이오헬스케어액티브'!$B$11:$E$1000,4,0)</f>
        <v>4.0999999999999996</v>
      </c>
      <c r="J14" s="26">
        <f>IFERROR(VLOOKUP(H14,'KoAct 바이오헬스케어액티브(과거)'!$B$11:$E$1000,4,0),0)</f>
        <v>4.18</v>
      </c>
      <c r="K14" s="26">
        <f t="shared" si="8"/>
        <v>-8.0000000000000071E-2</v>
      </c>
      <c r="L14" s="27">
        <f t="shared" si="9"/>
        <v>-1.9138755980861233E-2</v>
      </c>
      <c r="M14" s="62" t="str">
        <f>VLOOKUP(N14,유니버스!$C$14:$D$2561,2,0)</f>
        <v>KQ</v>
      </c>
      <c r="N14" s="26" t="str">
        <f>'RISE 바이오TOP10액티브'!B20</f>
        <v>휴젤</v>
      </c>
      <c r="O14" s="26">
        <f>VLOOKUP(N14,'RISE 바이오TOP10액티브'!$B$11:$E$1000,4,0)</f>
        <v>3.56</v>
      </c>
      <c r="P14" s="26">
        <f>IFERROR(VLOOKUP(N14,'RISE 바이오TOP10액티브(과거)'!$B$11:$E$1000,4,0),0)</f>
        <v>1.36</v>
      </c>
      <c r="Q14" s="26">
        <f t="shared" si="10"/>
        <v>2.2000000000000002</v>
      </c>
      <c r="R14" s="27">
        <f t="shared" si="11"/>
        <v>1.6176470588235294</v>
      </c>
    </row>
    <row r="15" spans="1:18" x14ac:dyDescent="0.4">
      <c r="A15" s="62" t="str">
        <f>VLOOKUP(B15,유니버스!$C$14:$D$2561,2,0)</f>
        <v>KS</v>
      </c>
      <c r="B15" s="26" t="str">
        <f>'TIMEFOLIO K바이오액티브'!B21</f>
        <v>삼성에피스홀딩스</v>
      </c>
      <c r="C15" s="26">
        <f>VLOOKUP(B15,'TIMEFOLIO K바이오액티브'!$B$11:$E$1000,4,0)</f>
        <v>2.4700000000000002</v>
      </c>
      <c r="D15" s="26">
        <f>IFERROR(VLOOKUP(B15,'TIMEFOLIO K바이오액티브(과거)'!$B$11:$E$1000,4,0),0)</f>
        <v>2.4</v>
      </c>
      <c r="E15" s="20">
        <f t="shared" si="6"/>
        <v>7.0000000000000284E-2</v>
      </c>
      <c r="F15" s="21">
        <f t="shared" si="7"/>
        <v>2.9166666666666785E-2</v>
      </c>
      <c r="G15" s="62" t="str">
        <f>VLOOKUP(H15,유니버스!$C$14:$D$2561,2,0)</f>
        <v>KS</v>
      </c>
      <c r="H15" s="26" t="str">
        <f>'KoAct 바이오헬스케어액티브'!B21</f>
        <v>한올바이오파마</v>
      </c>
      <c r="I15" s="26">
        <f>VLOOKUP(H15,'KoAct 바이오헬스케어액티브'!$B$11:$E$1000,4,0)</f>
        <v>4.04</v>
      </c>
      <c r="J15" s="26">
        <f>IFERROR(VLOOKUP(H15,'KoAct 바이오헬스케어액티브(과거)'!$B$11:$E$1000,4,0),0)</f>
        <v>3.55</v>
      </c>
      <c r="K15" s="26">
        <f t="shared" si="8"/>
        <v>0.49000000000000021</v>
      </c>
      <c r="L15" s="27">
        <f t="shared" si="9"/>
        <v>0.13802816901408455</v>
      </c>
      <c r="M15" s="62" t="str">
        <f>VLOOKUP(N15,유니버스!$C$14:$D$2561,2,0)</f>
        <v>KS</v>
      </c>
      <c r="N15" s="26" t="str">
        <f>'RISE 바이오TOP10액티브'!B21</f>
        <v>한미약품</v>
      </c>
      <c r="O15" s="26">
        <f>VLOOKUP(N15,'RISE 바이오TOP10액티브'!$B$11:$E$1000,4,0)</f>
        <v>3.2</v>
      </c>
      <c r="P15" s="26">
        <f>IFERROR(VLOOKUP(N15,'RISE 바이오TOP10액티브(과거)'!$B$11:$E$1000,4,0),0)</f>
        <v>2.61</v>
      </c>
      <c r="Q15" s="26">
        <f t="shared" si="10"/>
        <v>0.5900000000000003</v>
      </c>
      <c r="R15" s="27">
        <f t="shared" si="11"/>
        <v>0.22605363984674343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셀트리온제약</v>
      </c>
      <c r="C16" s="26">
        <f>VLOOKUP(B16,'TIMEFOLIO K바이오액티브'!$B$11:$E$1000,4,0)</f>
        <v>2.44</v>
      </c>
      <c r="D16" s="26">
        <f>IFERROR(VLOOKUP(B16,'TIMEFOLIO K바이오액티브(과거)'!$B$11:$E$1000,4,0),0)</f>
        <v>2.37</v>
      </c>
      <c r="E16" s="20">
        <f t="shared" si="6"/>
        <v>6.999999999999984E-2</v>
      </c>
      <c r="F16" s="21">
        <f t="shared" si="7"/>
        <v>2.9535864978902815E-2</v>
      </c>
      <c r="G16" s="62" t="str">
        <f>VLOOKUP(H16,유니버스!$C$14:$D$2561,2,0)</f>
        <v>KQ</v>
      </c>
      <c r="H16" s="26" t="str">
        <f>'KoAct 바이오헬스케어액티브'!B22</f>
        <v>보로노이</v>
      </c>
      <c r="I16" s="26">
        <f>VLOOKUP(H16,'KoAct 바이오헬스케어액티브'!$B$11:$E$1000,4,0)</f>
        <v>3.75</v>
      </c>
      <c r="J16" s="26">
        <f>IFERROR(VLOOKUP(H16,'KoAct 바이오헬스케어액티브(과거)'!$B$11:$E$1000,4,0),0)</f>
        <v>4.43</v>
      </c>
      <c r="K16" s="26">
        <f t="shared" si="8"/>
        <v>-0.67999999999999972</v>
      </c>
      <c r="L16" s="27">
        <f t="shared" si="9"/>
        <v>-0.15349887133182838</v>
      </c>
      <c r="M16" s="62" t="str">
        <f>VLOOKUP(N16,유니버스!$C$14:$D$2561,2,0)</f>
        <v>KQ</v>
      </c>
      <c r="N16" s="26" t="str">
        <f>'RISE 바이오TOP10액티브'!B22</f>
        <v>한스바이오메드</v>
      </c>
      <c r="O16" s="26">
        <f>VLOOKUP(N16,'RISE 바이오TOP10액티브'!$B$11:$E$1000,4,0)</f>
        <v>2.86</v>
      </c>
      <c r="P16" s="26">
        <f>IFERROR(VLOOKUP(N16,'RISE 바이오TOP10액티브(과거)'!$B$11:$E$1000,4,0),0)</f>
        <v>2.7</v>
      </c>
      <c r="Q16" s="26">
        <f t="shared" si="10"/>
        <v>0.1599999999999997</v>
      </c>
      <c r="R16" s="27">
        <f t="shared" si="11"/>
        <v>5.9259259259259123E-2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알지노믹스</v>
      </c>
      <c r="C17" s="26">
        <f>VLOOKUP(B17,'TIMEFOLIO K바이오액티브'!$B$11:$E$1000,4,0)</f>
        <v>2.2400000000000002</v>
      </c>
      <c r="D17" s="26">
        <f>IFERROR(VLOOKUP(B17,'TIMEFOLIO K바이오액티브(과거)'!$B$11:$E$1000,4,0),0)</f>
        <v>2.66</v>
      </c>
      <c r="E17" s="20">
        <f t="shared" si="6"/>
        <v>-0.41999999999999993</v>
      </c>
      <c r="F17" s="21">
        <f t="shared" si="7"/>
        <v>-0.1578947368421052</v>
      </c>
      <c r="G17" s="62" t="str">
        <f>VLOOKUP(H17,유니버스!$C$14:$D$2561,2,0)</f>
        <v>KS</v>
      </c>
      <c r="H17" s="26" t="str">
        <f>'KoAct 바이오헬스케어액티브'!B23</f>
        <v>녹십자</v>
      </c>
      <c r="I17" s="26">
        <f>VLOOKUP(H17,'KoAct 바이오헬스케어액티브'!$B$11:$E$1000,4,0)</f>
        <v>3.36</v>
      </c>
      <c r="J17" s="26">
        <f>IFERROR(VLOOKUP(H17,'KoAct 바이오헬스케어액티브(과거)'!$B$11:$E$1000,4,0),0)</f>
        <v>3.46</v>
      </c>
      <c r="K17" s="26">
        <f t="shared" si="8"/>
        <v>-0.10000000000000009</v>
      </c>
      <c r="L17" s="27">
        <f t="shared" si="9"/>
        <v>-2.8901734104046284E-2</v>
      </c>
      <c r="M17" s="62" t="str">
        <f>VLOOKUP(N17,유니버스!$C$14:$D$2561,2,0)</f>
        <v>KQ</v>
      </c>
      <c r="N17" s="26" t="str">
        <f>'RISE 바이오TOP10액티브'!B23</f>
        <v>오스코텍</v>
      </c>
      <c r="O17" s="26">
        <f>VLOOKUP(N17,'RISE 바이오TOP10액티브'!$B$11:$E$1000,4,0)</f>
        <v>2.77</v>
      </c>
      <c r="P17" s="26">
        <f>IFERROR(VLOOKUP(N17,'RISE 바이오TOP10액티브(과거)'!$B$11:$E$1000,4,0),0)</f>
        <v>0</v>
      </c>
      <c r="Q17" s="26">
        <f t="shared" si="10"/>
        <v>2.77</v>
      </c>
      <c r="R17" s="27" t="str">
        <f t="shared" si="11"/>
        <v>신규편입</v>
      </c>
    </row>
    <row r="18" spans="1:18" x14ac:dyDescent="0.4">
      <c r="A18" s="62" t="str">
        <f>VLOOKUP(B18,유니버스!$C$14:$D$2561,2,0)</f>
        <v>KS</v>
      </c>
      <c r="B18" s="26" t="str">
        <f>'TIMEFOLIO K바이오액티브'!B24</f>
        <v>유한양행</v>
      </c>
      <c r="C18" s="26">
        <f>VLOOKUP(B18,'TIMEFOLIO K바이오액티브'!$B$11:$E$1000,4,0)</f>
        <v>2.17</v>
      </c>
      <c r="D18" s="26">
        <f>IFERROR(VLOOKUP(B18,'TIMEFOLIO K바이오액티브(과거)'!$B$11:$E$1000,4,0),0)</f>
        <v>2.11</v>
      </c>
      <c r="E18" s="20">
        <f t="shared" si="6"/>
        <v>6.0000000000000053E-2</v>
      </c>
      <c r="F18" s="21">
        <f t="shared" si="7"/>
        <v>2.8436018957346043E-2</v>
      </c>
      <c r="G18" s="62" t="str">
        <f>VLOOKUP(H18,유니버스!$C$14:$D$2561,2,0)</f>
        <v>KQ</v>
      </c>
      <c r="H18" s="26" t="str">
        <f>'KoAct 바이오헬스케어액티브'!B24</f>
        <v>오스코텍</v>
      </c>
      <c r="I18" s="26">
        <f>VLOOKUP(H18,'KoAct 바이오헬스케어액티브'!$B$11:$E$1000,4,0)</f>
        <v>3.2</v>
      </c>
      <c r="J18" s="26">
        <f>IFERROR(VLOOKUP(H18,'KoAct 바이오헬스케어액티브(과거)'!$B$11:$E$1000,4,0),0)</f>
        <v>2.17</v>
      </c>
      <c r="K18" s="26">
        <f t="shared" si="8"/>
        <v>1.0300000000000002</v>
      </c>
      <c r="L18" s="27">
        <f t="shared" si="9"/>
        <v>0.47465437788018439</v>
      </c>
      <c r="M18" s="62" t="str">
        <f>VLOOKUP(N18,유니버스!$C$14:$D$2561,2,0)</f>
        <v>KQ</v>
      </c>
      <c r="N18" s="26" t="str">
        <f>'RISE 바이오TOP10액티브'!B24</f>
        <v>에이프릴바이오</v>
      </c>
      <c r="O18" s="26">
        <f>VLOOKUP(N18,'RISE 바이오TOP10액티브'!$B$11:$E$1000,4,0)</f>
        <v>2.74</v>
      </c>
      <c r="P18" s="26">
        <f>IFERROR(VLOOKUP(N18,'RISE 바이오TOP10액티브(과거)'!$B$11:$E$1000,4,0),0)</f>
        <v>3.4</v>
      </c>
      <c r="Q18" s="26">
        <f t="shared" si="10"/>
        <v>-0.6599999999999997</v>
      </c>
      <c r="R18" s="27">
        <f t="shared" si="11"/>
        <v>-0.19411764705882339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오름테라퓨틱</v>
      </c>
      <c r="C19" s="26">
        <f>VLOOKUP(B19,'TIMEFOLIO K바이오액티브'!$B$11:$E$1000,4,0)</f>
        <v>2.02</v>
      </c>
      <c r="D19" s="26">
        <f>IFERROR(VLOOKUP(B19,'TIMEFOLIO K바이오액티브(과거)'!$B$11:$E$1000,4,0),0)</f>
        <v>1.68</v>
      </c>
      <c r="E19" s="20">
        <f t="shared" si="6"/>
        <v>0.34000000000000008</v>
      </c>
      <c r="F19" s="21">
        <f t="shared" si="7"/>
        <v>0.20238095238095233</v>
      </c>
      <c r="G19" s="62" t="str">
        <f>VLOOKUP(H19,유니버스!$C$14:$D$2561,2,0)</f>
        <v>KQ</v>
      </c>
      <c r="H19" s="26" t="str">
        <f>'KoAct 바이오헬스케어액티브'!B25</f>
        <v>파마리서치</v>
      </c>
      <c r="I19" s="26">
        <f>VLOOKUP(H19,'KoAct 바이오헬스케어액티브'!$B$11:$E$1000,4,0)</f>
        <v>2.73</v>
      </c>
      <c r="J19" s="26">
        <f>IFERROR(VLOOKUP(H19,'KoAct 바이오헬스케어액티브(과거)'!$B$11:$E$1000,4,0),0)</f>
        <v>2.38</v>
      </c>
      <c r="K19" s="26">
        <f t="shared" si="8"/>
        <v>0.35000000000000009</v>
      </c>
      <c r="L19" s="27">
        <f t="shared" si="9"/>
        <v>0.14705882352941191</v>
      </c>
      <c r="M19" s="62" t="str">
        <f>VLOOKUP(N19,유니버스!$C$14:$D$2561,2,0)</f>
        <v>KQ</v>
      </c>
      <c r="N19" s="26" t="str">
        <f>'RISE 바이오TOP10액티브'!B25</f>
        <v>리브스메드</v>
      </c>
      <c r="O19" s="26">
        <f>VLOOKUP(N19,'RISE 바이오TOP10액티브'!$B$11:$E$1000,4,0)</f>
        <v>2.57</v>
      </c>
      <c r="P19" s="26">
        <f>IFERROR(VLOOKUP(N19,'RISE 바이오TOP10액티브(과거)'!$B$11:$E$1000,4,0),0)</f>
        <v>2.75</v>
      </c>
      <c r="Q19" s="26">
        <f t="shared" si="10"/>
        <v>-0.18000000000000016</v>
      </c>
      <c r="R19" s="27">
        <f t="shared" si="11"/>
        <v>-6.5454545454545543E-2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HLB</v>
      </c>
      <c r="C20" s="26">
        <f>VLOOKUP(B20,'TIMEFOLIO K바이오액티브'!$B$11:$E$1000,4,0)</f>
        <v>2.02</v>
      </c>
      <c r="D20" s="26">
        <f>IFERROR(VLOOKUP(B20,'TIMEFOLIO K바이오액티브(과거)'!$B$11:$E$1000,4,0),0)</f>
        <v>1.89</v>
      </c>
      <c r="E20" s="20">
        <f t="shared" si="6"/>
        <v>0.13000000000000012</v>
      </c>
      <c r="F20" s="21">
        <f t="shared" si="7"/>
        <v>6.8783068783068835E-2</v>
      </c>
      <c r="G20" s="62" t="str">
        <f>VLOOKUP(H20,유니버스!$C$14:$D$2561,2,0)</f>
        <v>KQ</v>
      </c>
      <c r="H20" s="26" t="str">
        <f>'KoAct 바이오헬스케어액티브'!B26</f>
        <v>휴젤</v>
      </c>
      <c r="I20" s="26">
        <f>VLOOKUP(H20,'KoAct 바이오헬스케어액티브'!$B$11:$E$1000,4,0)</f>
        <v>2.48</v>
      </c>
      <c r="J20" s="26">
        <f>IFERROR(VLOOKUP(H20,'KoAct 바이오헬스케어액티브(과거)'!$B$11:$E$1000,4,0),0)</f>
        <v>2.14</v>
      </c>
      <c r="K20" s="26">
        <f t="shared" si="8"/>
        <v>0.33999999999999986</v>
      </c>
      <c r="L20" s="27">
        <f t="shared" si="9"/>
        <v>0.1588785046728971</v>
      </c>
      <c r="M20" s="62" t="str">
        <f>VLOOKUP(N20,유니버스!$C$14:$D$2561,2,0)</f>
        <v>KQ</v>
      </c>
      <c r="N20" s="26" t="str">
        <f>'RISE 바이오TOP10액티브'!B26</f>
        <v>지아이이노베이션</v>
      </c>
      <c r="O20" s="26">
        <f>VLOOKUP(N20,'RISE 바이오TOP10액티브'!$B$11:$E$1000,4,0)</f>
        <v>2.54</v>
      </c>
      <c r="P20" s="26">
        <f>IFERROR(VLOOKUP(N20,'RISE 바이오TOP10액티브(과거)'!$B$11:$E$1000,4,0),0)</f>
        <v>2.23</v>
      </c>
      <c r="Q20" s="26">
        <f t="shared" si="10"/>
        <v>0.31000000000000005</v>
      </c>
      <c r="R20" s="27">
        <f t="shared" si="11"/>
        <v>0.13901345291479816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지투지바이오</v>
      </c>
      <c r="C21" s="26">
        <f>VLOOKUP(B21,'TIMEFOLIO K바이오액티브'!$B$11:$E$1000,4,0)</f>
        <v>1.97</v>
      </c>
      <c r="D21" s="26">
        <f>IFERROR(VLOOKUP(B21,'TIMEFOLIO K바이오액티브(과거)'!$B$11:$E$1000,4,0),0)</f>
        <v>2.17</v>
      </c>
      <c r="E21" s="20">
        <f t="shared" si="6"/>
        <v>-0.19999999999999996</v>
      </c>
      <c r="F21" s="21">
        <f t="shared" si="7"/>
        <v>-9.2165898617511455E-2</v>
      </c>
      <c r="G21" s="62" t="str">
        <f>VLOOKUP(H21,유니버스!$C$14:$D$2561,2,0)</f>
        <v>KQ</v>
      </c>
      <c r="H21" s="26" t="str">
        <f>'KoAct 바이오헬스케어액티브'!B27</f>
        <v>앱클론</v>
      </c>
      <c r="I21" s="26">
        <f>VLOOKUP(H21,'KoAct 바이오헬스케어액티브'!$B$11:$E$1000,4,0)</f>
        <v>1.81</v>
      </c>
      <c r="J21" s="26">
        <f>IFERROR(VLOOKUP(H21,'KoAct 바이오헬스케어액티브(과거)'!$B$11:$E$1000,4,0),0)</f>
        <v>1.95</v>
      </c>
      <c r="K21" s="26">
        <f t="shared" si="8"/>
        <v>-0.1399999999999999</v>
      </c>
      <c r="L21" s="27">
        <f t="shared" si="9"/>
        <v>-7.1794871794871762E-2</v>
      </c>
      <c r="M21" s="62" t="str">
        <f>VLOOKUP(N21,유니버스!$C$14:$D$2561,2,0)</f>
        <v>KQ</v>
      </c>
      <c r="N21" s="26" t="str">
        <f>'RISE 바이오TOP10액티브'!B27</f>
        <v>앱클론</v>
      </c>
      <c r="O21" s="26">
        <f>VLOOKUP(N21,'RISE 바이오TOP10액티브'!$B$11:$E$1000,4,0)</f>
        <v>2.4</v>
      </c>
      <c r="P21" s="26">
        <f>IFERROR(VLOOKUP(N21,'RISE 바이오TOP10액티브(과거)'!$B$11:$E$1000,4,0),0)</f>
        <v>2.54</v>
      </c>
      <c r="Q21" s="26">
        <f t="shared" si="10"/>
        <v>-0.14000000000000012</v>
      </c>
      <c r="R21" s="27">
        <f t="shared" si="11"/>
        <v>-5.5118110236220486E-2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보로노이</v>
      </c>
      <c r="C22" s="26">
        <f>VLOOKUP(B22,'TIMEFOLIO K바이오액티브'!$B$11:$E$1000,4,0)</f>
        <v>1.77</v>
      </c>
      <c r="D22" s="26">
        <f>IFERROR(VLOOKUP(B22,'TIMEFOLIO K바이오액티브(과거)'!$B$11:$E$1000,4,0),0)</f>
        <v>2.14</v>
      </c>
      <c r="E22" s="20">
        <f t="shared" si="6"/>
        <v>-0.37000000000000011</v>
      </c>
      <c r="F22" s="21">
        <f t="shared" si="7"/>
        <v>-0.17289719626168232</v>
      </c>
      <c r="G22" s="62" t="str">
        <f>VLOOKUP(H22,유니버스!$C$14:$D$2561,2,0)</f>
        <v>KQ</v>
      </c>
      <c r="H22" s="26" t="str">
        <f>'KoAct 바이오헬스케어액티브'!B28</f>
        <v>넥스트바이오메디컬</v>
      </c>
      <c r="I22" s="26">
        <f>VLOOKUP(H22,'KoAct 바이오헬스케어액티브'!$B$11:$E$1000,4,0)</f>
        <v>1.75</v>
      </c>
      <c r="J22" s="26">
        <f>IFERROR(VLOOKUP(H22,'KoAct 바이오헬스케어액티브(과거)'!$B$11:$E$1000,4,0),0)</f>
        <v>1.73</v>
      </c>
      <c r="K22" s="26">
        <f t="shared" si="8"/>
        <v>2.0000000000000018E-2</v>
      </c>
      <c r="L22" s="27">
        <f t="shared" si="9"/>
        <v>1.1560693641618602E-2</v>
      </c>
      <c r="M22" s="62" t="str">
        <f>VLOOKUP(N22,유니버스!$C$14:$D$2561,2,0)</f>
        <v>KQ</v>
      </c>
      <c r="N22" s="26" t="str">
        <f>'RISE 바이오TOP10액티브'!B28</f>
        <v>보로노이</v>
      </c>
      <c r="O22" s="26">
        <f>VLOOKUP(N22,'RISE 바이오TOP10액티브'!$B$11:$E$1000,4,0)</f>
        <v>2.33</v>
      </c>
      <c r="P22" s="26">
        <f>IFERROR(VLOOKUP(N22,'RISE 바이오TOP10액티브(과거)'!$B$11:$E$1000,4,0),0)</f>
        <v>3.35</v>
      </c>
      <c r="Q22" s="26">
        <f t="shared" si="10"/>
        <v>-1.02</v>
      </c>
      <c r="R22" s="27">
        <f t="shared" si="11"/>
        <v>-0.30447761194029854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휴젤</v>
      </c>
      <c r="C23" s="26">
        <f>VLOOKUP(B23,'TIMEFOLIO K바이오액티브'!$B$11:$E$1000,4,0)</f>
        <v>1.75</v>
      </c>
      <c r="D23" s="26">
        <f>IFERROR(VLOOKUP(B23,'TIMEFOLIO K바이오액티브(과거)'!$B$11:$E$1000,4,0),0)</f>
        <v>1.54</v>
      </c>
      <c r="E23" s="20">
        <f t="shared" si="6"/>
        <v>0.20999999999999996</v>
      </c>
      <c r="F23" s="21">
        <f t="shared" si="7"/>
        <v>0.13636363636363624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1.32</v>
      </c>
      <c r="J23" s="26">
        <f>IFERROR(VLOOKUP(H23,'KoAct 바이오헬스케어액티브(과거)'!$B$11:$E$1000,4,0),0)</f>
        <v>1.74</v>
      </c>
      <c r="K23" s="26">
        <f t="shared" si="8"/>
        <v>-0.41999999999999993</v>
      </c>
      <c r="L23" s="27">
        <f t="shared" si="9"/>
        <v>-0.24137931034482751</v>
      </c>
      <c r="M23" s="62" t="str">
        <f>VLOOKUP(N23,유니버스!$C$14:$D$2561,2,0)</f>
        <v>KQ</v>
      </c>
      <c r="N23" s="26" t="str">
        <f>'RISE 바이오TOP10액티브'!B29</f>
        <v>펩트론</v>
      </c>
      <c r="O23" s="26">
        <f>VLOOKUP(N23,'RISE 바이오TOP10액티브'!$B$11:$E$1000,4,0)</f>
        <v>2.2799999999999998</v>
      </c>
      <c r="P23" s="26">
        <f>IFERROR(VLOOKUP(N23,'RISE 바이오TOP10액티브(과거)'!$B$11:$E$1000,4,0),0)</f>
        <v>2.42</v>
      </c>
      <c r="Q23" s="26">
        <f t="shared" si="10"/>
        <v>-0.14000000000000012</v>
      </c>
      <c r="R23" s="27">
        <f t="shared" si="11"/>
        <v>-5.7851239669421517E-2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인벤티지랩</v>
      </c>
      <c r="C24" s="26">
        <f>VLOOKUP(B24,'TIMEFOLIO K바이오액티브'!$B$11:$E$1000,4,0)</f>
        <v>1.74</v>
      </c>
      <c r="D24" s="26">
        <f>IFERROR(VLOOKUP(B24,'TIMEFOLIO K바이오액티브(과거)'!$B$11:$E$1000,4,0),0)</f>
        <v>1.74</v>
      </c>
      <c r="E24" s="20">
        <f t="shared" si="6"/>
        <v>0</v>
      </c>
      <c r="F24" s="21">
        <f t="shared" si="7"/>
        <v>0</v>
      </c>
      <c r="G24" s="62" t="str">
        <f>VLOOKUP(H24,유니버스!$C$14:$D$2561,2,0)</f>
        <v>KQ</v>
      </c>
      <c r="H24" s="26" t="str">
        <f>'KoAct 바이오헬스케어액티브'!B30</f>
        <v>나이벡</v>
      </c>
      <c r="I24" s="26">
        <f>VLOOKUP(H24,'KoAct 바이오헬스케어액티브'!$B$11:$E$1000,4,0)</f>
        <v>1.21</v>
      </c>
      <c r="J24" s="26">
        <f>IFERROR(VLOOKUP(H24,'KoAct 바이오헬스케어액티브(과거)'!$B$11:$E$1000,4,0),0)</f>
        <v>1.17</v>
      </c>
      <c r="K24" s="26">
        <f t="shared" si="8"/>
        <v>4.0000000000000036E-2</v>
      </c>
      <c r="L24" s="27">
        <f t="shared" si="9"/>
        <v>3.4188034188034289E-2</v>
      </c>
      <c r="M24" s="62" t="str">
        <f>VLOOKUP(N24,유니버스!$C$14:$D$2561,2,0)</f>
        <v>KQ</v>
      </c>
      <c r="N24" s="26" t="str">
        <f>'RISE 바이오TOP10액티브'!B30</f>
        <v>에스바이오메딕스</v>
      </c>
      <c r="O24" s="26">
        <f>VLOOKUP(N24,'RISE 바이오TOP10액티브'!$B$11:$E$1000,4,0)</f>
        <v>2.2000000000000002</v>
      </c>
      <c r="P24" s="26">
        <f>IFERROR(VLOOKUP(N24,'RISE 바이오TOP10액티브(과거)'!$B$11:$E$1000,4,0),0)</f>
        <v>1.87</v>
      </c>
      <c r="Q24" s="26">
        <f t="shared" si="10"/>
        <v>0.33000000000000007</v>
      </c>
      <c r="R24" s="27">
        <f t="shared" si="11"/>
        <v>0.17647058823529416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오스코텍</v>
      </c>
      <c r="C25" s="26">
        <f>VLOOKUP(B25,'TIMEFOLIO K바이오액티브'!$B$11:$E$1000,4,0)</f>
        <v>1.74</v>
      </c>
      <c r="D25" s="26">
        <f>IFERROR(VLOOKUP(B25,'TIMEFOLIO K바이오액티브(과거)'!$B$11:$E$1000,4,0),0)</f>
        <v>1.57</v>
      </c>
      <c r="E25" s="20">
        <f t="shared" si="6"/>
        <v>0.16999999999999993</v>
      </c>
      <c r="F25" s="21">
        <f t="shared" si="7"/>
        <v>0.10828025477707004</v>
      </c>
      <c r="G25" s="62" t="str">
        <f>VLOOKUP(H25,유니버스!$C$14:$D$2561,2,0)</f>
        <v>KQ</v>
      </c>
      <c r="H25" s="26" t="str">
        <f>'KoAct 바이오헬스케어액티브'!B31</f>
        <v>HLB이노베이션</v>
      </c>
      <c r="I25" s="26">
        <f>VLOOKUP(H25,'KoAct 바이오헬스케어액티브'!$B$11:$E$1000,4,0)</f>
        <v>1.18</v>
      </c>
      <c r="J25" s="26">
        <f>IFERROR(VLOOKUP(H25,'KoAct 바이오헬스케어액티브(과거)'!$B$11:$E$1000,4,0),0)</f>
        <v>0.93</v>
      </c>
      <c r="K25" s="26">
        <f t="shared" si="8"/>
        <v>0.24999999999999989</v>
      </c>
      <c r="L25" s="27">
        <f t="shared" si="9"/>
        <v>0.26881720430107503</v>
      </c>
      <c r="M25" s="62" t="str">
        <f>VLOOKUP(N25,유니버스!$C$14:$D$2561,2,0)</f>
        <v>KQ</v>
      </c>
      <c r="N25" s="26" t="str">
        <f>'RISE 바이오TOP10액티브'!B31</f>
        <v>알지노믹스</v>
      </c>
      <c r="O25" s="26">
        <f>VLOOKUP(N25,'RISE 바이오TOP10액티브'!$B$11:$E$1000,4,0)</f>
        <v>1.85</v>
      </c>
      <c r="P25" s="26">
        <f>IFERROR(VLOOKUP(N25,'RISE 바이오TOP10액티브(과거)'!$B$11:$E$1000,4,0),0)</f>
        <v>2.4900000000000002</v>
      </c>
      <c r="Q25" s="26">
        <f t="shared" si="10"/>
        <v>-0.64000000000000012</v>
      </c>
      <c r="R25" s="27">
        <f t="shared" si="11"/>
        <v>-0.25702811244979917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펩트론</v>
      </c>
      <c r="C26" s="26">
        <f>VLOOKUP(B26,'TIMEFOLIO K바이오액티브'!$B$11:$E$1000,4,0)</f>
        <v>1.69</v>
      </c>
      <c r="D26" s="26">
        <f>IFERROR(VLOOKUP(B26,'TIMEFOLIO K바이오액티브(과거)'!$B$11:$E$1000,4,0),0)</f>
        <v>1.87</v>
      </c>
      <c r="E26" s="20">
        <f t="shared" si="6"/>
        <v>-0.18000000000000016</v>
      </c>
      <c r="F26" s="21">
        <f t="shared" si="7"/>
        <v>-9.6256684491978661E-2</v>
      </c>
      <c r="G26" s="62" t="str">
        <f>VLOOKUP(H26,유니버스!$C$14:$D$2561,2,0)</f>
        <v>KQ</v>
      </c>
      <c r="H26" s="26" t="str">
        <f>'KoAct 바이오헬스케어액티브'!B32</f>
        <v>인벤티지랩</v>
      </c>
      <c r="I26" s="26">
        <f>VLOOKUP(H26,'KoAct 바이오헬스케어액티브'!$B$11:$E$1000,4,0)</f>
        <v>1.1100000000000001</v>
      </c>
      <c r="J26" s="26">
        <f>IFERROR(VLOOKUP(H26,'KoAct 바이오헬스케어액티브(과거)'!$B$11:$E$1000,4,0),0)</f>
        <v>1.0900000000000001</v>
      </c>
      <c r="K26" s="26">
        <f t="shared" si="8"/>
        <v>2.0000000000000018E-2</v>
      </c>
      <c r="L26" s="27">
        <f t="shared" si="9"/>
        <v>1.8348623853211121E-2</v>
      </c>
      <c r="M26" s="62" t="e">
        <f>VLOOKUP(N26,유니버스!$C$14:$D$2561,2,0)</f>
        <v>#N/A</v>
      </c>
      <c r="N26" s="26" t="str">
        <f>'RISE 바이오TOP10액티브'!B32</f>
        <v>리센스메디컬</v>
      </c>
      <c r="O26" s="26">
        <f>VLOOKUP(N26,'RISE 바이오TOP10액티브'!$B$11:$E$1000,4,0)</f>
        <v>1.74</v>
      </c>
      <c r="P26" s="26">
        <f>IFERROR(VLOOKUP(N26,'RISE 바이오TOP10액티브(과거)'!$B$11:$E$1000,4,0),0)</f>
        <v>2.68</v>
      </c>
      <c r="Q26" s="26">
        <f t="shared" si="10"/>
        <v>-0.94000000000000017</v>
      </c>
      <c r="R26" s="27">
        <f t="shared" si="11"/>
        <v>-0.35074626865671643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씨어스</v>
      </c>
      <c r="C27" s="26">
        <f>VLOOKUP(B27,'TIMEFOLIO K바이오액티브'!$B$11:$E$1000,4,0)</f>
        <v>1.67</v>
      </c>
      <c r="D27" s="26">
        <f>IFERROR(VLOOKUP(B27,'TIMEFOLIO K바이오액티브(과거)'!$B$11:$E$1000,4,0),0)</f>
        <v>1.58</v>
      </c>
      <c r="E27" s="20">
        <f t="shared" si="6"/>
        <v>8.9999999999999858E-2</v>
      </c>
      <c r="F27" s="21">
        <f t="shared" si="7"/>
        <v>5.6962025316455556E-2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0.88</v>
      </c>
      <c r="J27" s="26">
        <f>IFERROR(VLOOKUP(H27,'KoAct 바이오헬스케어액티브(과거)'!$B$11:$E$1000,4,0),0)</f>
        <v>0.87</v>
      </c>
      <c r="K27" s="26">
        <f t="shared" si="8"/>
        <v>1.0000000000000009E-2</v>
      </c>
      <c r="L27" s="27">
        <f t="shared" si="9"/>
        <v>1.1494252873563315E-2</v>
      </c>
      <c r="M27" s="62" t="str">
        <f>VLOOKUP(N27,유니버스!$C$14:$D$2561,2,0)</f>
        <v>KQ</v>
      </c>
      <c r="N27" s="26" t="str">
        <f>'RISE 바이오TOP10액티브'!B33</f>
        <v>HLB이노베이션</v>
      </c>
      <c r="O27" s="26">
        <f>VLOOKUP(N27,'RISE 바이오TOP10액티브'!$B$11:$E$1000,4,0)</f>
        <v>1.57</v>
      </c>
      <c r="P27" s="26">
        <f>IFERROR(VLOOKUP(N27,'RISE 바이오TOP10액티브(과거)'!$B$11:$E$1000,4,0),0)</f>
        <v>1.48</v>
      </c>
      <c r="Q27" s="26">
        <f t="shared" ref="Q27" si="12">O27-P27</f>
        <v>9.000000000000008E-2</v>
      </c>
      <c r="R27" s="27">
        <f t="shared" ref="R27" si="13">IFERROR(O27/P27-1,"신규편입")</f>
        <v>6.0810810810810967E-2</v>
      </c>
    </row>
    <row r="28" spans="1:18" x14ac:dyDescent="0.4">
      <c r="A28" s="62" t="str">
        <f>VLOOKUP(B28,유니버스!$C$14:$D$2561,2,0)</f>
        <v>KS</v>
      </c>
      <c r="B28" s="26" t="str">
        <f>'TIMEFOLIO K바이오액티브'!B34</f>
        <v>한올바이오파마</v>
      </c>
      <c r="C28" s="26">
        <f>VLOOKUP(B28,'TIMEFOLIO K바이오액티브'!$B$11:$E$1000,4,0)</f>
        <v>1.51</v>
      </c>
      <c r="D28" s="26">
        <f>IFERROR(VLOOKUP(B28,'TIMEFOLIO K바이오액티브(과거)'!$B$11:$E$1000,4,0),0)</f>
        <v>1.55</v>
      </c>
      <c r="E28" s="20">
        <f t="shared" si="6"/>
        <v>-4.0000000000000036E-2</v>
      </c>
      <c r="F28" s="21">
        <f t="shared" si="7"/>
        <v>-2.5806451612903292E-2</v>
      </c>
      <c r="G28" s="62" t="str">
        <f>VLOOKUP(H28,유니버스!$C$14:$D$2561,2,0)</f>
        <v>KQ</v>
      </c>
      <c r="H28" s="26" t="str">
        <f>'KoAct 바이오헬스케어액티브'!B34</f>
        <v>한스바이오메드</v>
      </c>
      <c r="I28" s="26">
        <f>VLOOKUP(H28,'KoAct 바이오헬스케어액티브'!$B$11:$E$1000,4,0)</f>
        <v>0.49</v>
      </c>
      <c r="J28" s="26">
        <f>IFERROR(VLOOKUP(H28,'KoAct 바이오헬스케어액티브(과거)'!$B$11:$E$1000,4,0),0)</f>
        <v>0.57999999999999996</v>
      </c>
      <c r="K28" s="26">
        <f t="shared" si="8"/>
        <v>-8.9999999999999969E-2</v>
      </c>
      <c r="L28" s="27">
        <f t="shared" si="9"/>
        <v>-0.15517241379310343</v>
      </c>
      <c r="M28" s="62" t="str">
        <f>VLOOKUP(N28,유니버스!$C$14:$D$2561,2,0)</f>
        <v>KQ</v>
      </c>
      <c r="N28" s="26" t="str">
        <f>'RISE 바이오TOP10액티브'!B34</f>
        <v>큐라클</v>
      </c>
      <c r="O28" s="26">
        <f>VLOOKUP(N28,'RISE 바이오TOP10액티브'!$B$11:$E$1000,4,0)</f>
        <v>1.32</v>
      </c>
      <c r="P28" s="26">
        <f>IFERROR(VLOOKUP(N28,'RISE 바이오TOP10액티브(과거)'!$B$11:$E$1000,4,0),0)</f>
        <v>0.99</v>
      </c>
      <c r="Q28" s="26">
        <f t="shared" ref="Q28:Q30" si="14">O28-P28</f>
        <v>0.33000000000000007</v>
      </c>
      <c r="R28" s="27">
        <f t="shared" ref="R28:R30" si="15">IFERROR(O28/P28-1,"신규편입")</f>
        <v>0.33333333333333348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파마리서치</v>
      </c>
      <c r="C29" s="26">
        <f>VLOOKUP(B29,'TIMEFOLIO K바이오액티브'!$B$11:$E$1000,4,0)</f>
        <v>1.23</v>
      </c>
      <c r="D29" s="26">
        <f>IFERROR(VLOOKUP(B29,'TIMEFOLIO K바이오액티브(과거)'!$B$11:$E$1000,4,0),0)</f>
        <v>1.1000000000000001</v>
      </c>
      <c r="E29" s="20">
        <f t="shared" si="6"/>
        <v>0.12999999999999989</v>
      </c>
      <c r="F29" s="21">
        <f t="shared" si="7"/>
        <v>0.11818181818181817</v>
      </c>
      <c r="G29" s="62" t="str">
        <f>VLOOKUP(H29,유니버스!$C$14:$D$2561,2,0)</f>
        <v>KQ</v>
      </c>
      <c r="H29" s="26" t="str">
        <f>'KoAct 바이오헬스케어액티브'!B35</f>
        <v>큐라클</v>
      </c>
      <c r="I29" s="26">
        <f>VLOOKUP(H29,'KoAct 바이오헬스케어액티브'!$B$11:$E$1000,4,0)</f>
        <v>0.42</v>
      </c>
      <c r="J29" s="26">
        <f>IFERROR(VLOOKUP(H29,'KoAct 바이오헬스케어액티브(과거)'!$B$11:$E$1000,4,0),0)</f>
        <v>0</v>
      </c>
      <c r="K29" s="26">
        <f t="shared" si="8"/>
        <v>0.42</v>
      </c>
      <c r="L29" s="27" t="str">
        <f t="shared" si="9"/>
        <v>신규편입</v>
      </c>
      <c r="M29" s="62" t="str">
        <f>VLOOKUP(N29,유니버스!$C$14:$D$2561,2,0)</f>
        <v>KQ</v>
      </c>
      <c r="N29" s="26" t="str">
        <f>'RISE 바이오TOP10액티브'!B35</f>
        <v>지투지바이오</v>
      </c>
      <c r="O29" s="26">
        <f>VLOOKUP(N29,'RISE 바이오TOP10액티브'!$B$11:$E$1000,4,0)</f>
        <v>1.1399999999999999</v>
      </c>
      <c r="P29" s="26">
        <f>IFERROR(VLOOKUP(N29,'RISE 바이오TOP10액티브(과거)'!$B$11:$E$1000,4,0),0)</f>
        <v>1.2</v>
      </c>
      <c r="Q29" s="26">
        <f t="shared" si="14"/>
        <v>-6.0000000000000053E-2</v>
      </c>
      <c r="R29" s="27">
        <f t="shared" si="15"/>
        <v>-5.0000000000000044E-2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케어젠</v>
      </c>
      <c r="C30" s="26">
        <f>VLOOKUP(B30,'TIMEFOLIO K바이오액티브'!$B$11:$E$1000,4,0)</f>
        <v>1.19</v>
      </c>
      <c r="D30" s="26">
        <f>IFERROR(VLOOKUP(B30,'TIMEFOLIO K바이오액티브(과거)'!$B$11:$E$1000,4,0),0)</f>
        <v>1.1200000000000001</v>
      </c>
      <c r="E30" s="20">
        <f t="shared" si="6"/>
        <v>6.999999999999984E-2</v>
      </c>
      <c r="F30" s="21">
        <f t="shared" si="7"/>
        <v>6.2499999999999778E-2</v>
      </c>
      <c r="G30" s="62" t="str">
        <f>VLOOKUP(H30,유니버스!$C$14:$D$2561,2,0)</f>
        <v>KQ</v>
      </c>
      <c r="H30" s="26" t="str">
        <f>'KoAct 바이오헬스케어액티브'!B36</f>
        <v>지투지바이오</v>
      </c>
      <c r="I30" s="26">
        <f>VLOOKUP(H30,'KoAct 바이오헬스케어액티브'!$B$11:$E$1000,4,0)</f>
        <v>0.41</v>
      </c>
      <c r="J30" s="26">
        <f>IFERROR(VLOOKUP(H30,'KoAct 바이오헬스케어액티브(과거)'!$B$11:$E$1000,4,0),0)</f>
        <v>0.44</v>
      </c>
      <c r="K30" s="26">
        <f t="shared" ref="K30:K33" si="16">I30-J30</f>
        <v>-3.0000000000000027E-2</v>
      </c>
      <c r="L30" s="27">
        <f t="shared" ref="L30:L33" si="17">IFERROR(I30/J30-1,"신규편입")</f>
        <v>-6.8181818181818232E-2</v>
      </c>
      <c r="M30" s="62" t="e">
        <f>VLOOKUP(N30,유니버스!$C$14:$D$2561,2,0)</f>
        <v>#N/A</v>
      </c>
      <c r="N30" s="26" t="str">
        <f>'RISE 바이오TOP10액티브'!B36</f>
        <v>원화현금</v>
      </c>
      <c r="O30" s="26">
        <f>VLOOKUP(N30,'RISE 바이오TOP10액티브'!$B$11:$E$1000,4,0)</f>
        <v>1.67</v>
      </c>
      <c r="P30" s="26">
        <f>IFERROR(VLOOKUP(N30,'RISE 바이오TOP10액티브(과거)'!$B$11:$E$1000,4,0),0)</f>
        <v>1.28</v>
      </c>
      <c r="Q30" s="26">
        <f t="shared" si="14"/>
        <v>0.3899999999999999</v>
      </c>
      <c r="R30" s="27">
        <f t="shared" si="15"/>
        <v>0.3046875</v>
      </c>
    </row>
    <row r="31" spans="1:18" x14ac:dyDescent="0.4">
      <c r="A31" s="62" t="str">
        <f>VLOOKUP(B31,유니버스!$C$14:$D$2561,2,0)</f>
        <v>KQ</v>
      </c>
      <c r="B31" s="26" t="str">
        <f>'TIMEFOLIO K바이오액티브'!B37</f>
        <v>리브스메드</v>
      </c>
      <c r="C31" s="26">
        <f>VLOOKUP(B31,'TIMEFOLIO K바이오액티브'!$B$11:$E$1000,4,0)</f>
        <v>1.1599999999999999</v>
      </c>
      <c r="D31" s="26">
        <f>IFERROR(VLOOKUP(B31,'TIMEFOLIO K바이오액티브(과거)'!$B$11:$E$1000,4,0),0)</f>
        <v>1.3</v>
      </c>
      <c r="E31" s="20">
        <f t="shared" si="6"/>
        <v>-0.14000000000000012</v>
      </c>
      <c r="F31" s="21">
        <f t="shared" si="7"/>
        <v>-0.10769230769230775</v>
      </c>
      <c r="G31" s="62" t="str">
        <f>VLOOKUP(H31,유니버스!$C$14:$D$2561,2,0)</f>
        <v>KQ</v>
      </c>
      <c r="H31" s="26" t="str">
        <f>'KoAct 바이오헬스케어액티브'!B37</f>
        <v>로킷헬스케어</v>
      </c>
      <c r="I31" s="26">
        <f>VLOOKUP(H31,'KoAct 바이오헬스케어액티브'!$B$11:$E$1000,4,0)</f>
        <v>0.39</v>
      </c>
      <c r="J31" s="26">
        <f>IFERROR(VLOOKUP(H31,'KoAct 바이오헬스케어액티브(과거)'!$B$11:$E$1000,4,0),0)</f>
        <v>0.45</v>
      </c>
      <c r="K31" s="26">
        <f t="shared" si="16"/>
        <v>-0.06</v>
      </c>
      <c r="L31" s="27">
        <f t="shared" si="17"/>
        <v>-0.1333333333333333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KS</v>
      </c>
      <c r="B32" s="26" t="str">
        <f>'TIMEFOLIO K바이오액티브'!B38</f>
        <v>일동제약</v>
      </c>
      <c r="C32" s="26">
        <f>VLOOKUP(B32,'TIMEFOLIO K바이오액티브'!$B$11:$E$1000,4,0)</f>
        <v>1.06</v>
      </c>
      <c r="D32" s="26">
        <f>IFERROR(VLOOKUP(B32,'TIMEFOLIO K바이오액티브(과거)'!$B$11:$E$1000,4,0),0)</f>
        <v>1.06</v>
      </c>
      <c r="E32" s="20">
        <f t="shared" si="6"/>
        <v>0</v>
      </c>
      <c r="F32" s="21">
        <f t="shared" si="7"/>
        <v>0</v>
      </c>
      <c r="G32" s="62" t="str">
        <f>VLOOKUP(H32,유니버스!$C$14:$D$2561,2,0)</f>
        <v>KS</v>
      </c>
      <c r="H32" s="26" t="str">
        <f>'KoAct 바이오헬스케어액티브'!B38</f>
        <v>일동제약</v>
      </c>
      <c r="I32" s="26">
        <f>VLOOKUP(H32,'KoAct 바이오헬스케어액티브'!$B$11:$E$1000,4,0)</f>
        <v>0.26</v>
      </c>
      <c r="J32" s="26">
        <f>IFERROR(VLOOKUP(H32,'KoAct 바이오헬스케어액티브(과거)'!$B$11:$E$1000,4,0),0)</f>
        <v>0.35</v>
      </c>
      <c r="K32" s="26">
        <f t="shared" si="16"/>
        <v>-8.9999999999999969E-2</v>
      </c>
      <c r="L32" s="27">
        <f t="shared" si="17"/>
        <v>-0.25714285714285712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고영</v>
      </c>
      <c r="C33" s="26">
        <f>VLOOKUP(B33,'TIMEFOLIO K바이오액티브'!$B$11:$E$1000,4,0)</f>
        <v>0.94</v>
      </c>
      <c r="D33" s="26">
        <f>IFERROR(VLOOKUP(B33,'TIMEFOLIO K바이오액티브(과거)'!$B$11:$E$1000,4,0),0)</f>
        <v>0.83</v>
      </c>
      <c r="E33" s="20">
        <f t="shared" si="6"/>
        <v>0.10999999999999999</v>
      </c>
      <c r="F33" s="21">
        <f t="shared" si="7"/>
        <v>0.1325301204819278</v>
      </c>
      <c r="G33" s="62" t="str">
        <f>VLOOKUP(H33,유니버스!$C$14:$D$2561,2,0)</f>
        <v>KS</v>
      </c>
      <c r="H33" s="26" t="str">
        <f>'KoAct 바이오헬스케어액티브'!B39</f>
        <v>삼성바이오로직스</v>
      </c>
      <c r="I33" s="26">
        <f>VLOOKUP(H33,'KoAct 바이오헬스케어액티브'!$B$11:$E$1000,4,0)</f>
        <v>0.16</v>
      </c>
      <c r="J33" s="26">
        <f>IFERROR(VLOOKUP(H33,'KoAct 바이오헬스케어액티브(과거)'!$B$11:$E$1000,4,0),0)</f>
        <v>0.14000000000000001</v>
      </c>
      <c r="K33" s="26">
        <f t="shared" si="16"/>
        <v>1.999999999999999E-2</v>
      </c>
      <c r="L33" s="27">
        <f t="shared" si="17"/>
        <v>0.14285714285714279</v>
      </c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네이처셀</v>
      </c>
      <c r="C34" s="26">
        <f>VLOOKUP(B34,'TIMEFOLIO K바이오액티브'!$B$11:$E$1000,4,0)</f>
        <v>0.92</v>
      </c>
      <c r="D34" s="26">
        <f>IFERROR(VLOOKUP(B34,'TIMEFOLIO K바이오액티브(과거)'!$B$11:$E$1000,4,0),0)</f>
        <v>0.75</v>
      </c>
      <c r="E34" s="20">
        <f t="shared" si="6"/>
        <v>0.17000000000000004</v>
      </c>
      <c r="F34" s="21">
        <f t="shared" si="7"/>
        <v>0.22666666666666679</v>
      </c>
      <c r="G34" s="62" t="e">
        <f>VLOOKUP(H34,유니버스!$C$14:$D$2561,2,0)</f>
        <v>#N/A</v>
      </c>
      <c r="H34" s="26" t="str">
        <f>'KoAct 바이오헬스케어액티브'!B40</f>
        <v>원화현금</v>
      </c>
      <c r="I34" s="26">
        <f>VLOOKUP(H34,'KoAct 바이오헬스케어액티브'!$B$11:$E$1000,4,0)</f>
        <v>0.33</v>
      </c>
      <c r="J34" s="26">
        <f>IFERROR(VLOOKUP(H34,'KoAct 바이오헬스케어액티브(과거)'!$B$11:$E$1000,4,0),0)</f>
        <v>0.6</v>
      </c>
      <c r="K34" s="26">
        <f t="shared" ref="K34" si="18">I34-J34</f>
        <v>-0.26999999999999996</v>
      </c>
      <c r="L34" s="27">
        <f t="shared" ref="L34" si="19">IFERROR(I34/J34-1,"신규편입")</f>
        <v>-0.44999999999999996</v>
      </c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에임드바이오</v>
      </c>
      <c r="C35" s="26">
        <f>VLOOKUP(B35,'TIMEFOLIO K바이오액티브'!$B$11:$E$1000,4,0)</f>
        <v>0.79</v>
      </c>
      <c r="D35" s="26">
        <f>IFERROR(VLOOKUP(B35,'TIMEFOLIO K바이오액티브(과거)'!$B$11:$E$1000,4,0),0)</f>
        <v>0.87</v>
      </c>
      <c r="E35" s="20">
        <f t="shared" si="6"/>
        <v>-7.999999999999996E-2</v>
      </c>
      <c r="F35" s="21">
        <f t="shared" si="7"/>
        <v>-9.1954022988505746E-2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str">
        <f>VLOOKUP(B36,유니버스!$C$14:$D$2561,2,0)</f>
        <v>KQ</v>
      </c>
      <c r="B36" s="26" t="str">
        <f>'TIMEFOLIO K바이오액티브'!B42</f>
        <v>앱클론</v>
      </c>
      <c r="C36" s="26">
        <f>VLOOKUP(B36,'TIMEFOLIO K바이오액티브'!$B$11:$E$1000,4,0)</f>
        <v>0.63</v>
      </c>
      <c r="D36" s="26">
        <f>IFERROR(VLOOKUP(B36,'TIMEFOLIO K바이오액티브(과거)'!$B$11:$E$1000,4,0),0)</f>
        <v>0.7</v>
      </c>
      <c r="E36" s="20">
        <f t="shared" si="6"/>
        <v>-6.9999999999999951E-2</v>
      </c>
      <c r="F36" s="21">
        <f t="shared" si="7"/>
        <v>-9.9999999999999978E-2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HK이노엔</v>
      </c>
      <c r="C37" s="26">
        <f>VLOOKUP(B37,'TIMEFOLIO K바이오액티브'!$B$11:$E$1000,4,0)</f>
        <v>0.61</v>
      </c>
      <c r="D37" s="26">
        <f>IFERROR(VLOOKUP(B37,'TIMEFOLIO K바이오액티브(과거)'!$B$11:$E$1000,4,0),0)</f>
        <v>0.56999999999999995</v>
      </c>
      <c r="E37" s="20">
        <f t="shared" si="6"/>
        <v>4.0000000000000036E-2</v>
      </c>
      <c r="F37" s="21">
        <f t="shared" si="7"/>
        <v>7.0175438596491224E-2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0.55000000000000004</v>
      </c>
      <c r="D38" s="26">
        <f>IFERROR(VLOOKUP(B38,'TIMEFOLIO K바이오액티브(과거)'!$B$11:$E$1000,4,0),0)</f>
        <v>0.56999999999999995</v>
      </c>
      <c r="E38" s="20">
        <f t="shared" si="6"/>
        <v>-1.9999999999999907E-2</v>
      </c>
      <c r="F38" s="21">
        <f t="shared" si="7"/>
        <v>-3.5087719298245501E-2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e">
        <f>VLOOKUP(B39,유니버스!$C$14:$D$2561,2,0)</f>
        <v>#N/A</v>
      </c>
      <c r="B39" s="26" t="str">
        <f>'TIMEFOLIO K바이오액티브'!B45</f>
        <v>메쥬</v>
      </c>
      <c r="C39" s="26">
        <f>VLOOKUP(B39,'TIMEFOLIO K바이오액티브'!$B$11:$E$1000,4,0)</f>
        <v>0.55000000000000004</v>
      </c>
      <c r="D39" s="26">
        <f>IFERROR(VLOOKUP(B39,'TIMEFOLIO K바이오액티브(과거)'!$B$11:$E$1000,4,0),0)</f>
        <v>0.64</v>
      </c>
      <c r="E39" s="20">
        <f t="shared" ref="E39:E41" si="20">C39-D39</f>
        <v>-8.9999999999999969E-2</v>
      </c>
      <c r="F39" s="21">
        <f t="shared" ref="F39:F41" si="21">IFERROR(C39/D39-1,"신규편입")</f>
        <v>-0.140625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str">
        <f>VLOOKUP(B40,유니버스!$C$14:$D$2561,2,0)</f>
        <v>KQ</v>
      </c>
      <c r="B40" s="26" t="str">
        <f>'TIMEFOLIO K바이오액티브'!B46</f>
        <v>지아이이노베이션</v>
      </c>
      <c r="C40" s="26">
        <f>VLOOKUP(B40,'TIMEFOLIO K바이오액티브'!$B$11:$E$1000,4,0)</f>
        <v>0.39</v>
      </c>
      <c r="D40" s="26">
        <f>IFERROR(VLOOKUP(B40,'TIMEFOLIO K바이오액티브(과거)'!$B$11:$E$1000,4,0),0)</f>
        <v>0.36</v>
      </c>
      <c r="E40" s="20">
        <f t="shared" si="20"/>
        <v>3.0000000000000027E-2</v>
      </c>
      <c r="F40" s="21">
        <f t="shared" si="21"/>
        <v>8.3333333333333481E-2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 t="str">
        <f>'TIMEFOLIO K바이오액티브'!B47</f>
        <v>원화현금</v>
      </c>
      <c r="C41" s="26">
        <f>VLOOKUP(B41,'TIMEFOLIO K바이오액티브'!$B$11:$E$1000,4,0)</f>
        <v>1.1599999999999999</v>
      </c>
      <c r="D41" s="26">
        <f>IFERROR(VLOOKUP(B41,'TIMEFOLIO K바이오액티브(과거)'!$B$11:$E$1000,4,0),0)</f>
        <v>0.97</v>
      </c>
      <c r="E41" s="20">
        <f t="shared" si="20"/>
        <v>0.18999999999999995</v>
      </c>
      <c r="F41" s="21">
        <f t="shared" si="21"/>
        <v>0.19587628865979378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="130" zoomScaleNormal="130" workbookViewId="0">
      <pane xSplit="4" ySplit="13" topLeftCell="F24" activePane="bottomRight" state="frozen"/>
      <selection activeCell="G24" sqref="G24"/>
      <selection pane="topRight" activeCell="G24" sqref="G24"/>
      <selection pane="bottomLeft" activeCell="G24" sqref="G24"/>
      <selection pane="bottomRight" activeCell="G24" sqref="G2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5218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777</v>
      </c>
      <c r="C3" s="40"/>
      <c r="D3" s="40"/>
    </row>
    <row r="4" spans="1:11" x14ac:dyDescent="0.4">
      <c r="B4" s="41" t="s">
        <v>778</v>
      </c>
      <c r="C4" s="41" t="s">
        <v>779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780</v>
      </c>
      <c r="C5" s="43" t="s">
        <v>781</v>
      </c>
      <c r="D5" s="43" t="s">
        <v>782</v>
      </c>
      <c r="F5" s="44"/>
      <c r="G5" s="44"/>
      <c r="H5" s="44"/>
    </row>
    <row r="6" spans="1:11" ht="12" thickBot="1" x14ac:dyDescent="0.45">
      <c r="B6" s="45" t="s">
        <v>783</v>
      </c>
      <c r="C6" s="46">
        <v>20260227</v>
      </c>
      <c r="D6" s="45" t="s">
        <v>784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785</v>
      </c>
      <c r="D9" s="48" t="s">
        <v>786</v>
      </c>
      <c r="E9" s="48" t="s">
        <v>787</v>
      </c>
      <c r="F9" s="48" t="s">
        <v>788</v>
      </c>
      <c r="G9" s="48" t="s">
        <v>789</v>
      </c>
      <c r="H9" s="45"/>
    </row>
    <row r="10" spans="1:11" ht="12" thickBot="1" x14ac:dyDescent="0.45">
      <c r="B10" s="68"/>
      <c r="C10" s="68" t="s">
        <v>790</v>
      </c>
      <c r="D10" s="68"/>
      <c r="E10" s="46">
        <f>C6</f>
        <v>20260227</v>
      </c>
      <c r="F10" s="46">
        <f>C6</f>
        <v>20260227</v>
      </c>
      <c r="G10" s="68"/>
      <c r="H10" s="45"/>
    </row>
    <row r="11" spans="1:11" ht="12" thickBot="1" x14ac:dyDescent="0.45">
      <c r="A11" s="49"/>
      <c r="B11" s="68"/>
      <c r="C11" s="68" t="s">
        <v>791</v>
      </c>
      <c r="D11" s="68" t="s">
        <v>792</v>
      </c>
      <c r="E11" s="68" t="s">
        <v>793</v>
      </c>
      <c r="F11" s="68" t="s">
        <v>794</v>
      </c>
      <c r="G11" s="68" t="s">
        <v>795</v>
      </c>
      <c r="H11" s="45"/>
    </row>
    <row r="12" spans="1:11" x14ac:dyDescent="0.4">
      <c r="B12" s="69"/>
      <c r="C12" s="69" t="s">
        <v>796</v>
      </c>
      <c r="D12" s="68"/>
      <c r="E12" s="68"/>
      <c r="F12" s="68"/>
      <c r="G12" s="50">
        <f>C6</f>
        <v>20260227</v>
      </c>
      <c r="H12" s="45"/>
    </row>
    <row r="13" spans="1:11" x14ac:dyDescent="0.4">
      <c r="B13" s="51" t="s">
        <v>797</v>
      </c>
      <c r="C13" s="52" t="s">
        <v>798</v>
      </c>
      <c r="D13" s="52" t="s">
        <v>799</v>
      </c>
      <c r="E13" s="52" t="s">
        <v>800</v>
      </c>
      <c r="F13" s="52" t="s">
        <v>801</v>
      </c>
      <c r="G13" s="52" t="s">
        <v>802</v>
      </c>
      <c r="H13" s="53"/>
    </row>
    <row r="14" spans="1:11" x14ac:dyDescent="0.4">
      <c r="A14" s="49"/>
      <c r="B14" s="54" t="s">
        <v>803</v>
      </c>
      <c r="C14" s="37" t="s">
        <v>804</v>
      </c>
      <c r="D14" s="55" t="s">
        <v>805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806</v>
      </c>
      <c r="C15" s="37" t="s">
        <v>807</v>
      </c>
      <c r="D15" s="55" t="s">
        <v>805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808</v>
      </c>
      <c r="C16" s="37" t="s">
        <v>809</v>
      </c>
      <c r="D16" s="55" t="s">
        <v>805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810</v>
      </c>
      <c r="C17" s="37" t="s">
        <v>811</v>
      </c>
      <c r="D17" s="55" t="s">
        <v>805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812</v>
      </c>
      <c r="C18" s="37" t="s">
        <v>813</v>
      </c>
      <c r="D18" s="55" t="s">
        <v>805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751</v>
      </c>
      <c r="C19" s="37" t="s">
        <v>752</v>
      </c>
      <c r="D19" s="55" t="s">
        <v>805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805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814</v>
      </c>
      <c r="C21" s="37" t="s">
        <v>815</v>
      </c>
      <c r="D21" s="55" t="s">
        <v>805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805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816</v>
      </c>
      <c r="C23" s="37" t="s">
        <v>817</v>
      </c>
      <c r="D23" s="55" t="s">
        <v>805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818</v>
      </c>
      <c r="C24" s="37" t="s">
        <v>819</v>
      </c>
      <c r="D24" s="55" t="s">
        <v>820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821</v>
      </c>
      <c r="C25" s="37" t="s">
        <v>822</v>
      </c>
      <c r="D25" s="55" t="s">
        <v>805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823</v>
      </c>
      <c r="C26" s="37" t="s">
        <v>824</v>
      </c>
      <c r="D26" s="55" t="s">
        <v>805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825</v>
      </c>
      <c r="C27" s="37" t="s">
        <v>826</v>
      </c>
      <c r="D27" s="55" t="s">
        <v>805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827</v>
      </c>
      <c r="C28" s="37" t="s">
        <v>828</v>
      </c>
      <c r="D28" s="55" t="s">
        <v>805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820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805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829</v>
      </c>
      <c r="C31" s="37" t="s">
        <v>830</v>
      </c>
      <c r="D31" s="55" t="s">
        <v>805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831</v>
      </c>
      <c r="C32" s="37" t="s">
        <v>832</v>
      </c>
      <c r="D32" s="55" t="s">
        <v>805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833</v>
      </c>
      <c r="C33" s="37" t="s">
        <v>834</v>
      </c>
      <c r="D33" s="55" t="s">
        <v>805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835</v>
      </c>
      <c r="C34" s="37" t="s">
        <v>5206</v>
      </c>
      <c r="D34" s="55" t="s">
        <v>805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836</v>
      </c>
      <c r="C35" s="37" t="s">
        <v>837</v>
      </c>
      <c r="D35" s="55" t="s">
        <v>805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838</v>
      </c>
      <c r="C36" s="37" t="s">
        <v>839</v>
      </c>
      <c r="D36" s="55" t="s">
        <v>805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840</v>
      </c>
      <c r="C37" s="37" t="s">
        <v>841</v>
      </c>
      <c r="D37" s="55" t="s">
        <v>820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842</v>
      </c>
      <c r="C38" s="37" t="s">
        <v>843</v>
      </c>
      <c r="D38" s="55" t="s">
        <v>805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844</v>
      </c>
      <c r="C39" s="37" t="s">
        <v>845</v>
      </c>
      <c r="D39" s="55" t="s">
        <v>805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846</v>
      </c>
      <c r="C40" s="37" t="s">
        <v>847</v>
      </c>
      <c r="D40" s="55" t="s">
        <v>820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848</v>
      </c>
      <c r="C41" s="37" t="s">
        <v>849</v>
      </c>
      <c r="D41" s="55" t="s">
        <v>805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850</v>
      </c>
      <c r="C42" s="37" t="s">
        <v>851</v>
      </c>
      <c r="D42" s="55" t="s">
        <v>805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852</v>
      </c>
      <c r="C43" s="37" t="s">
        <v>853</v>
      </c>
      <c r="D43" s="55" t="s">
        <v>805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854</v>
      </c>
      <c r="C44" s="37" t="s">
        <v>855</v>
      </c>
      <c r="D44" s="55" t="s">
        <v>805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856</v>
      </c>
      <c r="C45" s="37" t="s">
        <v>857</v>
      </c>
      <c r="D45" s="55" t="s">
        <v>805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858</v>
      </c>
      <c r="C46" s="37" t="s">
        <v>859</v>
      </c>
      <c r="D46" s="55" t="s">
        <v>805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805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860</v>
      </c>
      <c r="C48" s="37" t="s">
        <v>861</v>
      </c>
      <c r="D48" s="55" t="s">
        <v>805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862</v>
      </c>
      <c r="C49" s="37" t="s">
        <v>863</v>
      </c>
      <c r="D49" s="55" t="s">
        <v>805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864</v>
      </c>
      <c r="C50" s="37" t="s">
        <v>865</v>
      </c>
      <c r="D50" s="55" t="s">
        <v>805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805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866</v>
      </c>
      <c r="C52" s="37" t="s">
        <v>867</v>
      </c>
      <c r="D52" s="55" t="s">
        <v>805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868</v>
      </c>
      <c r="C53" s="37" t="s">
        <v>869</v>
      </c>
      <c r="D53" s="55" t="s">
        <v>820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805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870</v>
      </c>
      <c r="C55" s="37" t="s">
        <v>871</v>
      </c>
      <c r="D55" s="55" t="s">
        <v>805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872</v>
      </c>
      <c r="C56" s="37" t="s">
        <v>873</v>
      </c>
      <c r="D56" s="55" t="s">
        <v>805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805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874</v>
      </c>
      <c r="C58" s="37" t="s">
        <v>875</v>
      </c>
      <c r="D58" s="55" t="s">
        <v>805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876</v>
      </c>
      <c r="C59" s="37" t="s">
        <v>877</v>
      </c>
      <c r="D59" s="55" t="s">
        <v>820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878</v>
      </c>
      <c r="C60" s="37" t="s">
        <v>879</v>
      </c>
      <c r="D60" s="55" t="s">
        <v>805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880</v>
      </c>
      <c r="C61" s="37" t="s">
        <v>881</v>
      </c>
      <c r="D61" s="55" t="s">
        <v>805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882</v>
      </c>
      <c r="C62" s="37" t="s">
        <v>883</v>
      </c>
      <c r="D62" s="55" t="s">
        <v>805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805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820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884</v>
      </c>
      <c r="C65" s="37" t="s">
        <v>885</v>
      </c>
      <c r="D65" s="55" t="s">
        <v>820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886</v>
      </c>
      <c r="C66" s="37" t="s">
        <v>887</v>
      </c>
      <c r="D66" s="55" t="s">
        <v>805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805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805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888</v>
      </c>
      <c r="C69" s="37" t="s">
        <v>889</v>
      </c>
      <c r="D69" s="55" t="s">
        <v>805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890</v>
      </c>
      <c r="C70" s="37" t="s">
        <v>891</v>
      </c>
      <c r="D70" s="55" t="s">
        <v>805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892</v>
      </c>
      <c r="C71" s="37" t="s">
        <v>893</v>
      </c>
      <c r="D71" s="55" t="s">
        <v>820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894</v>
      </c>
      <c r="C72" s="37" t="s">
        <v>895</v>
      </c>
      <c r="D72" s="55" t="s">
        <v>805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896</v>
      </c>
      <c r="C73" s="37" t="s">
        <v>897</v>
      </c>
      <c r="D73" s="55" t="s">
        <v>805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898</v>
      </c>
      <c r="C74" s="37" t="s">
        <v>899</v>
      </c>
      <c r="D74" s="55" t="s">
        <v>805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900</v>
      </c>
      <c r="C75" s="37" t="s">
        <v>901</v>
      </c>
      <c r="D75" s="55" t="s">
        <v>805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902</v>
      </c>
      <c r="C76" s="37" t="s">
        <v>903</v>
      </c>
      <c r="D76" s="55" t="s">
        <v>805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904</v>
      </c>
      <c r="C77" s="37" t="s">
        <v>905</v>
      </c>
      <c r="D77" s="55" t="s">
        <v>805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906</v>
      </c>
      <c r="C78" s="37" t="s">
        <v>907</v>
      </c>
      <c r="D78" s="55" t="s">
        <v>805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908</v>
      </c>
      <c r="C79" s="37" t="s">
        <v>909</v>
      </c>
      <c r="D79" s="55" t="s">
        <v>805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910</v>
      </c>
      <c r="C80" s="37" t="s">
        <v>911</v>
      </c>
      <c r="D80" s="55" t="s">
        <v>805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912</v>
      </c>
      <c r="C81" s="37" t="s">
        <v>913</v>
      </c>
      <c r="D81" s="55" t="s">
        <v>805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914</v>
      </c>
      <c r="C82" s="37" t="s">
        <v>915</v>
      </c>
      <c r="D82" s="55" t="s">
        <v>805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916</v>
      </c>
      <c r="C83" s="37" t="s">
        <v>917</v>
      </c>
      <c r="D83" s="55" t="s">
        <v>805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918</v>
      </c>
      <c r="C84" s="37" t="s">
        <v>919</v>
      </c>
      <c r="D84" s="55" t="s">
        <v>805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920</v>
      </c>
      <c r="C85" s="37" t="s">
        <v>921</v>
      </c>
      <c r="D85" s="55" t="s">
        <v>820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922</v>
      </c>
      <c r="C86" s="37" t="s">
        <v>923</v>
      </c>
      <c r="D86" s="55" t="s">
        <v>805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805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805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924</v>
      </c>
      <c r="C89" s="37" t="s">
        <v>925</v>
      </c>
      <c r="D89" s="55" t="s">
        <v>805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926</v>
      </c>
      <c r="C90" s="37" t="s">
        <v>927</v>
      </c>
      <c r="D90" s="55" t="s">
        <v>805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928</v>
      </c>
      <c r="C91" s="37" t="s">
        <v>929</v>
      </c>
      <c r="D91" s="55" t="s">
        <v>805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930</v>
      </c>
      <c r="C92" s="37" t="s">
        <v>931</v>
      </c>
      <c r="D92" s="55" t="s">
        <v>805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932</v>
      </c>
      <c r="C93" s="37" t="s">
        <v>933</v>
      </c>
      <c r="D93" s="55" t="s">
        <v>805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934</v>
      </c>
      <c r="C94" s="37" t="s">
        <v>935</v>
      </c>
      <c r="D94" s="55" t="s">
        <v>805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936</v>
      </c>
      <c r="C95" s="37" t="s">
        <v>937</v>
      </c>
      <c r="D95" s="55" t="s">
        <v>805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938</v>
      </c>
      <c r="C96" s="37" t="s">
        <v>939</v>
      </c>
      <c r="D96" s="55" t="s">
        <v>820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940</v>
      </c>
      <c r="C97" s="37" t="s">
        <v>941</v>
      </c>
      <c r="D97" s="55" t="s">
        <v>805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942</v>
      </c>
      <c r="C98" s="37" t="s">
        <v>943</v>
      </c>
      <c r="D98" s="55" t="s">
        <v>805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944</v>
      </c>
      <c r="C99" s="37" t="s">
        <v>945</v>
      </c>
      <c r="D99" s="55" t="s">
        <v>805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946</v>
      </c>
      <c r="C100" s="37" t="s">
        <v>947</v>
      </c>
      <c r="D100" s="55" t="s">
        <v>820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948</v>
      </c>
      <c r="C101" s="37" t="s">
        <v>949</v>
      </c>
      <c r="D101" s="55" t="s">
        <v>820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950</v>
      </c>
      <c r="C102" s="37" t="s">
        <v>951</v>
      </c>
      <c r="D102" s="55" t="s">
        <v>820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952</v>
      </c>
      <c r="C103" s="37" t="s">
        <v>953</v>
      </c>
      <c r="D103" s="55" t="s">
        <v>805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954</v>
      </c>
      <c r="C104" s="37" t="s">
        <v>955</v>
      </c>
      <c r="D104" s="55" t="s">
        <v>805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956</v>
      </c>
      <c r="C105" s="37" t="s">
        <v>957</v>
      </c>
      <c r="D105" s="55" t="s">
        <v>805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958</v>
      </c>
      <c r="C106" s="37" t="s">
        <v>959</v>
      </c>
      <c r="D106" s="55" t="s">
        <v>805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960</v>
      </c>
      <c r="C107" s="37" t="s">
        <v>961</v>
      </c>
      <c r="D107" s="55" t="s">
        <v>805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962</v>
      </c>
      <c r="C108" s="37" t="s">
        <v>963</v>
      </c>
      <c r="D108" s="55" t="s">
        <v>805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964</v>
      </c>
      <c r="C109" s="37" t="s">
        <v>965</v>
      </c>
      <c r="D109" s="55" t="s">
        <v>805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966</v>
      </c>
      <c r="C110" s="37" t="s">
        <v>967</v>
      </c>
      <c r="D110" s="55" t="s">
        <v>805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968</v>
      </c>
      <c r="C111" s="37" t="s">
        <v>969</v>
      </c>
      <c r="D111" s="55" t="s">
        <v>805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805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970</v>
      </c>
      <c r="C113" s="37" t="s">
        <v>971</v>
      </c>
      <c r="D113" s="55" t="s">
        <v>820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972</v>
      </c>
      <c r="C114" s="37" t="s">
        <v>973</v>
      </c>
      <c r="D114" s="55" t="s">
        <v>805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974</v>
      </c>
      <c r="C115" s="37" t="s">
        <v>975</v>
      </c>
      <c r="D115" s="55" t="s">
        <v>820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976</v>
      </c>
      <c r="C116" s="37" t="s">
        <v>977</v>
      </c>
      <c r="D116" s="55" t="s">
        <v>805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978</v>
      </c>
      <c r="C117" s="37" t="s">
        <v>979</v>
      </c>
      <c r="D117" s="55" t="s">
        <v>805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980</v>
      </c>
      <c r="C118" s="37" t="s">
        <v>981</v>
      </c>
      <c r="D118" s="55" t="s">
        <v>805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982</v>
      </c>
      <c r="C119" s="37" t="s">
        <v>983</v>
      </c>
      <c r="D119" s="55" t="s">
        <v>805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984</v>
      </c>
      <c r="C120" s="37" t="s">
        <v>985</v>
      </c>
      <c r="D120" s="55" t="s">
        <v>805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986</v>
      </c>
      <c r="C121" s="37" t="s">
        <v>987</v>
      </c>
      <c r="D121" s="55" t="s">
        <v>805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988</v>
      </c>
      <c r="C122" s="37" t="s">
        <v>989</v>
      </c>
      <c r="D122" s="55" t="s">
        <v>805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990</v>
      </c>
      <c r="C123" s="37" t="s">
        <v>5184</v>
      </c>
      <c r="D123" s="55" t="s">
        <v>805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991</v>
      </c>
      <c r="C124" s="37" t="s">
        <v>992</v>
      </c>
      <c r="D124" s="55" t="s">
        <v>805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993</v>
      </c>
      <c r="C125" s="37" t="s">
        <v>994</v>
      </c>
      <c r="D125" s="55" t="s">
        <v>805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995</v>
      </c>
      <c r="C126" s="37" t="s">
        <v>996</v>
      </c>
      <c r="D126" s="55" t="s">
        <v>805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997</v>
      </c>
      <c r="C127" s="37" t="s">
        <v>998</v>
      </c>
      <c r="D127" s="55" t="s">
        <v>820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999</v>
      </c>
      <c r="C128" s="37" t="s">
        <v>1000</v>
      </c>
      <c r="D128" s="55" t="s">
        <v>805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1001</v>
      </c>
      <c r="C129" s="37" t="s">
        <v>1002</v>
      </c>
      <c r="D129" s="55" t="s">
        <v>820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1003</v>
      </c>
      <c r="C130" s="37" t="s">
        <v>1004</v>
      </c>
      <c r="D130" s="55" t="s">
        <v>805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1005</v>
      </c>
      <c r="C131" s="37" t="s">
        <v>1006</v>
      </c>
      <c r="D131" s="55" t="s">
        <v>805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1007</v>
      </c>
      <c r="C132" s="37" t="s">
        <v>1008</v>
      </c>
      <c r="D132" s="55" t="s">
        <v>805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1009</v>
      </c>
      <c r="C133" s="37" t="s">
        <v>1010</v>
      </c>
      <c r="D133" s="55" t="s">
        <v>805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805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1011</v>
      </c>
      <c r="C135" s="37" t="s">
        <v>1012</v>
      </c>
      <c r="D135" s="55" t="s">
        <v>805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1013</v>
      </c>
      <c r="C136" s="37" t="s">
        <v>1014</v>
      </c>
      <c r="D136" s="55" t="s">
        <v>805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1015</v>
      </c>
      <c r="C137" s="37" t="s">
        <v>1016</v>
      </c>
      <c r="D137" s="55" t="s">
        <v>805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1017</v>
      </c>
      <c r="C138" s="37" t="s">
        <v>1018</v>
      </c>
      <c r="D138" s="55" t="s">
        <v>805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1019</v>
      </c>
      <c r="C139" s="37" t="s">
        <v>1020</v>
      </c>
      <c r="D139" s="55" t="s">
        <v>805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1021</v>
      </c>
      <c r="C140" s="37" t="s">
        <v>1022</v>
      </c>
      <c r="D140" s="55" t="s">
        <v>805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1023</v>
      </c>
      <c r="C141" s="37" t="s">
        <v>1024</v>
      </c>
      <c r="D141" s="55" t="s">
        <v>805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1025</v>
      </c>
      <c r="C142" s="37" t="s">
        <v>1026</v>
      </c>
      <c r="D142" s="55" t="s">
        <v>805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1027</v>
      </c>
      <c r="C143" s="37" t="s">
        <v>1028</v>
      </c>
      <c r="D143" s="55" t="s">
        <v>820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1029</v>
      </c>
      <c r="C144" s="37" t="s">
        <v>1030</v>
      </c>
      <c r="D144" s="55" t="s">
        <v>805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1031</v>
      </c>
      <c r="C145" s="37" t="s">
        <v>1032</v>
      </c>
      <c r="D145" s="55" t="s">
        <v>805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1033</v>
      </c>
      <c r="C146" s="37" t="s">
        <v>1034</v>
      </c>
      <c r="D146" s="55" t="s">
        <v>805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1035</v>
      </c>
      <c r="C147" s="37" t="s">
        <v>1036</v>
      </c>
      <c r="D147" s="55" t="s">
        <v>805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1037</v>
      </c>
      <c r="C148" s="37" t="s">
        <v>1038</v>
      </c>
      <c r="D148" s="55" t="s">
        <v>805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1039</v>
      </c>
      <c r="C149" s="37" t="s">
        <v>1040</v>
      </c>
      <c r="D149" s="55" t="s">
        <v>805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1041</v>
      </c>
      <c r="C150" s="37" t="s">
        <v>1042</v>
      </c>
      <c r="D150" s="55" t="s">
        <v>805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1043</v>
      </c>
      <c r="C151" s="37" t="s">
        <v>1044</v>
      </c>
      <c r="D151" s="55" t="s">
        <v>820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1045</v>
      </c>
      <c r="C152" s="37" t="s">
        <v>1046</v>
      </c>
      <c r="D152" s="55" t="s">
        <v>805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1047</v>
      </c>
      <c r="C153" s="37" t="s">
        <v>1048</v>
      </c>
      <c r="D153" s="55" t="s">
        <v>805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1049</v>
      </c>
      <c r="C154" s="37" t="s">
        <v>1050</v>
      </c>
      <c r="D154" s="55" t="s">
        <v>805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1051</v>
      </c>
      <c r="C155" s="37" t="s">
        <v>1052</v>
      </c>
      <c r="D155" s="55" t="s">
        <v>805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1053</v>
      </c>
      <c r="C156" s="37" t="s">
        <v>5174</v>
      </c>
      <c r="D156" s="55" t="s">
        <v>805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1054</v>
      </c>
      <c r="C157" s="37" t="s">
        <v>1055</v>
      </c>
      <c r="D157" s="55" t="s">
        <v>805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1056</v>
      </c>
      <c r="C158" s="37" t="s">
        <v>1057</v>
      </c>
      <c r="D158" s="55" t="s">
        <v>805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1058</v>
      </c>
      <c r="C159" s="37" t="s">
        <v>1059</v>
      </c>
      <c r="D159" s="55" t="s">
        <v>805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1060</v>
      </c>
      <c r="C160" s="37" t="s">
        <v>1061</v>
      </c>
      <c r="D160" s="55" t="s">
        <v>805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1062</v>
      </c>
      <c r="C161" s="37" t="s">
        <v>1063</v>
      </c>
      <c r="D161" s="55" t="s">
        <v>805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1064</v>
      </c>
      <c r="C162" s="37" t="s">
        <v>1065</v>
      </c>
      <c r="D162" s="55" t="s">
        <v>805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805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1066</v>
      </c>
      <c r="C164" s="37" t="s">
        <v>1067</v>
      </c>
      <c r="D164" s="55" t="s">
        <v>805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1068</v>
      </c>
      <c r="C165" s="37" t="s">
        <v>1069</v>
      </c>
      <c r="D165" s="55" t="s">
        <v>805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1070</v>
      </c>
      <c r="C166" s="37" t="s">
        <v>1071</v>
      </c>
      <c r="D166" s="55" t="s">
        <v>805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1072</v>
      </c>
      <c r="C167" s="37" t="s">
        <v>1073</v>
      </c>
      <c r="D167" s="55" t="s">
        <v>805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1074</v>
      </c>
      <c r="C168" s="37" t="s">
        <v>1075</v>
      </c>
      <c r="D168" s="55" t="s">
        <v>820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1076</v>
      </c>
      <c r="C169" s="37" t="s">
        <v>1077</v>
      </c>
      <c r="D169" s="55" t="s">
        <v>805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805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1078</v>
      </c>
      <c r="C171" s="37" t="s">
        <v>1079</v>
      </c>
      <c r="D171" s="55" t="s">
        <v>805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1080</v>
      </c>
      <c r="C172" s="37" t="s">
        <v>1081</v>
      </c>
      <c r="D172" s="55" t="s">
        <v>805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805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805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1082</v>
      </c>
      <c r="C175" s="37" t="s">
        <v>1083</v>
      </c>
      <c r="D175" s="55" t="s">
        <v>805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1084</v>
      </c>
      <c r="C176" s="37" t="s">
        <v>1085</v>
      </c>
      <c r="D176" s="55" t="s">
        <v>805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1086</v>
      </c>
      <c r="C177" s="37" t="s">
        <v>1087</v>
      </c>
      <c r="D177" s="55" t="s">
        <v>820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1088</v>
      </c>
      <c r="C178" s="37" t="s">
        <v>1089</v>
      </c>
      <c r="D178" s="55" t="s">
        <v>805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820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1090</v>
      </c>
      <c r="C180" s="37" t="s">
        <v>1091</v>
      </c>
      <c r="D180" s="55" t="s">
        <v>805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1092</v>
      </c>
      <c r="C181" s="37" t="s">
        <v>1093</v>
      </c>
      <c r="D181" s="55" t="s">
        <v>805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1094</v>
      </c>
      <c r="C182" s="37" t="s">
        <v>1095</v>
      </c>
      <c r="D182" s="55" t="s">
        <v>805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805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1096</v>
      </c>
      <c r="C184" s="37" t="s">
        <v>1097</v>
      </c>
      <c r="D184" s="55" t="s">
        <v>805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805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805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1098</v>
      </c>
      <c r="C187" s="37" t="s">
        <v>1099</v>
      </c>
      <c r="D187" s="55" t="s">
        <v>805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1100</v>
      </c>
      <c r="C188" s="37" t="s">
        <v>1101</v>
      </c>
      <c r="D188" s="55" t="s">
        <v>805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1102</v>
      </c>
      <c r="C189" s="37" t="s">
        <v>1103</v>
      </c>
      <c r="D189" s="55" t="s">
        <v>805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1104</v>
      </c>
      <c r="C190" s="37" t="s">
        <v>1105</v>
      </c>
      <c r="D190" s="55" t="s">
        <v>805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1106</v>
      </c>
      <c r="C191" s="37" t="s">
        <v>1107</v>
      </c>
      <c r="D191" s="55" t="s">
        <v>805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1108</v>
      </c>
      <c r="C192" s="37" t="s">
        <v>1109</v>
      </c>
      <c r="D192" s="55" t="s">
        <v>805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805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1110</v>
      </c>
      <c r="C194" s="37" t="s">
        <v>1111</v>
      </c>
      <c r="D194" s="55" t="s">
        <v>805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1112</v>
      </c>
      <c r="C195" s="37" t="s">
        <v>1113</v>
      </c>
      <c r="D195" s="55" t="s">
        <v>805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1114</v>
      </c>
      <c r="C196" s="37" t="s">
        <v>1115</v>
      </c>
      <c r="D196" s="55" t="s">
        <v>805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1116</v>
      </c>
      <c r="C197" s="37" t="s">
        <v>1117</v>
      </c>
      <c r="D197" s="55" t="s">
        <v>805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1118</v>
      </c>
      <c r="C198" s="37" t="s">
        <v>1119</v>
      </c>
      <c r="D198" s="55" t="s">
        <v>820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1120</v>
      </c>
      <c r="C199" s="37" t="s">
        <v>1121</v>
      </c>
      <c r="D199" s="55" t="s">
        <v>805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1122</v>
      </c>
      <c r="C200" s="37" t="s">
        <v>1123</v>
      </c>
      <c r="D200" s="55" t="s">
        <v>805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1124</v>
      </c>
      <c r="C201" s="37" t="s">
        <v>1125</v>
      </c>
      <c r="D201" s="55" t="s">
        <v>805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1126</v>
      </c>
      <c r="C202" s="37" t="s">
        <v>1127</v>
      </c>
      <c r="D202" s="55" t="s">
        <v>805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805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1128</v>
      </c>
      <c r="C204" s="37" t="s">
        <v>1129</v>
      </c>
      <c r="D204" s="55" t="s">
        <v>805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1130</v>
      </c>
      <c r="C205" s="37" t="s">
        <v>1131</v>
      </c>
      <c r="D205" s="55" t="s">
        <v>805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1132</v>
      </c>
      <c r="C206" s="37" t="s">
        <v>1133</v>
      </c>
      <c r="D206" s="55" t="s">
        <v>805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1134</v>
      </c>
      <c r="C207" s="37" t="s">
        <v>1135</v>
      </c>
      <c r="D207" s="55" t="s">
        <v>805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1136</v>
      </c>
      <c r="C208" s="37" t="s">
        <v>1137</v>
      </c>
      <c r="D208" s="55" t="s">
        <v>805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1138</v>
      </c>
      <c r="C209" s="37" t="s">
        <v>1139</v>
      </c>
      <c r="D209" s="55" t="s">
        <v>805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1140</v>
      </c>
      <c r="C210" s="37" t="s">
        <v>1141</v>
      </c>
      <c r="D210" s="55" t="s">
        <v>805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805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1142</v>
      </c>
      <c r="C212" s="37" t="s">
        <v>1143</v>
      </c>
      <c r="D212" s="55" t="s">
        <v>805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1144</v>
      </c>
      <c r="C213" s="37" t="s">
        <v>1145</v>
      </c>
      <c r="D213" s="55" t="s">
        <v>805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1146</v>
      </c>
      <c r="C214" s="37" t="s">
        <v>1147</v>
      </c>
      <c r="D214" s="55" t="s">
        <v>805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1148</v>
      </c>
      <c r="C215" s="37" t="s">
        <v>1149</v>
      </c>
      <c r="D215" s="55" t="s">
        <v>805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1150</v>
      </c>
      <c r="C216" s="37" t="s">
        <v>1151</v>
      </c>
      <c r="D216" s="55" t="s">
        <v>805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1152</v>
      </c>
      <c r="C217" s="37" t="s">
        <v>1153</v>
      </c>
      <c r="D217" s="55" t="s">
        <v>805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1154</v>
      </c>
      <c r="C218" s="37" t="s">
        <v>1155</v>
      </c>
      <c r="D218" s="55" t="s">
        <v>805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1156</v>
      </c>
      <c r="C219" s="37" t="s">
        <v>1157</v>
      </c>
      <c r="D219" s="55" t="s">
        <v>805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1158</v>
      </c>
      <c r="C220" s="37" t="s">
        <v>1159</v>
      </c>
      <c r="D220" s="55" t="s">
        <v>805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1160</v>
      </c>
      <c r="C221" s="37" t="s">
        <v>1161</v>
      </c>
      <c r="D221" s="55" t="s">
        <v>805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1162</v>
      </c>
      <c r="C222" s="37" t="s">
        <v>1163</v>
      </c>
      <c r="D222" s="55" t="s">
        <v>805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1164</v>
      </c>
      <c r="C223" s="37" t="s">
        <v>1165</v>
      </c>
      <c r="D223" s="55" t="s">
        <v>805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1166</v>
      </c>
      <c r="C224" s="37" t="s">
        <v>1167</v>
      </c>
      <c r="D224" s="55" t="s">
        <v>805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1168</v>
      </c>
      <c r="C225" s="37" t="s">
        <v>1169</v>
      </c>
      <c r="D225" s="55" t="s">
        <v>820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1170</v>
      </c>
      <c r="C226" s="37" t="s">
        <v>1171</v>
      </c>
      <c r="D226" s="55" t="s">
        <v>820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1172</v>
      </c>
      <c r="C227" s="37" t="s">
        <v>1173</v>
      </c>
      <c r="D227" s="55" t="s">
        <v>805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1174</v>
      </c>
      <c r="C228" s="37" t="s">
        <v>1175</v>
      </c>
      <c r="D228" s="55" t="s">
        <v>805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1176</v>
      </c>
      <c r="C229" s="37" t="s">
        <v>1177</v>
      </c>
      <c r="D229" s="55" t="s">
        <v>805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1178</v>
      </c>
      <c r="C230" s="37" t="s">
        <v>1179</v>
      </c>
      <c r="D230" s="55" t="s">
        <v>805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1180</v>
      </c>
      <c r="C231" s="37" t="s">
        <v>1181</v>
      </c>
      <c r="D231" s="55" t="s">
        <v>805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1182</v>
      </c>
      <c r="C232" s="37" t="s">
        <v>1183</v>
      </c>
      <c r="D232" s="55" t="s">
        <v>820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1184</v>
      </c>
      <c r="C233" s="37" t="s">
        <v>1185</v>
      </c>
      <c r="D233" s="55" t="s">
        <v>805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1186</v>
      </c>
      <c r="C234" s="37" t="s">
        <v>1187</v>
      </c>
      <c r="D234" s="55" t="s">
        <v>805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1188</v>
      </c>
      <c r="C235" s="37" t="s">
        <v>1189</v>
      </c>
      <c r="D235" s="55" t="s">
        <v>805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1190</v>
      </c>
      <c r="C236" s="37" t="s">
        <v>1191</v>
      </c>
      <c r="D236" s="55" t="s">
        <v>805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1192</v>
      </c>
      <c r="C237" s="37" t="s">
        <v>1193</v>
      </c>
      <c r="D237" s="55" t="s">
        <v>805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1194</v>
      </c>
      <c r="C238" s="37" t="s">
        <v>1195</v>
      </c>
      <c r="D238" s="55" t="s">
        <v>805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1196</v>
      </c>
      <c r="C239" s="37" t="s">
        <v>1197</v>
      </c>
      <c r="D239" s="55" t="s">
        <v>805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1198</v>
      </c>
      <c r="C240" s="37" t="s">
        <v>1199</v>
      </c>
      <c r="D240" s="55" t="s">
        <v>805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1200</v>
      </c>
      <c r="C241" s="37" t="s">
        <v>1201</v>
      </c>
      <c r="D241" s="55" t="s">
        <v>805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1202</v>
      </c>
      <c r="C242" s="37" t="s">
        <v>1203</v>
      </c>
      <c r="D242" s="55" t="s">
        <v>805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1204</v>
      </c>
      <c r="C243" s="37" t="s">
        <v>1205</v>
      </c>
      <c r="D243" s="55" t="s">
        <v>805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805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1206</v>
      </c>
      <c r="C245" s="37" t="s">
        <v>1207</v>
      </c>
      <c r="D245" s="55" t="s">
        <v>805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805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765</v>
      </c>
      <c r="C247" s="37" t="s">
        <v>766</v>
      </c>
      <c r="D247" s="55" t="s">
        <v>805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1208</v>
      </c>
      <c r="C248" s="37" t="s">
        <v>1209</v>
      </c>
      <c r="D248" s="55" t="s">
        <v>805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1210</v>
      </c>
      <c r="C249" s="37" t="s">
        <v>1211</v>
      </c>
      <c r="D249" s="55" t="s">
        <v>820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1212</v>
      </c>
      <c r="C250" s="37" t="s">
        <v>1213</v>
      </c>
      <c r="D250" s="55" t="s">
        <v>805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1214</v>
      </c>
      <c r="C251" s="37" t="s">
        <v>1215</v>
      </c>
      <c r="D251" s="55" t="s">
        <v>805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820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805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1216</v>
      </c>
      <c r="C254" s="37" t="s">
        <v>1217</v>
      </c>
      <c r="D254" s="55" t="s">
        <v>805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1218</v>
      </c>
      <c r="C255" s="37" t="s">
        <v>1219</v>
      </c>
      <c r="D255" s="55" t="s">
        <v>805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805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1220</v>
      </c>
      <c r="C257" s="37" t="s">
        <v>1221</v>
      </c>
      <c r="D257" s="55" t="s">
        <v>805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1222</v>
      </c>
      <c r="C258" s="37" t="s">
        <v>1223</v>
      </c>
      <c r="D258" s="55" t="s">
        <v>805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1224</v>
      </c>
      <c r="C259" s="37" t="s">
        <v>1225</v>
      </c>
      <c r="D259" s="55" t="s">
        <v>805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805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1226</v>
      </c>
      <c r="C261" s="37" t="s">
        <v>1227</v>
      </c>
      <c r="D261" s="55" t="s">
        <v>805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1228</v>
      </c>
      <c r="C262" s="37" t="s">
        <v>5194</v>
      </c>
      <c r="D262" s="55" t="s">
        <v>805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1229</v>
      </c>
      <c r="C263" s="37" t="s">
        <v>1230</v>
      </c>
      <c r="D263" s="55" t="s">
        <v>820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1231</v>
      </c>
      <c r="C264" s="37" t="s">
        <v>1232</v>
      </c>
      <c r="D264" s="55" t="s">
        <v>805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755</v>
      </c>
      <c r="C265" s="37" t="s">
        <v>756</v>
      </c>
      <c r="D265" s="55" t="s">
        <v>805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1233</v>
      </c>
      <c r="C266" s="37" t="s">
        <v>1234</v>
      </c>
      <c r="D266" s="55" t="s">
        <v>820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1235</v>
      </c>
      <c r="C267" s="37" t="s">
        <v>1236</v>
      </c>
      <c r="D267" s="55" t="s">
        <v>805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1237</v>
      </c>
      <c r="C268" s="37" t="s">
        <v>1238</v>
      </c>
      <c r="D268" s="55" t="s">
        <v>805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1239</v>
      </c>
      <c r="C269" s="37" t="s">
        <v>1240</v>
      </c>
      <c r="D269" s="55" t="s">
        <v>805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1241</v>
      </c>
      <c r="C270" s="37" t="s">
        <v>1242</v>
      </c>
      <c r="D270" s="55" t="s">
        <v>805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1243</v>
      </c>
      <c r="C271" s="37" t="s">
        <v>1244</v>
      </c>
      <c r="D271" s="55" t="s">
        <v>805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1245</v>
      </c>
      <c r="C272" s="37" t="s">
        <v>1246</v>
      </c>
      <c r="D272" s="55" t="s">
        <v>805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805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805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1247</v>
      </c>
      <c r="C275" s="37" t="s">
        <v>1248</v>
      </c>
      <c r="D275" s="55" t="s">
        <v>820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1249</v>
      </c>
      <c r="C276" s="37" t="s">
        <v>1250</v>
      </c>
      <c r="D276" s="55" t="s">
        <v>805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805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805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805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1251</v>
      </c>
      <c r="C280" s="37" t="s">
        <v>1252</v>
      </c>
      <c r="D280" s="55" t="s">
        <v>805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1253</v>
      </c>
      <c r="C281" s="37" t="s">
        <v>1254</v>
      </c>
      <c r="D281" s="55" t="s">
        <v>805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1255</v>
      </c>
      <c r="C282" s="37" t="s">
        <v>1256</v>
      </c>
      <c r="D282" s="55" t="s">
        <v>820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1257</v>
      </c>
      <c r="C283" s="37" t="s">
        <v>1258</v>
      </c>
      <c r="D283" s="55" t="s">
        <v>805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1259</v>
      </c>
      <c r="C284" s="37" t="s">
        <v>1260</v>
      </c>
      <c r="D284" s="55" t="s">
        <v>820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1261</v>
      </c>
      <c r="C285" s="37" t="s">
        <v>1262</v>
      </c>
      <c r="D285" s="55" t="s">
        <v>805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1263</v>
      </c>
      <c r="C286" s="37" t="s">
        <v>1264</v>
      </c>
      <c r="D286" s="55" t="s">
        <v>805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1265</v>
      </c>
      <c r="C287" s="37" t="s">
        <v>1266</v>
      </c>
      <c r="D287" s="55" t="s">
        <v>805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1267</v>
      </c>
      <c r="C288" s="37" t="s">
        <v>1268</v>
      </c>
      <c r="D288" s="55" t="s">
        <v>805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1269</v>
      </c>
      <c r="C289" s="37" t="s">
        <v>1270</v>
      </c>
      <c r="D289" s="55" t="s">
        <v>820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1271</v>
      </c>
      <c r="C290" s="37" t="s">
        <v>1272</v>
      </c>
      <c r="D290" s="55" t="s">
        <v>805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1273</v>
      </c>
      <c r="C291" s="37" t="s">
        <v>1274</v>
      </c>
      <c r="D291" s="55" t="s">
        <v>805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805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805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805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805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1275</v>
      </c>
      <c r="C296" s="37" t="s">
        <v>1276</v>
      </c>
      <c r="D296" s="55" t="s">
        <v>805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1277</v>
      </c>
      <c r="C297" s="37" t="s">
        <v>1278</v>
      </c>
      <c r="D297" s="55" t="s">
        <v>805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805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1279</v>
      </c>
      <c r="C299" s="37" t="s">
        <v>1280</v>
      </c>
      <c r="D299" s="55" t="s">
        <v>805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인스코비</v>
      </c>
      <c r="K299" s="37" t="str">
        <f t="shared" si="25"/>
        <v>A006490</v>
      </c>
    </row>
    <row r="300" spans="1:11" x14ac:dyDescent="0.4">
      <c r="A300" s="49"/>
      <c r="B300" s="54" t="s">
        <v>1281</v>
      </c>
      <c r="C300" s="37" t="s">
        <v>1282</v>
      </c>
      <c r="D300" s="55" t="s">
        <v>805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1283</v>
      </c>
      <c r="C301" s="37" t="s">
        <v>1284</v>
      </c>
      <c r="D301" s="55" t="s">
        <v>820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1285</v>
      </c>
      <c r="C302" s="37" t="s">
        <v>1286</v>
      </c>
      <c r="D302" s="55" t="s">
        <v>805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1287</v>
      </c>
      <c r="C303" s="37" t="s">
        <v>1288</v>
      </c>
      <c r="D303" s="55" t="s">
        <v>805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820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1289</v>
      </c>
      <c r="C305" s="37" t="s">
        <v>1290</v>
      </c>
      <c r="D305" s="55" t="s">
        <v>805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805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1291</v>
      </c>
      <c r="C307" s="37" t="s">
        <v>1292</v>
      </c>
      <c r="D307" s="55" t="s">
        <v>805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1293</v>
      </c>
      <c r="C308" s="37" t="s">
        <v>1294</v>
      </c>
      <c r="D308" s="55" t="s">
        <v>805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1295</v>
      </c>
      <c r="C309" s="37" t="s">
        <v>1296</v>
      </c>
      <c r="D309" s="55" t="s">
        <v>805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1297</v>
      </c>
      <c r="C310" s="37" t="s">
        <v>1298</v>
      </c>
      <c r="D310" s="55" t="s">
        <v>820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1299</v>
      </c>
      <c r="C311" s="37" t="s">
        <v>1300</v>
      </c>
      <c r="D311" s="55" t="s">
        <v>820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1301</v>
      </c>
      <c r="C312" s="37" t="s">
        <v>1302</v>
      </c>
      <c r="D312" s="55" t="s">
        <v>805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805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1303</v>
      </c>
      <c r="C314" s="37" t="s">
        <v>1304</v>
      </c>
      <c r="D314" s="55" t="s">
        <v>805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1305</v>
      </c>
      <c r="C315" s="37" t="s">
        <v>1306</v>
      </c>
      <c r="D315" s="55" t="s">
        <v>805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1307</v>
      </c>
      <c r="C316" s="37" t="s">
        <v>1308</v>
      </c>
      <c r="D316" s="55" t="s">
        <v>805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1309</v>
      </c>
      <c r="C317" s="37" t="s">
        <v>1310</v>
      </c>
      <c r="D317" s="55" t="s">
        <v>805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1311</v>
      </c>
      <c r="C318" s="37" t="s">
        <v>1312</v>
      </c>
      <c r="D318" s="55" t="s">
        <v>805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1313</v>
      </c>
      <c r="C319" s="37" t="s">
        <v>1314</v>
      </c>
      <c r="D319" s="55" t="s">
        <v>805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1315</v>
      </c>
      <c r="C320" s="37" t="s">
        <v>1316</v>
      </c>
      <c r="D320" s="55" t="s">
        <v>820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1317</v>
      </c>
      <c r="C321" s="37" t="s">
        <v>1318</v>
      </c>
      <c r="D321" s="55" t="s">
        <v>805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1319</v>
      </c>
      <c r="C322" s="37" t="s">
        <v>1320</v>
      </c>
      <c r="D322" s="55" t="s">
        <v>820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820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1321</v>
      </c>
      <c r="C324" s="37" t="s">
        <v>1322</v>
      </c>
      <c r="D324" s="55" t="s">
        <v>805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1323</v>
      </c>
      <c r="C325" s="37" t="s">
        <v>1324</v>
      </c>
      <c r="D325" s="55" t="s">
        <v>820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1325</v>
      </c>
      <c r="C326" s="37" t="s">
        <v>1326</v>
      </c>
      <c r="D326" s="55" t="s">
        <v>805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1327</v>
      </c>
      <c r="C327" s="37" t="s">
        <v>1328</v>
      </c>
      <c r="D327" s="55" t="s">
        <v>805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1329</v>
      </c>
      <c r="C328" s="37" t="s">
        <v>1330</v>
      </c>
      <c r="D328" s="55" t="s">
        <v>805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1331</v>
      </c>
      <c r="C329" s="37" t="s">
        <v>1332</v>
      </c>
      <c r="D329" s="55" t="s">
        <v>805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805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1333</v>
      </c>
      <c r="C331" s="37" t="s">
        <v>1334</v>
      </c>
      <c r="D331" s="55" t="s">
        <v>820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1335</v>
      </c>
      <c r="C332" s="37" t="s">
        <v>1336</v>
      </c>
      <c r="D332" s="55" t="s">
        <v>805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1337</v>
      </c>
      <c r="C333" s="37" t="s">
        <v>1338</v>
      </c>
      <c r="D333" s="55" t="s">
        <v>805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1339</v>
      </c>
      <c r="C334" s="37" t="s">
        <v>1340</v>
      </c>
      <c r="D334" s="55" t="s">
        <v>820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1341</v>
      </c>
      <c r="C335" s="37" t="s">
        <v>1342</v>
      </c>
      <c r="D335" s="55" t="s">
        <v>820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769</v>
      </c>
      <c r="C336" s="37" t="s">
        <v>770</v>
      </c>
      <c r="D336" s="55" t="s">
        <v>805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1343</v>
      </c>
      <c r="C337" s="37" t="s">
        <v>5185</v>
      </c>
      <c r="D337" s="55" t="s">
        <v>820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1344</v>
      </c>
      <c r="C338" s="37" t="s">
        <v>1345</v>
      </c>
      <c r="D338" s="55" t="s">
        <v>805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1346</v>
      </c>
      <c r="C339" s="37" t="s">
        <v>1347</v>
      </c>
      <c r="D339" s="55" t="s">
        <v>805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1348</v>
      </c>
      <c r="C340" s="37" t="s">
        <v>1349</v>
      </c>
      <c r="D340" s="55" t="s">
        <v>805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1350</v>
      </c>
      <c r="C341" s="37" t="s">
        <v>1351</v>
      </c>
      <c r="D341" s="55" t="s">
        <v>805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1352</v>
      </c>
      <c r="C342" s="37" t="s">
        <v>1353</v>
      </c>
      <c r="D342" s="55" t="s">
        <v>5157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1354</v>
      </c>
      <c r="C343" s="37" t="s">
        <v>1355</v>
      </c>
      <c r="D343" s="55" t="s">
        <v>805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1356</v>
      </c>
      <c r="C344" s="37" t="s">
        <v>1357</v>
      </c>
      <c r="D344" s="55" t="s">
        <v>805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1358</v>
      </c>
      <c r="C345" s="37" t="s">
        <v>1359</v>
      </c>
      <c r="D345" s="55" t="s">
        <v>820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1360</v>
      </c>
      <c r="C346" s="37" t="s">
        <v>1361</v>
      </c>
      <c r="D346" s="55" t="s">
        <v>805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1362</v>
      </c>
      <c r="C347" s="37" t="s">
        <v>1363</v>
      </c>
      <c r="D347" s="55" t="s">
        <v>820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1364</v>
      </c>
      <c r="C348" s="37" t="s">
        <v>1365</v>
      </c>
      <c r="D348" s="55" t="s">
        <v>805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1366</v>
      </c>
      <c r="C349" s="37" t="s">
        <v>1367</v>
      </c>
      <c r="D349" s="55" t="s">
        <v>820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1368</v>
      </c>
      <c r="C350" s="37" t="s">
        <v>1369</v>
      </c>
      <c r="D350" s="55" t="s">
        <v>805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1370</v>
      </c>
      <c r="C351" s="37" t="s">
        <v>1371</v>
      </c>
      <c r="D351" s="55" t="s">
        <v>805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1372</v>
      </c>
      <c r="C352" s="37" t="s">
        <v>1373</v>
      </c>
      <c r="D352" s="55" t="s">
        <v>805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1374</v>
      </c>
      <c r="C353" s="37" t="s">
        <v>1375</v>
      </c>
      <c r="D353" s="55" t="s">
        <v>805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1376</v>
      </c>
      <c r="C354" s="37" t="s">
        <v>1377</v>
      </c>
      <c r="D354" s="55" t="s">
        <v>805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805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1378</v>
      </c>
      <c r="C356" s="37" t="s">
        <v>1379</v>
      </c>
      <c r="D356" s="55" t="s">
        <v>820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1380</v>
      </c>
      <c r="C357" s="37" t="s">
        <v>1381</v>
      </c>
      <c r="D357" s="55" t="s">
        <v>805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1382</v>
      </c>
      <c r="C358" s="37" t="s">
        <v>1383</v>
      </c>
      <c r="D358" s="55" t="s">
        <v>805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1384</v>
      </c>
      <c r="C359" s="37" t="s">
        <v>1385</v>
      </c>
      <c r="D359" s="55" t="s">
        <v>805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1386</v>
      </c>
      <c r="C360" s="37" t="s">
        <v>1387</v>
      </c>
      <c r="D360" s="55" t="s">
        <v>805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1388</v>
      </c>
      <c r="C361" s="37" t="s">
        <v>1389</v>
      </c>
      <c r="D361" s="55" t="s">
        <v>805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805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1390</v>
      </c>
      <c r="C363" s="37" t="s">
        <v>1391</v>
      </c>
      <c r="D363" s="55" t="s">
        <v>805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1392</v>
      </c>
      <c r="C364" s="37" t="s">
        <v>1393</v>
      </c>
      <c r="D364" s="55" t="s">
        <v>805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1394</v>
      </c>
      <c r="C365" s="37" t="s">
        <v>1395</v>
      </c>
      <c r="D365" s="55" t="s">
        <v>805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1396</v>
      </c>
      <c r="C366" s="37" t="s">
        <v>1397</v>
      </c>
      <c r="D366" s="55" t="s">
        <v>805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1398</v>
      </c>
      <c r="C367" s="37" t="s">
        <v>1399</v>
      </c>
      <c r="D367" s="55" t="s">
        <v>805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1400</v>
      </c>
      <c r="C368" s="37" t="s">
        <v>1401</v>
      </c>
      <c r="D368" s="55" t="s">
        <v>805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1402</v>
      </c>
      <c r="C369" s="37" t="s">
        <v>1403</v>
      </c>
      <c r="D369" s="55" t="s">
        <v>805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1404</v>
      </c>
      <c r="C370" s="37" t="s">
        <v>1405</v>
      </c>
      <c r="D370" s="55" t="s">
        <v>820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1406</v>
      </c>
      <c r="C371" s="37" t="s">
        <v>1407</v>
      </c>
      <c r="D371" s="55" t="s">
        <v>805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1408</v>
      </c>
      <c r="C372" s="37" t="s">
        <v>1409</v>
      </c>
      <c r="D372" s="55" t="s">
        <v>805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1410</v>
      </c>
      <c r="C373" s="37" t="s">
        <v>1411</v>
      </c>
      <c r="D373" s="55" t="s">
        <v>805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805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1412</v>
      </c>
      <c r="C375" s="37" t="s">
        <v>1413</v>
      </c>
      <c r="D375" s="55" t="s">
        <v>805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1414</v>
      </c>
      <c r="C376" s="37" t="s">
        <v>1415</v>
      </c>
      <c r="D376" s="55" t="s">
        <v>805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1416</v>
      </c>
      <c r="C377" s="37" t="s">
        <v>1417</v>
      </c>
      <c r="D377" s="55" t="s">
        <v>805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1418</v>
      </c>
      <c r="C378" s="37" t="s">
        <v>1419</v>
      </c>
      <c r="D378" s="55" t="s">
        <v>805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1420</v>
      </c>
      <c r="C379" s="37" t="s">
        <v>1421</v>
      </c>
      <c r="D379" s="55" t="s">
        <v>820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805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1422</v>
      </c>
      <c r="C381" s="37" t="s">
        <v>1423</v>
      </c>
      <c r="D381" s="55" t="s">
        <v>805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1424</v>
      </c>
      <c r="C382" s="37" t="s">
        <v>1425</v>
      </c>
      <c r="D382" s="55" t="s">
        <v>820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1426</v>
      </c>
      <c r="C383" s="37" t="s">
        <v>1427</v>
      </c>
      <c r="D383" s="55" t="s">
        <v>805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1428</v>
      </c>
      <c r="C384" s="37" t="s">
        <v>1429</v>
      </c>
      <c r="D384" s="55" t="s">
        <v>820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1430</v>
      </c>
      <c r="C385" s="37" t="s">
        <v>1431</v>
      </c>
      <c r="D385" s="55" t="s">
        <v>805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1432</v>
      </c>
      <c r="C386" s="37" t="s">
        <v>1433</v>
      </c>
      <c r="D386" s="55" t="s">
        <v>820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1434</v>
      </c>
      <c r="C387" s="37" t="s">
        <v>1435</v>
      </c>
      <c r="D387" s="55" t="s">
        <v>805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805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1436</v>
      </c>
      <c r="C389" s="37" t="s">
        <v>1437</v>
      </c>
      <c r="D389" s="55" t="s">
        <v>805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1438</v>
      </c>
      <c r="C390" s="37" t="s">
        <v>1439</v>
      </c>
      <c r="D390" s="55" t="s">
        <v>805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1440</v>
      </c>
      <c r="C391" s="37" t="s">
        <v>1441</v>
      </c>
      <c r="D391" s="55" t="s">
        <v>805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805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1442</v>
      </c>
      <c r="C393" s="37" t="s">
        <v>1443</v>
      </c>
      <c r="D393" s="55" t="s">
        <v>805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805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805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805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1444</v>
      </c>
      <c r="C397" s="37" t="s">
        <v>1445</v>
      </c>
      <c r="D397" s="55" t="s">
        <v>820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1446</v>
      </c>
      <c r="C398" s="37" t="s">
        <v>1447</v>
      </c>
      <c r="D398" s="55" t="s">
        <v>820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1448</v>
      </c>
      <c r="C399" s="37" t="s">
        <v>1449</v>
      </c>
      <c r="D399" s="55" t="s">
        <v>820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1450</v>
      </c>
      <c r="C400" s="37" t="s">
        <v>1451</v>
      </c>
      <c r="D400" s="55" t="s">
        <v>805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1452</v>
      </c>
      <c r="C401" s="37" t="s">
        <v>1453</v>
      </c>
      <c r="D401" s="55" t="s">
        <v>820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1454</v>
      </c>
      <c r="C402" s="37" t="s">
        <v>1455</v>
      </c>
      <c r="D402" s="55" t="s">
        <v>805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1456</v>
      </c>
      <c r="C403" s="37" t="s">
        <v>1457</v>
      </c>
      <c r="D403" s="55" t="s">
        <v>805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1458</v>
      </c>
      <c r="C404" s="37" t="s">
        <v>1459</v>
      </c>
      <c r="D404" s="55" t="s">
        <v>805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1460</v>
      </c>
      <c r="C405" s="37" t="s">
        <v>1461</v>
      </c>
      <c r="D405" s="55" t="s">
        <v>805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1462</v>
      </c>
      <c r="C406" s="37" t="s">
        <v>1463</v>
      </c>
      <c r="D406" s="55" t="s">
        <v>805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1464</v>
      </c>
      <c r="C407" s="37" t="s">
        <v>1465</v>
      </c>
      <c r="D407" s="55" t="s">
        <v>805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1466</v>
      </c>
      <c r="C408" s="37" t="s">
        <v>1467</v>
      </c>
      <c r="D408" s="55" t="s">
        <v>805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805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1468</v>
      </c>
      <c r="C410" s="37" t="s">
        <v>1469</v>
      </c>
      <c r="D410" s="55" t="s">
        <v>805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1470</v>
      </c>
      <c r="C411" s="37" t="s">
        <v>1471</v>
      </c>
      <c r="D411" s="55" t="s">
        <v>805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1472</v>
      </c>
      <c r="C412" s="37" t="s">
        <v>1473</v>
      </c>
      <c r="D412" s="55" t="s">
        <v>820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805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1474</v>
      </c>
      <c r="C414" s="37" t="s">
        <v>1475</v>
      </c>
      <c r="D414" s="55" t="s">
        <v>820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1476</v>
      </c>
      <c r="C415" s="37" t="s">
        <v>1477</v>
      </c>
      <c r="D415" s="55" t="s">
        <v>805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1478</v>
      </c>
      <c r="C416" s="37" t="s">
        <v>1479</v>
      </c>
      <c r="D416" s="55" t="s">
        <v>805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1480</v>
      </c>
      <c r="C417" s="37" t="s">
        <v>1481</v>
      </c>
      <c r="D417" s="55" t="s">
        <v>805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805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1482</v>
      </c>
      <c r="C419" s="37" t="s">
        <v>1483</v>
      </c>
      <c r="D419" s="55" t="s">
        <v>805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1484</v>
      </c>
      <c r="C420" s="37" t="s">
        <v>1485</v>
      </c>
      <c r="D420" s="55" t="s">
        <v>805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1486</v>
      </c>
      <c r="C421" s="37" t="s">
        <v>1487</v>
      </c>
      <c r="D421" s="55" t="s">
        <v>805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1488</v>
      </c>
      <c r="C422" s="37" t="s">
        <v>5186</v>
      </c>
      <c r="D422" s="55" t="s">
        <v>805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1489</v>
      </c>
      <c r="C423" s="37" t="s">
        <v>1490</v>
      </c>
      <c r="D423" s="55" t="s">
        <v>820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1491</v>
      </c>
      <c r="C424" s="37" t="s">
        <v>1492</v>
      </c>
      <c r="D424" s="55" t="s">
        <v>805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1493</v>
      </c>
      <c r="C425" s="37" t="s">
        <v>1494</v>
      </c>
      <c r="D425" s="55" t="s">
        <v>820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1495</v>
      </c>
      <c r="C426" s="37" t="s">
        <v>1496</v>
      </c>
      <c r="D426" s="55" t="s">
        <v>805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1497</v>
      </c>
      <c r="C427" s="37" t="s">
        <v>1498</v>
      </c>
      <c r="D427" s="55" t="s">
        <v>805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1499</v>
      </c>
      <c r="C428" s="37" t="s">
        <v>1500</v>
      </c>
      <c r="D428" s="55" t="s">
        <v>805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1501</v>
      </c>
      <c r="C429" s="37" t="s">
        <v>1502</v>
      </c>
      <c r="D429" s="55" t="s">
        <v>820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1503</v>
      </c>
      <c r="C430" s="37" t="s">
        <v>1504</v>
      </c>
      <c r="D430" s="55" t="s">
        <v>805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1505</v>
      </c>
      <c r="C431" s="37" t="s">
        <v>1506</v>
      </c>
      <c r="D431" s="55" t="s">
        <v>805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1507</v>
      </c>
      <c r="C432" s="37" t="s">
        <v>1508</v>
      </c>
      <c r="D432" s="55" t="s">
        <v>805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805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805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1509</v>
      </c>
      <c r="C435" s="37" t="s">
        <v>1510</v>
      </c>
      <c r="D435" s="55" t="s">
        <v>805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805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1511</v>
      </c>
      <c r="C437" s="37" t="s">
        <v>1512</v>
      </c>
      <c r="D437" s="55" t="s">
        <v>805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805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1513</v>
      </c>
      <c r="C439" s="37" t="s">
        <v>1514</v>
      </c>
      <c r="D439" s="55" t="s">
        <v>805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1515</v>
      </c>
      <c r="C440" s="37" t="s">
        <v>1516</v>
      </c>
      <c r="D440" s="55" t="s">
        <v>805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1517</v>
      </c>
      <c r="C441" s="37" t="s">
        <v>1518</v>
      </c>
      <c r="D441" s="55" t="s">
        <v>805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1519</v>
      </c>
      <c r="C442" s="37" t="s">
        <v>1520</v>
      </c>
      <c r="D442" s="55" t="s">
        <v>820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1521</v>
      </c>
      <c r="C443" s="37" t="s">
        <v>1522</v>
      </c>
      <c r="D443" s="55" t="s">
        <v>805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1523</v>
      </c>
      <c r="C444" s="37" t="s">
        <v>1524</v>
      </c>
      <c r="D444" s="55" t="s">
        <v>805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805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1525</v>
      </c>
      <c r="C446" s="37" t="s">
        <v>1526</v>
      </c>
      <c r="D446" s="55" t="s">
        <v>820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805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805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1527</v>
      </c>
      <c r="C449" s="37" t="s">
        <v>1528</v>
      </c>
      <c r="D449" s="55" t="s">
        <v>805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1529</v>
      </c>
      <c r="C450" s="37" t="s">
        <v>1530</v>
      </c>
      <c r="D450" s="55" t="s">
        <v>820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805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1531</v>
      </c>
      <c r="C452" s="37" t="s">
        <v>1532</v>
      </c>
      <c r="D452" s="55" t="s">
        <v>805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805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1533</v>
      </c>
      <c r="C454" s="37" t="s">
        <v>1534</v>
      </c>
      <c r="D454" s="55" t="s">
        <v>820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1535</v>
      </c>
      <c r="C455" s="37" t="s">
        <v>1536</v>
      </c>
      <c r="D455" s="55" t="s">
        <v>805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1537</v>
      </c>
      <c r="C456" s="37" t="s">
        <v>1538</v>
      </c>
      <c r="D456" s="55" t="s">
        <v>820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1539</v>
      </c>
      <c r="C457" s="37" t="s">
        <v>1540</v>
      </c>
      <c r="D457" s="55" t="s">
        <v>805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1541</v>
      </c>
      <c r="C458" s="37" t="s">
        <v>1542</v>
      </c>
      <c r="D458" s="55" t="s">
        <v>820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1543</v>
      </c>
      <c r="C459" s="37" t="s">
        <v>1544</v>
      </c>
      <c r="D459" s="55" t="s">
        <v>805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1545</v>
      </c>
      <c r="C460" s="37" t="s">
        <v>1546</v>
      </c>
      <c r="D460" s="55" t="s">
        <v>820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1547</v>
      </c>
      <c r="C461" s="37" t="s">
        <v>1548</v>
      </c>
      <c r="D461" s="55" t="s">
        <v>820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1549</v>
      </c>
      <c r="C462" s="37" t="s">
        <v>1550</v>
      </c>
      <c r="D462" s="55" t="s">
        <v>820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1551</v>
      </c>
      <c r="C463" s="37" t="s">
        <v>1552</v>
      </c>
      <c r="D463" s="55" t="s">
        <v>805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1553</v>
      </c>
      <c r="C464" s="37" t="s">
        <v>1554</v>
      </c>
      <c r="D464" s="55" t="s">
        <v>805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1555</v>
      </c>
      <c r="C465" s="37" t="s">
        <v>1556</v>
      </c>
      <c r="D465" s="55" t="s">
        <v>805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1557</v>
      </c>
      <c r="C466" s="37" t="s">
        <v>1558</v>
      </c>
      <c r="D466" s="55" t="s">
        <v>805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1559</v>
      </c>
      <c r="C467" s="37" t="s">
        <v>1560</v>
      </c>
      <c r="D467" s="55" t="s">
        <v>805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1561</v>
      </c>
      <c r="C468" s="37" t="s">
        <v>1562</v>
      </c>
      <c r="D468" s="55" t="s">
        <v>820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1563</v>
      </c>
      <c r="C469" s="37" t="s">
        <v>1564</v>
      </c>
      <c r="D469" s="55" t="s">
        <v>820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1565</v>
      </c>
      <c r="C470" s="37" t="s">
        <v>1566</v>
      </c>
      <c r="D470" s="55" t="s">
        <v>805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1567</v>
      </c>
      <c r="C471" s="37" t="s">
        <v>1568</v>
      </c>
      <c r="D471" s="55" t="s">
        <v>805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1569</v>
      </c>
      <c r="C472" s="37" t="s">
        <v>1570</v>
      </c>
      <c r="D472" s="55" t="s">
        <v>820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1571</v>
      </c>
      <c r="C473" s="37" t="s">
        <v>1572</v>
      </c>
      <c r="D473" s="55" t="s">
        <v>820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1573</v>
      </c>
      <c r="C474" s="37" t="s">
        <v>1574</v>
      </c>
      <c r="D474" s="55" t="s">
        <v>805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1575</v>
      </c>
      <c r="C475" s="37" t="s">
        <v>1576</v>
      </c>
      <c r="D475" s="55" t="s">
        <v>805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1577</v>
      </c>
      <c r="C476" s="37" t="s">
        <v>1578</v>
      </c>
      <c r="D476" s="55" t="s">
        <v>820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1579</v>
      </c>
      <c r="C477" s="37" t="s">
        <v>1580</v>
      </c>
      <c r="D477" s="55" t="s">
        <v>805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1581</v>
      </c>
      <c r="C478" s="37" t="s">
        <v>1582</v>
      </c>
      <c r="D478" s="55" t="s">
        <v>805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1583</v>
      </c>
      <c r="C479" s="37" t="s">
        <v>1584</v>
      </c>
      <c r="D479" s="55" t="s">
        <v>820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1585</v>
      </c>
      <c r="C480" s="37" t="s">
        <v>1586</v>
      </c>
      <c r="D480" s="55" t="s">
        <v>805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1587</v>
      </c>
      <c r="C481" s="37" t="s">
        <v>1588</v>
      </c>
      <c r="D481" s="55" t="s">
        <v>820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1589</v>
      </c>
      <c r="C482" s="37" t="s">
        <v>1590</v>
      </c>
      <c r="D482" s="55" t="s">
        <v>805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820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805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1591</v>
      </c>
      <c r="C485" s="37" t="s">
        <v>1592</v>
      </c>
      <c r="D485" s="55" t="s">
        <v>805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1593</v>
      </c>
      <c r="C486" s="37" t="s">
        <v>1594</v>
      </c>
      <c r="D486" s="55" t="s">
        <v>805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805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1595</v>
      </c>
      <c r="C488" s="37" t="s">
        <v>1596</v>
      </c>
      <c r="D488" s="55" t="s">
        <v>805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1597</v>
      </c>
      <c r="C489" s="37" t="s">
        <v>1598</v>
      </c>
      <c r="D489" s="55" t="s">
        <v>805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1599</v>
      </c>
      <c r="C490" s="37" t="s">
        <v>1600</v>
      </c>
      <c r="D490" s="55" t="s">
        <v>820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1601</v>
      </c>
      <c r="C491" s="37" t="s">
        <v>1602</v>
      </c>
      <c r="D491" s="55" t="s">
        <v>820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1603</v>
      </c>
      <c r="C492" s="37" t="s">
        <v>1604</v>
      </c>
      <c r="D492" s="55" t="s">
        <v>820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1605</v>
      </c>
      <c r="C493" s="37" t="s">
        <v>1606</v>
      </c>
      <c r="D493" s="55" t="s">
        <v>805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1607</v>
      </c>
      <c r="C494" s="37" t="s">
        <v>1608</v>
      </c>
      <c r="D494" s="55" t="s">
        <v>805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1609</v>
      </c>
      <c r="C495" s="37" t="s">
        <v>1610</v>
      </c>
      <c r="D495" s="55" t="s">
        <v>805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1611</v>
      </c>
      <c r="C496" s="37" t="s">
        <v>1612</v>
      </c>
      <c r="D496" s="55" t="s">
        <v>805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1613</v>
      </c>
      <c r="C497" s="37" t="s">
        <v>1614</v>
      </c>
      <c r="D497" s="55" t="s">
        <v>805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1615</v>
      </c>
      <c r="C498" s="37" t="s">
        <v>1616</v>
      </c>
      <c r="D498" s="55" t="s">
        <v>805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1617</v>
      </c>
      <c r="C499" s="37" t="s">
        <v>1618</v>
      </c>
      <c r="D499" s="55" t="s">
        <v>820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1619</v>
      </c>
      <c r="C500" s="37" t="s">
        <v>1620</v>
      </c>
      <c r="D500" s="55" t="s">
        <v>820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805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1621</v>
      </c>
      <c r="C502" s="37" t="s">
        <v>1622</v>
      </c>
      <c r="D502" s="55" t="s">
        <v>805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1623</v>
      </c>
      <c r="C503" s="37" t="s">
        <v>1624</v>
      </c>
      <c r="D503" s="55" t="s">
        <v>805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1625</v>
      </c>
      <c r="C504" s="37" t="s">
        <v>1626</v>
      </c>
      <c r="D504" s="55" t="s">
        <v>805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1627</v>
      </c>
      <c r="C505" s="37" t="s">
        <v>1628</v>
      </c>
      <c r="D505" s="55" t="s">
        <v>820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1629</v>
      </c>
      <c r="C506" s="37" t="s">
        <v>1630</v>
      </c>
      <c r="D506" s="55" t="s">
        <v>820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805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1631</v>
      </c>
      <c r="C508" s="37" t="s">
        <v>1632</v>
      </c>
      <c r="D508" s="55" t="s">
        <v>805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1633</v>
      </c>
      <c r="C509" s="37" t="s">
        <v>1634</v>
      </c>
      <c r="D509" s="55" t="s">
        <v>805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1635</v>
      </c>
      <c r="C510" s="37" t="s">
        <v>1636</v>
      </c>
      <c r="D510" s="55" t="s">
        <v>805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1637</v>
      </c>
      <c r="C511" s="37" t="s">
        <v>1638</v>
      </c>
      <c r="D511" s="55" t="s">
        <v>805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1639</v>
      </c>
      <c r="C512" s="37" t="s">
        <v>1640</v>
      </c>
      <c r="D512" s="55" t="s">
        <v>820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805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1641</v>
      </c>
      <c r="C514" s="37" t="s">
        <v>1642</v>
      </c>
      <c r="D514" s="55" t="s">
        <v>820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1643</v>
      </c>
      <c r="C515" s="37" t="s">
        <v>1644</v>
      </c>
      <c r="D515" s="55" t="s">
        <v>805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1645</v>
      </c>
      <c r="C516" s="37" t="s">
        <v>1646</v>
      </c>
      <c r="D516" s="55" t="s">
        <v>805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1647</v>
      </c>
      <c r="C517" s="37" t="s">
        <v>1648</v>
      </c>
      <c r="D517" s="55" t="s">
        <v>820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1649</v>
      </c>
      <c r="C518" s="37" t="s">
        <v>1650</v>
      </c>
      <c r="D518" s="55" t="s">
        <v>805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1651</v>
      </c>
      <c r="C519" s="37" t="s">
        <v>1652</v>
      </c>
      <c r="D519" s="55" t="s">
        <v>805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1653</v>
      </c>
      <c r="C520" s="37" t="s">
        <v>1654</v>
      </c>
      <c r="D520" s="55" t="s">
        <v>820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1655</v>
      </c>
      <c r="C521" s="37" t="s">
        <v>1656</v>
      </c>
      <c r="D521" s="55" t="s">
        <v>820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1657</v>
      </c>
      <c r="C522" s="37" t="s">
        <v>1658</v>
      </c>
      <c r="D522" s="55" t="s">
        <v>805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1659</v>
      </c>
      <c r="C523" s="37" t="s">
        <v>1660</v>
      </c>
      <c r="D523" s="55" t="s">
        <v>805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1661</v>
      </c>
      <c r="C524" s="37" t="s">
        <v>1662</v>
      </c>
      <c r="D524" s="55" t="s">
        <v>820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1663</v>
      </c>
      <c r="C525" s="37" t="s">
        <v>1664</v>
      </c>
      <c r="D525" s="55" t="s">
        <v>805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1665</v>
      </c>
      <c r="C526" s="37" t="s">
        <v>1666</v>
      </c>
      <c r="D526" s="55" t="s">
        <v>805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1667</v>
      </c>
      <c r="C527" s="37" t="s">
        <v>1668</v>
      </c>
      <c r="D527" s="55" t="s">
        <v>820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1669</v>
      </c>
      <c r="C528" s="37" t="s">
        <v>1670</v>
      </c>
      <c r="D528" s="55" t="s">
        <v>820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1671</v>
      </c>
      <c r="C529" s="37" t="s">
        <v>1672</v>
      </c>
      <c r="D529" s="55" t="s">
        <v>805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1673</v>
      </c>
      <c r="C530" s="37" t="s">
        <v>1674</v>
      </c>
      <c r="D530" s="55" t="s">
        <v>820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805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805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1675</v>
      </c>
      <c r="C533" s="37" t="s">
        <v>1676</v>
      </c>
      <c r="D533" s="55" t="s">
        <v>805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1677</v>
      </c>
      <c r="C534" s="37" t="s">
        <v>1678</v>
      </c>
      <c r="D534" s="55" t="s">
        <v>805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1679</v>
      </c>
      <c r="C535" s="37" t="s">
        <v>1680</v>
      </c>
      <c r="D535" s="55" t="s">
        <v>820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1681</v>
      </c>
      <c r="C536" s="37" t="s">
        <v>1682</v>
      </c>
      <c r="D536" s="55" t="s">
        <v>805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1683</v>
      </c>
      <c r="C537" s="37" t="s">
        <v>1684</v>
      </c>
      <c r="D537" s="55" t="s">
        <v>805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805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820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1685</v>
      </c>
      <c r="C540" s="37" t="s">
        <v>1686</v>
      </c>
      <c r="D540" s="55" t="s">
        <v>820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1687</v>
      </c>
      <c r="C541" s="37" t="s">
        <v>1688</v>
      </c>
      <c r="D541" s="55" t="s">
        <v>805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805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1689</v>
      </c>
      <c r="C543" s="37" t="s">
        <v>1690</v>
      </c>
      <c r="D543" s="55" t="s">
        <v>820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1691</v>
      </c>
      <c r="C544" s="37" t="s">
        <v>1692</v>
      </c>
      <c r="D544" s="55" t="s">
        <v>820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1693</v>
      </c>
      <c r="C545" s="37" t="s">
        <v>1694</v>
      </c>
      <c r="D545" s="55" t="s">
        <v>805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1695</v>
      </c>
      <c r="C546" s="37" t="s">
        <v>1696</v>
      </c>
      <c r="D546" s="55" t="s">
        <v>805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1697</v>
      </c>
      <c r="C547" s="37" t="s">
        <v>1698</v>
      </c>
      <c r="D547" s="55" t="s">
        <v>820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1699</v>
      </c>
      <c r="C548" s="37" t="s">
        <v>1700</v>
      </c>
      <c r="D548" s="55" t="s">
        <v>805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1701</v>
      </c>
      <c r="C549" s="37" t="s">
        <v>1702</v>
      </c>
      <c r="D549" s="55" t="s">
        <v>820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1703</v>
      </c>
      <c r="C550" s="37" t="s">
        <v>5211</v>
      </c>
      <c r="D550" s="55" t="s">
        <v>820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805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1704</v>
      </c>
      <c r="C552" s="37" t="s">
        <v>1705</v>
      </c>
      <c r="D552" s="55" t="s">
        <v>820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1706</v>
      </c>
      <c r="C553" s="37" t="s">
        <v>1707</v>
      </c>
      <c r="D553" s="55" t="s">
        <v>805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1708</v>
      </c>
      <c r="C554" s="37" t="s">
        <v>1709</v>
      </c>
      <c r="D554" s="55" t="s">
        <v>805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1710</v>
      </c>
      <c r="C555" s="37" t="s">
        <v>1711</v>
      </c>
      <c r="D555" s="55" t="s">
        <v>820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1712</v>
      </c>
      <c r="C556" s="37" t="s">
        <v>1713</v>
      </c>
      <c r="D556" s="55" t="s">
        <v>805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1714</v>
      </c>
      <c r="C557" s="37" t="s">
        <v>1715</v>
      </c>
      <c r="D557" s="55" t="s">
        <v>820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1716</v>
      </c>
      <c r="C558" s="37" t="s">
        <v>1717</v>
      </c>
      <c r="D558" s="55" t="s">
        <v>820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1718</v>
      </c>
      <c r="C559" s="37" t="s">
        <v>1719</v>
      </c>
      <c r="D559" s="55" t="s">
        <v>820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1720</v>
      </c>
      <c r="C560" s="37" t="s">
        <v>1721</v>
      </c>
      <c r="D560" s="55" t="s">
        <v>820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1722</v>
      </c>
      <c r="C561" s="37" t="s">
        <v>1723</v>
      </c>
      <c r="D561" s="55" t="s">
        <v>805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1724</v>
      </c>
      <c r="C562" s="37" t="s">
        <v>1725</v>
      </c>
      <c r="D562" s="55" t="s">
        <v>820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1726</v>
      </c>
      <c r="C563" s="37" t="s">
        <v>1727</v>
      </c>
      <c r="D563" s="55" t="s">
        <v>820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1728</v>
      </c>
      <c r="C564" s="37" t="s">
        <v>1729</v>
      </c>
      <c r="D564" s="55" t="s">
        <v>805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1730</v>
      </c>
      <c r="C565" s="37" t="s">
        <v>1731</v>
      </c>
      <c r="D565" s="55" t="s">
        <v>805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805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1732</v>
      </c>
      <c r="C567" s="37" t="s">
        <v>1733</v>
      </c>
      <c r="D567" s="55" t="s">
        <v>820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1734</v>
      </c>
      <c r="C568" s="37" t="s">
        <v>1735</v>
      </c>
      <c r="D568" s="55" t="s">
        <v>820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1736</v>
      </c>
      <c r="C569" s="37" t="s">
        <v>1737</v>
      </c>
      <c r="D569" s="55" t="s">
        <v>805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1738</v>
      </c>
      <c r="C570" s="37" t="s">
        <v>1739</v>
      </c>
      <c r="D570" s="55" t="s">
        <v>820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1740</v>
      </c>
      <c r="C571" s="37" t="s">
        <v>1741</v>
      </c>
      <c r="D571" s="55" t="s">
        <v>805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1742</v>
      </c>
      <c r="C572" s="37" t="s">
        <v>1743</v>
      </c>
      <c r="D572" s="55" t="s">
        <v>820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1744</v>
      </c>
      <c r="C573" s="37" t="s">
        <v>1745</v>
      </c>
      <c r="D573" s="55" t="s">
        <v>805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1746</v>
      </c>
      <c r="C574" s="37" t="s">
        <v>1747</v>
      </c>
      <c r="D574" s="55" t="s">
        <v>820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805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1748</v>
      </c>
      <c r="C576" s="37" t="s">
        <v>1749</v>
      </c>
      <c r="D576" s="55" t="s">
        <v>820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1750</v>
      </c>
      <c r="C577" s="37" t="s">
        <v>1751</v>
      </c>
      <c r="D577" s="55" t="s">
        <v>820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1752</v>
      </c>
      <c r="C578" s="37" t="s">
        <v>1753</v>
      </c>
      <c r="D578" s="55" t="s">
        <v>805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1754</v>
      </c>
      <c r="C579" s="37" t="s">
        <v>1755</v>
      </c>
      <c r="D579" s="55" t="s">
        <v>820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805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1756</v>
      </c>
      <c r="C581" s="37" t="s">
        <v>1757</v>
      </c>
      <c r="D581" s="55" t="s">
        <v>820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1758</v>
      </c>
      <c r="C582" s="37" t="s">
        <v>1759</v>
      </c>
      <c r="D582" s="55" t="s">
        <v>805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1760</v>
      </c>
      <c r="C583" s="37" t="s">
        <v>1761</v>
      </c>
      <c r="D583" s="55" t="s">
        <v>805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1762</v>
      </c>
      <c r="C584" s="37" t="s">
        <v>1763</v>
      </c>
      <c r="D584" s="55" t="s">
        <v>820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1764</v>
      </c>
      <c r="C585" s="37" t="s">
        <v>1765</v>
      </c>
      <c r="D585" s="55" t="s">
        <v>805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1766</v>
      </c>
      <c r="C586" s="37" t="s">
        <v>1767</v>
      </c>
      <c r="D586" s="55" t="s">
        <v>820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1768</v>
      </c>
      <c r="C587" s="37" t="s">
        <v>1769</v>
      </c>
      <c r="D587" s="55" t="s">
        <v>820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1770</v>
      </c>
      <c r="C588" s="37" t="s">
        <v>1771</v>
      </c>
      <c r="D588" s="55" t="s">
        <v>805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805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1772</v>
      </c>
      <c r="C590" s="37" t="s">
        <v>1773</v>
      </c>
      <c r="D590" s="55" t="s">
        <v>805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1774</v>
      </c>
      <c r="C591" s="37" t="s">
        <v>1775</v>
      </c>
      <c r="D591" s="55" t="s">
        <v>820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1776</v>
      </c>
      <c r="C592" s="37" t="s">
        <v>1777</v>
      </c>
      <c r="D592" s="55" t="s">
        <v>820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1778</v>
      </c>
      <c r="C593" s="37" t="s">
        <v>1779</v>
      </c>
      <c r="D593" s="55" t="s">
        <v>820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1780</v>
      </c>
      <c r="C594" s="37" t="s">
        <v>1781</v>
      </c>
      <c r="D594" s="55" t="s">
        <v>820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1782</v>
      </c>
      <c r="C595" s="37" t="s">
        <v>1783</v>
      </c>
      <c r="D595" s="55" t="s">
        <v>805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1784</v>
      </c>
      <c r="C596" s="37" t="s">
        <v>1785</v>
      </c>
      <c r="D596" s="55" t="s">
        <v>805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1786</v>
      </c>
      <c r="C597" s="37" t="s">
        <v>1787</v>
      </c>
      <c r="D597" s="55" t="s">
        <v>820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1788</v>
      </c>
      <c r="C598" s="37" t="s">
        <v>1789</v>
      </c>
      <c r="D598" s="55" t="s">
        <v>820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1790</v>
      </c>
      <c r="C599" s="37" t="s">
        <v>1791</v>
      </c>
      <c r="D599" s="55" t="s">
        <v>805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1792</v>
      </c>
      <c r="C600" s="37" t="s">
        <v>1793</v>
      </c>
      <c r="D600" s="55" t="s">
        <v>820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1794</v>
      </c>
      <c r="C601" s="37" t="s">
        <v>1795</v>
      </c>
      <c r="D601" s="55" t="s">
        <v>805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1796</v>
      </c>
      <c r="C602" s="37" t="s">
        <v>1797</v>
      </c>
      <c r="D602" s="55" t="s">
        <v>805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805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1798</v>
      </c>
      <c r="C604" s="37" t="s">
        <v>1799</v>
      </c>
      <c r="D604" s="55" t="s">
        <v>820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1800</v>
      </c>
      <c r="C605" s="37" t="s">
        <v>1801</v>
      </c>
      <c r="D605" s="55" t="s">
        <v>805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1802</v>
      </c>
      <c r="C606" s="37" t="s">
        <v>1803</v>
      </c>
      <c r="D606" s="55" t="s">
        <v>820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1804</v>
      </c>
      <c r="C607" s="37" t="s">
        <v>1805</v>
      </c>
      <c r="D607" s="55" t="s">
        <v>820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1806</v>
      </c>
      <c r="C608" s="37" t="s">
        <v>1807</v>
      </c>
      <c r="D608" s="55" t="s">
        <v>820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1808</v>
      </c>
      <c r="C609" s="37" t="s">
        <v>1809</v>
      </c>
      <c r="D609" s="55" t="s">
        <v>820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820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1810</v>
      </c>
      <c r="C611" s="37" t="s">
        <v>1811</v>
      </c>
      <c r="D611" s="55" t="s">
        <v>820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1812</v>
      </c>
      <c r="C612" s="37" t="s">
        <v>1813</v>
      </c>
      <c r="D612" s="55" t="s">
        <v>805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1814</v>
      </c>
      <c r="C613" s="37" t="s">
        <v>1815</v>
      </c>
      <c r="D613" s="55" t="s">
        <v>805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1816</v>
      </c>
      <c r="C614" s="37" t="s">
        <v>1817</v>
      </c>
      <c r="D614" s="55" t="s">
        <v>820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1818</v>
      </c>
      <c r="C615" s="37" t="s">
        <v>1819</v>
      </c>
      <c r="D615" s="55" t="s">
        <v>820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1820</v>
      </c>
      <c r="C616" s="37" t="s">
        <v>1821</v>
      </c>
      <c r="D616" s="55" t="s">
        <v>820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1822</v>
      </c>
      <c r="C617" s="37" t="s">
        <v>1823</v>
      </c>
      <c r="D617" s="55" t="s">
        <v>805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1824</v>
      </c>
      <c r="C618" s="37" t="s">
        <v>1825</v>
      </c>
      <c r="D618" s="55" t="s">
        <v>820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1826</v>
      </c>
      <c r="C619" s="37" t="s">
        <v>1827</v>
      </c>
      <c r="D619" s="55" t="s">
        <v>820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1828</v>
      </c>
      <c r="C620" s="37" t="s">
        <v>1829</v>
      </c>
      <c r="D620" s="55" t="s">
        <v>805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1830</v>
      </c>
      <c r="C621" s="37" t="s">
        <v>1831</v>
      </c>
      <c r="D621" s="55" t="s">
        <v>805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1832</v>
      </c>
      <c r="C622" s="37" t="s">
        <v>1833</v>
      </c>
      <c r="D622" s="55" t="s">
        <v>820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1834</v>
      </c>
      <c r="C623" s="37" t="s">
        <v>1835</v>
      </c>
      <c r="D623" s="55" t="s">
        <v>805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1836</v>
      </c>
      <c r="C624" s="37" t="s">
        <v>1837</v>
      </c>
      <c r="D624" s="55" t="s">
        <v>805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1838</v>
      </c>
      <c r="C625" s="37" t="s">
        <v>1839</v>
      </c>
      <c r="D625" s="55" t="s">
        <v>805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1840</v>
      </c>
      <c r="C626" s="37" t="s">
        <v>1841</v>
      </c>
      <c r="D626" s="55" t="s">
        <v>820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1842</v>
      </c>
      <c r="C627" s="37" t="s">
        <v>1843</v>
      </c>
      <c r="D627" s="55" t="s">
        <v>805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1844</v>
      </c>
      <c r="C628" s="37" t="s">
        <v>1845</v>
      </c>
      <c r="D628" s="55" t="s">
        <v>805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1846</v>
      </c>
      <c r="C629" s="37" t="s">
        <v>1847</v>
      </c>
      <c r="D629" s="55" t="s">
        <v>820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1848</v>
      </c>
      <c r="C630" s="37" t="s">
        <v>1849</v>
      </c>
      <c r="D630" s="55" t="s">
        <v>820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1850</v>
      </c>
      <c r="C631" s="37" t="s">
        <v>1851</v>
      </c>
      <c r="D631" s="55" t="s">
        <v>805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1852</v>
      </c>
      <c r="C632" s="37" t="s">
        <v>1853</v>
      </c>
      <c r="D632" s="55" t="s">
        <v>820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1854</v>
      </c>
      <c r="C633" s="37" t="s">
        <v>1855</v>
      </c>
      <c r="D633" s="55" t="s">
        <v>820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1856</v>
      </c>
      <c r="C634" s="37" t="s">
        <v>1857</v>
      </c>
      <c r="D634" s="55" t="s">
        <v>820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1858</v>
      </c>
      <c r="C635" s="37" t="s">
        <v>1859</v>
      </c>
      <c r="D635" s="55" t="s">
        <v>820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1860</v>
      </c>
      <c r="C636" s="37" t="s">
        <v>1861</v>
      </c>
      <c r="D636" s="55" t="s">
        <v>820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1862</v>
      </c>
      <c r="C637" s="37" t="s">
        <v>1863</v>
      </c>
      <c r="D637" s="55" t="s">
        <v>805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1864</v>
      </c>
      <c r="C638" s="37" t="s">
        <v>1865</v>
      </c>
      <c r="D638" s="55" t="s">
        <v>820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1866</v>
      </c>
      <c r="C639" s="37" t="s">
        <v>1867</v>
      </c>
      <c r="D639" s="55" t="s">
        <v>805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1868</v>
      </c>
      <c r="C640" s="37" t="s">
        <v>1869</v>
      </c>
      <c r="D640" s="55" t="s">
        <v>805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1870</v>
      </c>
      <c r="C641" s="37" t="s">
        <v>1871</v>
      </c>
      <c r="D641" s="55" t="s">
        <v>820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1872</v>
      </c>
      <c r="C642" s="37" t="s">
        <v>1873</v>
      </c>
      <c r="D642" s="55" t="s">
        <v>820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1874</v>
      </c>
      <c r="C643" s="37" t="s">
        <v>1875</v>
      </c>
      <c r="D643" s="55" t="s">
        <v>820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1876</v>
      </c>
      <c r="C644" s="37" t="s">
        <v>1877</v>
      </c>
      <c r="D644" s="55" t="s">
        <v>805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1878</v>
      </c>
      <c r="C645" s="37" t="s">
        <v>1879</v>
      </c>
      <c r="D645" s="55" t="s">
        <v>820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1880</v>
      </c>
      <c r="C646" s="37" t="s">
        <v>1881</v>
      </c>
      <c r="D646" s="55" t="s">
        <v>820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1882</v>
      </c>
      <c r="C647" s="37" t="s">
        <v>1883</v>
      </c>
      <c r="D647" s="55" t="s">
        <v>805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1884</v>
      </c>
      <c r="C648" s="37" t="s">
        <v>1885</v>
      </c>
      <c r="D648" s="55" t="s">
        <v>820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1886</v>
      </c>
      <c r="C649" s="37" t="s">
        <v>1887</v>
      </c>
      <c r="D649" s="55" t="s">
        <v>805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805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1888</v>
      </c>
      <c r="C651" s="37" t="s">
        <v>1889</v>
      </c>
      <c r="D651" s="55" t="s">
        <v>820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1890</v>
      </c>
      <c r="C652" s="37" t="s">
        <v>1891</v>
      </c>
      <c r="D652" s="55" t="s">
        <v>805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805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820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805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1892</v>
      </c>
      <c r="C656" s="37" t="s">
        <v>1893</v>
      </c>
      <c r="D656" s="55" t="s">
        <v>805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1894</v>
      </c>
      <c r="C657" s="37" t="s">
        <v>1895</v>
      </c>
      <c r="D657" s="55" t="s">
        <v>820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1896</v>
      </c>
      <c r="C658" s="37" t="s">
        <v>1897</v>
      </c>
      <c r="D658" s="55" t="s">
        <v>805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805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1898</v>
      </c>
      <c r="C660" s="37" t="s">
        <v>1899</v>
      </c>
      <c r="D660" s="55" t="s">
        <v>805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1900</v>
      </c>
      <c r="C661" s="37" t="s">
        <v>1901</v>
      </c>
      <c r="D661" s="55" t="s">
        <v>805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805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1902</v>
      </c>
      <c r="C663" s="37" t="s">
        <v>1903</v>
      </c>
      <c r="D663" s="55" t="s">
        <v>805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1904</v>
      </c>
      <c r="C664" s="37" t="s">
        <v>1905</v>
      </c>
      <c r="D664" s="55" t="s">
        <v>820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1906</v>
      </c>
      <c r="C665" s="37" t="s">
        <v>1907</v>
      </c>
      <c r="D665" s="55" t="s">
        <v>820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820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1908</v>
      </c>
      <c r="C667" s="37" t="s">
        <v>1909</v>
      </c>
      <c r="D667" s="55" t="s">
        <v>805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1910</v>
      </c>
      <c r="C668" s="37" t="s">
        <v>1911</v>
      </c>
      <c r="D668" s="55" t="s">
        <v>805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1912</v>
      </c>
      <c r="C669" s="37" t="s">
        <v>1913</v>
      </c>
      <c r="D669" s="55" t="s">
        <v>820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1914</v>
      </c>
      <c r="C670" s="37" t="s">
        <v>1915</v>
      </c>
      <c r="D670" s="55" t="s">
        <v>805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1916</v>
      </c>
      <c r="C671" s="37" t="s">
        <v>1917</v>
      </c>
      <c r="D671" s="55" t="s">
        <v>820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1918</v>
      </c>
      <c r="C672" s="37" t="s">
        <v>1919</v>
      </c>
      <c r="D672" s="55" t="s">
        <v>820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1920</v>
      </c>
      <c r="C673" s="37" t="s">
        <v>1921</v>
      </c>
      <c r="D673" s="55" t="s">
        <v>805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1922</v>
      </c>
      <c r="C674" s="37" t="s">
        <v>1923</v>
      </c>
      <c r="D674" s="55" t="s">
        <v>805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1924</v>
      </c>
      <c r="C675" s="37" t="s">
        <v>1925</v>
      </c>
      <c r="D675" s="55" t="s">
        <v>820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1926</v>
      </c>
      <c r="C676" s="37" t="s">
        <v>1927</v>
      </c>
      <c r="D676" s="55" t="s">
        <v>805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1928</v>
      </c>
      <c r="C677" s="37" t="s">
        <v>1929</v>
      </c>
      <c r="D677" s="55" t="s">
        <v>820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820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1930</v>
      </c>
      <c r="C679" s="37" t="s">
        <v>1931</v>
      </c>
      <c r="D679" s="55" t="s">
        <v>820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759</v>
      </c>
      <c r="C680" s="37" t="s">
        <v>760</v>
      </c>
      <c r="D680" s="55" t="s">
        <v>820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1932</v>
      </c>
      <c r="C681" s="37" t="s">
        <v>1933</v>
      </c>
      <c r="D681" s="55" t="s">
        <v>820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1934</v>
      </c>
      <c r="C682" s="37" t="s">
        <v>1935</v>
      </c>
      <c r="D682" s="55" t="s">
        <v>820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1936</v>
      </c>
      <c r="C683" s="37" t="s">
        <v>1937</v>
      </c>
      <c r="D683" s="55" t="s">
        <v>805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1938</v>
      </c>
      <c r="C684" s="37" t="s">
        <v>1939</v>
      </c>
      <c r="D684" s="55" t="s">
        <v>820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1940</v>
      </c>
      <c r="C685" s="37" t="s">
        <v>1941</v>
      </c>
      <c r="D685" s="55" t="s">
        <v>820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1942</v>
      </c>
      <c r="C686" s="37" t="s">
        <v>1943</v>
      </c>
      <c r="D686" s="55" t="s">
        <v>805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1944</v>
      </c>
      <c r="C687" s="37" t="s">
        <v>1945</v>
      </c>
      <c r="D687" s="55" t="s">
        <v>820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1946</v>
      </c>
      <c r="C688" s="37" t="s">
        <v>5172</v>
      </c>
      <c r="D688" s="55" t="s">
        <v>820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805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1947</v>
      </c>
      <c r="C690" s="37" t="s">
        <v>1948</v>
      </c>
      <c r="D690" s="55" t="s">
        <v>820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1949</v>
      </c>
      <c r="C691" s="37" t="s">
        <v>1950</v>
      </c>
      <c r="D691" s="55" t="s">
        <v>820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1951</v>
      </c>
      <c r="C692" s="37" t="s">
        <v>1952</v>
      </c>
      <c r="D692" s="55" t="s">
        <v>820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1953</v>
      </c>
      <c r="C693" s="37" t="s">
        <v>1954</v>
      </c>
      <c r="D693" s="55" t="s">
        <v>820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1955</v>
      </c>
      <c r="C694" s="37" t="s">
        <v>1956</v>
      </c>
      <c r="D694" s="55" t="s">
        <v>820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805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1957</v>
      </c>
      <c r="C696" s="37" t="s">
        <v>1958</v>
      </c>
      <c r="D696" s="55" t="s">
        <v>820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1959</v>
      </c>
      <c r="C697" s="37" t="s">
        <v>1960</v>
      </c>
      <c r="D697" s="55" t="s">
        <v>820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1961</v>
      </c>
      <c r="C698" s="37" t="s">
        <v>1962</v>
      </c>
      <c r="D698" s="55" t="s">
        <v>820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1963</v>
      </c>
      <c r="C699" s="37" t="s">
        <v>1964</v>
      </c>
      <c r="D699" s="55" t="s">
        <v>820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1965</v>
      </c>
      <c r="C700" s="37" t="s">
        <v>1966</v>
      </c>
      <c r="D700" s="55" t="s">
        <v>820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1967</v>
      </c>
      <c r="C701" s="37" t="s">
        <v>1968</v>
      </c>
      <c r="D701" s="55" t="s">
        <v>820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1969</v>
      </c>
      <c r="C702" s="37" t="s">
        <v>1970</v>
      </c>
      <c r="D702" s="55" t="s">
        <v>820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1971</v>
      </c>
      <c r="C703" s="37" t="s">
        <v>1972</v>
      </c>
      <c r="D703" s="55" t="s">
        <v>820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1973</v>
      </c>
      <c r="C704" s="37" t="s">
        <v>1974</v>
      </c>
      <c r="D704" s="55" t="s">
        <v>820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1975</v>
      </c>
      <c r="C705" s="37" t="s">
        <v>1976</v>
      </c>
      <c r="D705" s="55" t="s">
        <v>820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1977</v>
      </c>
      <c r="C706" s="37" t="s">
        <v>1978</v>
      </c>
      <c r="D706" s="55" t="s">
        <v>820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1979</v>
      </c>
      <c r="C707" s="37" t="s">
        <v>1980</v>
      </c>
      <c r="D707" s="55" t="s">
        <v>820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1981</v>
      </c>
      <c r="C708" s="37" t="s">
        <v>1982</v>
      </c>
      <c r="D708" s="55" t="s">
        <v>805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1983</v>
      </c>
      <c r="C709" s="37" t="s">
        <v>1984</v>
      </c>
      <c r="D709" s="55" t="s">
        <v>805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1985</v>
      </c>
      <c r="C710" s="37" t="s">
        <v>1986</v>
      </c>
      <c r="D710" s="55" t="s">
        <v>805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1987</v>
      </c>
      <c r="C711" s="37" t="s">
        <v>1988</v>
      </c>
      <c r="D711" s="55" t="s">
        <v>820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1989</v>
      </c>
      <c r="C712" s="37" t="s">
        <v>1990</v>
      </c>
      <c r="D712" s="55" t="s">
        <v>820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1991</v>
      </c>
      <c r="C713" s="37" t="s">
        <v>1992</v>
      </c>
      <c r="D713" s="55" t="s">
        <v>820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1993</v>
      </c>
      <c r="C714" s="37" t="s">
        <v>1994</v>
      </c>
      <c r="D714" s="55" t="s">
        <v>820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820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1995</v>
      </c>
      <c r="C716" s="37" t="s">
        <v>1996</v>
      </c>
      <c r="D716" s="55" t="s">
        <v>805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1997</v>
      </c>
      <c r="C717" s="37" t="s">
        <v>1998</v>
      </c>
      <c r="D717" s="55" t="s">
        <v>820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1999</v>
      </c>
      <c r="C718" s="37" t="s">
        <v>2000</v>
      </c>
      <c r="D718" s="55" t="s">
        <v>820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2001</v>
      </c>
      <c r="C719" s="37" t="s">
        <v>2002</v>
      </c>
      <c r="D719" s="55" t="s">
        <v>820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805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2003</v>
      </c>
      <c r="C721" s="37" t="s">
        <v>2004</v>
      </c>
      <c r="D721" s="55" t="s">
        <v>820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2005</v>
      </c>
      <c r="C722" s="37" t="s">
        <v>2006</v>
      </c>
      <c r="D722" s="55" t="s">
        <v>820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2007</v>
      </c>
      <c r="C723" s="37" t="s">
        <v>2008</v>
      </c>
      <c r="D723" s="55" t="s">
        <v>805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805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2009</v>
      </c>
      <c r="C725" s="37" t="s">
        <v>2010</v>
      </c>
      <c r="D725" s="55" t="s">
        <v>805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2011</v>
      </c>
      <c r="C726" s="37" t="s">
        <v>2012</v>
      </c>
      <c r="D726" s="55" t="s">
        <v>805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805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2013</v>
      </c>
      <c r="C728" s="37" t="s">
        <v>2014</v>
      </c>
      <c r="D728" s="55" t="s">
        <v>805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2015</v>
      </c>
      <c r="C729" s="37" t="s">
        <v>2016</v>
      </c>
      <c r="D729" s="55" t="s">
        <v>805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805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2017</v>
      </c>
      <c r="C731" s="37" t="s">
        <v>2018</v>
      </c>
      <c r="D731" s="55" t="s">
        <v>820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805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2019</v>
      </c>
      <c r="C733" s="37" t="s">
        <v>2020</v>
      </c>
      <c r="D733" s="55" t="s">
        <v>820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2021</v>
      </c>
      <c r="C734" s="37" t="s">
        <v>2022</v>
      </c>
      <c r="D734" s="55" t="s">
        <v>820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2023</v>
      </c>
      <c r="C735" s="37" t="s">
        <v>2024</v>
      </c>
      <c r="D735" s="55" t="s">
        <v>805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2025</v>
      </c>
      <c r="C736" s="37" t="s">
        <v>2026</v>
      </c>
      <c r="D736" s="55" t="s">
        <v>820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2027</v>
      </c>
      <c r="C737" s="37" t="s">
        <v>2028</v>
      </c>
      <c r="D737" s="55" t="s">
        <v>805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2029</v>
      </c>
      <c r="C738" s="37" t="s">
        <v>2030</v>
      </c>
      <c r="D738" s="55" t="s">
        <v>820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805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2031</v>
      </c>
      <c r="C740" s="37" t="s">
        <v>2032</v>
      </c>
      <c r="D740" s="55" t="s">
        <v>820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805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2033</v>
      </c>
      <c r="C742" s="37" t="s">
        <v>2034</v>
      </c>
      <c r="D742" s="55" t="s">
        <v>820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2035</v>
      </c>
      <c r="C743" s="37" t="s">
        <v>2036</v>
      </c>
      <c r="D743" s="55" t="s">
        <v>805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2037</v>
      </c>
      <c r="C744" s="37" t="s">
        <v>2038</v>
      </c>
      <c r="D744" s="55" t="s">
        <v>820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2039</v>
      </c>
      <c r="C745" s="37" t="s">
        <v>2040</v>
      </c>
      <c r="D745" s="55" t="s">
        <v>820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2041</v>
      </c>
      <c r="C746" s="37" t="s">
        <v>2042</v>
      </c>
      <c r="D746" s="55" t="s">
        <v>820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805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820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2043</v>
      </c>
      <c r="C749" s="37" t="s">
        <v>2044</v>
      </c>
      <c r="D749" s="55" t="s">
        <v>820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2045</v>
      </c>
      <c r="C750" s="37" t="s">
        <v>2046</v>
      </c>
      <c r="D750" s="55" t="s">
        <v>820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820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2047</v>
      </c>
      <c r="C752" s="37" t="s">
        <v>2048</v>
      </c>
      <c r="D752" s="55" t="s">
        <v>820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2049</v>
      </c>
      <c r="C753" s="37" t="s">
        <v>2050</v>
      </c>
      <c r="D753" s="55" t="s">
        <v>820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2051</v>
      </c>
      <c r="C754" s="37" t="s">
        <v>2052</v>
      </c>
      <c r="D754" s="55" t="s">
        <v>820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2053</v>
      </c>
      <c r="C755" s="37" t="s">
        <v>2054</v>
      </c>
      <c r="D755" s="55" t="s">
        <v>820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2055</v>
      </c>
      <c r="C756" s="37" t="s">
        <v>2056</v>
      </c>
      <c r="D756" s="55" t="s">
        <v>820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2057</v>
      </c>
      <c r="C757" s="37" t="s">
        <v>2058</v>
      </c>
      <c r="D757" s="55" t="s">
        <v>820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2059</v>
      </c>
      <c r="C758" s="37" t="s">
        <v>2060</v>
      </c>
      <c r="D758" s="55" t="s">
        <v>5157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2061</v>
      </c>
      <c r="C759" s="37" t="s">
        <v>2062</v>
      </c>
      <c r="D759" s="55" t="s">
        <v>820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2063</v>
      </c>
      <c r="C760" s="37" t="s">
        <v>2064</v>
      </c>
      <c r="D760" s="55" t="s">
        <v>820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2065</v>
      </c>
      <c r="C761" s="37" t="s">
        <v>2066</v>
      </c>
      <c r="D761" s="55" t="s">
        <v>820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2067</v>
      </c>
      <c r="C762" s="37" t="s">
        <v>2068</v>
      </c>
      <c r="D762" s="55" t="s">
        <v>805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2069</v>
      </c>
      <c r="C763" s="37" t="s">
        <v>2070</v>
      </c>
      <c r="D763" s="55" t="s">
        <v>805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2071</v>
      </c>
      <c r="C764" s="37" t="s">
        <v>2072</v>
      </c>
      <c r="D764" s="55" t="s">
        <v>820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2073</v>
      </c>
      <c r="C765" s="37" t="s">
        <v>2074</v>
      </c>
      <c r="D765" s="55" t="s">
        <v>805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2075</v>
      </c>
      <c r="C766" s="37" t="s">
        <v>2076</v>
      </c>
      <c r="D766" s="55" t="s">
        <v>820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2077</v>
      </c>
      <c r="C767" s="37" t="s">
        <v>2078</v>
      </c>
      <c r="D767" s="55" t="s">
        <v>820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5175</v>
      </c>
      <c r="D768" s="55" t="s">
        <v>805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2079</v>
      </c>
      <c r="C769" s="37" t="s">
        <v>2080</v>
      </c>
      <c r="D769" s="55" t="s">
        <v>805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2081</v>
      </c>
      <c r="C770" s="37" t="s">
        <v>2082</v>
      </c>
      <c r="D770" s="55" t="s">
        <v>820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2083</v>
      </c>
      <c r="C771" s="37" t="s">
        <v>2084</v>
      </c>
      <c r="D771" s="55" t="s">
        <v>820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2085</v>
      </c>
      <c r="C772" s="37" t="s">
        <v>2086</v>
      </c>
      <c r="D772" s="55" t="s">
        <v>820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2087</v>
      </c>
      <c r="C773" s="37" t="s">
        <v>2088</v>
      </c>
      <c r="D773" s="55" t="s">
        <v>820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2089</v>
      </c>
      <c r="C774" s="37" t="s">
        <v>2090</v>
      </c>
      <c r="D774" s="55" t="s">
        <v>820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2091</v>
      </c>
      <c r="C775" s="37" t="s">
        <v>2092</v>
      </c>
      <c r="D775" s="55" t="s">
        <v>820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2093</v>
      </c>
      <c r="C776" s="37" t="s">
        <v>2094</v>
      </c>
      <c r="D776" s="55" t="s">
        <v>820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820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820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2095</v>
      </c>
      <c r="C779" s="37" t="s">
        <v>2096</v>
      </c>
      <c r="D779" s="55" t="s">
        <v>820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820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2097</v>
      </c>
      <c r="C781" s="37" t="s">
        <v>2098</v>
      </c>
      <c r="D781" s="55" t="s">
        <v>820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2099</v>
      </c>
      <c r="C782" s="37" t="s">
        <v>2100</v>
      </c>
      <c r="D782" s="55" t="s">
        <v>820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2101</v>
      </c>
      <c r="C783" s="37" t="s">
        <v>2102</v>
      </c>
      <c r="D783" s="55" t="s">
        <v>820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2103</v>
      </c>
      <c r="C784" s="37" t="s">
        <v>2104</v>
      </c>
      <c r="D784" s="55" t="s">
        <v>805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2105</v>
      </c>
      <c r="C785" s="37" t="s">
        <v>2106</v>
      </c>
      <c r="D785" s="55" t="s">
        <v>820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2107</v>
      </c>
      <c r="C786" s="37" t="s">
        <v>2108</v>
      </c>
      <c r="D786" s="55" t="s">
        <v>820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2109</v>
      </c>
      <c r="C787" s="37" t="s">
        <v>2110</v>
      </c>
      <c r="D787" s="55" t="s">
        <v>820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2111</v>
      </c>
      <c r="C788" s="37" t="s">
        <v>2112</v>
      </c>
      <c r="D788" s="55" t="s">
        <v>820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2113</v>
      </c>
      <c r="C789" s="37" t="s">
        <v>2114</v>
      </c>
      <c r="D789" s="55" t="s">
        <v>820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2115</v>
      </c>
      <c r="C790" s="37" t="s">
        <v>2116</v>
      </c>
      <c r="D790" s="55" t="s">
        <v>820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2117</v>
      </c>
      <c r="C791" s="37" t="s">
        <v>2118</v>
      </c>
      <c r="D791" s="55" t="s">
        <v>805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2119</v>
      </c>
      <c r="C792" s="37" t="s">
        <v>2120</v>
      </c>
      <c r="D792" s="55" t="s">
        <v>805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2121</v>
      </c>
      <c r="C793" s="37" t="s">
        <v>2122</v>
      </c>
      <c r="D793" s="55" t="s">
        <v>820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2123</v>
      </c>
      <c r="C794" s="37" t="s">
        <v>2124</v>
      </c>
      <c r="D794" s="55" t="s">
        <v>820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2125</v>
      </c>
      <c r="C795" s="37" t="s">
        <v>2126</v>
      </c>
      <c r="D795" s="55" t="s">
        <v>820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2127</v>
      </c>
      <c r="C796" s="37" t="s">
        <v>2128</v>
      </c>
      <c r="D796" s="55" t="s">
        <v>820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2129</v>
      </c>
      <c r="C797" s="37" t="s">
        <v>2130</v>
      </c>
      <c r="D797" s="55" t="s">
        <v>820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2131</v>
      </c>
      <c r="C798" s="37" t="s">
        <v>2132</v>
      </c>
      <c r="D798" s="55" t="s">
        <v>820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2133</v>
      </c>
      <c r="C799" s="37" t="s">
        <v>2134</v>
      </c>
      <c r="D799" s="55" t="s">
        <v>820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2135</v>
      </c>
      <c r="C800" s="37" t="s">
        <v>2136</v>
      </c>
      <c r="D800" s="55" t="s">
        <v>820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2137</v>
      </c>
      <c r="C801" s="37" t="s">
        <v>2138</v>
      </c>
      <c r="D801" s="55" t="s">
        <v>820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2139</v>
      </c>
      <c r="C802" s="37" t="s">
        <v>2140</v>
      </c>
      <c r="D802" s="55" t="s">
        <v>820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2141</v>
      </c>
      <c r="C803" s="37" t="s">
        <v>5187</v>
      </c>
      <c r="D803" s="55" t="s">
        <v>820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2142</v>
      </c>
      <c r="C804" s="37" t="s">
        <v>2143</v>
      </c>
      <c r="D804" s="55" t="s">
        <v>820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2144</v>
      </c>
      <c r="C805" s="37" t="s">
        <v>2145</v>
      </c>
      <c r="D805" s="55" t="s">
        <v>820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2146</v>
      </c>
      <c r="C806" s="37" t="s">
        <v>2147</v>
      </c>
      <c r="D806" s="55" t="s">
        <v>820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2148</v>
      </c>
      <c r="C807" s="37" t="s">
        <v>5181</v>
      </c>
      <c r="D807" s="55" t="s">
        <v>820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2149</v>
      </c>
      <c r="C808" s="37" t="s">
        <v>2150</v>
      </c>
      <c r="D808" s="55" t="s">
        <v>820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2151</v>
      </c>
      <c r="C809" s="37" t="s">
        <v>2152</v>
      </c>
      <c r="D809" s="55" t="s">
        <v>820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2153</v>
      </c>
      <c r="C810" s="37" t="s">
        <v>2154</v>
      </c>
      <c r="D810" s="55" t="s">
        <v>820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2155</v>
      </c>
      <c r="C811" s="37" t="s">
        <v>2156</v>
      </c>
      <c r="D811" s="55" t="s">
        <v>820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820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2157</v>
      </c>
      <c r="C813" s="37" t="s">
        <v>2158</v>
      </c>
      <c r="D813" s="55" t="s">
        <v>805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820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2159</v>
      </c>
      <c r="C815" s="37" t="s">
        <v>2160</v>
      </c>
      <c r="D815" s="55" t="s">
        <v>820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2161</v>
      </c>
      <c r="C816" s="37" t="s">
        <v>2162</v>
      </c>
      <c r="D816" s="55" t="s">
        <v>820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2163</v>
      </c>
      <c r="C817" s="37" t="s">
        <v>2164</v>
      </c>
      <c r="D817" s="55" t="s">
        <v>820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2165</v>
      </c>
      <c r="C818" s="37" t="s">
        <v>2166</v>
      </c>
      <c r="D818" s="55" t="s">
        <v>820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2167</v>
      </c>
      <c r="C819" s="37" t="s">
        <v>2168</v>
      </c>
      <c r="D819" s="55" t="s">
        <v>820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820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805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2169</v>
      </c>
      <c r="C822" s="37" t="s">
        <v>2170</v>
      </c>
      <c r="D822" s="55" t="s">
        <v>820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2171</v>
      </c>
      <c r="C823" s="37" t="s">
        <v>2172</v>
      </c>
      <c r="D823" s="55" t="s">
        <v>805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2173</v>
      </c>
      <c r="C824" s="37" t="s">
        <v>2174</v>
      </c>
      <c r="D824" s="55" t="s">
        <v>820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2175</v>
      </c>
      <c r="C825" s="37" t="s">
        <v>2176</v>
      </c>
      <c r="D825" s="55" t="s">
        <v>820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2177</v>
      </c>
      <c r="C826" s="37" t="s">
        <v>2178</v>
      </c>
      <c r="D826" s="55" t="s">
        <v>820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2179</v>
      </c>
      <c r="C827" s="37" t="s">
        <v>2180</v>
      </c>
      <c r="D827" s="55" t="s">
        <v>820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2181</v>
      </c>
      <c r="C828" s="37" t="s">
        <v>2182</v>
      </c>
      <c r="D828" s="55" t="s">
        <v>820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2183</v>
      </c>
      <c r="C829" s="37" t="s">
        <v>2184</v>
      </c>
      <c r="D829" s="55" t="s">
        <v>820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2185</v>
      </c>
      <c r="C830" s="37" t="s">
        <v>2186</v>
      </c>
      <c r="D830" s="55" t="s">
        <v>820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2187</v>
      </c>
      <c r="C831" s="37" t="s">
        <v>2188</v>
      </c>
      <c r="D831" s="55" t="s">
        <v>820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2189</v>
      </c>
      <c r="C832" s="37" t="s">
        <v>2190</v>
      </c>
      <c r="D832" s="55" t="s">
        <v>820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2191</v>
      </c>
      <c r="C833" s="37" t="s">
        <v>2192</v>
      </c>
      <c r="D833" s="55" t="s">
        <v>820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2193</v>
      </c>
      <c r="C834" s="37" t="s">
        <v>2194</v>
      </c>
      <c r="D834" s="55" t="s">
        <v>820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2195</v>
      </c>
      <c r="C835" s="37" t="s">
        <v>2196</v>
      </c>
      <c r="D835" s="55" t="s">
        <v>820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2197</v>
      </c>
      <c r="C836" s="37" t="s">
        <v>2198</v>
      </c>
      <c r="D836" s="55" t="s">
        <v>820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2199</v>
      </c>
      <c r="C837" s="37" t="s">
        <v>2200</v>
      </c>
      <c r="D837" s="55" t="s">
        <v>820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2201</v>
      </c>
      <c r="C838" s="37" t="s">
        <v>2202</v>
      </c>
      <c r="D838" s="55" t="s">
        <v>820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2203</v>
      </c>
      <c r="C839" s="37" t="s">
        <v>2204</v>
      </c>
      <c r="D839" s="55" t="s">
        <v>820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820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2205</v>
      </c>
      <c r="C841" s="37" t="s">
        <v>2206</v>
      </c>
      <c r="D841" s="55" t="s">
        <v>820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2207</v>
      </c>
      <c r="C842" s="37" t="s">
        <v>2208</v>
      </c>
      <c r="D842" s="55" t="s">
        <v>820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2209</v>
      </c>
      <c r="C843" s="37" t="s">
        <v>2210</v>
      </c>
      <c r="D843" s="55" t="s">
        <v>805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820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2211</v>
      </c>
      <c r="C845" s="37" t="s">
        <v>2212</v>
      </c>
      <c r="D845" s="55" t="s">
        <v>820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2213</v>
      </c>
      <c r="C846" s="37" t="s">
        <v>2214</v>
      </c>
      <c r="D846" s="55" t="s">
        <v>820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2215</v>
      </c>
      <c r="C847" s="37" t="s">
        <v>5202</v>
      </c>
      <c r="D847" s="55" t="s">
        <v>820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2216</v>
      </c>
      <c r="C848" s="37" t="s">
        <v>2217</v>
      </c>
      <c r="D848" s="55" t="s">
        <v>820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2218</v>
      </c>
      <c r="C849" s="37" t="s">
        <v>2219</v>
      </c>
      <c r="D849" s="55" t="s">
        <v>820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2220</v>
      </c>
      <c r="C850" s="37" t="s">
        <v>2221</v>
      </c>
      <c r="D850" s="55" t="s">
        <v>820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2222</v>
      </c>
      <c r="C851" s="37" t="s">
        <v>2223</v>
      </c>
      <c r="D851" s="55" t="s">
        <v>820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2224</v>
      </c>
      <c r="C852" s="37" t="s">
        <v>2225</v>
      </c>
      <c r="D852" s="55" t="s">
        <v>820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2226</v>
      </c>
      <c r="C853" s="37" t="s">
        <v>2227</v>
      </c>
      <c r="D853" s="55" t="s">
        <v>820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2228</v>
      </c>
      <c r="C854" s="37" t="s">
        <v>2229</v>
      </c>
      <c r="D854" s="55" t="s">
        <v>820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2230</v>
      </c>
      <c r="C855" s="37" t="s">
        <v>2231</v>
      </c>
      <c r="D855" s="55" t="s">
        <v>820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820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2232</v>
      </c>
      <c r="C857" s="37" t="s">
        <v>2233</v>
      </c>
      <c r="D857" s="55" t="s">
        <v>820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805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805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2234</v>
      </c>
      <c r="C860" s="37" t="s">
        <v>2235</v>
      </c>
      <c r="D860" s="55" t="s">
        <v>820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2236</v>
      </c>
      <c r="C861" s="37" t="s">
        <v>2237</v>
      </c>
      <c r="D861" s="55" t="s">
        <v>820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2238</v>
      </c>
      <c r="C862" s="37" t="s">
        <v>2239</v>
      </c>
      <c r="D862" s="55" t="s">
        <v>820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2240</v>
      </c>
      <c r="C863" s="37" t="s">
        <v>2241</v>
      </c>
      <c r="D863" s="55" t="s">
        <v>820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2242</v>
      </c>
      <c r="C864" s="37" t="s">
        <v>2243</v>
      </c>
      <c r="D864" s="55" t="s">
        <v>820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2244</v>
      </c>
      <c r="C865" s="37" t="s">
        <v>2245</v>
      </c>
      <c r="D865" s="55" t="s">
        <v>820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2246</v>
      </c>
      <c r="C866" s="37" t="s">
        <v>2247</v>
      </c>
      <c r="D866" s="55" t="s">
        <v>820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2248</v>
      </c>
      <c r="C867" s="37" t="s">
        <v>2249</v>
      </c>
      <c r="D867" s="55" t="s">
        <v>820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2250</v>
      </c>
      <c r="C868" s="37" t="s">
        <v>2251</v>
      </c>
      <c r="D868" s="55" t="s">
        <v>820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2252</v>
      </c>
      <c r="C869" s="37" t="s">
        <v>2253</v>
      </c>
      <c r="D869" s="55" t="s">
        <v>820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2254</v>
      </c>
      <c r="C870" s="37" t="s">
        <v>2255</v>
      </c>
      <c r="D870" s="55" t="s">
        <v>820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2256</v>
      </c>
      <c r="C871" s="37" t="s">
        <v>2257</v>
      </c>
      <c r="D871" s="55" t="s">
        <v>820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2258</v>
      </c>
      <c r="C872" s="37" t="s">
        <v>2259</v>
      </c>
      <c r="D872" s="55" t="s">
        <v>820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2260</v>
      </c>
      <c r="C873" s="37" t="s">
        <v>5207</v>
      </c>
      <c r="D873" s="55" t="s">
        <v>820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2261</v>
      </c>
      <c r="C874" s="37" t="s">
        <v>2262</v>
      </c>
      <c r="D874" s="55" t="s">
        <v>820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2263</v>
      </c>
      <c r="C875" s="37" t="s">
        <v>2264</v>
      </c>
      <c r="D875" s="55" t="s">
        <v>820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2265</v>
      </c>
      <c r="C876" s="37" t="s">
        <v>2266</v>
      </c>
      <c r="D876" s="55" t="s">
        <v>820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2267</v>
      </c>
      <c r="C877" s="37" t="s">
        <v>2268</v>
      </c>
      <c r="D877" s="55" t="s">
        <v>805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805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2269</v>
      </c>
      <c r="C879" s="37" t="s">
        <v>2270</v>
      </c>
      <c r="D879" s="55" t="s">
        <v>820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820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2271</v>
      </c>
      <c r="C881" s="37" t="s">
        <v>2272</v>
      </c>
      <c r="D881" s="55" t="s">
        <v>820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2273</v>
      </c>
      <c r="C882" s="37" t="s">
        <v>2274</v>
      </c>
      <c r="D882" s="55" t="s">
        <v>805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2275</v>
      </c>
      <c r="C883" s="37" t="s">
        <v>2276</v>
      </c>
      <c r="D883" s="55" t="s">
        <v>820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2277</v>
      </c>
      <c r="C884" s="37" t="s">
        <v>2278</v>
      </c>
      <c r="D884" s="55" t="s">
        <v>820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2279</v>
      </c>
      <c r="C885" s="37" t="s">
        <v>2280</v>
      </c>
      <c r="D885" s="55" t="s">
        <v>820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2281</v>
      </c>
      <c r="C886" s="37" t="s">
        <v>2282</v>
      </c>
      <c r="D886" s="55" t="s">
        <v>820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2283</v>
      </c>
      <c r="C887" s="37" t="s">
        <v>2284</v>
      </c>
      <c r="D887" s="55" t="s">
        <v>820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2285</v>
      </c>
      <c r="C888" s="37" t="s">
        <v>2286</v>
      </c>
      <c r="D888" s="55" t="s">
        <v>820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2287</v>
      </c>
      <c r="C889" s="37" t="s">
        <v>2288</v>
      </c>
      <c r="D889" s="55" t="s">
        <v>820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2289</v>
      </c>
      <c r="C890" s="37" t="s">
        <v>2290</v>
      </c>
      <c r="D890" s="55" t="s">
        <v>820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2291</v>
      </c>
      <c r="C891" s="37" t="s">
        <v>2292</v>
      </c>
      <c r="D891" s="55" t="s">
        <v>820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2293</v>
      </c>
      <c r="C892" s="37" t="s">
        <v>2294</v>
      </c>
      <c r="D892" s="55" t="s">
        <v>820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2295</v>
      </c>
      <c r="C893" s="37" t="s">
        <v>2296</v>
      </c>
      <c r="D893" s="55" t="s">
        <v>820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2297</v>
      </c>
      <c r="C894" s="37" t="s">
        <v>2298</v>
      </c>
      <c r="D894" s="55" t="s">
        <v>820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2299</v>
      </c>
      <c r="C895" s="37" t="s">
        <v>2300</v>
      </c>
      <c r="D895" s="55" t="s">
        <v>820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2301</v>
      </c>
      <c r="C896" s="37" t="s">
        <v>2302</v>
      </c>
      <c r="D896" s="55" t="s">
        <v>820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2303</v>
      </c>
      <c r="C897" s="37" t="s">
        <v>2304</v>
      </c>
      <c r="D897" s="55" t="s">
        <v>820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2305</v>
      </c>
      <c r="C898" s="37" t="s">
        <v>2306</v>
      </c>
      <c r="D898" s="55" t="s">
        <v>820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2307</v>
      </c>
      <c r="C899" s="37" t="s">
        <v>5176</v>
      </c>
      <c r="D899" s="55" t="s">
        <v>820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2308</v>
      </c>
      <c r="C900" s="37" t="s">
        <v>2309</v>
      </c>
      <c r="D900" s="55" t="s">
        <v>820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2310</v>
      </c>
      <c r="C901" s="37" t="s">
        <v>2311</v>
      </c>
      <c r="D901" s="55" t="s">
        <v>820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2312</v>
      </c>
      <c r="C902" s="37" t="s">
        <v>2313</v>
      </c>
      <c r="D902" s="55" t="s">
        <v>820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805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805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2314</v>
      </c>
      <c r="C905" s="37" t="s">
        <v>2315</v>
      </c>
      <c r="D905" s="55" t="s">
        <v>820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2316</v>
      </c>
      <c r="C906" s="37" t="s">
        <v>2317</v>
      </c>
      <c r="D906" s="55" t="s">
        <v>820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2318</v>
      </c>
      <c r="C907" s="37" t="s">
        <v>2319</v>
      </c>
      <c r="D907" s="55" t="s">
        <v>805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2320</v>
      </c>
      <c r="C908" s="37" t="s">
        <v>2321</v>
      </c>
      <c r="D908" s="55" t="s">
        <v>820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2322</v>
      </c>
      <c r="C909" s="37" t="s">
        <v>2323</v>
      </c>
      <c r="D909" s="55" t="s">
        <v>820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805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2324</v>
      </c>
      <c r="C911" s="37" t="s">
        <v>2325</v>
      </c>
      <c r="D911" s="55" t="s">
        <v>820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2326</v>
      </c>
      <c r="C912" s="37" t="s">
        <v>2327</v>
      </c>
      <c r="D912" s="55" t="s">
        <v>820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2328</v>
      </c>
      <c r="C913" s="37" t="s">
        <v>2329</v>
      </c>
      <c r="D913" s="55" t="s">
        <v>820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2330</v>
      </c>
      <c r="C914" s="37" t="s">
        <v>2331</v>
      </c>
      <c r="D914" s="55" t="s">
        <v>820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2332</v>
      </c>
      <c r="C915" s="37" t="s">
        <v>2333</v>
      </c>
      <c r="D915" s="55" t="s">
        <v>820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2334</v>
      </c>
      <c r="C916" s="37" t="s">
        <v>2335</v>
      </c>
      <c r="D916" s="55" t="s">
        <v>820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2336</v>
      </c>
      <c r="C917" s="37" t="s">
        <v>2337</v>
      </c>
      <c r="D917" s="55" t="s">
        <v>820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2338</v>
      </c>
      <c r="C918" s="37" t="s">
        <v>5182</v>
      </c>
      <c r="D918" s="55" t="s">
        <v>820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2339</v>
      </c>
      <c r="C919" s="37" t="s">
        <v>2340</v>
      </c>
      <c r="D919" s="55" t="s">
        <v>820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2341</v>
      </c>
      <c r="C920" s="37" t="s">
        <v>2342</v>
      </c>
      <c r="D920" s="55" t="s">
        <v>820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2343</v>
      </c>
      <c r="C921" s="37" t="s">
        <v>2344</v>
      </c>
      <c r="D921" s="55" t="s">
        <v>820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2345</v>
      </c>
      <c r="C922" s="37" t="s">
        <v>2346</v>
      </c>
      <c r="D922" s="55" t="s">
        <v>820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2347</v>
      </c>
      <c r="C923" s="37" t="s">
        <v>2348</v>
      </c>
      <c r="D923" s="55" t="s">
        <v>820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2349</v>
      </c>
      <c r="C924" s="37" t="s">
        <v>2350</v>
      </c>
      <c r="D924" s="55" t="s">
        <v>820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2351</v>
      </c>
      <c r="C925" s="37" t="s">
        <v>2352</v>
      </c>
      <c r="D925" s="55" t="s">
        <v>820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2353</v>
      </c>
      <c r="C926" s="37" t="s">
        <v>2354</v>
      </c>
      <c r="D926" s="55" t="s">
        <v>820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2355</v>
      </c>
      <c r="C927" s="37" t="s">
        <v>2356</v>
      </c>
      <c r="D927" s="55" t="s">
        <v>820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2357</v>
      </c>
      <c r="C928" s="37" t="s">
        <v>2358</v>
      </c>
      <c r="D928" s="55" t="s">
        <v>820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2359</v>
      </c>
      <c r="C929" s="37" t="s">
        <v>2360</v>
      </c>
      <c r="D929" s="55" t="s">
        <v>820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2361</v>
      </c>
      <c r="C930" s="37" t="s">
        <v>2362</v>
      </c>
      <c r="D930" s="55" t="s">
        <v>820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2363</v>
      </c>
      <c r="C931" s="37" t="s">
        <v>2364</v>
      </c>
      <c r="D931" s="55" t="s">
        <v>820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2365</v>
      </c>
      <c r="C932" s="37" t="s">
        <v>2366</v>
      </c>
      <c r="D932" s="55" t="s">
        <v>820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2367</v>
      </c>
      <c r="C933" s="37" t="s">
        <v>2368</v>
      </c>
      <c r="D933" s="55" t="s">
        <v>805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2369</v>
      </c>
      <c r="C934" s="37" t="s">
        <v>2370</v>
      </c>
      <c r="D934" s="55" t="s">
        <v>820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2371</v>
      </c>
      <c r="C935" s="37" t="s">
        <v>2372</v>
      </c>
      <c r="D935" s="55" t="s">
        <v>820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2373</v>
      </c>
      <c r="C936" s="37" t="s">
        <v>2374</v>
      </c>
      <c r="D936" s="55" t="s">
        <v>820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2375</v>
      </c>
      <c r="C937" s="37" t="s">
        <v>2376</v>
      </c>
      <c r="D937" s="55" t="s">
        <v>820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2377</v>
      </c>
      <c r="C938" s="37" t="s">
        <v>2378</v>
      </c>
      <c r="D938" s="55" t="s">
        <v>820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2379</v>
      </c>
      <c r="C939" s="37" t="s">
        <v>2380</v>
      </c>
      <c r="D939" s="55" t="s">
        <v>820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2381</v>
      </c>
      <c r="C940" s="37" t="s">
        <v>2382</v>
      </c>
      <c r="D940" s="55" t="s">
        <v>820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2383</v>
      </c>
      <c r="C941" s="37" t="s">
        <v>2384</v>
      </c>
      <c r="D941" s="55" t="s">
        <v>820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2385</v>
      </c>
      <c r="C942" s="37" t="s">
        <v>2386</v>
      </c>
      <c r="D942" s="55" t="s">
        <v>820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2387</v>
      </c>
      <c r="C943" s="37" t="s">
        <v>2388</v>
      </c>
      <c r="D943" s="55" t="s">
        <v>820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2389</v>
      </c>
      <c r="C944" s="37" t="s">
        <v>2390</v>
      </c>
      <c r="D944" s="55" t="s">
        <v>820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2391</v>
      </c>
      <c r="C945" s="37" t="s">
        <v>2392</v>
      </c>
      <c r="D945" s="55" t="s">
        <v>820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2393</v>
      </c>
      <c r="C946" s="37" t="s">
        <v>2394</v>
      </c>
      <c r="D946" s="55" t="s">
        <v>820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2395</v>
      </c>
      <c r="C947" s="37" t="s">
        <v>2396</v>
      </c>
      <c r="D947" s="55" t="s">
        <v>820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2397</v>
      </c>
      <c r="C948" s="37" t="s">
        <v>2398</v>
      </c>
      <c r="D948" s="55" t="s">
        <v>820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2399</v>
      </c>
      <c r="C949" s="37" t="s">
        <v>2400</v>
      </c>
      <c r="D949" s="55" t="s">
        <v>820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2401</v>
      </c>
      <c r="C950" s="37" t="s">
        <v>2402</v>
      </c>
      <c r="D950" s="55" t="s">
        <v>820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805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2403</v>
      </c>
      <c r="C952" s="37" t="s">
        <v>2404</v>
      </c>
      <c r="D952" s="55" t="s">
        <v>805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2405</v>
      </c>
      <c r="C953" s="37" t="s">
        <v>2406</v>
      </c>
      <c r="D953" s="55" t="s">
        <v>820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2407</v>
      </c>
      <c r="C954" s="37" t="s">
        <v>2408</v>
      </c>
      <c r="D954" s="55" t="s">
        <v>805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805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2409</v>
      </c>
      <c r="C956" s="37" t="s">
        <v>2410</v>
      </c>
      <c r="D956" s="55" t="s">
        <v>820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2411</v>
      </c>
      <c r="C957" s="37" t="s">
        <v>2412</v>
      </c>
      <c r="D957" s="55" t="s">
        <v>820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2413</v>
      </c>
      <c r="C958" s="37" t="s">
        <v>2414</v>
      </c>
      <c r="D958" s="55" t="s">
        <v>820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2415</v>
      </c>
      <c r="C959" s="37" t="s">
        <v>2416</v>
      </c>
      <c r="D959" s="55" t="s">
        <v>820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2417</v>
      </c>
      <c r="C960" s="37" t="s">
        <v>2418</v>
      </c>
      <c r="D960" s="55" t="s">
        <v>820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2419</v>
      </c>
      <c r="C961" s="37" t="s">
        <v>2420</v>
      </c>
      <c r="D961" s="55" t="s">
        <v>820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820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2421</v>
      </c>
      <c r="C963" s="37" t="s">
        <v>2422</v>
      </c>
      <c r="D963" s="55" t="s">
        <v>820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2423</v>
      </c>
      <c r="C964" s="37" t="s">
        <v>2424</v>
      </c>
      <c r="D964" s="55" t="s">
        <v>820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2425</v>
      </c>
      <c r="C965" s="37" t="s">
        <v>2426</v>
      </c>
      <c r="D965" s="55" t="s">
        <v>820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805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820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2427</v>
      </c>
      <c r="C968" s="37" t="s">
        <v>2428</v>
      </c>
      <c r="D968" s="55" t="s">
        <v>820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2429</v>
      </c>
      <c r="C969" s="37" t="s">
        <v>2430</v>
      </c>
      <c r="D969" s="55" t="s">
        <v>820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2431</v>
      </c>
      <c r="C970" s="37" t="s">
        <v>2432</v>
      </c>
      <c r="D970" s="55" t="s">
        <v>820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2433</v>
      </c>
      <c r="C971" s="37" t="s">
        <v>2434</v>
      </c>
      <c r="D971" s="55" t="s">
        <v>820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2435</v>
      </c>
      <c r="C972" s="37" t="s">
        <v>2436</v>
      </c>
      <c r="D972" s="55" t="s">
        <v>820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2437</v>
      </c>
      <c r="C973" s="37" t="s">
        <v>2438</v>
      </c>
      <c r="D973" s="55" t="s">
        <v>820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2439</v>
      </c>
      <c r="C974" s="37" t="s">
        <v>2440</v>
      </c>
      <c r="D974" s="55" t="s">
        <v>820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2441</v>
      </c>
      <c r="C975" s="37" t="s">
        <v>2442</v>
      </c>
      <c r="D975" s="55" t="s">
        <v>820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2443</v>
      </c>
      <c r="C976" s="37" t="s">
        <v>2444</v>
      </c>
      <c r="D976" s="55" t="s">
        <v>820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2445</v>
      </c>
      <c r="C977" s="37" t="s">
        <v>2446</v>
      </c>
      <c r="D977" s="55" t="s">
        <v>805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2447</v>
      </c>
      <c r="C978" s="37" t="s">
        <v>2448</v>
      </c>
      <c r="D978" s="55" t="s">
        <v>820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2449</v>
      </c>
      <c r="C979" s="37" t="s">
        <v>2450</v>
      </c>
      <c r="D979" s="55" t="s">
        <v>820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2451</v>
      </c>
      <c r="C980" s="37" t="s">
        <v>2452</v>
      </c>
      <c r="D980" s="55" t="s">
        <v>820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2453</v>
      </c>
      <c r="C981" s="37" t="s">
        <v>2454</v>
      </c>
      <c r="D981" s="55" t="s">
        <v>820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2455</v>
      </c>
      <c r="C982" s="37" t="s">
        <v>2456</v>
      </c>
      <c r="D982" s="55" t="s">
        <v>820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2457</v>
      </c>
      <c r="C983" s="37" t="s">
        <v>2458</v>
      </c>
      <c r="D983" s="55" t="s">
        <v>820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2459</v>
      </c>
      <c r="C984" s="37" t="s">
        <v>2460</v>
      </c>
      <c r="D984" s="55" t="s">
        <v>820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2461</v>
      </c>
      <c r="C985" s="37" t="s">
        <v>2462</v>
      </c>
      <c r="D985" s="55" t="s">
        <v>820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820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2463</v>
      </c>
      <c r="C987" s="37" t="s">
        <v>2464</v>
      </c>
      <c r="D987" s="55" t="s">
        <v>820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2465</v>
      </c>
      <c r="C988" s="37" t="s">
        <v>2466</v>
      </c>
      <c r="D988" s="55" t="s">
        <v>805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2467</v>
      </c>
      <c r="C989" s="37" t="s">
        <v>2468</v>
      </c>
      <c r="D989" s="55" t="s">
        <v>820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2469</v>
      </c>
      <c r="C990" s="37" t="s">
        <v>2470</v>
      </c>
      <c r="D990" s="55" t="s">
        <v>820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2471</v>
      </c>
      <c r="C991" s="37" t="s">
        <v>2472</v>
      </c>
      <c r="D991" s="55" t="s">
        <v>820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2473</v>
      </c>
      <c r="C992" s="37" t="s">
        <v>2474</v>
      </c>
      <c r="D992" s="55" t="s">
        <v>820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2475</v>
      </c>
      <c r="C993" s="37" t="s">
        <v>2476</v>
      </c>
      <c r="D993" s="55" t="s">
        <v>820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2477</v>
      </c>
      <c r="C994" s="37" t="s">
        <v>5210</v>
      </c>
      <c r="D994" s="55" t="s">
        <v>820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2478</v>
      </c>
      <c r="C995" s="37" t="s">
        <v>2479</v>
      </c>
      <c r="D995" s="55" t="s">
        <v>820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2480</v>
      </c>
      <c r="C996" s="37" t="s">
        <v>2481</v>
      </c>
      <c r="D996" s="55" t="s">
        <v>820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2482</v>
      </c>
      <c r="C997" s="37" t="s">
        <v>2483</v>
      </c>
      <c r="D997" s="55" t="s">
        <v>820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2484</v>
      </c>
      <c r="C998" s="37" t="s">
        <v>2485</v>
      </c>
      <c r="D998" s="55" t="s">
        <v>820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2486</v>
      </c>
      <c r="C999" s="37" t="s">
        <v>2487</v>
      </c>
      <c r="D999" s="55" t="s">
        <v>820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2488</v>
      </c>
      <c r="C1000" s="37" t="s">
        <v>2489</v>
      </c>
      <c r="D1000" s="55" t="s">
        <v>820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2490</v>
      </c>
      <c r="C1001" s="37" t="s">
        <v>2491</v>
      </c>
      <c r="D1001" s="55" t="s">
        <v>820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2492</v>
      </c>
      <c r="C1002" s="37" t="s">
        <v>2493</v>
      </c>
      <c r="D1002" s="55" t="s">
        <v>820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2494</v>
      </c>
      <c r="C1003" s="37" t="s">
        <v>2495</v>
      </c>
      <c r="D1003" s="55" t="s">
        <v>820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2496</v>
      </c>
      <c r="C1004" s="37" t="s">
        <v>2497</v>
      </c>
      <c r="D1004" s="55" t="s">
        <v>820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2498</v>
      </c>
      <c r="C1005" s="37" t="s">
        <v>2499</v>
      </c>
      <c r="D1005" s="55" t="s">
        <v>820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2500</v>
      </c>
      <c r="C1006" s="37" t="s">
        <v>2501</v>
      </c>
      <c r="D1006" s="55" t="s">
        <v>820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2502</v>
      </c>
      <c r="C1007" s="37" t="s">
        <v>2503</v>
      </c>
      <c r="D1007" s="55" t="s">
        <v>820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2504</v>
      </c>
      <c r="C1008" s="37" t="s">
        <v>2505</v>
      </c>
      <c r="D1008" s="55" t="s">
        <v>820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2506</v>
      </c>
      <c r="C1009" s="37" t="s">
        <v>2507</v>
      </c>
      <c r="D1009" s="55" t="s">
        <v>820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820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2508</v>
      </c>
      <c r="C1011" s="37" t="s">
        <v>2509</v>
      </c>
      <c r="D1011" s="55" t="s">
        <v>805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805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820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2510</v>
      </c>
      <c r="C1014" s="37" t="s">
        <v>2511</v>
      </c>
      <c r="D1014" s="55" t="s">
        <v>820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2512</v>
      </c>
      <c r="C1015" s="37" t="s">
        <v>2513</v>
      </c>
      <c r="D1015" s="55" t="s">
        <v>820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2514</v>
      </c>
      <c r="C1016" s="37" t="s">
        <v>2515</v>
      </c>
      <c r="D1016" s="55" t="s">
        <v>820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2516</v>
      </c>
      <c r="C1017" s="37" t="s">
        <v>2517</v>
      </c>
      <c r="D1017" s="55" t="s">
        <v>820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2518</v>
      </c>
      <c r="C1018" s="37" t="s">
        <v>2519</v>
      </c>
      <c r="D1018" s="55" t="s">
        <v>820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2520</v>
      </c>
      <c r="C1019" s="37" t="s">
        <v>2521</v>
      </c>
      <c r="D1019" s="55" t="s">
        <v>820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805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2522</v>
      </c>
      <c r="C1021" s="37" t="s">
        <v>2523</v>
      </c>
      <c r="D1021" s="55" t="s">
        <v>820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2524</v>
      </c>
      <c r="C1022" s="37" t="s">
        <v>2525</v>
      </c>
      <c r="D1022" s="55" t="s">
        <v>820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2526</v>
      </c>
      <c r="C1023" s="37" t="s">
        <v>2527</v>
      </c>
      <c r="D1023" s="55" t="s">
        <v>820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2528</v>
      </c>
      <c r="C1024" s="37" t="s">
        <v>2529</v>
      </c>
      <c r="D1024" s="55" t="s">
        <v>820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2530</v>
      </c>
      <c r="C1025" s="37" t="s">
        <v>2531</v>
      </c>
      <c r="D1025" s="55" t="s">
        <v>805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2532</v>
      </c>
      <c r="C1026" s="37" t="s">
        <v>2533</v>
      </c>
      <c r="D1026" s="55" t="s">
        <v>820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820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820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2534</v>
      </c>
      <c r="C1029" s="37" t="s">
        <v>2535</v>
      </c>
      <c r="D1029" s="55" t="s">
        <v>820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2536</v>
      </c>
      <c r="C1030" s="37" t="s">
        <v>2537</v>
      </c>
      <c r="D1030" s="55" t="s">
        <v>805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2538</v>
      </c>
      <c r="C1031" s="37" t="s">
        <v>2539</v>
      </c>
      <c r="D1031" s="55" t="s">
        <v>805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2540</v>
      </c>
      <c r="C1032" s="37" t="s">
        <v>2541</v>
      </c>
      <c r="D1032" s="55" t="s">
        <v>820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2542</v>
      </c>
      <c r="C1033" s="37" t="s">
        <v>2543</v>
      </c>
      <c r="D1033" s="55" t="s">
        <v>805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2544</v>
      </c>
      <c r="C1034" s="37" t="s">
        <v>2545</v>
      </c>
      <c r="D1034" s="55" t="s">
        <v>805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2546</v>
      </c>
      <c r="C1035" s="37" t="s">
        <v>2547</v>
      </c>
      <c r="D1035" s="55" t="s">
        <v>820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820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2548</v>
      </c>
      <c r="C1037" s="37" t="s">
        <v>2549</v>
      </c>
      <c r="D1037" s="55" t="s">
        <v>820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2550</v>
      </c>
      <c r="C1038" s="37" t="s">
        <v>2551</v>
      </c>
      <c r="D1038" s="55" t="s">
        <v>820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2552</v>
      </c>
      <c r="C1039" s="37" t="s">
        <v>2553</v>
      </c>
      <c r="D1039" s="55" t="s">
        <v>820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2554</v>
      </c>
      <c r="C1040" s="37" t="s">
        <v>2555</v>
      </c>
      <c r="D1040" s="55" t="s">
        <v>820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2556</v>
      </c>
      <c r="C1041" s="37" t="s">
        <v>2557</v>
      </c>
      <c r="D1041" s="55" t="s">
        <v>820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2558</v>
      </c>
      <c r="C1042" s="37" t="s">
        <v>2559</v>
      </c>
      <c r="D1042" s="55" t="s">
        <v>820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2560</v>
      </c>
      <c r="C1043" s="37" t="s">
        <v>2561</v>
      </c>
      <c r="D1043" s="55" t="s">
        <v>820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2562</v>
      </c>
      <c r="C1044" s="37" t="s">
        <v>2563</v>
      </c>
      <c r="D1044" s="55" t="s">
        <v>820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2564</v>
      </c>
      <c r="C1045" s="37" t="s">
        <v>2565</v>
      </c>
      <c r="D1045" s="55" t="s">
        <v>820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820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2566</v>
      </c>
      <c r="C1047" s="37" t="s">
        <v>2567</v>
      </c>
      <c r="D1047" s="55" t="s">
        <v>820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2568</v>
      </c>
      <c r="C1048" s="37" t="s">
        <v>2569</v>
      </c>
      <c r="D1048" s="55" t="s">
        <v>820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2570</v>
      </c>
      <c r="C1049" s="37" t="s">
        <v>2571</v>
      </c>
      <c r="D1049" s="55" t="s">
        <v>820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2572</v>
      </c>
      <c r="C1050" s="37" t="s">
        <v>2573</v>
      </c>
      <c r="D1050" s="55" t="s">
        <v>820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2574</v>
      </c>
      <c r="C1051" s="37" t="s">
        <v>2575</v>
      </c>
      <c r="D1051" s="55" t="s">
        <v>820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2576</v>
      </c>
      <c r="C1052" s="37" t="s">
        <v>2577</v>
      </c>
      <c r="D1052" s="55" t="s">
        <v>820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2578</v>
      </c>
      <c r="C1053" s="37" t="s">
        <v>2579</v>
      </c>
      <c r="D1053" s="55" t="s">
        <v>820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2580</v>
      </c>
      <c r="C1054" s="37" t="s">
        <v>2581</v>
      </c>
      <c r="D1054" s="55" t="s">
        <v>820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2582</v>
      </c>
      <c r="C1055" s="37" t="s">
        <v>2583</v>
      </c>
      <c r="D1055" s="55" t="s">
        <v>820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2584</v>
      </c>
      <c r="C1056" s="37" t="s">
        <v>2585</v>
      </c>
      <c r="D1056" s="55" t="s">
        <v>820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2586</v>
      </c>
      <c r="C1057" s="37" t="s">
        <v>2587</v>
      </c>
      <c r="D1057" s="55" t="s">
        <v>820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2588</v>
      </c>
      <c r="C1058" s="37" t="s">
        <v>2589</v>
      </c>
      <c r="D1058" s="55" t="s">
        <v>805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2590</v>
      </c>
      <c r="C1059" s="37" t="s">
        <v>2591</v>
      </c>
      <c r="D1059" s="55" t="s">
        <v>820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2592</v>
      </c>
      <c r="C1060" s="37" t="s">
        <v>2593</v>
      </c>
      <c r="D1060" s="55" t="s">
        <v>820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2594</v>
      </c>
      <c r="C1061" s="37" t="s">
        <v>2595</v>
      </c>
      <c r="D1061" s="55" t="s">
        <v>820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2596</v>
      </c>
      <c r="C1062" s="37" t="s">
        <v>2597</v>
      </c>
      <c r="D1062" s="55" t="s">
        <v>820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805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2598</v>
      </c>
      <c r="C1064" s="37" t="s">
        <v>2599</v>
      </c>
      <c r="D1064" s="55" t="s">
        <v>820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2600</v>
      </c>
      <c r="C1065" s="37" t="s">
        <v>2601</v>
      </c>
      <c r="D1065" s="55" t="s">
        <v>820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2602</v>
      </c>
      <c r="C1066" s="37" t="s">
        <v>2603</v>
      </c>
      <c r="D1066" s="55" t="s">
        <v>805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2604</v>
      </c>
      <c r="C1067" s="37" t="s">
        <v>2605</v>
      </c>
      <c r="D1067" s="55" t="s">
        <v>820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2606</v>
      </c>
      <c r="C1068" s="37" t="s">
        <v>2607</v>
      </c>
      <c r="D1068" s="55" t="s">
        <v>820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2608</v>
      </c>
      <c r="C1069" s="37" t="s">
        <v>2609</v>
      </c>
      <c r="D1069" s="55" t="s">
        <v>820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2610</v>
      </c>
      <c r="C1070" s="37" t="s">
        <v>2611</v>
      </c>
      <c r="D1070" s="55" t="s">
        <v>820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2612</v>
      </c>
      <c r="C1071" s="37" t="s">
        <v>2613</v>
      </c>
      <c r="D1071" s="55" t="s">
        <v>820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2614</v>
      </c>
      <c r="C1072" s="37" t="s">
        <v>2615</v>
      </c>
      <c r="D1072" s="55" t="s">
        <v>820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820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820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805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805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2616</v>
      </c>
      <c r="C1077" s="37" t="s">
        <v>2617</v>
      </c>
      <c r="D1077" s="55" t="s">
        <v>820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2618</v>
      </c>
      <c r="C1078" s="37" t="s">
        <v>2619</v>
      </c>
      <c r="D1078" s="55" t="s">
        <v>820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2620</v>
      </c>
      <c r="C1079" s="37" t="s">
        <v>2621</v>
      </c>
      <c r="D1079" s="55" t="s">
        <v>820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820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2622</v>
      </c>
      <c r="C1081" s="37" t="s">
        <v>2623</v>
      </c>
      <c r="D1081" s="55" t="s">
        <v>820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2624</v>
      </c>
      <c r="C1082" s="37" t="s">
        <v>2625</v>
      </c>
      <c r="D1082" s="55" t="s">
        <v>820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2626</v>
      </c>
      <c r="C1083" s="37" t="s">
        <v>2627</v>
      </c>
      <c r="D1083" s="55" t="s">
        <v>820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2628</v>
      </c>
      <c r="C1084" s="37" t="s">
        <v>2629</v>
      </c>
      <c r="D1084" s="55" t="s">
        <v>805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2630</v>
      </c>
      <c r="C1085" s="37" t="s">
        <v>2631</v>
      </c>
      <c r="D1085" s="55" t="s">
        <v>820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2632</v>
      </c>
      <c r="C1086" s="37" t="s">
        <v>2633</v>
      </c>
      <c r="D1086" s="55" t="s">
        <v>820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2634</v>
      </c>
      <c r="C1087" s="37" t="s">
        <v>2635</v>
      </c>
      <c r="D1087" s="55" t="s">
        <v>820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2636</v>
      </c>
      <c r="C1088" s="37" t="s">
        <v>2637</v>
      </c>
      <c r="D1088" s="55" t="s">
        <v>820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2638</v>
      </c>
      <c r="C1089" s="37" t="s">
        <v>2639</v>
      </c>
      <c r="D1089" s="55" t="s">
        <v>820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2640</v>
      </c>
      <c r="C1090" s="37" t="s">
        <v>2641</v>
      </c>
      <c r="D1090" s="55" t="s">
        <v>820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2642</v>
      </c>
      <c r="C1091" s="37" t="s">
        <v>2643</v>
      </c>
      <c r="D1091" s="55" t="s">
        <v>820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2644</v>
      </c>
      <c r="C1092" s="37" t="s">
        <v>2645</v>
      </c>
      <c r="D1092" s="55" t="s">
        <v>820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2646</v>
      </c>
      <c r="C1093" s="37" t="s">
        <v>2647</v>
      </c>
      <c r="D1093" s="55" t="s">
        <v>820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2648</v>
      </c>
      <c r="C1094" s="37" t="s">
        <v>2649</v>
      </c>
      <c r="D1094" s="55" t="s">
        <v>820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2650</v>
      </c>
      <c r="C1095" s="37" t="s">
        <v>2651</v>
      </c>
      <c r="D1095" s="55" t="s">
        <v>820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2652</v>
      </c>
      <c r="C1096" s="37" t="s">
        <v>2653</v>
      </c>
      <c r="D1096" s="55" t="s">
        <v>820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2654</v>
      </c>
      <c r="C1097" s="37" t="s">
        <v>2655</v>
      </c>
      <c r="D1097" s="55" t="s">
        <v>820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2656</v>
      </c>
      <c r="C1098" s="37" t="s">
        <v>2657</v>
      </c>
      <c r="D1098" s="55" t="s">
        <v>820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2658</v>
      </c>
      <c r="C1099" s="37" t="s">
        <v>2659</v>
      </c>
      <c r="D1099" s="55" t="s">
        <v>820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2660</v>
      </c>
      <c r="C1100" s="37" t="s">
        <v>2661</v>
      </c>
      <c r="D1100" s="55" t="s">
        <v>820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2662</v>
      </c>
      <c r="C1101" s="37" t="s">
        <v>2663</v>
      </c>
      <c r="D1101" s="55" t="s">
        <v>820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2664</v>
      </c>
      <c r="C1102" s="37" t="s">
        <v>2665</v>
      </c>
      <c r="D1102" s="55" t="s">
        <v>820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2666</v>
      </c>
      <c r="C1103" s="37" t="s">
        <v>2667</v>
      </c>
      <c r="D1103" s="55" t="s">
        <v>820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2668</v>
      </c>
      <c r="C1104" s="37" t="s">
        <v>2669</v>
      </c>
      <c r="D1104" s="55" t="s">
        <v>820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2670</v>
      </c>
      <c r="C1105" s="37" t="s">
        <v>2671</v>
      </c>
      <c r="D1105" s="55" t="s">
        <v>820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2672</v>
      </c>
      <c r="C1106" s="37" t="s">
        <v>2673</v>
      </c>
      <c r="D1106" s="55" t="s">
        <v>820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2674</v>
      </c>
      <c r="C1107" s="37" t="s">
        <v>2675</v>
      </c>
      <c r="D1107" s="55" t="s">
        <v>820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2676</v>
      </c>
      <c r="C1108" s="37" t="s">
        <v>2677</v>
      </c>
      <c r="D1108" s="55" t="s">
        <v>820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2678</v>
      </c>
      <c r="C1109" s="37" t="s">
        <v>2679</v>
      </c>
      <c r="D1109" s="55" t="s">
        <v>820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805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2680</v>
      </c>
      <c r="C1111" s="37" t="s">
        <v>5166</v>
      </c>
      <c r="D1111" s="55" t="s">
        <v>820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2681</v>
      </c>
      <c r="C1112" s="37" t="s">
        <v>2682</v>
      </c>
      <c r="D1112" s="55" t="s">
        <v>820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2683</v>
      </c>
      <c r="C1113" s="37" t="s">
        <v>2684</v>
      </c>
      <c r="D1113" s="55" t="s">
        <v>820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2685</v>
      </c>
      <c r="C1114" s="37" t="s">
        <v>2686</v>
      </c>
      <c r="D1114" s="55" t="s">
        <v>820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2687</v>
      </c>
      <c r="C1115" s="37" t="s">
        <v>2688</v>
      </c>
      <c r="D1115" s="55" t="s">
        <v>820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2689</v>
      </c>
      <c r="C1116" s="37" t="s">
        <v>2690</v>
      </c>
      <c r="D1116" s="55" t="s">
        <v>820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2691</v>
      </c>
      <c r="C1117" s="37" t="s">
        <v>2692</v>
      </c>
      <c r="D1117" s="55" t="s">
        <v>820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805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2693</v>
      </c>
      <c r="C1119" s="37" t="s">
        <v>2694</v>
      </c>
      <c r="D1119" s="55" t="s">
        <v>820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2695</v>
      </c>
      <c r="C1120" s="37" t="s">
        <v>2696</v>
      </c>
      <c r="D1120" s="55" t="s">
        <v>820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2697</v>
      </c>
      <c r="C1121" s="37" t="s">
        <v>2698</v>
      </c>
      <c r="D1121" s="55" t="s">
        <v>820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2699</v>
      </c>
      <c r="C1122" s="37" t="s">
        <v>2700</v>
      </c>
      <c r="D1122" s="55" t="s">
        <v>820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2701</v>
      </c>
      <c r="C1123" s="37" t="s">
        <v>2702</v>
      </c>
      <c r="D1123" s="55" t="s">
        <v>820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2703</v>
      </c>
      <c r="C1124" s="37" t="s">
        <v>2704</v>
      </c>
      <c r="D1124" s="55" t="s">
        <v>820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2705</v>
      </c>
      <c r="C1125" s="37" t="s">
        <v>2706</v>
      </c>
      <c r="D1125" s="55" t="s">
        <v>820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2707</v>
      </c>
      <c r="C1126" s="37" t="s">
        <v>2708</v>
      </c>
      <c r="D1126" s="55" t="s">
        <v>820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820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2709</v>
      </c>
      <c r="C1128" s="37" t="s">
        <v>2710</v>
      </c>
      <c r="D1128" s="55" t="s">
        <v>820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2711</v>
      </c>
      <c r="C1129" s="37" t="s">
        <v>2712</v>
      </c>
      <c r="D1129" s="55" t="s">
        <v>820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2713</v>
      </c>
      <c r="C1130" s="37" t="s">
        <v>2714</v>
      </c>
      <c r="D1130" s="55" t="s">
        <v>820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2715</v>
      </c>
      <c r="C1131" s="37" t="s">
        <v>2716</v>
      </c>
      <c r="D1131" s="55" t="s">
        <v>820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2717</v>
      </c>
      <c r="C1132" s="37" t="s">
        <v>2718</v>
      </c>
      <c r="D1132" s="55" t="s">
        <v>820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2719</v>
      </c>
      <c r="C1133" s="37" t="s">
        <v>2720</v>
      </c>
      <c r="D1133" s="55" t="s">
        <v>820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2721</v>
      </c>
      <c r="C1134" s="37" t="s">
        <v>2722</v>
      </c>
      <c r="D1134" s="55" t="s">
        <v>805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2723</v>
      </c>
      <c r="C1135" s="37" t="s">
        <v>2724</v>
      </c>
      <c r="D1135" s="55" t="s">
        <v>820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2725</v>
      </c>
      <c r="C1136" s="37" t="s">
        <v>2726</v>
      </c>
      <c r="D1136" s="55" t="s">
        <v>820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2727</v>
      </c>
      <c r="C1137" s="37" t="s">
        <v>2728</v>
      </c>
      <c r="D1137" s="55" t="s">
        <v>820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2729</v>
      </c>
      <c r="C1138" s="37" t="s">
        <v>2730</v>
      </c>
      <c r="D1138" s="55" t="s">
        <v>820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2731</v>
      </c>
      <c r="C1139" s="37" t="s">
        <v>2732</v>
      </c>
      <c r="D1139" s="55" t="s">
        <v>820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2733</v>
      </c>
      <c r="C1140" s="37" t="s">
        <v>2734</v>
      </c>
      <c r="D1140" s="55" t="s">
        <v>820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805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2735</v>
      </c>
      <c r="C1142" s="37" t="s">
        <v>2736</v>
      </c>
      <c r="D1142" s="55" t="s">
        <v>805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2737</v>
      </c>
      <c r="C1143" s="37" t="s">
        <v>2738</v>
      </c>
      <c r="D1143" s="55" t="s">
        <v>820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820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2739</v>
      </c>
      <c r="C1145" s="37" t="s">
        <v>2740</v>
      </c>
      <c r="D1145" s="55" t="s">
        <v>820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2741</v>
      </c>
      <c r="C1146" s="37" t="s">
        <v>2742</v>
      </c>
      <c r="D1146" s="55" t="s">
        <v>820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2743</v>
      </c>
      <c r="C1147" s="37" t="s">
        <v>2744</v>
      </c>
      <c r="D1147" s="55" t="s">
        <v>820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2745</v>
      </c>
      <c r="C1148" s="37" t="s">
        <v>2746</v>
      </c>
      <c r="D1148" s="55" t="s">
        <v>820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2747</v>
      </c>
      <c r="C1149" s="37" t="s">
        <v>2748</v>
      </c>
      <c r="D1149" s="55" t="s">
        <v>820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2749</v>
      </c>
      <c r="C1150" s="37" t="s">
        <v>2750</v>
      </c>
      <c r="D1150" s="55" t="s">
        <v>805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2751</v>
      </c>
      <c r="C1151" s="37" t="s">
        <v>2752</v>
      </c>
      <c r="D1151" s="55" t="s">
        <v>820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2753</v>
      </c>
      <c r="C1152" s="37" t="s">
        <v>2754</v>
      </c>
      <c r="D1152" s="55" t="s">
        <v>820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2755</v>
      </c>
      <c r="C1153" s="37" t="s">
        <v>2756</v>
      </c>
      <c r="D1153" s="55" t="s">
        <v>805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2757</v>
      </c>
      <c r="C1154" s="37" t="s">
        <v>2758</v>
      </c>
      <c r="D1154" s="55" t="s">
        <v>820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2759</v>
      </c>
      <c r="C1155" s="37" t="s">
        <v>2760</v>
      </c>
      <c r="D1155" s="55" t="s">
        <v>820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2761</v>
      </c>
      <c r="C1156" s="37" t="s">
        <v>2762</v>
      </c>
      <c r="D1156" s="55" t="s">
        <v>805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2763</v>
      </c>
      <c r="C1157" s="37" t="s">
        <v>2764</v>
      </c>
      <c r="D1157" s="55" t="s">
        <v>805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2765</v>
      </c>
      <c r="C1158" s="37" t="s">
        <v>2766</v>
      </c>
      <c r="D1158" s="55" t="s">
        <v>805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2767</v>
      </c>
      <c r="C1159" s="37" t="s">
        <v>2768</v>
      </c>
      <c r="D1159" s="55" t="s">
        <v>820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805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2769</v>
      </c>
      <c r="C1161" s="37" t="s">
        <v>2770</v>
      </c>
      <c r="D1161" s="55" t="s">
        <v>820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2771</v>
      </c>
      <c r="C1162" s="37" t="s">
        <v>5165</v>
      </c>
      <c r="D1162" s="55" t="s">
        <v>820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2772</v>
      </c>
      <c r="C1163" s="37" t="s">
        <v>2773</v>
      </c>
      <c r="D1163" s="55" t="s">
        <v>805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805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2774</v>
      </c>
      <c r="C1165" s="37" t="s">
        <v>2775</v>
      </c>
      <c r="D1165" s="55" t="s">
        <v>805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2776</v>
      </c>
      <c r="C1166" s="37" t="s">
        <v>2777</v>
      </c>
      <c r="D1166" s="55" t="s">
        <v>820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2778</v>
      </c>
      <c r="C1167" s="37" t="s">
        <v>2779</v>
      </c>
      <c r="D1167" s="55" t="s">
        <v>820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805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2780</v>
      </c>
      <c r="C1169" s="37" t="s">
        <v>2781</v>
      </c>
      <c r="D1169" s="55" t="s">
        <v>820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2782</v>
      </c>
      <c r="C1170" s="37" t="s">
        <v>2783</v>
      </c>
      <c r="D1170" s="55" t="s">
        <v>805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2784</v>
      </c>
      <c r="C1171" s="37" t="s">
        <v>2785</v>
      </c>
      <c r="D1171" s="55" t="s">
        <v>820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2786</v>
      </c>
      <c r="C1172" s="37" t="s">
        <v>2787</v>
      </c>
      <c r="D1172" s="55" t="s">
        <v>805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805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2788</v>
      </c>
      <c r="C1174" s="37" t="s">
        <v>2789</v>
      </c>
      <c r="D1174" s="55" t="s">
        <v>820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2790</v>
      </c>
      <c r="C1175" s="37" t="s">
        <v>2791</v>
      </c>
      <c r="D1175" s="55" t="s">
        <v>805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2792</v>
      </c>
      <c r="C1176" s="37" t="s">
        <v>2793</v>
      </c>
      <c r="D1176" s="55" t="s">
        <v>820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2794</v>
      </c>
      <c r="C1177" s="37" t="s">
        <v>2795</v>
      </c>
      <c r="D1177" s="55" t="s">
        <v>805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2796</v>
      </c>
      <c r="C1178" s="37" t="s">
        <v>2797</v>
      </c>
      <c r="D1178" s="55" t="s">
        <v>820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2798</v>
      </c>
      <c r="C1179" s="37" t="s">
        <v>2799</v>
      </c>
      <c r="D1179" s="55" t="s">
        <v>820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2800</v>
      </c>
      <c r="C1180" s="37" t="s">
        <v>2801</v>
      </c>
      <c r="D1180" s="55" t="s">
        <v>820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2802</v>
      </c>
      <c r="C1181" s="37" t="s">
        <v>2803</v>
      </c>
      <c r="D1181" s="55" t="s">
        <v>820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2804</v>
      </c>
      <c r="C1182" s="37" t="s">
        <v>2805</v>
      </c>
      <c r="D1182" s="55" t="s">
        <v>820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2806</v>
      </c>
      <c r="C1183" s="37" t="s">
        <v>2807</v>
      </c>
      <c r="D1183" s="55" t="s">
        <v>820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2808</v>
      </c>
      <c r="C1184" s="37" t="s">
        <v>2809</v>
      </c>
      <c r="D1184" s="55" t="s">
        <v>820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2810</v>
      </c>
      <c r="C1185" s="37" t="s">
        <v>2811</v>
      </c>
      <c r="D1185" s="55" t="s">
        <v>805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2812</v>
      </c>
      <c r="C1186" s="37" t="s">
        <v>5177</v>
      </c>
      <c r="D1186" s="55" t="s">
        <v>820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2813</v>
      </c>
      <c r="C1187" s="37" t="s">
        <v>2814</v>
      </c>
      <c r="D1187" s="55" t="s">
        <v>820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2815</v>
      </c>
      <c r="C1188" s="37" t="s">
        <v>2816</v>
      </c>
      <c r="D1188" s="55" t="s">
        <v>820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2817</v>
      </c>
      <c r="C1189" s="37" t="s">
        <v>2818</v>
      </c>
      <c r="D1189" s="55" t="s">
        <v>820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2819</v>
      </c>
      <c r="C1190" s="37" t="s">
        <v>2820</v>
      </c>
      <c r="D1190" s="55" t="s">
        <v>820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2821</v>
      </c>
      <c r="C1191" s="37" t="s">
        <v>2822</v>
      </c>
      <c r="D1191" s="55" t="s">
        <v>820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2823</v>
      </c>
      <c r="C1192" s="37" t="s">
        <v>2824</v>
      </c>
      <c r="D1192" s="55" t="s">
        <v>820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2825</v>
      </c>
      <c r="C1193" s="37" t="s">
        <v>2826</v>
      </c>
      <c r="D1193" s="55" t="s">
        <v>805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2827</v>
      </c>
      <c r="C1194" s="37" t="s">
        <v>2828</v>
      </c>
      <c r="D1194" s="55" t="s">
        <v>820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2829</v>
      </c>
      <c r="C1195" s="37" t="s">
        <v>2830</v>
      </c>
      <c r="D1195" s="55" t="s">
        <v>805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805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2831</v>
      </c>
      <c r="C1197" s="37" t="s">
        <v>2832</v>
      </c>
      <c r="D1197" s="55" t="s">
        <v>820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2833</v>
      </c>
      <c r="C1198" s="37" t="s">
        <v>2834</v>
      </c>
      <c r="D1198" s="55" t="s">
        <v>820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2835</v>
      </c>
      <c r="C1199" s="37" t="s">
        <v>2836</v>
      </c>
      <c r="D1199" s="55" t="s">
        <v>820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820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2837</v>
      </c>
      <c r="C1201" s="37" t="s">
        <v>2838</v>
      </c>
      <c r="D1201" s="55" t="s">
        <v>805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805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2839</v>
      </c>
      <c r="C1203" s="37" t="s">
        <v>2840</v>
      </c>
      <c r="D1203" s="55" t="s">
        <v>805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2841</v>
      </c>
      <c r="C1204" s="37" t="s">
        <v>2842</v>
      </c>
      <c r="D1204" s="55" t="s">
        <v>820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2843</v>
      </c>
      <c r="C1205" s="37" t="s">
        <v>2844</v>
      </c>
      <c r="D1205" s="55" t="s">
        <v>820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2845</v>
      </c>
      <c r="C1206" s="37" t="s">
        <v>2846</v>
      </c>
      <c r="D1206" s="55" t="s">
        <v>820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2847</v>
      </c>
      <c r="C1207" s="37" t="s">
        <v>2848</v>
      </c>
      <c r="D1207" s="55" t="s">
        <v>820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2849</v>
      </c>
      <c r="C1208" s="37" t="s">
        <v>2850</v>
      </c>
      <c r="D1208" s="55" t="s">
        <v>820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820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2851</v>
      </c>
      <c r="C1210" s="37" t="s">
        <v>2852</v>
      </c>
      <c r="D1210" s="55" t="s">
        <v>820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820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2853</v>
      </c>
      <c r="C1212" s="37" t="s">
        <v>2854</v>
      </c>
      <c r="D1212" s="55" t="s">
        <v>805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2855</v>
      </c>
      <c r="C1213" s="37" t="s">
        <v>2856</v>
      </c>
      <c r="D1213" s="55" t="s">
        <v>820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820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2857</v>
      </c>
      <c r="C1215" s="37" t="s">
        <v>5212</v>
      </c>
      <c r="D1215" s="55" t="s">
        <v>820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2858</v>
      </c>
      <c r="C1216" s="37" t="s">
        <v>2859</v>
      </c>
      <c r="D1216" s="55" t="s">
        <v>820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805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2860</v>
      </c>
      <c r="C1218" s="37" t="s">
        <v>2861</v>
      </c>
      <c r="D1218" s="55" t="s">
        <v>820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2862</v>
      </c>
      <c r="C1219" s="37" t="s">
        <v>2863</v>
      </c>
      <c r="D1219" s="55" t="s">
        <v>805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2864</v>
      </c>
      <c r="C1220" s="37" t="s">
        <v>2865</v>
      </c>
      <c r="D1220" s="55" t="s">
        <v>820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2866</v>
      </c>
      <c r="C1221" s="37" t="s">
        <v>2867</v>
      </c>
      <c r="D1221" s="55" t="s">
        <v>820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2868</v>
      </c>
      <c r="C1222" s="37" t="s">
        <v>2869</v>
      </c>
      <c r="D1222" s="55" t="s">
        <v>820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2870</v>
      </c>
      <c r="C1223" s="37" t="s">
        <v>2871</v>
      </c>
      <c r="D1223" s="55" t="s">
        <v>805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5173</v>
      </c>
      <c r="D1224" s="55" t="s">
        <v>805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2872</v>
      </c>
      <c r="C1225" s="37" t="s">
        <v>2873</v>
      </c>
      <c r="D1225" s="55" t="s">
        <v>820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2874</v>
      </c>
      <c r="C1226" s="37" t="s">
        <v>5178</v>
      </c>
      <c r="D1226" s="55" t="s">
        <v>820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2875</v>
      </c>
      <c r="C1227" s="37" t="s">
        <v>2876</v>
      </c>
      <c r="D1227" s="55" t="s">
        <v>805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2877</v>
      </c>
      <c r="C1228" s="37" t="s">
        <v>2878</v>
      </c>
      <c r="D1228" s="55" t="s">
        <v>820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2879</v>
      </c>
      <c r="C1229" s="37" t="s">
        <v>2880</v>
      </c>
      <c r="D1229" s="55" t="s">
        <v>820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2881</v>
      </c>
      <c r="C1230" s="37" t="s">
        <v>2882</v>
      </c>
      <c r="D1230" s="55" t="s">
        <v>820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2883</v>
      </c>
      <c r="C1231" s="37" t="s">
        <v>2884</v>
      </c>
      <c r="D1231" s="55" t="s">
        <v>820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2885</v>
      </c>
      <c r="C1232" s="37" t="s">
        <v>2886</v>
      </c>
      <c r="D1232" s="55" t="s">
        <v>805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2887</v>
      </c>
      <c r="C1233" s="37" t="s">
        <v>2888</v>
      </c>
      <c r="D1233" s="55" t="s">
        <v>820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2889</v>
      </c>
      <c r="C1234" s="37" t="s">
        <v>2890</v>
      </c>
      <c r="D1234" s="55" t="s">
        <v>820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761</v>
      </c>
      <c r="C1235" s="37" t="s">
        <v>762</v>
      </c>
      <c r="D1235" s="55" t="s">
        <v>820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2891</v>
      </c>
      <c r="C1236" s="37" t="s">
        <v>2892</v>
      </c>
      <c r="D1236" s="55" t="s">
        <v>820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2893</v>
      </c>
      <c r="C1237" s="37" t="s">
        <v>2894</v>
      </c>
      <c r="D1237" s="55" t="s">
        <v>820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2895</v>
      </c>
      <c r="C1238" s="37" t="s">
        <v>2896</v>
      </c>
      <c r="D1238" s="55" t="s">
        <v>820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2897</v>
      </c>
      <c r="C1239" s="37" t="s">
        <v>2898</v>
      </c>
      <c r="D1239" s="55" t="s">
        <v>820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820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2899</v>
      </c>
      <c r="C1241" s="37" t="s">
        <v>2900</v>
      </c>
      <c r="D1241" s="55" t="s">
        <v>820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2901</v>
      </c>
      <c r="C1242" s="37" t="s">
        <v>2902</v>
      </c>
      <c r="D1242" s="55" t="s">
        <v>805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2903</v>
      </c>
      <c r="C1243" s="37" t="s">
        <v>2904</v>
      </c>
      <c r="D1243" s="55" t="s">
        <v>820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2905</v>
      </c>
      <c r="C1244" s="37" t="s">
        <v>2906</v>
      </c>
      <c r="D1244" s="55" t="s">
        <v>820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2907</v>
      </c>
      <c r="C1245" s="37" t="s">
        <v>2908</v>
      </c>
      <c r="D1245" s="55" t="s">
        <v>820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805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2909</v>
      </c>
      <c r="C1247" s="37" t="s">
        <v>2910</v>
      </c>
      <c r="D1247" s="55" t="s">
        <v>820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2911</v>
      </c>
      <c r="C1248" s="37" t="s">
        <v>2912</v>
      </c>
      <c r="D1248" s="55" t="s">
        <v>820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773</v>
      </c>
      <c r="C1249" s="37" t="s">
        <v>774</v>
      </c>
      <c r="D1249" s="55" t="s">
        <v>805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2913</v>
      </c>
      <c r="C1250" s="37" t="s">
        <v>2914</v>
      </c>
      <c r="D1250" s="55" t="s">
        <v>820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805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2915</v>
      </c>
      <c r="C1252" s="37" t="s">
        <v>2916</v>
      </c>
      <c r="D1252" s="55" t="s">
        <v>820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2917</v>
      </c>
      <c r="C1253" s="37" t="s">
        <v>2918</v>
      </c>
      <c r="D1253" s="55" t="s">
        <v>820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2919</v>
      </c>
      <c r="C1254" s="37" t="s">
        <v>2920</v>
      </c>
      <c r="D1254" s="55" t="s">
        <v>820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2921</v>
      </c>
      <c r="C1255" s="37" t="s">
        <v>2922</v>
      </c>
      <c r="D1255" s="55" t="s">
        <v>820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2923</v>
      </c>
      <c r="C1256" s="37" t="s">
        <v>2924</v>
      </c>
      <c r="D1256" s="55" t="s">
        <v>805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820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2925</v>
      </c>
      <c r="C1258" s="37" t="s">
        <v>2926</v>
      </c>
      <c r="D1258" s="55" t="s">
        <v>820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2927</v>
      </c>
      <c r="C1259" s="37" t="s">
        <v>2928</v>
      </c>
      <c r="D1259" s="55" t="s">
        <v>820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2929</v>
      </c>
      <c r="C1260" s="37" t="s">
        <v>2930</v>
      </c>
      <c r="D1260" s="55" t="s">
        <v>820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2931</v>
      </c>
      <c r="C1261" s="37" t="s">
        <v>2932</v>
      </c>
      <c r="D1261" s="55" t="s">
        <v>820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820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2933</v>
      </c>
      <c r="C1263" s="37" t="s">
        <v>2934</v>
      </c>
      <c r="D1263" s="55" t="s">
        <v>820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2935</v>
      </c>
      <c r="C1264" s="37" t="s">
        <v>2936</v>
      </c>
      <c r="D1264" s="55" t="s">
        <v>820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2937</v>
      </c>
      <c r="C1265" s="37" t="s">
        <v>2938</v>
      </c>
      <c r="D1265" s="55" t="s">
        <v>820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2939</v>
      </c>
      <c r="C1266" s="37" t="s">
        <v>2940</v>
      </c>
      <c r="D1266" s="55" t="s">
        <v>805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2941</v>
      </c>
      <c r="C1267" s="37" t="s">
        <v>2942</v>
      </c>
      <c r="D1267" s="55" t="s">
        <v>820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2943</v>
      </c>
      <c r="C1268" s="37" t="s">
        <v>2944</v>
      </c>
      <c r="D1268" s="55" t="s">
        <v>820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820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2945</v>
      </c>
      <c r="C1270" s="37" t="s">
        <v>2946</v>
      </c>
      <c r="D1270" s="55" t="s">
        <v>820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2947</v>
      </c>
      <c r="C1271" s="37" t="s">
        <v>2948</v>
      </c>
      <c r="D1271" s="55" t="s">
        <v>820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2949</v>
      </c>
      <c r="C1272" s="37" t="s">
        <v>2950</v>
      </c>
      <c r="D1272" s="55" t="s">
        <v>805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2951</v>
      </c>
      <c r="C1273" s="37" t="s">
        <v>2952</v>
      </c>
      <c r="D1273" s="55" t="s">
        <v>805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2953</v>
      </c>
      <c r="C1274" s="37" t="s">
        <v>2954</v>
      </c>
      <c r="D1274" s="55" t="s">
        <v>805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2955</v>
      </c>
      <c r="C1275" s="37" t="s">
        <v>2956</v>
      </c>
      <c r="D1275" s="55" t="s">
        <v>820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2957</v>
      </c>
      <c r="C1276" s="37" t="s">
        <v>2958</v>
      </c>
      <c r="D1276" s="55" t="s">
        <v>820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2959</v>
      </c>
      <c r="C1277" s="37" t="s">
        <v>2960</v>
      </c>
      <c r="D1277" s="55" t="s">
        <v>805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2961</v>
      </c>
      <c r="C1278" s="37" t="s">
        <v>2962</v>
      </c>
      <c r="D1278" s="55" t="s">
        <v>820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2963</v>
      </c>
      <c r="C1279" s="37" t="s">
        <v>2964</v>
      </c>
      <c r="D1279" s="55" t="s">
        <v>805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2965</v>
      </c>
      <c r="C1280" s="37" t="s">
        <v>2966</v>
      </c>
      <c r="D1280" s="55" t="s">
        <v>805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820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2967</v>
      </c>
      <c r="C1282" s="37" t="s">
        <v>2968</v>
      </c>
      <c r="D1282" s="55" t="s">
        <v>820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2969</v>
      </c>
      <c r="C1283" s="37" t="s">
        <v>2970</v>
      </c>
      <c r="D1283" s="55" t="s">
        <v>820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820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2971</v>
      </c>
      <c r="C1285" s="37" t="s">
        <v>2972</v>
      </c>
      <c r="D1285" s="55" t="s">
        <v>820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2973</v>
      </c>
      <c r="C1286" s="37" t="s">
        <v>2974</v>
      </c>
      <c r="D1286" s="55" t="s">
        <v>820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805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2975</v>
      </c>
      <c r="C1288" s="37" t="s">
        <v>2976</v>
      </c>
      <c r="D1288" s="55" t="s">
        <v>820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2977</v>
      </c>
      <c r="C1289" s="37" t="s">
        <v>2978</v>
      </c>
      <c r="D1289" s="55" t="s">
        <v>820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820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2979</v>
      </c>
      <c r="C1291" s="37" t="s">
        <v>2980</v>
      </c>
      <c r="D1291" s="55" t="s">
        <v>820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2981</v>
      </c>
      <c r="C1292" s="37" t="s">
        <v>2982</v>
      </c>
      <c r="D1292" s="55" t="s">
        <v>820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805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2983</v>
      </c>
      <c r="C1294" s="37" t="s">
        <v>2984</v>
      </c>
      <c r="D1294" s="55" t="s">
        <v>820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2985</v>
      </c>
      <c r="C1295" s="37" t="s">
        <v>2986</v>
      </c>
      <c r="D1295" s="55" t="s">
        <v>820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2987</v>
      </c>
      <c r="C1296" s="37" t="s">
        <v>2988</v>
      </c>
      <c r="D1296" s="55" t="s">
        <v>820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2989</v>
      </c>
      <c r="C1297" s="37" t="s">
        <v>2990</v>
      </c>
      <c r="D1297" s="55" t="s">
        <v>820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2991</v>
      </c>
      <c r="C1298" s="37" t="s">
        <v>2992</v>
      </c>
      <c r="D1298" s="55" t="s">
        <v>820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820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2993</v>
      </c>
      <c r="C1300" s="37" t="s">
        <v>2994</v>
      </c>
      <c r="D1300" s="55" t="s">
        <v>820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2995</v>
      </c>
      <c r="C1301" s="37" t="s">
        <v>2996</v>
      </c>
      <c r="D1301" s="55" t="s">
        <v>820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2997</v>
      </c>
      <c r="C1302" s="37" t="s">
        <v>2998</v>
      </c>
      <c r="D1302" s="55" t="s">
        <v>820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2999</v>
      </c>
      <c r="C1303" s="37" t="s">
        <v>3000</v>
      </c>
      <c r="D1303" s="55" t="s">
        <v>820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3001</v>
      </c>
      <c r="C1304" s="37" t="s">
        <v>3002</v>
      </c>
      <c r="D1304" s="55" t="s">
        <v>820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3003</v>
      </c>
      <c r="C1305" s="37" t="s">
        <v>3004</v>
      </c>
      <c r="D1305" s="55" t="s">
        <v>820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3005</v>
      </c>
      <c r="C1306" s="37" t="s">
        <v>3006</v>
      </c>
      <c r="D1306" s="55" t="s">
        <v>805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3007</v>
      </c>
      <c r="C1307" s="37" t="s">
        <v>3008</v>
      </c>
      <c r="D1307" s="55" t="s">
        <v>820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3009</v>
      </c>
      <c r="C1308" s="37" t="s">
        <v>3010</v>
      </c>
      <c r="D1308" s="55" t="s">
        <v>805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3011</v>
      </c>
      <c r="C1309" s="37" t="s">
        <v>3012</v>
      </c>
      <c r="D1309" s="55" t="s">
        <v>820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3013</v>
      </c>
      <c r="C1310" s="37" t="s">
        <v>3014</v>
      </c>
      <c r="D1310" s="55" t="s">
        <v>820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3015</v>
      </c>
      <c r="C1311" s="37" t="s">
        <v>3016</v>
      </c>
      <c r="D1311" s="55" t="s">
        <v>820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820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3017</v>
      </c>
      <c r="C1313" s="37" t="s">
        <v>3018</v>
      </c>
      <c r="D1313" s="55" t="s">
        <v>820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3019</v>
      </c>
      <c r="C1314" s="37" t="s">
        <v>3020</v>
      </c>
      <c r="D1314" s="55" t="s">
        <v>820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3021</v>
      </c>
      <c r="C1315" s="37" t="s">
        <v>3022</v>
      </c>
      <c r="D1315" s="55" t="s">
        <v>820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3023</v>
      </c>
      <c r="C1316" s="37" t="s">
        <v>3024</v>
      </c>
      <c r="D1316" s="55" t="s">
        <v>805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3025</v>
      </c>
      <c r="C1317" s="37" t="s">
        <v>3026</v>
      </c>
      <c r="D1317" s="55" t="s">
        <v>805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3027</v>
      </c>
      <c r="C1318" s="37" t="s">
        <v>3028</v>
      </c>
      <c r="D1318" s="55" t="s">
        <v>820</v>
      </c>
      <c r="E1318" s="58">
        <v>150.27000000000001</v>
      </c>
      <c r="F1318" s="57">
        <v>0.28999999999999998</v>
      </c>
      <c r="G1318" s="57">
        <v>1</v>
      </c>
      <c r="H1318" s="49"/>
      <c r="I1318" s="49">
        <f t="shared" si="116"/>
        <v>150.28318000000002</v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3029</v>
      </c>
      <c r="C1319" s="37" t="s">
        <v>3030</v>
      </c>
      <c r="D1319" s="55" t="s">
        <v>820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3031</v>
      </c>
      <c r="C1320" s="37" t="s">
        <v>3032</v>
      </c>
      <c r="D1320" s="55" t="s">
        <v>820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3033</v>
      </c>
      <c r="C1321" s="37" t="s">
        <v>3034</v>
      </c>
      <c r="D1321" s="55" t="s">
        <v>805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820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820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3035</v>
      </c>
      <c r="C1324" s="37" t="s">
        <v>3036</v>
      </c>
      <c r="D1324" s="55" t="s">
        <v>820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3037</v>
      </c>
      <c r="C1325" s="37" t="s">
        <v>3038</v>
      </c>
      <c r="D1325" s="55" t="s">
        <v>805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3039</v>
      </c>
      <c r="C1326" s="37" t="s">
        <v>3040</v>
      </c>
      <c r="D1326" s="55" t="s">
        <v>820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3041</v>
      </c>
      <c r="C1327" s="37" t="s">
        <v>3042</v>
      </c>
      <c r="D1327" s="55" t="s">
        <v>805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3043</v>
      </c>
      <c r="C1328" s="37" t="s">
        <v>3044</v>
      </c>
      <c r="D1328" s="55" t="s">
        <v>820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3045</v>
      </c>
      <c r="C1329" s="37" t="s">
        <v>3046</v>
      </c>
      <c r="D1329" s="55" t="s">
        <v>805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3047</v>
      </c>
      <c r="C1330" s="37" t="s">
        <v>3048</v>
      </c>
      <c r="D1330" s="55" t="s">
        <v>820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805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3049</v>
      </c>
      <c r="C1332" s="37" t="s">
        <v>3050</v>
      </c>
      <c r="D1332" s="55" t="s">
        <v>805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3051</v>
      </c>
      <c r="C1333" s="37" t="s">
        <v>5198</v>
      </c>
      <c r="D1333" s="55" t="s">
        <v>820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3052</v>
      </c>
      <c r="C1334" s="37" t="s">
        <v>3053</v>
      </c>
      <c r="D1334" s="55" t="s">
        <v>820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3054</v>
      </c>
      <c r="C1335" s="37" t="s">
        <v>3055</v>
      </c>
      <c r="D1335" s="55" t="s">
        <v>820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3056</v>
      </c>
      <c r="C1336" s="37" t="s">
        <v>3057</v>
      </c>
      <c r="D1336" s="55" t="s">
        <v>820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3058</v>
      </c>
      <c r="C1337" s="37" t="s">
        <v>3059</v>
      </c>
      <c r="D1337" s="55" t="s">
        <v>820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3060</v>
      </c>
      <c r="C1338" s="37" t="s">
        <v>3061</v>
      </c>
      <c r="D1338" s="55" t="s">
        <v>820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3062</v>
      </c>
      <c r="C1339" s="37" t="s">
        <v>3063</v>
      </c>
      <c r="D1339" s="55" t="s">
        <v>820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3064</v>
      </c>
      <c r="C1340" s="37" t="s">
        <v>3065</v>
      </c>
      <c r="D1340" s="55" t="s">
        <v>820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3066</v>
      </c>
      <c r="C1341" s="37" t="s">
        <v>3067</v>
      </c>
      <c r="D1341" s="55" t="s">
        <v>820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3068</v>
      </c>
      <c r="C1342" s="37" t="s">
        <v>5180</v>
      </c>
      <c r="D1342" s="55" t="s">
        <v>805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3069</v>
      </c>
      <c r="C1343" s="37" t="s">
        <v>3070</v>
      </c>
      <c r="D1343" s="55" t="s">
        <v>820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나노캠텍</v>
      </c>
      <c r="K1343" s="37" t="str">
        <f t="shared" si="115"/>
        <v>A091970</v>
      </c>
    </row>
    <row r="1344" spans="1:11" x14ac:dyDescent="0.4">
      <c r="A1344" s="49"/>
      <c r="B1344" s="54" t="s">
        <v>3071</v>
      </c>
      <c r="C1344" s="37" t="s">
        <v>3072</v>
      </c>
      <c r="D1344" s="55" t="s">
        <v>820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3073</v>
      </c>
      <c r="C1345" s="37" t="s">
        <v>3074</v>
      </c>
      <c r="D1345" s="55" t="s">
        <v>820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3075</v>
      </c>
      <c r="C1346" s="37" t="s">
        <v>3076</v>
      </c>
      <c r="D1346" s="55" t="s">
        <v>820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3077</v>
      </c>
      <c r="C1347" s="37" t="s">
        <v>3078</v>
      </c>
      <c r="D1347" s="55" t="s">
        <v>820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3079</v>
      </c>
      <c r="C1348" s="37" t="s">
        <v>3080</v>
      </c>
      <c r="D1348" s="55" t="s">
        <v>805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3081</v>
      </c>
      <c r="C1349" s="37" t="s">
        <v>3082</v>
      </c>
      <c r="D1349" s="55" t="s">
        <v>805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3083</v>
      </c>
      <c r="C1350" s="37" t="s">
        <v>3084</v>
      </c>
      <c r="D1350" s="55" t="s">
        <v>805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3085</v>
      </c>
      <c r="C1351" s="37" t="s">
        <v>3086</v>
      </c>
      <c r="D1351" s="55" t="s">
        <v>820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3087</v>
      </c>
      <c r="C1352" s="37" t="s">
        <v>3088</v>
      </c>
      <c r="D1352" s="55" t="s">
        <v>805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3089</v>
      </c>
      <c r="C1353" s="37" t="s">
        <v>3090</v>
      </c>
      <c r="D1353" s="55" t="s">
        <v>820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3091</v>
      </c>
      <c r="C1354" s="37" t="s">
        <v>3092</v>
      </c>
      <c r="D1354" s="55" t="s">
        <v>820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3093</v>
      </c>
      <c r="C1355" s="37" t="s">
        <v>3094</v>
      </c>
      <c r="D1355" s="55" t="s">
        <v>820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3095</v>
      </c>
      <c r="C1356" s="37" t="s">
        <v>3096</v>
      </c>
      <c r="D1356" s="55" t="s">
        <v>805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805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3097</v>
      </c>
      <c r="C1358" s="37" t="s">
        <v>3098</v>
      </c>
      <c r="D1358" s="55" t="s">
        <v>820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805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3099</v>
      </c>
      <c r="C1360" s="37" t="s">
        <v>3100</v>
      </c>
      <c r="D1360" s="55" t="s">
        <v>820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3101</v>
      </c>
      <c r="C1361" s="37" t="s">
        <v>3102</v>
      </c>
      <c r="D1361" s="55" t="s">
        <v>805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3103</v>
      </c>
      <c r="C1362" s="37" t="s">
        <v>3104</v>
      </c>
      <c r="D1362" s="55" t="s">
        <v>820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3105</v>
      </c>
      <c r="C1363" s="37" t="s">
        <v>3106</v>
      </c>
      <c r="D1363" s="55" t="s">
        <v>805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3107</v>
      </c>
      <c r="C1364" s="37" t="s">
        <v>3108</v>
      </c>
      <c r="D1364" s="55" t="s">
        <v>820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3109</v>
      </c>
      <c r="C1365" s="37" t="s">
        <v>3110</v>
      </c>
      <c r="D1365" s="55" t="s">
        <v>820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3111</v>
      </c>
      <c r="C1366" s="37" t="s">
        <v>3112</v>
      </c>
      <c r="D1366" s="55" t="s">
        <v>820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3113</v>
      </c>
      <c r="C1367" s="37" t="s">
        <v>3114</v>
      </c>
      <c r="D1367" s="55" t="s">
        <v>820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3115</v>
      </c>
      <c r="C1368" s="37" t="s">
        <v>3116</v>
      </c>
      <c r="D1368" s="55" t="s">
        <v>820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3117</v>
      </c>
      <c r="C1369" s="37" t="s">
        <v>3118</v>
      </c>
      <c r="D1369" s="55" t="s">
        <v>805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3119</v>
      </c>
      <c r="C1370" s="37" t="s">
        <v>3120</v>
      </c>
      <c r="D1370" s="55" t="s">
        <v>820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3121</v>
      </c>
      <c r="C1371" s="37" t="s">
        <v>3122</v>
      </c>
      <c r="D1371" s="55" t="s">
        <v>820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3123</v>
      </c>
      <c r="C1372" s="37" t="s">
        <v>3124</v>
      </c>
      <c r="D1372" s="55" t="s">
        <v>820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3125</v>
      </c>
      <c r="C1373" s="37" t="s">
        <v>3126</v>
      </c>
      <c r="D1373" s="55" t="s">
        <v>820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3127</v>
      </c>
      <c r="C1374" s="37" t="s">
        <v>3128</v>
      </c>
      <c r="D1374" s="55" t="s">
        <v>820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3129</v>
      </c>
      <c r="C1375" s="37" t="s">
        <v>3130</v>
      </c>
      <c r="D1375" s="55" t="s">
        <v>820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3131</v>
      </c>
      <c r="C1376" s="37" t="s">
        <v>5215</v>
      </c>
      <c r="D1376" s="55" t="s">
        <v>820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3132</v>
      </c>
      <c r="C1377" s="37" t="s">
        <v>3133</v>
      </c>
      <c r="D1377" s="55" t="s">
        <v>820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3134</v>
      </c>
      <c r="C1378" s="37" t="s">
        <v>5183</v>
      </c>
      <c r="D1378" s="55" t="s">
        <v>820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3135</v>
      </c>
      <c r="C1379" s="37" t="s">
        <v>3136</v>
      </c>
      <c r="D1379" s="55" t="s">
        <v>820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820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3137</v>
      </c>
      <c r="C1381" s="37" t="s">
        <v>3138</v>
      </c>
      <c r="D1381" s="55" t="s">
        <v>820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3139</v>
      </c>
      <c r="C1382" s="37" t="s">
        <v>3140</v>
      </c>
      <c r="D1382" s="55" t="s">
        <v>805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757</v>
      </c>
      <c r="C1383" s="37" t="s">
        <v>758</v>
      </c>
      <c r="D1383" s="55" t="s">
        <v>820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3141</v>
      </c>
      <c r="C1384" s="37" t="s">
        <v>3142</v>
      </c>
      <c r="D1384" s="55" t="s">
        <v>820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3143</v>
      </c>
      <c r="C1385" s="37" t="s">
        <v>3144</v>
      </c>
      <c r="D1385" s="55" t="s">
        <v>820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3145</v>
      </c>
      <c r="C1386" s="37" t="s">
        <v>3146</v>
      </c>
      <c r="D1386" s="55" t="s">
        <v>805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3147</v>
      </c>
      <c r="C1387" s="37" t="s">
        <v>3148</v>
      </c>
      <c r="D1387" s="55" t="s">
        <v>820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3149</v>
      </c>
      <c r="C1388" s="37" t="s">
        <v>3150</v>
      </c>
      <c r="D1388" s="55" t="s">
        <v>820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3151</v>
      </c>
      <c r="C1389" s="37" t="s">
        <v>3152</v>
      </c>
      <c r="D1389" s="55" t="s">
        <v>820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3153</v>
      </c>
      <c r="C1390" s="37" t="s">
        <v>3154</v>
      </c>
      <c r="D1390" s="55" t="s">
        <v>820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3155</v>
      </c>
      <c r="C1391" s="37" t="s">
        <v>3156</v>
      </c>
      <c r="D1391" s="55" t="s">
        <v>820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3157</v>
      </c>
      <c r="C1392" s="37" t="s">
        <v>3158</v>
      </c>
      <c r="D1392" s="55" t="s">
        <v>820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3159</v>
      </c>
      <c r="C1393" s="37" t="s">
        <v>3160</v>
      </c>
      <c r="D1393" s="55" t="s">
        <v>820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3161</v>
      </c>
      <c r="C1394" s="37" t="s">
        <v>3162</v>
      </c>
      <c r="D1394" s="55" t="s">
        <v>820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3163</v>
      </c>
      <c r="C1395" s="37" t="s">
        <v>3164</v>
      </c>
      <c r="D1395" s="55" t="s">
        <v>805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805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3165</v>
      </c>
      <c r="C1397" s="37" t="s">
        <v>3166</v>
      </c>
      <c r="D1397" s="55" t="s">
        <v>820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805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3167</v>
      </c>
      <c r="C1399" s="37" t="s">
        <v>3168</v>
      </c>
      <c r="D1399" s="55" t="s">
        <v>805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3169</v>
      </c>
      <c r="C1400" s="37" t="s">
        <v>3170</v>
      </c>
      <c r="D1400" s="55" t="s">
        <v>820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3171</v>
      </c>
      <c r="C1401" s="37" t="s">
        <v>3172</v>
      </c>
      <c r="D1401" s="55" t="s">
        <v>820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3173</v>
      </c>
      <c r="C1402" s="37" t="s">
        <v>3174</v>
      </c>
      <c r="D1402" s="55" t="s">
        <v>820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3175</v>
      </c>
      <c r="C1403" s="37" t="s">
        <v>3176</v>
      </c>
      <c r="D1403" s="55" t="s">
        <v>805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820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3177</v>
      </c>
      <c r="C1405" s="37" t="s">
        <v>3178</v>
      </c>
      <c r="D1405" s="55" t="s">
        <v>820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820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3179</v>
      </c>
      <c r="C1407" s="37" t="s">
        <v>3180</v>
      </c>
      <c r="D1407" s="55" t="s">
        <v>820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3181</v>
      </c>
      <c r="C1408" s="37" t="s">
        <v>3182</v>
      </c>
      <c r="D1408" s="55" t="s">
        <v>820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3183</v>
      </c>
      <c r="C1409" s="37" t="s">
        <v>3184</v>
      </c>
      <c r="D1409" s="55" t="s">
        <v>820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820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3185</v>
      </c>
      <c r="C1411" s="37" t="s">
        <v>3186</v>
      </c>
      <c r="D1411" s="55" t="s">
        <v>820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3187</v>
      </c>
      <c r="C1412" s="37" t="s">
        <v>3188</v>
      </c>
      <c r="D1412" s="55" t="s">
        <v>820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3189</v>
      </c>
      <c r="C1413" s="37" t="s">
        <v>3190</v>
      </c>
      <c r="D1413" s="55" t="s">
        <v>820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3191</v>
      </c>
      <c r="C1414" s="37" t="s">
        <v>3192</v>
      </c>
      <c r="D1414" s="55" t="s">
        <v>820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3193</v>
      </c>
      <c r="C1415" s="37" t="s">
        <v>3194</v>
      </c>
      <c r="D1415" s="55" t="s">
        <v>820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3195</v>
      </c>
      <c r="C1416" s="37" t="s">
        <v>3196</v>
      </c>
      <c r="D1416" s="55" t="s">
        <v>820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3197</v>
      </c>
      <c r="C1417" s="37" t="s">
        <v>3198</v>
      </c>
      <c r="D1417" s="55" t="s">
        <v>820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805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3199</v>
      </c>
      <c r="C1419" s="37" t="s">
        <v>3200</v>
      </c>
      <c r="D1419" s="55" t="s">
        <v>820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3201</v>
      </c>
      <c r="C1420" s="37" t="s">
        <v>3202</v>
      </c>
      <c r="D1420" s="55" t="s">
        <v>820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3203</v>
      </c>
      <c r="C1421" s="37" t="s">
        <v>3204</v>
      </c>
      <c r="D1421" s="55" t="s">
        <v>805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3205</v>
      </c>
      <c r="C1422" s="37" t="s">
        <v>3206</v>
      </c>
      <c r="D1422" s="55" t="s">
        <v>805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3207</v>
      </c>
      <c r="C1423" s="37" t="s">
        <v>3208</v>
      </c>
      <c r="D1423" s="55" t="s">
        <v>820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3209</v>
      </c>
      <c r="C1424" s="37" t="s">
        <v>3210</v>
      </c>
      <c r="D1424" s="55" t="s">
        <v>820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3211</v>
      </c>
      <c r="C1425" s="37" t="s">
        <v>3212</v>
      </c>
      <c r="D1425" s="55" t="s">
        <v>820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820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805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3213</v>
      </c>
      <c r="C1428" s="37" t="s">
        <v>3214</v>
      </c>
      <c r="D1428" s="55" t="s">
        <v>820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3215</v>
      </c>
      <c r="C1429" s="37" t="s">
        <v>3216</v>
      </c>
      <c r="D1429" s="55" t="s">
        <v>805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3217</v>
      </c>
      <c r="C1430" s="37" t="s">
        <v>3218</v>
      </c>
      <c r="D1430" s="55" t="s">
        <v>820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3219</v>
      </c>
      <c r="C1431" s="37" t="s">
        <v>3220</v>
      </c>
      <c r="D1431" s="55" t="s">
        <v>820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3221</v>
      </c>
      <c r="C1432" s="37" t="s">
        <v>3222</v>
      </c>
      <c r="D1432" s="55" t="s">
        <v>820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3223</v>
      </c>
      <c r="C1433" s="37" t="s">
        <v>3224</v>
      </c>
      <c r="D1433" s="55" t="s">
        <v>820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3225</v>
      </c>
      <c r="C1434" s="37" t="s">
        <v>3226</v>
      </c>
      <c r="D1434" s="55" t="s">
        <v>820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3227</v>
      </c>
      <c r="C1435" s="37" t="s">
        <v>3228</v>
      </c>
      <c r="D1435" s="55" t="s">
        <v>820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3229</v>
      </c>
      <c r="C1436" s="37" t="s">
        <v>3230</v>
      </c>
      <c r="D1436" s="55" t="s">
        <v>820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3231</v>
      </c>
      <c r="C1437" s="37" t="s">
        <v>3232</v>
      </c>
      <c r="D1437" s="55" t="s">
        <v>820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3233</v>
      </c>
      <c r="C1438" s="37" t="s">
        <v>3234</v>
      </c>
      <c r="D1438" s="55" t="s">
        <v>805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3235</v>
      </c>
      <c r="C1439" s="37" t="s">
        <v>3236</v>
      </c>
      <c r="D1439" s="55" t="s">
        <v>820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3237</v>
      </c>
      <c r="C1440" s="37" t="s">
        <v>3238</v>
      </c>
      <c r="D1440" s="55" t="s">
        <v>820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3239</v>
      </c>
      <c r="C1441" s="37" t="s">
        <v>3240</v>
      </c>
      <c r="D1441" s="55" t="s">
        <v>820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3241</v>
      </c>
      <c r="C1442" s="37" t="s">
        <v>3242</v>
      </c>
      <c r="D1442" s="55" t="s">
        <v>820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820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3243</v>
      </c>
      <c r="C1444" s="37" t="s">
        <v>3244</v>
      </c>
      <c r="D1444" s="55" t="s">
        <v>820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3245</v>
      </c>
      <c r="C1445" s="37" t="s">
        <v>3246</v>
      </c>
      <c r="D1445" s="55" t="s">
        <v>805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3247</v>
      </c>
      <c r="C1446" s="37" t="s">
        <v>3248</v>
      </c>
      <c r="D1446" s="55" t="s">
        <v>820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3249</v>
      </c>
      <c r="C1447" s="37" t="s">
        <v>3250</v>
      </c>
      <c r="D1447" s="55" t="s">
        <v>805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820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3251</v>
      </c>
      <c r="C1449" s="37" t="s">
        <v>3252</v>
      </c>
      <c r="D1449" s="55" t="s">
        <v>820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3253</v>
      </c>
      <c r="C1450" s="37" t="s">
        <v>3254</v>
      </c>
      <c r="D1450" s="55" t="s">
        <v>805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3255</v>
      </c>
      <c r="C1451" s="37" t="s">
        <v>3256</v>
      </c>
      <c r="D1451" s="55" t="s">
        <v>820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805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3257</v>
      </c>
      <c r="C1453" s="37" t="s">
        <v>3258</v>
      </c>
      <c r="D1453" s="55" t="s">
        <v>820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3259</v>
      </c>
      <c r="C1454" s="37" t="s">
        <v>5188</v>
      </c>
      <c r="D1454" s="55" t="s">
        <v>820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3260</v>
      </c>
      <c r="C1455" s="37" t="s">
        <v>3261</v>
      </c>
      <c r="D1455" s="55" t="s">
        <v>820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3262</v>
      </c>
      <c r="C1456" s="37" t="s">
        <v>3263</v>
      </c>
      <c r="D1456" s="55" t="s">
        <v>820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3264</v>
      </c>
      <c r="C1457" s="37" t="s">
        <v>3265</v>
      </c>
      <c r="D1457" s="55" t="s">
        <v>820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3266</v>
      </c>
      <c r="C1458" s="37" t="s">
        <v>3267</v>
      </c>
      <c r="D1458" s="55" t="s">
        <v>820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3268</v>
      </c>
      <c r="C1459" s="37" t="s">
        <v>3269</v>
      </c>
      <c r="D1459" s="55" t="s">
        <v>820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3270</v>
      </c>
      <c r="C1460" s="37" t="s">
        <v>3271</v>
      </c>
      <c r="D1460" s="55" t="s">
        <v>805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3272</v>
      </c>
      <c r="C1461" s="37" t="s">
        <v>3273</v>
      </c>
      <c r="D1461" s="55" t="s">
        <v>820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3274</v>
      </c>
      <c r="C1462" s="37" t="s">
        <v>3275</v>
      </c>
      <c r="D1462" s="55" t="s">
        <v>820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3276</v>
      </c>
      <c r="C1463" s="37" t="s">
        <v>3277</v>
      </c>
      <c r="D1463" s="55" t="s">
        <v>820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805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3278</v>
      </c>
      <c r="C1465" s="37" t="s">
        <v>3279</v>
      </c>
      <c r="D1465" s="55" t="s">
        <v>805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3280</v>
      </c>
      <c r="C1466" s="37" t="s">
        <v>3281</v>
      </c>
      <c r="D1466" s="55" t="s">
        <v>820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3282</v>
      </c>
      <c r="C1467" s="37" t="s">
        <v>3283</v>
      </c>
      <c r="D1467" s="55" t="s">
        <v>820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3284</v>
      </c>
      <c r="C1468" s="37" t="s">
        <v>3285</v>
      </c>
      <c r="D1468" s="55" t="s">
        <v>805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3286</v>
      </c>
      <c r="C1469" s="37" t="s">
        <v>3287</v>
      </c>
      <c r="D1469" s="55" t="s">
        <v>820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3288</v>
      </c>
      <c r="C1470" s="37" t="s">
        <v>3289</v>
      </c>
      <c r="D1470" s="55" t="s">
        <v>820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3290</v>
      </c>
      <c r="C1471" s="37" t="s">
        <v>3291</v>
      </c>
      <c r="D1471" s="55" t="s">
        <v>820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3292</v>
      </c>
      <c r="C1472" s="37" t="s">
        <v>3293</v>
      </c>
      <c r="D1472" s="55" t="s">
        <v>820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3294</v>
      </c>
      <c r="C1473" s="37" t="s">
        <v>3295</v>
      </c>
      <c r="D1473" s="55" t="s">
        <v>805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3296</v>
      </c>
      <c r="C1474" s="37" t="s">
        <v>3297</v>
      </c>
      <c r="D1474" s="55" t="s">
        <v>820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820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3298</v>
      </c>
      <c r="C1476" s="37" t="s">
        <v>3299</v>
      </c>
      <c r="D1476" s="55" t="s">
        <v>820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3300</v>
      </c>
      <c r="C1477" s="37" t="s">
        <v>3301</v>
      </c>
      <c r="D1477" s="55" t="s">
        <v>805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3302</v>
      </c>
      <c r="C1478" s="37" t="s">
        <v>3303</v>
      </c>
      <c r="D1478" s="55" t="s">
        <v>820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820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3304</v>
      </c>
      <c r="C1480" s="37" t="s">
        <v>3305</v>
      </c>
      <c r="D1480" s="55" t="s">
        <v>805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3306</v>
      </c>
      <c r="C1481" s="37" t="s">
        <v>3307</v>
      </c>
      <c r="D1481" s="55" t="s">
        <v>820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3308</v>
      </c>
      <c r="C1482" s="37" t="s">
        <v>3309</v>
      </c>
      <c r="D1482" s="55" t="s">
        <v>805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3310</v>
      </c>
      <c r="C1483" s="37" t="s">
        <v>3311</v>
      </c>
      <c r="D1483" s="55" t="s">
        <v>820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3312</v>
      </c>
      <c r="C1484" s="37" t="s">
        <v>3313</v>
      </c>
      <c r="D1484" s="55" t="s">
        <v>820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3314</v>
      </c>
      <c r="C1485" s="37" t="s">
        <v>3315</v>
      </c>
      <c r="D1485" s="55" t="s">
        <v>820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3316</v>
      </c>
      <c r="C1486" s="37" t="s">
        <v>3317</v>
      </c>
      <c r="D1486" s="55" t="s">
        <v>820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3318</v>
      </c>
      <c r="C1487" s="37" t="s">
        <v>3319</v>
      </c>
      <c r="D1487" s="55" t="s">
        <v>820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3320</v>
      </c>
      <c r="C1488" s="37" t="s">
        <v>3321</v>
      </c>
      <c r="D1488" s="55" t="s">
        <v>820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3322</v>
      </c>
      <c r="C1489" s="37" t="s">
        <v>3323</v>
      </c>
      <c r="D1489" s="55" t="s">
        <v>820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3324</v>
      </c>
      <c r="C1490" s="37" t="s">
        <v>3325</v>
      </c>
      <c r="D1490" s="55" t="s">
        <v>820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3326</v>
      </c>
      <c r="C1491" s="37" t="s">
        <v>3327</v>
      </c>
      <c r="D1491" s="55" t="s">
        <v>820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767</v>
      </c>
      <c r="C1492" s="37" t="s">
        <v>768</v>
      </c>
      <c r="D1492" s="55" t="s">
        <v>820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3328</v>
      </c>
      <c r="C1493" s="37" t="s">
        <v>3329</v>
      </c>
      <c r="D1493" s="55" t="s">
        <v>805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3330</v>
      </c>
      <c r="C1494" s="37" t="s">
        <v>3331</v>
      </c>
      <c r="D1494" s="55" t="s">
        <v>805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3332</v>
      </c>
      <c r="C1495" s="37" t="s">
        <v>3333</v>
      </c>
      <c r="D1495" s="55" t="s">
        <v>820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805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3334</v>
      </c>
      <c r="C1497" s="37" t="s">
        <v>3335</v>
      </c>
      <c r="D1497" s="55" t="s">
        <v>820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775</v>
      </c>
      <c r="C1498" s="37" t="s">
        <v>776</v>
      </c>
      <c r="D1498" s="55" t="s">
        <v>820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805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3336</v>
      </c>
      <c r="C1500" s="37" t="s">
        <v>3337</v>
      </c>
      <c r="D1500" s="55" t="s">
        <v>820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3338</v>
      </c>
      <c r="C1501" s="37" t="s">
        <v>3339</v>
      </c>
      <c r="D1501" s="55" t="s">
        <v>805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3340</v>
      </c>
      <c r="C1502" s="37" t="s">
        <v>3341</v>
      </c>
      <c r="D1502" s="55" t="s">
        <v>820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3342</v>
      </c>
      <c r="C1503" s="37" t="s">
        <v>3343</v>
      </c>
      <c r="D1503" s="55" t="s">
        <v>820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3344</v>
      </c>
      <c r="C1504" s="37" t="s">
        <v>3345</v>
      </c>
      <c r="D1504" s="55" t="s">
        <v>820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820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3346</v>
      </c>
      <c r="C1506" s="37" t="s">
        <v>3347</v>
      </c>
      <c r="D1506" s="55" t="s">
        <v>820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3348</v>
      </c>
      <c r="C1507" s="37" t="s">
        <v>3349</v>
      </c>
      <c r="D1507" s="55" t="s">
        <v>820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3350</v>
      </c>
      <c r="C1508" s="37" t="s">
        <v>3351</v>
      </c>
      <c r="D1508" s="55" t="s">
        <v>820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3352</v>
      </c>
      <c r="C1509" s="37" t="s">
        <v>3353</v>
      </c>
      <c r="D1509" s="55" t="s">
        <v>820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3354</v>
      </c>
      <c r="C1510" s="37" t="s">
        <v>3355</v>
      </c>
      <c r="D1510" s="55" t="s">
        <v>820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3356</v>
      </c>
      <c r="C1511" s="37" t="s">
        <v>3357</v>
      </c>
      <c r="D1511" s="55" t="s">
        <v>820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3358</v>
      </c>
      <c r="C1512" s="37" t="s">
        <v>3359</v>
      </c>
      <c r="D1512" s="55" t="s">
        <v>820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3360</v>
      </c>
      <c r="C1513" s="37" t="s">
        <v>3361</v>
      </c>
      <c r="D1513" s="55" t="s">
        <v>820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3362</v>
      </c>
      <c r="C1514" s="37" t="s">
        <v>3363</v>
      </c>
      <c r="D1514" s="55" t="s">
        <v>820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3364</v>
      </c>
      <c r="C1515" s="37" t="s">
        <v>3365</v>
      </c>
      <c r="D1515" s="55" t="s">
        <v>820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3366</v>
      </c>
      <c r="C1516" s="37" t="s">
        <v>3367</v>
      </c>
      <c r="D1516" s="55" t="s">
        <v>820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3368</v>
      </c>
      <c r="C1517" s="37" t="s">
        <v>3369</v>
      </c>
      <c r="D1517" s="55" t="s">
        <v>805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3370</v>
      </c>
      <c r="C1518" s="37" t="s">
        <v>3371</v>
      </c>
      <c r="D1518" s="55" t="s">
        <v>820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3372</v>
      </c>
      <c r="C1519" s="37" t="s">
        <v>3373</v>
      </c>
      <c r="D1519" s="55" t="s">
        <v>820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3374</v>
      </c>
      <c r="C1520" s="37" t="s">
        <v>3375</v>
      </c>
      <c r="D1520" s="55" t="s">
        <v>805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3376</v>
      </c>
      <c r="C1521" s="37" t="s">
        <v>3377</v>
      </c>
      <c r="D1521" s="55" t="s">
        <v>820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3378</v>
      </c>
      <c r="C1522" s="37" t="s">
        <v>3379</v>
      </c>
      <c r="D1522" s="55" t="s">
        <v>820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3380</v>
      </c>
      <c r="C1523" s="37" t="s">
        <v>3381</v>
      </c>
      <c r="D1523" s="55" t="s">
        <v>820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3382</v>
      </c>
      <c r="C1524" s="37" t="s">
        <v>3383</v>
      </c>
      <c r="D1524" s="55" t="s">
        <v>805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3384</v>
      </c>
      <c r="C1525" s="37" t="s">
        <v>3385</v>
      </c>
      <c r="D1525" s="55" t="s">
        <v>820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820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3386</v>
      </c>
      <c r="C1527" s="37" t="s">
        <v>3387</v>
      </c>
      <c r="D1527" s="55" t="s">
        <v>805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3388</v>
      </c>
      <c r="C1528" s="37" t="s">
        <v>3389</v>
      </c>
      <c r="D1528" s="55" t="s">
        <v>805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3390</v>
      </c>
      <c r="C1529" s="37" t="s">
        <v>3391</v>
      </c>
      <c r="D1529" s="55" t="s">
        <v>820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3392</v>
      </c>
      <c r="C1530" s="37" t="s">
        <v>3393</v>
      </c>
      <c r="D1530" s="55" t="s">
        <v>820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3394</v>
      </c>
      <c r="C1531" s="37" t="s">
        <v>3395</v>
      </c>
      <c r="D1531" s="55" t="s">
        <v>820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3396</v>
      </c>
      <c r="C1532" s="37" t="s">
        <v>3397</v>
      </c>
      <c r="D1532" s="55" t="s">
        <v>820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3398</v>
      </c>
      <c r="C1533" s="37" t="s">
        <v>3399</v>
      </c>
      <c r="D1533" s="55" t="s">
        <v>820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3400</v>
      </c>
      <c r="C1534" s="37" t="s">
        <v>3401</v>
      </c>
      <c r="D1534" s="55" t="s">
        <v>820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3402</v>
      </c>
      <c r="C1535" s="37" t="s">
        <v>3403</v>
      </c>
      <c r="D1535" s="55" t="s">
        <v>820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3404</v>
      </c>
      <c r="C1536" s="37" t="s">
        <v>3405</v>
      </c>
      <c r="D1536" s="55" t="s">
        <v>820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3406</v>
      </c>
      <c r="C1537" s="37" t="s">
        <v>3407</v>
      </c>
      <c r="D1537" s="55" t="s">
        <v>820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3408</v>
      </c>
      <c r="C1538" s="37" t="s">
        <v>3409</v>
      </c>
      <c r="D1538" s="55" t="s">
        <v>820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3410</v>
      </c>
      <c r="C1539" s="37" t="s">
        <v>3411</v>
      </c>
      <c r="D1539" s="55" t="s">
        <v>820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820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3412</v>
      </c>
      <c r="C1541" s="37" t="s">
        <v>3413</v>
      </c>
      <c r="D1541" s="55" t="s">
        <v>805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3414</v>
      </c>
      <c r="C1542" s="37" t="s">
        <v>3415</v>
      </c>
      <c r="D1542" s="55" t="s">
        <v>820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3416</v>
      </c>
      <c r="C1543" s="37" t="s">
        <v>3417</v>
      </c>
      <c r="D1543" s="55" t="s">
        <v>820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3418</v>
      </c>
      <c r="C1544" s="37" t="s">
        <v>3419</v>
      </c>
      <c r="D1544" s="55" t="s">
        <v>820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820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3420</v>
      </c>
      <c r="C1546" s="37" t="s">
        <v>3421</v>
      </c>
      <c r="D1546" s="55" t="s">
        <v>820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3422</v>
      </c>
      <c r="C1547" s="37" t="s">
        <v>3423</v>
      </c>
      <c r="D1547" s="55" t="s">
        <v>820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3424</v>
      </c>
      <c r="C1548" s="37" t="s">
        <v>3425</v>
      </c>
      <c r="D1548" s="55" t="s">
        <v>820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3426</v>
      </c>
      <c r="C1549" s="37" t="s">
        <v>3427</v>
      </c>
      <c r="D1549" s="55" t="s">
        <v>805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3428</v>
      </c>
      <c r="C1550" s="37" t="s">
        <v>3429</v>
      </c>
      <c r="D1550" s="55" t="s">
        <v>805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3430</v>
      </c>
      <c r="C1551" s="37" t="s">
        <v>3431</v>
      </c>
      <c r="D1551" s="55" t="s">
        <v>820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3432</v>
      </c>
      <c r="C1552" s="37" t="s">
        <v>3433</v>
      </c>
      <c r="D1552" s="55" t="s">
        <v>820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3434</v>
      </c>
      <c r="C1553" s="37" t="s">
        <v>3435</v>
      </c>
      <c r="D1553" s="55" t="s">
        <v>820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3436</v>
      </c>
      <c r="C1554" s="37" t="s">
        <v>3437</v>
      </c>
      <c r="D1554" s="55" t="s">
        <v>805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820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3438</v>
      </c>
      <c r="C1556" s="37" t="s">
        <v>3439</v>
      </c>
      <c r="D1556" s="55" t="s">
        <v>820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3440</v>
      </c>
      <c r="C1557" s="37" t="s">
        <v>3441</v>
      </c>
      <c r="D1557" s="55" t="s">
        <v>820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3442</v>
      </c>
      <c r="C1558" s="37" t="s">
        <v>3443</v>
      </c>
      <c r="D1558" s="55" t="s">
        <v>820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3444</v>
      </c>
      <c r="C1559" s="37" t="s">
        <v>3445</v>
      </c>
      <c r="D1559" s="55" t="s">
        <v>820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820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3446</v>
      </c>
      <c r="C1561" s="37" t="s">
        <v>3447</v>
      </c>
      <c r="D1561" s="55" t="s">
        <v>805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3448</v>
      </c>
      <c r="C1562" s="37" t="s">
        <v>3449</v>
      </c>
      <c r="D1562" s="55" t="s">
        <v>820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3450</v>
      </c>
      <c r="C1563" s="37" t="s">
        <v>3451</v>
      </c>
      <c r="D1563" s="55" t="s">
        <v>820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820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805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3452</v>
      </c>
      <c r="C1566" s="37" t="s">
        <v>3453</v>
      </c>
      <c r="D1566" s="55" t="s">
        <v>820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3454</v>
      </c>
      <c r="C1567" s="37" t="s">
        <v>3455</v>
      </c>
      <c r="D1567" s="55" t="s">
        <v>820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3456</v>
      </c>
      <c r="C1568" s="37" t="s">
        <v>3457</v>
      </c>
      <c r="D1568" s="55" t="s">
        <v>820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3458</v>
      </c>
      <c r="C1569" s="37" t="s">
        <v>3459</v>
      </c>
      <c r="D1569" s="55" t="s">
        <v>820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3460</v>
      </c>
      <c r="C1570" s="37" t="s">
        <v>3461</v>
      </c>
      <c r="D1570" s="55" t="s">
        <v>820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3462</v>
      </c>
      <c r="C1571" s="37" t="s">
        <v>3463</v>
      </c>
      <c r="D1571" s="55" t="s">
        <v>820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3464</v>
      </c>
      <c r="C1572" s="37" t="s">
        <v>3465</v>
      </c>
      <c r="D1572" s="55" t="s">
        <v>820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3466</v>
      </c>
      <c r="C1573" s="37" t="s">
        <v>3467</v>
      </c>
      <c r="D1573" s="55" t="s">
        <v>805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805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3468</v>
      </c>
      <c r="C1575" s="37" t="s">
        <v>3469</v>
      </c>
      <c r="D1575" s="55" t="s">
        <v>805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3470</v>
      </c>
      <c r="C1576" s="37" t="s">
        <v>3471</v>
      </c>
      <c r="D1576" s="55" t="s">
        <v>820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3472</v>
      </c>
      <c r="C1577" s="37" t="s">
        <v>3473</v>
      </c>
      <c r="D1577" s="55" t="s">
        <v>820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3474</v>
      </c>
      <c r="C1578" s="37" t="s">
        <v>3475</v>
      </c>
      <c r="D1578" s="55" t="s">
        <v>820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3476</v>
      </c>
      <c r="C1579" s="37" t="s">
        <v>3477</v>
      </c>
      <c r="D1579" s="55" t="s">
        <v>820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3478</v>
      </c>
      <c r="C1580" s="37" t="s">
        <v>3479</v>
      </c>
      <c r="D1580" s="55" t="s">
        <v>805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3480</v>
      </c>
      <c r="C1581" s="37" t="s">
        <v>3481</v>
      </c>
      <c r="D1581" s="55" t="s">
        <v>820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3482</v>
      </c>
      <c r="C1582" s="37" t="s">
        <v>3483</v>
      </c>
      <c r="D1582" s="55" t="s">
        <v>820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3484</v>
      </c>
      <c r="C1583" s="37" t="s">
        <v>3485</v>
      </c>
      <c r="D1583" s="55" t="s">
        <v>820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3486</v>
      </c>
      <c r="C1584" s="37" t="s">
        <v>3487</v>
      </c>
      <c r="D1584" s="55" t="s">
        <v>820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3488</v>
      </c>
      <c r="C1585" s="37" t="s">
        <v>3489</v>
      </c>
      <c r="D1585" s="55" t="s">
        <v>820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3490</v>
      </c>
      <c r="C1586" s="37" t="s">
        <v>3491</v>
      </c>
      <c r="D1586" s="55" t="s">
        <v>820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820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3492</v>
      </c>
      <c r="C1588" s="37" t="s">
        <v>3493</v>
      </c>
      <c r="D1588" s="55" t="s">
        <v>820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3494</v>
      </c>
      <c r="C1589" s="37" t="s">
        <v>3495</v>
      </c>
      <c r="D1589" s="55" t="s">
        <v>820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3496</v>
      </c>
      <c r="C1590" s="37" t="s">
        <v>3497</v>
      </c>
      <c r="D1590" s="55" t="s">
        <v>820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820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3498</v>
      </c>
      <c r="C1592" s="37" t="s">
        <v>3499</v>
      </c>
      <c r="D1592" s="55" t="s">
        <v>820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3500</v>
      </c>
      <c r="C1593" s="37" t="s">
        <v>3501</v>
      </c>
      <c r="D1593" s="55" t="s">
        <v>805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3502</v>
      </c>
      <c r="C1594" s="37" t="s">
        <v>3503</v>
      </c>
      <c r="D1594" s="55" t="s">
        <v>820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3504</v>
      </c>
      <c r="C1595" s="37" t="s">
        <v>3505</v>
      </c>
      <c r="D1595" s="55" t="s">
        <v>805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3506</v>
      </c>
      <c r="C1596" s="37" t="s">
        <v>3507</v>
      </c>
      <c r="D1596" s="55" t="s">
        <v>820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3508</v>
      </c>
      <c r="C1597" s="37" t="s">
        <v>3509</v>
      </c>
      <c r="D1597" s="55" t="s">
        <v>805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3510</v>
      </c>
      <c r="C1598" s="37" t="s">
        <v>3511</v>
      </c>
      <c r="D1598" s="55" t="s">
        <v>820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3512</v>
      </c>
      <c r="C1599" s="37" t="s">
        <v>3513</v>
      </c>
      <c r="D1599" s="55" t="s">
        <v>820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3514</v>
      </c>
      <c r="C1600" s="37" t="s">
        <v>3515</v>
      </c>
      <c r="D1600" s="55" t="s">
        <v>820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3516</v>
      </c>
      <c r="C1601" s="37" t="s">
        <v>3517</v>
      </c>
      <c r="D1601" s="55" t="s">
        <v>805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3518</v>
      </c>
      <c r="C1602" s="37" t="s">
        <v>3519</v>
      </c>
      <c r="D1602" s="55" t="s">
        <v>820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3520</v>
      </c>
      <c r="C1603" s="37" t="s">
        <v>3521</v>
      </c>
      <c r="D1603" s="55" t="s">
        <v>820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3522</v>
      </c>
      <c r="C1604" s="37" t="s">
        <v>3523</v>
      </c>
      <c r="D1604" s="55" t="s">
        <v>805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3524</v>
      </c>
      <c r="C1605" s="37" t="s">
        <v>3525</v>
      </c>
      <c r="D1605" s="55" t="s">
        <v>820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3526</v>
      </c>
      <c r="C1606" s="37" t="s">
        <v>3527</v>
      </c>
      <c r="D1606" s="55" t="s">
        <v>820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3528</v>
      </c>
      <c r="C1607" s="37" t="s">
        <v>3529</v>
      </c>
      <c r="D1607" s="55" t="s">
        <v>820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805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3530</v>
      </c>
      <c r="C1609" s="37" t="s">
        <v>3531</v>
      </c>
      <c r="D1609" s="55" t="s">
        <v>820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3532</v>
      </c>
      <c r="C1610" s="37" t="s">
        <v>3533</v>
      </c>
      <c r="D1610" s="55" t="s">
        <v>820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3534</v>
      </c>
      <c r="C1611" s="37" t="s">
        <v>3535</v>
      </c>
      <c r="D1611" s="55" t="s">
        <v>820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3536</v>
      </c>
      <c r="C1612" s="37" t="s">
        <v>3537</v>
      </c>
      <c r="D1612" s="55" t="s">
        <v>5157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820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805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3538</v>
      </c>
      <c r="C1615" s="37" t="s">
        <v>3539</v>
      </c>
      <c r="D1615" s="55" t="s">
        <v>5157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3540</v>
      </c>
      <c r="C1616" s="37" t="s">
        <v>3541</v>
      </c>
      <c r="D1616" s="55" t="s">
        <v>805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805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3542</v>
      </c>
      <c r="C1618" s="37" t="s">
        <v>3543</v>
      </c>
      <c r="D1618" s="55" t="s">
        <v>820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3544</v>
      </c>
      <c r="C1619" s="37" t="s">
        <v>3545</v>
      </c>
      <c r="D1619" s="55" t="s">
        <v>805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3546</v>
      </c>
      <c r="C1620" s="37" t="s">
        <v>3547</v>
      </c>
      <c r="D1620" s="55" t="s">
        <v>820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820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3548</v>
      </c>
      <c r="C1622" s="37" t="s">
        <v>3549</v>
      </c>
      <c r="D1622" s="55" t="s">
        <v>820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3550</v>
      </c>
      <c r="C1623" s="37" t="s">
        <v>3551</v>
      </c>
      <c r="D1623" s="55" t="s">
        <v>820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3552</v>
      </c>
      <c r="C1624" s="37" t="s">
        <v>3553</v>
      </c>
      <c r="D1624" s="55" t="s">
        <v>820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820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3554</v>
      </c>
      <c r="C1626" s="37" t="s">
        <v>3555</v>
      </c>
      <c r="D1626" s="55" t="s">
        <v>820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820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3556</v>
      </c>
      <c r="C1628" s="37" t="s">
        <v>3557</v>
      </c>
      <c r="D1628" s="55" t="s">
        <v>820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3558</v>
      </c>
      <c r="C1629" s="37" t="s">
        <v>3559</v>
      </c>
      <c r="D1629" s="55" t="s">
        <v>820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3560</v>
      </c>
      <c r="C1630" s="37" t="s">
        <v>3561</v>
      </c>
      <c r="D1630" s="55" t="s">
        <v>820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3562</v>
      </c>
      <c r="C1631" s="37" t="s">
        <v>3563</v>
      </c>
      <c r="D1631" s="55" t="s">
        <v>820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3564</v>
      </c>
      <c r="C1632" s="37" t="s">
        <v>3565</v>
      </c>
      <c r="D1632" s="55" t="s">
        <v>805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3566</v>
      </c>
      <c r="C1633" s="37" t="s">
        <v>3567</v>
      </c>
      <c r="D1633" s="55" t="s">
        <v>820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3568</v>
      </c>
      <c r="C1634" s="37" t="s">
        <v>3569</v>
      </c>
      <c r="D1634" s="55" t="s">
        <v>820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3570</v>
      </c>
      <c r="C1635" s="37" t="s">
        <v>3571</v>
      </c>
      <c r="D1635" s="55" t="s">
        <v>820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3572</v>
      </c>
      <c r="C1636" s="37" t="s">
        <v>3573</v>
      </c>
      <c r="D1636" s="55" t="s">
        <v>820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820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3574</v>
      </c>
      <c r="C1638" s="37" t="s">
        <v>3575</v>
      </c>
      <c r="D1638" s="55" t="s">
        <v>820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3576</v>
      </c>
      <c r="C1639" s="37" t="s">
        <v>3577</v>
      </c>
      <c r="D1639" s="55" t="s">
        <v>805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805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3578</v>
      </c>
      <c r="C1641" s="37" t="s">
        <v>3579</v>
      </c>
      <c r="D1641" s="55" t="s">
        <v>805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3580</v>
      </c>
      <c r="C1642" s="37" t="s">
        <v>3581</v>
      </c>
      <c r="D1642" s="55" t="s">
        <v>820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3582</v>
      </c>
      <c r="C1643" s="37" t="s">
        <v>3583</v>
      </c>
      <c r="D1643" s="55" t="s">
        <v>820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3584</v>
      </c>
      <c r="C1644" s="37" t="s">
        <v>3585</v>
      </c>
      <c r="D1644" s="55" t="s">
        <v>820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3586</v>
      </c>
      <c r="C1645" s="37" t="s">
        <v>3587</v>
      </c>
      <c r="D1645" s="55" t="s">
        <v>820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3588</v>
      </c>
      <c r="C1646" s="37" t="s">
        <v>3589</v>
      </c>
      <c r="D1646" s="55" t="s">
        <v>820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3590</v>
      </c>
      <c r="C1647" s="37" t="s">
        <v>3591</v>
      </c>
      <c r="D1647" s="55" t="s">
        <v>820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3592</v>
      </c>
      <c r="C1648" s="37" t="s">
        <v>3593</v>
      </c>
      <c r="D1648" s="55" t="s">
        <v>820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3594</v>
      </c>
      <c r="C1649" s="37" t="s">
        <v>3595</v>
      </c>
      <c r="D1649" s="55" t="s">
        <v>820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3596</v>
      </c>
      <c r="C1650" s="37" t="s">
        <v>3597</v>
      </c>
      <c r="D1650" s="55" t="s">
        <v>820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3598</v>
      </c>
      <c r="C1651" s="37" t="s">
        <v>3599</v>
      </c>
      <c r="D1651" s="55" t="s">
        <v>820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3600</v>
      </c>
      <c r="C1652" s="37" t="s">
        <v>5209</v>
      </c>
      <c r="D1652" s="55" t="s">
        <v>820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3601</v>
      </c>
      <c r="C1653" s="37" t="s">
        <v>3602</v>
      </c>
      <c r="D1653" s="55" t="s">
        <v>820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3603</v>
      </c>
      <c r="C1654" s="37" t="s">
        <v>3604</v>
      </c>
      <c r="D1654" s="55" t="s">
        <v>820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3605</v>
      </c>
      <c r="C1655" s="37" t="s">
        <v>5195</v>
      </c>
      <c r="D1655" s="55" t="s">
        <v>820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3606</v>
      </c>
      <c r="C1656" s="37" t="s">
        <v>3607</v>
      </c>
      <c r="D1656" s="55" t="s">
        <v>820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3608</v>
      </c>
      <c r="C1657" s="37" t="s">
        <v>3609</v>
      </c>
      <c r="D1657" s="55" t="s">
        <v>820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3610</v>
      </c>
      <c r="C1658" s="37" t="s">
        <v>3611</v>
      </c>
      <c r="D1658" s="55" t="s">
        <v>820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3612</v>
      </c>
      <c r="C1659" s="37" t="s">
        <v>3613</v>
      </c>
      <c r="D1659" s="55" t="s">
        <v>820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3614</v>
      </c>
      <c r="C1660" s="37" t="s">
        <v>3615</v>
      </c>
      <c r="D1660" s="55" t="s">
        <v>805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3616</v>
      </c>
      <c r="C1661" s="37" t="s">
        <v>3617</v>
      </c>
      <c r="D1661" s="55" t="s">
        <v>820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3618</v>
      </c>
      <c r="C1662" s="37" t="s">
        <v>3619</v>
      </c>
      <c r="D1662" s="55" t="s">
        <v>820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3620</v>
      </c>
      <c r="C1663" s="37" t="s">
        <v>3621</v>
      </c>
      <c r="D1663" s="55" t="s">
        <v>820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3622</v>
      </c>
      <c r="C1664" s="37" t="s">
        <v>3623</v>
      </c>
      <c r="D1664" s="55" t="s">
        <v>820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3624</v>
      </c>
      <c r="C1665" s="37" t="s">
        <v>3625</v>
      </c>
      <c r="D1665" s="55" t="s">
        <v>820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820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3626</v>
      </c>
      <c r="C1667" s="37" t="s">
        <v>3627</v>
      </c>
      <c r="D1667" s="55" t="s">
        <v>820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3628</v>
      </c>
      <c r="C1668" s="37" t="s">
        <v>3629</v>
      </c>
      <c r="D1668" s="55" t="s">
        <v>820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3630</v>
      </c>
      <c r="C1669" s="37" t="s">
        <v>3631</v>
      </c>
      <c r="D1669" s="55" t="s">
        <v>805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3632</v>
      </c>
      <c r="C1670" s="37" t="s">
        <v>3633</v>
      </c>
      <c r="D1670" s="55" t="s">
        <v>805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3634</v>
      </c>
      <c r="C1671" s="37" t="s">
        <v>3635</v>
      </c>
      <c r="D1671" s="55" t="s">
        <v>820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3636</v>
      </c>
      <c r="C1672" s="37" t="s">
        <v>3637</v>
      </c>
      <c r="D1672" s="55" t="s">
        <v>805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3638</v>
      </c>
      <c r="C1673" s="37" t="s">
        <v>3639</v>
      </c>
      <c r="D1673" s="55" t="s">
        <v>820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820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3640</v>
      </c>
      <c r="C1675" s="37" t="s">
        <v>3641</v>
      </c>
      <c r="D1675" s="55" t="s">
        <v>805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3642</v>
      </c>
      <c r="C1676" s="37" t="s">
        <v>3643</v>
      </c>
      <c r="D1676" s="55" t="s">
        <v>820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3644</v>
      </c>
      <c r="C1677" s="37" t="s">
        <v>3645</v>
      </c>
      <c r="D1677" s="55" t="s">
        <v>820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3646</v>
      </c>
      <c r="C1678" s="37" t="s">
        <v>3647</v>
      </c>
      <c r="D1678" s="55" t="s">
        <v>820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3648</v>
      </c>
      <c r="C1679" s="37" t="s">
        <v>3649</v>
      </c>
      <c r="D1679" s="55" t="s">
        <v>820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3650</v>
      </c>
      <c r="C1680" s="37" t="s">
        <v>3651</v>
      </c>
      <c r="D1680" s="55" t="s">
        <v>820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3652</v>
      </c>
      <c r="C1681" s="37" t="s">
        <v>3653</v>
      </c>
      <c r="D1681" s="55" t="s">
        <v>820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3654</v>
      </c>
      <c r="C1682" s="37" t="s">
        <v>3655</v>
      </c>
      <c r="D1682" s="55" t="s">
        <v>820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3656</v>
      </c>
      <c r="C1683" s="37" t="s">
        <v>3657</v>
      </c>
      <c r="D1683" s="55" t="s">
        <v>820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3658</v>
      </c>
      <c r="C1684" s="37" t="s">
        <v>3659</v>
      </c>
      <c r="D1684" s="55" t="s">
        <v>805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3660</v>
      </c>
      <c r="C1685" s="37" t="s">
        <v>3661</v>
      </c>
      <c r="D1685" s="55" t="s">
        <v>820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3662</v>
      </c>
      <c r="C1686" s="37" t="s">
        <v>3663</v>
      </c>
      <c r="D1686" s="55" t="s">
        <v>820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820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3664</v>
      </c>
      <c r="C1688" s="37" t="s">
        <v>3665</v>
      </c>
      <c r="D1688" s="55" t="s">
        <v>820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3666</v>
      </c>
      <c r="C1689" s="37" t="s">
        <v>3667</v>
      </c>
      <c r="D1689" s="55" t="s">
        <v>820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3668</v>
      </c>
      <c r="C1690" s="37" t="s">
        <v>3669</v>
      </c>
      <c r="D1690" s="55" t="s">
        <v>820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3670</v>
      </c>
      <c r="C1691" s="37" t="s">
        <v>3671</v>
      </c>
      <c r="D1691" s="55" t="s">
        <v>820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820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3672</v>
      </c>
      <c r="C1693" s="37" t="s">
        <v>3673</v>
      </c>
      <c r="D1693" s="55" t="s">
        <v>820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3674</v>
      </c>
      <c r="C1694" s="37" t="s">
        <v>3675</v>
      </c>
      <c r="D1694" s="55" t="s">
        <v>820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805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3676</v>
      </c>
      <c r="C1696" s="37" t="s">
        <v>3677</v>
      </c>
      <c r="D1696" s="55" t="s">
        <v>820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3678</v>
      </c>
      <c r="C1697" s="37" t="s">
        <v>3679</v>
      </c>
      <c r="D1697" s="55" t="s">
        <v>820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3680</v>
      </c>
      <c r="C1698" s="37" t="s">
        <v>3681</v>
      </c>
      <c r="D1698" s="55" t="s">
        <v>820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3682</v>
      </c>
      <c r="C1699" s="37" t="s">
        <v>3683</v>
      </c>
      <c r="D1699" s="55" t="s">
        <v>820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820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3684</v>
      </c>
      <c r="C1701" s="37" t="s">
        <v>3685</v>
      </c>
      <c r="D1701" s="55" t="s">
        <v>820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3686</v>
      </c>
      <c r="C1702" s="37" t="s">
        <v>3687</v>
      </c>
      <c r="D1702" s="55" t="s">
        <v>805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3688</v>
      </c>
      <c r="C1703" s="37" t="s">
        <v>3689</v>
      </c>
      <c r="D1703" s="55" t="s">
        <v>820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3690</v>
      </c>
      <c r="C1704" s="37" t="s">
        <v>3691</v>
      </c>
      <c r="D1704" s="37" t="s">
        <v>820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3692</v>
      </c>
      <c r="C1705" s="37" t="s">
        <v>3693</v>
      </c>
      <c r="D1705" s="55" t="s">
        <v>820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3694</v>
      </c>
      <c r="C1706" s="37" t="s">
        <v>3695</v>
      </c>
      <c r="D1706" s="55" t="s">
        <v>820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805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3696</v>
      </c>
      <c r="C1708" s="37" t="s">
        <v>3697</v>
      </c>
      <c r="D1708" s="55" t="s">
        <v>805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3698</v>
      </c>
      <c r="C1709" s="37" t="s">
        <v>3699</v>
      </c>
      <c r="D1709" s="55" t="s">
        <v>820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3700</v>
      </c>
      <c r="C1710" s="37" t="s">
        <v>5156</v>
      </c>
      <c r="D1710" s="55" t="s">
        <v>820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3701</v>
      </c>
      <c r="C1711" s="37" t="s">
        <v>3702</v>
      </c>
      <c r="D1711" s="55" t="s">
        <v>805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820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3703</v>
      </c>
      <c r="C1713" s="37" t="s">
        <v>3704</v>
      </c>
      <c r="D1713" s="55" t="s">
        <v>820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3705</v>
      </c>
      <c r="C1714" s="37" t="s">
        <v>3706</v>
      </c>
      <c r="D1714" s="55" t="s">
        <v>820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3707</v>
      </c>
      <c r="C1715" s="37" t="s">
        <v>3708</v>
      </c>
      <c r="D1715" s="55" t="s">
        <v>820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3709</v>
      </c>
      <c r="C1716" s="37" t="s">
        <v>3710</v>
      </c>
      <c r="D1716" s="55" t="s">
        <v>805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3711</v>
      </c>
      <c r="C1717" s="37" t="s">
        <v>3712</v>
      </c>
      <c r="D1717" s="55" t="s">
        <v>820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3713</v>
      </c>
      <c r="C1718" s="37" t="s">
        <v>3714</v>
      </c>
      <c r="D1718" s="55" t="s">
        <v>820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3715</v>
      </c>
      <c r="C1719" s="37" t="s">
        <v>3716</v>
      </c>
      <c r="D1719" s="55" t="s">
        <v>820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3717</v>
      </c>
      <c r="C1720" s="37" t="s">
        <v>3718</v>
      </c>
      <c r="D1720" s="55" t="s">
        <v>820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3719</v>
      </c>
      <c r="C1721" s="37" t="s">
        <v>5163</v>
      </c>
      <c r="D1721" s="55" t="s">
        <v>820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820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3720</v>
      </c>
      <c r="C1723" s="37" t="s">
        <v>3721</v>
      </c>
      <c r="D1723" s="55" t="s">
        <v>820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3722</v>
      </c>
      <c r="C1724" s="37" t="s">
        <v>3723</v>
      </c>
      <c r="D1724" s="55" t="s">
        <v>820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3724</v>
      </c>
      <c r="C1725" s="37" t="s">
        <v>3725</v>
      </c>
      <c r="D1725" s="55" t="s">
        <v>820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820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3726</v>
      </c>
      <c r="C1727" s="37" t="s">
        <v>3727</v>
      </c>
      <c r="D1727" s="55" t="s">
        <v>820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3728</v>
      </c>
      <c r="C1728" s="37" t="s">
        <v>3729</v>
      </c>
      <c r="D1728" s="55" t="s">
        <v>820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3730</v>
      </c>
      <c r="C1729" s="37" t="s">
        <v>3731</v>
      </c>
      <c r="D1729" s="55" t="s">
        <v>820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3732</v>
      </c>
      <c r="C1730" s="37" t="s">
        <v>3733</v>
      </c>
      <c r="D1730" s="55" t="s">
        <v>820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3734</v>
      </c>
      <c r="C1731" s="37" t="s">
        <v>3735</v>
      </c>
      <c r="D1731" s="55" t="s">
        <v>820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3736</v>
      </c>
      <c r="C1732" s="37" t="s">
        <v>3737</v>
      </c>
      <c r="D1732" s="55" t="s">
        <v>820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3738</v>
      </c>
      <c r="C1733" s="37" t="s">
        <v>3739</v>
      </c>
      <c r="D1733" s="55" t="s">
        <v>820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3740</v>
      </c>
      <c r="C1734" s="37" t="s">
        <v>3741</v>
      </c>
      <c r="D1734" s="55" t="s">
        <v>820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3742</v>
      </c>
      <c r="C1735" s="37" t="s">
        <v>3743</v>
      </c>
      <c r="D1735" s="55" t="s">
        <v>805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3744</v>
      </c>
      <c r="C1736" s="37" t="s">
        <v>3745</v>
      </c>
      <c r="D1736" s="55" t="s">
        <v>820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3746</v>
      </c>
      <c r="C1737" s="37" t="s">
        <v>3747</v>
      </c>
      <c r="D1737" s="55" t="s">
        <v>820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3748</v>
      </c>
      <c r="C1738" s="37" t="s">
        <v>3749</v>
      </c>
      <c r="D1738" s="55" t="s">
        <v>805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3750</v>
      </c>
      <c r="C1739" s="37" t="s">
        <v>3751</v>
      </c>
      <c r="D1739" s="55" t="s">
        <v>820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3752</v>
      </c>
      <c r="C1740" s="37" t="s">
        <v>3753</v>
      </c>
      <c r="D1740" s="55" t="s">
        <v>820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805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805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3754</v>
      </c>
      <c r="C1743" s="37" t="s">
        <v>3755</v>
      </c>
      <c r="D1743" s="55" t="s">
        <v>820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805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3756</v>
      </c>
      <c r="C1745" s="37" t="s">
        <v>3757</v>
      </c>
      <c r="D1745" s="55" t="s">
        <v>820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3758</v>
      </c>
      <c r="C1746" s="37" t="s">
        <v>3759</v>
      </c>
      <c r="D1746" s="55" t="s">
        <v>820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3760</v>
      </c>
      <c r="C1747" s="37" t="s">
        <v>3761</v>
      </c>
      <c r="D1747" s="55" t="s">
        <v>820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805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820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3762</v>
      </c>
      <c r="C1750" s="37" t="s">
        <v>3763</v>
      </c>
      <c r="D1750" s="55" t="s">
        <v>820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820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3764</v>
      </c>
      <c r="C1752" s="37" t="s">
        <v>3765</v>
      </c>
      <c r="D1752" s="55" t="s">
        <v>820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3766</v>
      </c>
      <c r="C1753" s="37" t="s">
        <v>3767</v>
      </c>
      <c r="D1753" s="55" t="s">
        <v>820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3768</v>
      </c>
      <c r="C1754" s="37" t="s">
        <v>3769</v>
      </c>
      <c r="D1754" s="55" t="s">
        <v>820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3770</v>
      </c>
      <c r="C1755" s="37" t="s">
        <v>3771</v>
      </c>
      <c r="D1755" s="55" t="s">
        <v>820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3772</v>
      </c>
      <c r="C1756" s="37" t="s">
        <v>3773</v>
      </c>
      <c r="D1756" s="55" t="s">
        <v>820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3774</v>
      </c>
      <c r="C1757" s="37" t="s">
        <v>3775</v>
      </c>
      <c r="D1757" s="55" t="s">
        <v>820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3776</v>
      </c>
      <c r="C1758" s="37" t="s">
        <v>3777</v>
      </c>
      <c r="D1758" s="55" t="s">
        <v>820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3778</v>
      </c>
      <c r="C1759" s="37" t="s">
        <v>3779</v>
      </c>
      <c r="D1759" s="55" t="s">
        <v>820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3780</v>
      </c>
      <c r="C1760" s="37" t="s">
        <v>3781</v>
      </c>
      <c r="D1760" s="55" t="s">
        <v>820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3782</v>
      </c>
      <c r="C1761" s="37" t="s">
        <v>3783</v>
      </c>
      <c r="D1761" s="55" t="s">
        <v>820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3784</v>
      </c>
      <c r="C1762" s="37" t="s">
        <v>3785</v>
      </c>
      <c r="D1762" s="55" t="s">
        <v>820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3786</v>
      </c>
      <c r="C1763" s="37" t="s">
        <v>3787</v>
      </c>
      <c r="D1763" s="55" t="s">
        <v>820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3788</v>
      </c>
      <c r="C1764" s="37" t="s">
        <v>3789</v>
      </c>
      <c r="D1764" s="55" t="s">
        <v>820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820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3790</v>
      </c>
      <c r="C1766" s="37" t="s">
        <v>3791</v>
      </c>
      <c r="D1766" s="55" t="s">
        <v>820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3792</v>
      </c>
      <c r="C1767" s="37" t="s">
        <v>3793</v>
      </c>
      <c r="D1767" s="55" t="s">
        <v>820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3794</v>
      </c>
      <c r="C1768" s="37" t="s">
        <v>3795</v>
      </c>
      <c r="D1768" s="55" t="s">
        <v>820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3796</v>
      </c>
      <c r="C1769" s="37" t="s">
        <v>3797</v>
      </c>
      <c r="D1769" s="55" t="s">
        <v>820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3798</v>
      </c>
      <c r="C1770" s="37" t="s">
        <v>3799</v>
      </c>
      <c r="D1770" s="55" t="s">
        <v>820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820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3800</v>
      </c>
      <c r="C1772" s="37" t="s">
        <v>3801</v>
      </c>
      <c r="D1772" s="55" t="s">
        <v>820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3802</v>
      </c>
      <c r="C1773" s="37" t="s">
        <v>3803</v>
      </c>
      <c r="D1773" s="55" t="s">
        <v>805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3804</v>
      </c>
      <c r="C1774" s="37" t="s">
        <v>3805</v>
      </c>
      <c r="D1774" s="55" t="s">
        <v>820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3806</v>
      </c>
      <c r="C1775" s="37" t="s">
        <v>3807</v>
      </c>
      <c r="D1775" s="55" t="s">
        <v>820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3808</v>
      </c>
      <c r="C1776" s="37" t="s">
        <v>3809</v>
      </c>
      <c r="D1776" s="55" t="s">
        <v>820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3810</v>
      </c>
      <c r="C1777" s="37" t="s">
        <v>3811</v>
      </c>
      <c r="D1777" s="55" t="s">
        <v>820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3812</v>
      </c>
      <c r="C1778" s="37" t="s">
        <v>3813</v>
      </c>
      <c r="D1778" s="55" t="s">
        <v>820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3814</v>
      </c>
      <c r="C1779" s="37" t="s">
        <v>3815</v>
      </c>
      <c r="D1779" s="55" t="s">
        <v>820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3816</v>
      </c>
      <c r="C1780" s="37" t="s">
        <v>3817</v>
      </c>
      <c r="D1780" s="55" t="s">
        <v>820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805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3818</v>
      </c>
      <c r="C1782" s="37" t="s">
        <v>3819</v>
      </c>
      <c r="D1782" s="55" t="s">
        <v>820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3820</v>
      </c>
      <c r="C1783" s="37" t="s">
        <v>3821</v>
      </c>
      <c r="D1783" s="55" t="s">
        <v>820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3822</v>
      </c>
      <c r="C1784" s="37" t="s">
        <v>3823</v>
      </c>
      <c r="D1784" s="55" t="s">
        <v>5157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3824</v>
      </c>
      <c r="C1785" s="37" t="s">
        <v>3825</v>
      </c>
      <c r="D1785" s="55" t="s">
        <v>820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3826</v>
      </c>
      <c r="C1786" s="37" t="s">
        <v>3827</v>
      </c>
      <c r="D1786" s="55" t="s">
        <v>820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3828</v>
      </c>
      <c r="C1787" s="37" t="s">
        <v>3829</v>
      </c>
      <c r="D1787" s="55" t="s">
        <v>820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3830</v>
      </c>
      <c r="C1788" s="37" t="s">
        <v>3831</v>
      </c>
      <c r="D1788" s="55" t="s">
        <v>820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3832</v>
      </c>
      <c r="C1789" s="37" t="s">
        <v>3833</v>
      </c>
      <c r="D1789" s="55" t="s">
        <v>820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3834</v>
      </c>
      <c r="C1790" s="37" t="s">
        <v>3835</v>
      </c>
      <c r="D1790" s="55" t="s">
        <v>820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3836</v>
      </c>
      <c r="C1791" s="37" t="s">
        <v>3837</v>
      </c>
      <c r="D1791" s="55" t="s">
        <v>820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3838</v>
      </c>
      <c r="C1792" s="37" t="s">
        <v>3839</v>
      </c>
      <c r="D1792" s="55" t="s">
        <v>820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3840</v>
      </c>
      <c r="C1793" s="37" t="s">
        <v>3841</v>
      </c>
      <c r="D1793" s="55" t="s">
        <v>820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805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3842</v>
      </c>
      <c r="C1795" s="37" t="s">
        <v>3843</v>
      </c>
      <c r="D1795" s="55" t="s">
        <v>820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3844</v>
      </c>
      <c r="C1796" s="37" t="s">
        <v>3845</v>
      </c>
      <c r="D1796" s="55" t="s">
        <v>820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3846</v>
      </c>
      <c r="C1797" s="37" t="s">
        <v>3847</v>
      </c>
      <c r="D1797" s="55" t="s">
        <v>820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3848</v>
      </c>
      <c r="C1798" s="37" t="s">
        <v>3849</v>
      </c>
      <c r="D1798" s="55" t="s">
        <v>820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3850</v>
      </c>
      <c r="C1799" s="37" t="s">
        <v>3851</v>
      </c>
      <c r="D1799" s="55" t="s">
        <v>820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3852</v>
      </c>
      <c r="C1800" s="37" t="s">
        <v>3853</v>
      </c>
      <c r="D1800" s="55" t="s">
        <v>820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3854</v>
      </c>
      <c r="C1801" s="37" t="s">
        <v>3855</v>
      </c>
      <c r="D1801" s="55" t="s">
        <v>820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3856</v>
      </c>
      <c r="C1802" s="37" t="s">
        <v>3857</v>
      </c>
      <c r="D1802" s="55" t="s">
        <v>820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3858</v>
      </c>
      <c r="C1803" s="37" t="s">
        <v>3859</v>
      </c>
      <c r="D1803" s="55" t="s">
        <v>805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3860</v>
      </c>
      <c r="C1804" s="37" t="s">
        <v>3861</v>
      </c>
      <c r="D1804" s="55" t="s">
        <v>805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3862</v>
      </c>
      <c r="C1805" s="37" t="s">
        <v>3863</v>
      </c>
      <c r="D1805" s="55" t="s">
        <v>820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3864</v>
      </c>
      <c r="C1806" s="37" t="s">
        <v>3865</v>
      </c>
      <c r="D1806" s="55" t="s">
        <v>820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3866</v>
      </c>
      <c r="C1807" s="37" t="s">
        <v>3867</v>
      </c>
      <c r="D1807" s="55" t="s">
        <v>820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3868</v>
      </c>
      <c r="C1808" s="37" t="s">
        <v>3869</v>
      </c>
      <c r="D1808" s="55" t="s">
        <v>820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820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3870</v>
      </c>
      <c r="C1810" s="37" t="s">
        <v>3871</v>
      </c>
      <c r="D1810" s="55" t="s">
        <v>805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820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3872</v>
      </c>
      <c r="C1812" s="37" t="s">
        <v>3873</v>
      </c>
      <c r="D1812" s="55" t="s">
        <v>820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3874</v>
      </c>
      <c r="C1813" s="37" t="s">
        <v>3875</v>
      </c>
      <c r="D1813" s="55" t="s">
        <v>820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3876</v>
      </c>
      <c r="C1814" s="37" t="s">
        <v>3877</v>
      </c>
      <c r="D1814" s="55" t="s">
        <v>820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805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3878</v>
      </c>
      <c r="C1816" s="37" t="s">
        <v>3879</v>
      </c>
      <c r="D1816" s="55" t="s">
        <v>805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820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3880</v>
      </c>
      <c r="C1818" s="37" t="s">
        <v>3881</v>
      </c>
      <c r="D1818" s="55" t="s">
        <v>805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3882</v>
      </c>
      <c r="C1819" s="37" t="s">
        <v>3883</v>
      </c>
      <c r="D1819" s="55" t="s">
        <v>805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3884</v>
      </c>
      <c r="C1820" s="37" t="s">
        <v>3885</v>
      </c>
      <c r="D1820" s="55" t="s">
        <v>820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820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3886</v>
      </c>
      <c r="C1822" s="37" t="s">
        <v>3887</v>
      </c>
      <c r="D1822" s="55" t="s">
        <v>820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3888</v>
      </c>
      <c r="C1823" s="37" t="s">
        <v>3889</v>
      </c>
      <c r="D1823" s="55" t="s">
        <v>820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3890</v>
      </c>
      <c r="C1824" s="37" t="s">
        <v>3891</v>
      </c>
      <c r="D1824" s="55" t="s">
        <v>820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3892</v>
      </c>
      <c r="C1825" s="37" t="s">
        <v>3893</v>
      </c>
      <c r="D1825" s="55" t="s">
        <v>820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3894</v>
      </c>
      <c r="C1826" s="37" t="s">
        <v>3895</v>
      </c>
      <c r="D1826" s="55" t="s">
        <v>820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820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3896</v>
      </c>
      <c r="C1828" s="37" t="s">
        <v>3897</v>
      </c>
      <c r="D1828" s="55" t="s">
        <v>820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3898</v>
      </c>
      <c r="C1829" s="37" t="s">
        <v>3899</v>
      </c>
      <c r="D1829" s="55" t="s">
        <v>820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3900</v>
      </c>
      <c r="C1830" s="37" t="s">
        <v>3901</v>
      </c>
      <c r="D1830" s="55" t="s">
        <v>820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3902</v>
      </c>
      <c r="C1831" s="37" t="s">
        <v>3903</v>
      </c>
      <c r="D1831" s="55" t="s">
        <v>820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3904</v>
      </c>
      <c r="C1832" s="37" t="s">
        <v>3905</v>
      </c>
      <c r="D1832" s="55" t="s">
        <v>820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3906</v>
      </c>
      <c r="C1833" s="37" t="s">
        <v>3907</v>
      </c>
      <c r="D1833" s="55" t="s">
        <v>820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3908</v>
      </c>
      <c r="C1834" s="37" t="s">
        <v>3909</v>
      </c>
      <c r="D1834" s="55" t="s">
        <v>820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3910</v>
      </c>
      <c r="C1835" s="37" t="s">
        <v>3911</v>
      </c>
      <c r="D1835" s="55" t="s">
        <v>820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3912</v>
      </c>
      <c r="C1836" s="37" t="s">
        <v>3913</v>
      </c>
      <c r="D1836" s="55" t="s">
        <v>820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3914</v>
      </c>
      <c r="C1837" s="37" t="s">
        <v>3915</v>
      </c>
      <c r="D1837" s="55" t="s">
        <v>820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3916</v>
      </c>
      <c r="C1838" s="37" t="s">
        <v>3917</v>
      </c>
      <c r="D1838" s="55" t="s">
        <v>820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3918</v>
      </c>
      <c r="C1839" s="37" t="s">
        <v>3919</v>
      </c>
      <c r="D1839" s="55" t="s">
        <v>820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3920</v>
      </c>
      <c r="C1840" s="37" t="s">
        <v>3921</v>
      </c>
      <c r="D1840" s="55" t="s">
        <v>805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3922</v>
      </c>
      <c r="C1841" s="37" t="s">
        <v>3923</v>
      </c>
      <c r="D1841" s="55" t="s">
        <v>5157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3924</v>
      </c>
      <c r="C1842" s="37" t="s">
        <v>3925</v>
      </c>
      <c r="D1842" s="55" t="s">
        <v>820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3926</v>
      </c>
      <c r="C1843" s="37" t="s">
        <v>3927</v>
      </c>
      <c r="D1843" s="55" t="s">
        <v>820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3928</v>
      </c>
      <c r="C1844" s="37" t="s">
        <v>3929</v>
      </c>
      <c r="D1844" s="55" t="s">
        <v>820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3930</v>
      </c>
      <c r="C1845" s="37" t="s">
        <v>3931</v>
      </c>
      <c r="D1845" s="55" t="s">
        <v>820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3932</v>
      </c>
      <c r="C1846" s="37" t="s">
        <v>3933</v>
      </c>
      <c r="D1846" s="55" t="s">
        <v>820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3934</v>
      </c>
      <c r="C1847" s="37" t="s">
        <v>3935</v>
      </c>
      <c r="D1847" s="55" t="s">
        <v>820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3936</v>
      </c>
      <c r="C1848" s="37" t="s">
        <v>3937</v>
      </c>
      <c r="D1848" s="55" t="s">
        <v>820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3938</v>
      </c>
      <c r="C1849" s="37" t="s">
        <v>3939</v>
      </c>
      <c r="D1849" s="55" t="s">
        <v>820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3940</v>
      </c>
      <c r="C1850" s="37" t="s">
        <v>3941</v>
      </c>
      <c r="D1850" s="55" t="s">
        <v>820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3942</v>
      </c>
      <c r="C1851" s="37" t="s">
        <v>3943</v>
      </c>
      <c r="D1851" s="55" t="s">
        <v>820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3944</v>
      </c>
      <c r="C1852" s="37" t="s">
        <v>3945</v>
      </c>
      <c r="D1852" s="55" t="s">
        <v>820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3946</v>
      </c>
      <c r="C1853" s="37" t="s">
        <v>5199</v>
      </c>
      <c r="D1853" s="55" t="s">
        <v>820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3947</v>
      </c>
      <c r="C1854" s="37" t="s">
        <v>3948</v>
      </c>
      <c r="D1854" s="55" t="s">
        <v>820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3949</v>
      </c>
      <c r="C1855" s="37" t="s">
        <v>3950</v>
      </c>
      <c r="D1855" s="55" t="s">
        <v>820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3951</v>
      </c>
      <c r="C1856" s="37" t="s">
        <v>3952</v>
      </c>
      <c r="D1856" s="55" t="s">
        <v>820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3953</v>
      </c>
      <c r="C1857" s="37" t="s">
        <v>3954</v>
      </c>
      <c r="D1857" s="55" t="s">
        <v>820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3955</v>
      </c>
      <c r="C1858" s="37" t="s">
        <v>3956</v>
      </c>
      <c r="D1858" s="55" t="s">
        <v>820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3957</v>
      </c>
      <c r="C1859" s="37" t="s">
        <v>3958</v>
      </c>
      <c r="D1859" s="55" t="s">
        <v>820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3959</v>
      </c>
      <c r="C1860" s="37" t="s">
        <v>3960</v>
      </c>
      <c r="D1860" s="55" t="s">
        <v>820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820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3961</v>
      </c>
      <c r="C1862" s="37" t="s">
        <v>3962</v>
      </c>
      <c r="D1862" s="55" t="s">
        <v>5157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3963</v>
      </c>
      <c r="C1863" s="37" t="s">
        <v>3964</v>
      </c>
      <c r="D1863" s="55" t="s">
        <v>820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3965</v>
      </c>
      <c r="C1864" s="37" t="s">
        <v>3966</v>
      </c>
      <c r="D1864" s="55" t="s">
        <v>820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3967</v>
      </c>
      <c r="C1865" s="37" t="s">
        <v>3968</v>
      </c>
      <c r="D1865" s="55" t="s">
        <v>820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3969</v>
      </c>
      <c r="C1866" s="37" t="s">
        <v>3970</v>
      </c>
      <c r="D1866" s="55" t="s">
        <v>820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3971</v>
      </c>
      <c r="C1867" s="37" t="s">
        <v>3972</v>
      </c>
      <c r="D1867" s="55" t="s">
        <v>820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3973</v>
      </c>
      <c r="C1868" s="37" t="s">
        <v>3974</v>
      </c>
      <c r="D1868" s="55" t="s">
        <v>820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3975</v>
      </c>
      <c r="C1869" s="37" t="s">
        <v>3976</v>
      </c>
      <c r="D1869" s="55" t="s">
        <v>820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3977</v>
      </c>
      <c r="C1870" s="37" t="s">
        <v>3978</v>
      </c>
      <c r="D1870" s="55" t="s">
        <v>820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3979</v>
      </c>
      <c r="C1871" s="37" t="s">
        <v>3980</v>
      </c>
      <c r="D1871" s="55" t="s">
        <v>820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3981</v>
      </c>
      <c r="C1872" s="37" t="s">
        <v>3982</v>
      </c>
      <c r="D1872" s="55" t="s">
        <v>820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3983</v>
      </c>
      <c r="C1873" s="37" t="s">
        <v>3984</v>
      </c>
      <c r="D1873" s="55" t="s">
        <v>820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3985</v>
      </c>
      <c r="C1874" s="37" t="s">
        <v>3986</v>
      </c>
      <c r="D1874" s="55" t="s">
        <v>805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3987</v>
      </c>
      <c r="C1875" s="37" t="s">
        <v>3988</v>
      </c>
      <c r="D1875" s="55" t="s">
        <v>820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3989</v>
      </c>
      <c r="C1876" s="37" t="s">
        <v>3990</v>
      </c>
      <c r="D1876" s="55" t="s">
        <v>820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3991</v>
      </c>
      <c r="C1877" s="37" t="s">
        <v>3992</v>
      </c>
      <c r="D1877" s="55" t="s">
        <v>820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3993</v>
      </c>
      <c r="C1878" s="37" t="s">
        <v>3994</v>
      </c>
      <c r="D1878" s="55" t="s">
        <v>820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820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3995</v>
      </c>
      <c r="C1880" s="37" t="s">
        <v>3996</v>
      </c>
      <c r="D1880" s="55" t="s">
        <v>820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3997</v>
      </c>
      <c r="C1881" s="37" t="s">
        <v>3998</v>
      </c>
      <c r="D1881" s="55" t="s">
        <v>820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3999</v>
      </c>
      <c r="C1882" s="37" t="s">
        <v>4000</v>
      </c>
      <c r="D1882" s="55" t="s">
        <v>805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4001</v>
      </c>
      <c r="C1883" s="37" t="s">
        <v>4002</v>
      </c>
      <c r="D1883" s="55" t="s">
        <v>820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4003</v>
      </c>
      <c r="C1884" s="37" t="s">
        <v>4004</v>
      </c>
      <c r="D1884" s="55" t="s">
        <v>820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4005</v>
      </c>
      <c r="C1885" s="37" t="s">
        <v>4006</v>
      </c>
      <c r="D1885" s="55" t="s">
        <v>820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4007</v>
      </c>
      <c r="C1886" s="37" t="s">
        <v>4008</v>
      </c>
      <c r="D1886" s="55" t="s">
        <v>820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4009</v>
      </c>
      <c r="C1887" s="37" t="s">
        <v>4010</v>
      </c>
      <c r="D1887" s="55" t="s">
        <v>820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4011</v>
      </c>
      <c r="C1888" s="37" t="s">
        <v>4012</v>
      </c>
      <c r="D1888" s="55" t="s">
        <v>820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805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4013</v>
      </c>
      <c r="C1890" s="37" t="s">
        <v>4014</v>
      </c>
      <c r="D1890" s="55" t="s">
        <v>820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4015</v>
      </c>
      <c r="C1891" s="37" t="s">
        <v>4016</v>
      </c>
      <c r="D1891" s="55" t="s">
        <v>820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4017</v>
      </c>
      <c r="C1892" s="37" t="s">
        <v>4018</v>
      </c>
      <c r="D1892" s="55" t="s">
        <v>5157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820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4019</v>
      </c>
      <c r="C1894" s="37" t="s">
        <v>4020</v>
      </c>
      <c r="D1894" s="55" t="s">
        <v>820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4021</v>
      </c>
      <c r="C1895" s="37" t="s">
        <v>4022</v>
      </c>
      <c r="D1895" s="55" t="s">
        <v>820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4023</v>
      </c>
      <c r="C1896" s="37" t="s">
        <v>4024</v>
      </c>
      <c r="D1896" s="55" t="s">
        <v>820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4025</v>
      </c>
      <c r="C1897" s="37" t="s">
        <v>4026</v>
      </c>
      <c r="D1897" s="55" t="s">
        <v>805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4027</v>
      </c>
      <c r="C1898" s="37" t="s">
        <v>4028</v>
      </c>
      <c r="D1898" s="55" t="s">
        <v>820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4029</v>
      </c>
      <c r="C1899" s="37" t="s">
        <v>4030</v>
      </c>
      <c r="D1899" s="55" t="s">
        <v>820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4031</v>
      </c>
      <c r="C1900" s="37" t="s">
        <v>4032</v>
      </c>
      <c r="D1900" s="55" t="s">
        <v>820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4033</v>
      </c>
      <c r="C1901" s="37" t="s">
        <v>4034</v>
      </c>
      <c r="D1901" s="55" t="s">
        <v>820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4035</v>
      </c>
      <c r="C1902" s="37" t="s">
        <v>4036</v>
      </c>
      <c r="D1902" s="55" t="s">
        <v>820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4037</v>
      </c>
      <c r="C1903" s="37" t="s">
        <v>4038</v>
      </c>
      <c r="D1903" s="55" t="s">
        <v>820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4039</v>
      </c>
      <c r="C1904" s="37" t="s">
        <v>4040</v>
      </c>
      <c r="D1904" s="55" t="s">
        <v>820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4041</v>
      </c>
      <c r="C1905" s="37" t="s">
        <v>4042</v>
      </c>
      <c r="D1905" s="55" t="s">
        <v>820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820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4043</v>
      </c>
      <c r="C1907" s="37" t="s">
        <v>4044</v>
      </c>
      <c r="D1907" s="55" t="s">
        <v>820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4045</v>
      </c>
      <c r="C1908" s="37" t="s">
        <v>4046</v>
      </c>
      <c r="D1908" s="55" t="s">
        <v>820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4047</v>
      </c>
      <c r="C1909" s="37" t="s">
        <v>4048</v>
      </c>
      <c r="D1909" s="55" t="s">
        <v>820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4049</v>
      </c>
      <c r="C1910" s="37" t="s">
        <v>4050</v>
      </c>
      <c r="D1910" s="55" t="s">
        <v>820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4051</v>
      </c>
      <c r="C1911" s="37" t="s">
        <v>4052</v>
      </c>
      <c r="D1911" s="55" t="s">
        <v>820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4053</v>
      </c>
      <c r="C1912" s="37" t="s">
        <v>4054</v>
      </c>
      <c r="D1912" s="55" t="s">
        <v>820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4055</v>
      </c>
      <c r="C1913" s="37" t="s">
        <v>4056</v>
      </c>
      <c r="D1913" s="55" t="s">
        <v>820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4057</v>
      </c>
      <c r="C1914" s="37" t="s">
        <v>4058</v>
      </c>
      <c r="D1914" s="55" t="s">
        <v>820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4059</v>
      </c>
      <c r="C1915" s="37" t="s">
        <v>4060</v>
      </c>
      <c r="D1915" s="55" t="s">
        <v>820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4061</v>
      </c>
      <c r="C1916" s="37" t="s">
        <v>4062</v>
      </c>
      <c r="D1916" s="55" t="s">
        <v>820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4063</v>
      </c>
      <c r="C1917" s="37" t="s">
        <v>4064</v>
      </c>
      <c r="D1917" s="55" t="s">
        <v>820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4065</v>
      </c>
      <c r="C1918" s="37" t="s">
        <v>4066</v>
      </c>
      <c r="D1918" s="55" t="s">
        <v>820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820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4067</v>
      </c>
      <c r="C1920" s="37" t="s">
        <v>4068</v>
      </c>
      <c r="D1920" s="55" t="s">
        <v>820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805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4069</v>
      </c>
      <c r="C1922" s="37" t="s">
        <v>4070</v>
      </c>
      <c r="D1922" s="55" t="s">
        <v>805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4071</v>
      </c>
      <c r="C1923" s="37" t="s">
        <v>4072</v>
      </c>
      <c r="D1923" s="55" t="s">
        <v>820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820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4073</v>
      </c>
      <c r="C1925" s="37" t="s">
        <v>4074</v>
      </c>
      <c r="D1925" s="55" t="s">
        <v>820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4075</v>
      </c>
      <c r="C1926" s="37" t="s">
        <v>4076</v>
      </c>
      <c r="D1926" s="55" t="s">
        <v>820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4077</v>
      </c>
      <c r="C1927" s="37" t="s">
        <v>4078</v>
      </c>
      <c r="D1927" s="55" t="s">
        <v>820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4079</v>
      </c>
      <c r="C1928" s="37" t="s">
        <v>4080</v>
      </c>
      <c r="D1928" s="55" t="s">
        <v>820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4081</v>
      </c>
      <c r="C1929" s="37" t="s">
        <v>4082</v>
      </c>
      <c r="D1929" s="55" t="s">
        <v>820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4083</v>
      </c>
      <c r="C1930" s="37" t="s">
        <v>4084</v>
      </c>
      <c r="D1930" s="55" t="s">
        <v>820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4085</v>
      </c>
      <c r="C1931" s="37" t="s">
        <v>4086</v>
      </c>
      <c r="D1931" s="55" t="s">
        <v>820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4087</v>
      </c>
      <c r="C1932" s="37" t="s">
        <v>4088</v>
      </c>
      <c r="D1932" s="55" t="s">
        <v>820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4089</v>
      </c>
      <c r="C1933" s="37" t="s">
        <v>4090</v>
      </c>
      <c r="D1933" s="55" t="s">
        <v>805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4091</v>
      </c>
      <c r="C1934" s="37" t="s">
        <v>4092</v>
      </c>
      <c r="D1934" s="55" t="s">
        <v>820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4093</v>
      </c>
      <c r="C1935" s="37" t="s">
        <v>4094</v>
      </c>
      <c r="D1935" s="55" t="s">
        <v>820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4095</v>
      </c>
      <c r="C1936" s="37" t="s">
        <v>4096</v>
      </c>
      <c r="D1936" s="55" t="s">
        <v>820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4097</v>
      </c>
      <c r="C1937" s="37" t="s">
        <v>4098</v>
      </c>
      <c r="D1937" s="55" t="s">
        <v>820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4099</v>
      </c>
      <c r="C1938" s="37" t="s">
        <v>4100</v>
      </c>
      <c r="D1938" s="55" t="s">
        <v>820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4101</v>
      </c>
      <c r="C1939" s="37" t="s">
        <v>4102</v>
      </c>
      <c r="D1939" s="55" t="s">
        <v>820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820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4103</v>
      </c>
      <c r="C1941" s="37" t="s">
        <v>4104</v>
      </c>
      <c r="D1941" s="55" t="s">
        <v>820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4105</v>
      </c>
      <c r="C1942" s="37" t="s">
        <v>4106</v>
      </c>
      <c r="D1942" s="55" t="s">
        <v>805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4107</v>
      </c>
      <c r="C1943" s="37" t="s">
        <v>4108</v>
      </c>
      <c r="D1943" s="55" t="s">
        <v>805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805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4109</v>
      </c>
      <c r="C1945" s="37" t="s">
        <v>4110</v>
      </c>
      <c r="D1945" s="55" t="s">
        <v>820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4111</v>
      </c>
      <c r="C1946" s="37" t="s">
        <v>4112</v>
      </c>
      <c r="D1946" s="55" t="s">
        <v>820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4113</v>
      </c>
      <c r="C1947" s="37" t="s">
        <v>4114</v>
      </c>
      <c r="D1947" s="55" t="s">
        <v>820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4115</v>
      </c>
      <c r="C1948" s="37" t="s">
        <v>4116</v>
      </c>
      <c r="D1948" s="55" t="s">
        <v>820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805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4117</v>
      </c>
      <c r="C1950" s="37" t="s">
        <v>4118</v>
      </c>
      <c r="D1950" s="55" t="s">
        <v>820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4119</v>
      </c>
      <c r="C1951" s="37" t="s">
        <v>4120</v>
      </c>
      <c r="D1951" s="55" t="s">
        <v>820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4121</v>
      </c>
      <c r="C1952" s="37" t="s">
        <v>4122</v>
      </c>
      <c r="D1952" s="55" t="s">
        <v>820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4123</v>
      </c>
      <c r="C1953" s="37" t="s">
        <v>4124</v>
      </c>
      <c r="D1953" s="55" t="s">
        <v>820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820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820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4125</v>
      </c>
      <c r="C1956" s="37" t="s">
        <v>4126</v>
      </c>
      <c r="D1956" s="55" t="s">
        <v>820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4127</v>
      </c>
      <c r="C1957" s="37" t="s">
        <v>4128</v>
      </c>
      <c r="D1957" s="55" t="s">
        <v>820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4129</v>
      </c>
      <c r="C1958" s="37" t="s">
        <v>4130</v>
      </c>
      <c r="D1958" s="55" t="s">
        <v>820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4131</v>
      </c>
      <c r="C1959" s="37" t="s">
        <v>4132</v>
      </c>
      <c r="D1959" s="55" t="s">
        <v>820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4133</v>
      </c>
      <c r="C1960" s="37" t="s">
        <v>4134</v>
      </c>
      <c r="D1960" s="55" t="s">
        <v>820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4135</v>
      </c>
      <c r="C1961" s="37" t="s">
        <v>4136</v>
      </c>
      <c r="D1961" s="55" t="s">
        <v>820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4137</v>
      </c>
      <c r="C1962" s="37" t="s">
        <v>4138</v>
      </c>
      <c r="D1962" s="55" t="s">
        <v>820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4139</v>
      </c>
      <c r="C1963" s="37" t="s">
        <v>4140</v>
      </c>
      <c r="D1963" s="55" t="s">
        <v>820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4141</v>
      </c>
      <c r="C1964" s="37" t="s">
        <v>4142</v>
      </c>
      <c r="D1964" s="55" t="s">
        <v>820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4143</v>
      </c>
      <c r="C1965" s="37" t="s">
        <v>4144</v>
      </c>
      <c r="D1965" s="55" t="s">
        <v>820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4145</v>
      </c>
      <c r="C1966" s="37" t="s">
        <v>4146</v>
      </c>
      <c r="D1966" s="55" t="s">
        <v>820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820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4147</v>
      </c>
      <c r="C1968" s="37" t="s">
        <v>4148</v>
      </c>
      <c r="D1968" s="55" t="s">
        <v>820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4149</v>
      </c>
      <c r="C1969" s="37" t="s">
        <v>4150</v>
      </c>
      <c r="D1969" s="55" t="s">
        <v>820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4151</v>
      </c>
      <c r="C1970" s="37" t="s">
        <v>4152</v>
      </c>
      <c r="D1970" s="55" t="s">
        <v>820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4153</v>
      </c>
      <c r="C1971" s="37" t="s">
        <v>4154</v>
      </c>
      <c r="D1971" s="55" t="s">
        <v>820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805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4155</v>
      </c>
      <c r="C1973" s="37" t="s">
        <v>4156</v>
      </c>
      <c r="D1973" s="55" t="s">
        <v>820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4157</v>
      </c>
      <c r="C1974" s="37" t="s">
        <v>4158</v>
      </c>
      <c r="D1974" s="55" t="s">
        <v>820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820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4159</v>
      </c>
      <c r="C1976" s="37" t="s">
        <v>4160</v>
      </c>
      <c r="D1976" s="55" t="s">
        <v>820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4161</v>
      </c>
      <c r="C1977" s="37" t="s">
        <v>4162</v>
      </c>
      <c r="D1977" s="55" t="s">
        <v>820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4163</v>
      </c>
      <c r="C1978" s="37" t="s">
        <v>5216</v>
      </c>
      <c r="D1978" s="55" t="s">
        <v>820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아리바이오랩</v>
      </c>
      <c r="K1978" s="37" t="str">
        <f t="shared" si="172"/>
        <v>A261780</v>
      </c>
    </row>
    <row r="1979" spans="1:11" x14ac:dyDescent="0.4">
      <c r="A1979" s="49"/>
      <c r="B1979" s="54" t="s">
        <v>4164</v>
      </c>
      <c r="C1979" s="37" t="s">
        <v>4165</v>
      </c>
      <c r="D1979" s="55" t="s">
        <v>820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4166</v>
      </c>
      <c r="C1980" s="37" t="s">
        <v>4167</v>
      </c>
      <c r="D1980" s="55" t="s">
        <v>820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4168</v>
      </c>
      <c r="C1981" s="37" t="s">
        <v>4169</v>
      </c>
      <c r="D1981" s="55" t="s">
        <v>820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4170</v>
      </c>
      <c r="C1982" s="37" t="s">
        <v>4171</v>
      </c>
      <c r="D1982" s="55" t="s">
        <v>820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4172</v>
      </c>
      <c r="C1983" s="37" t="s">
        <v>4173</v>
      </c>
      <c r="D1983" s="55" t="s">
        <v>820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4174</v>
      </c>
      <c r="C1984" s="37" t="s">
        <v>4175</v>
      </c>
      <c r="D1984" s="55" t="s">
        <v>820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4176</v>
      </c>
      <c r="C1985" s="37" t="s">
        <v>4177</v>
      </c>
      <c r="D1985" s="55" t="s">
        <v>820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4178</v>
      </c>
      <c r="C1986" s="37" t="s">
        <v>4179</v>
      </c>
      <c r="D1986" s="55" t="s">
        <v>820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820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4180</v>
      </c>
      <c r="C1988" s="37" t="s">
        <v>4181</v>
      </c>
      <c r="D1988" s="55" t="s">
        <v>820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4182</v>
      </c>
      <c r="C1989" s="37" t="s">
        <v>4183</v>
      </c>
      <c r="D1989" s="55" t="s">
        <v>820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4184</v>
      </c>
      <c r="C1990" s="37" t="s">
        <v>4185</v>
      </c>
      <c r="D1990" s="55" t="s">
        <v>820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4186</v>
      </c>
      <c r="C1991" s="37" t="s">
        <v>4187</v>
      </c>
      <c r="D1991" s="55" t="s">
        <v>820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4188</v>
      </c>
      <c r="C1992" s="37" t="s">
        <v>4189</v>
      </c>
      <c r="D1992" s="55" t="s">
        <v>820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4190</v>
      </c>
      <c r="C1993" s="37" t="s">
        <v>4191</v>
      </c>
      <c r="D1993" s="55" t="s">
        <v>820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4192</v>
      </c>
      <c r="C1994" s="37" t="s">
        <v>4193</v>
      </c>
      <c r="D1994" s="55" t="s">
        <v>820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4194</v>
      </c>
      <c r="C1995" s="37" t="s">
        <v>4195</v>
      </c>
      <c r="D1995" s="55" t="s">
        <v>820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4196</v>
      </c>
      <c r="C1996" s="37" t="s">
        <v>4197</v>
      </c>
      <c r="D1996" s="55" t="s">
        <v>805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4198</v>
      </c>
      <c r="C1997" s="37" t="s">
        <v>4199</v>
      </c>
      <c r="D1997" s="55" t="s">
        <v>820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4200</v>
      </c>
      <c r="C1998" s="37" t="s">
        <v>4201</v>
      </c>
      <c r="D1998" s="55" t="s">
        <v>820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4202</v>
      </c>
      <c r="C1999" s="37" t="s">
        <v>4203</v>
      </c>
      <c r="D1999" s="55" t="s">
        <v>820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805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805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805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4204</v>
      </c>
      <c r="C2003" s="37" t="s">
        <v>4205</v>
      </c>
      <c r="D2003" s="55" t="s">
        <v>805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4206</v>
      </c>
      <c r="C2004" s="37" t="s">
        <v>4207</v>
      </c>
      <c r="D2004" s="55" t="s">
        <v>820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4208</v>
      </c>
      <c r="C2005" s="37" t="s">
        <v>4209</v>
      </c>
      <c r="D2005" s="55" t="s">
        <v>820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4210</v>
      </c>
      <c r="C2006" s="37" t="s">
        <v>4211</v>
      </c>
      <c r="D2006" s="55" t="s">
        <v>805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4212</v>
      </c>
      <c r="C2007" s="37" t="s">
        <v>4213</v>
      </c>
      <c r="D2007" s="55" t="s">
        <v>820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4214</v>
      </c>
      <c r="C2008" s="37" t="s">
        <v>4215</v>
      </c>
      <c r="D2008" s="55" t="s">
        <v>805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4216</v>
      </c>
      <c r="C2009" s="37" t="s">
        <v>4217</v>
      </c>
      <c r="D2009" s="55" t="s">
        <v>820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4218</v>
      </c>
      <c r="C2010" s="37" t="s">
        <v>4219</v>
      </c>
      <c r="D2010" s="55" t="s">
        <v>820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4220</v>
      </c>
      <c r="C2011" s="37" t="s">
        <v>4221</v>
      </c>
      <c r="D2011" s="55" t="s">
        <v>820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4222</v>
      </c>
      <c r="C2012" s="37" t="s">
        <v>4223</v>
      </c>
      <c r="D2012" s="55" t="s">
        <v>820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4224</v>
      </c>
      <c r="C2013" s="37" t="s">
        <v>4225</v>
      </c>
      <c r="D2013" s="55" t="s">
        <v>805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4226</v>
      </c>
      <c r="C2014" s="37" t="s">
        <v>4227</v>
      </c>
      <c r="D2014" s="55" t="s">
        <v>820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4228</v>
      </c>
      <c r="C2015" s="37" t="s">
        <v>4229</v>
      </c>
      <c r="D2015" s="55" t="s">
        <v>805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4230</v>
      </c>
      <c r="C2016" s="37" t="s">
        <v>4231</v>
      </c>
      <c r="D2016" s="55" t="s">
        <v>805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4232</v>
      </c>
      <c r="C2017" s="37" t="s">
        <v>4233</v>
      </c>
      <c r="D2017" s="55" t="s">
        <v>820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805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820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4234</v>
      </c>
      <c r="C2020" s="37" t="s">
        <v>4235</v>
      </c>
      <c r="D2020" s="55" t="s">
        <v>805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4236</v>
      </c>
      <c r="C2021" s="37" t="s">
        <v>4237</v>
      </c>
      <c r="D2021" s="55" t="s">
        <v>805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4238</v>
      </c>
      <c r="C2022" s="37" t="s">
        <v>4239</v>
      </c>
      <c r="D2022" s="55" t="s">
        <v>820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4240</v>
      </c>
      <c r="C2023" s="37" t="s">
        <v>4241</v>
      </c>
      <c r="D2023" s="55" t="s">
        <v>820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4242</v>
      </c>
      <c r="C2024" s="37" t="s">
        <v>4243</v>
      </c>
      <c r="D2024" s="55" t="s">
        <v>820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4244</v>
      </c>
      <c r="C2025" s="37" t="s">
        <v>4245</v>
      </c>
      <c r="D2025" s="55" t="s">
        <v>820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4246</v>
      </c>
      <c r="C2026" s="37" t="s">
        <v>4247</v>
      </c>
      <c r="D2026" s="55" t="s">
        <v>820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4248</v>
      </c>
      <c r="C2027" s="37" t="s">
        <v>4249</v>
      </c>
      <c r="D2027" s="55" t="s">
        <v>820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4250</v>
      </c>
      <c r="C2028" s="37" t="s">
        <v>4251</v>
      </c>
      <c r="D2028" s="55" t="s">
        <v>820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4252</v>
      </c>
      <c r="C2029" s="37" t="s">
        <v>4253</v>
      </c>
      <c r="D2029" s="55" t="s">
        <v>820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4254</v>
      </c>
      <c r="C2030" s="37" t="s">
        <v>4255</v>
      </c>
      <c r="D2030" s="55" t="s">
        <v>820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820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4256</v>
      </c>
      <c r="C2032" s="37" t="s">
        <v>4257</v>
      </c>
      <c r="D2032" s="55" t="s">
        <v>820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4258</v>
      </c>
      <c r="C2033" s="37" t="s">
        <v>4259</v>
      </c>
      <c r="D2033" s="55" t="s">
        <v>820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805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4260</v>
      </c>
      <c r="C2035" s="37" t="s">
        <v>4261</v>
      </c>
      <c r="D2035" s="55" t="s">
        <v>820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4262</v>
      </c>
      <c r="C2036" s="37" t="s">
        <v>4263</v>
      </c>
      <c r="D2036" s="55" t="s">
        <v>820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4264</v>
      </c>
      <c r="C2037" s="37" t="s">
        <v>4265</v>
      </c>
      <c r="D2037" s="55" t="s">
        <v>805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820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805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4266</v>
      </c>
      <c r="C2040" s="37" t="s">
        <v>4267</v>
      </c>
      <c r="D2040" s="55" t="s">
        <v>805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4268</v>
      </c>
      <c r="C2041" s="37" t="s">
        <v>4269</v>
      </c>
      <c r="D2041" s="55" t="s">
        <v>820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4270</v>
      </c>
      <c r="C2042" s="37" t="s">
        <v>4271</v>
      </c>
      <c r="D2042" s="55" t="s">
        <v>820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4272</v>
      </c>
      <c r="C2043" s="37" t="s">
        <v>4273</v>
      </c>
      <c r="D2043" s="55" t="s">
        <v>820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4274</v>
      </c>
      <c r="C2044" s="37" t="s">
        <v>4275</v>
      </c>
      <c r="D2044" s="55" t="s">
        <v>805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805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4276</v>
      </c>
      <c r="C2046" s="37" t="s">
        <v>4277</v>
      </c>
      <c r="D2046" s="55" t="s">
        <v>820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4278</v>
      </c>
      <c r="C2047" s="37" t="s">
        <v>4279</v>
      </c>
      <c r="D2047" s="55" t="s">
        <v>820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4280</v>
      </c>
      <c r="C2048" s="37" t="s">
        <v>4281</v>
      </c>
      <c r="D2048" s="55" t="s">
        <v>820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4282</v>
      </c>
      <c r="C2049" s="37" t="s">
        <v>4283</v>
      </c>
      <c r="D2049" s="55" t="s">
        <v>805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4284</v>
      </c>
      <c r="C2050" s="37" t="s">
        <v>4285</v>
      </c>
      <c r="D2050" s="55" t="s">
        <v>820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4286</v>
      </c>
      <c r="C2051" s="37" t="s">
        <v>4287</v>
      </c>
      <c r="D2051" s="55" t="s">
        <v>820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4288</v>
      </c>
      <c r="C2052" s="37" t="s">
        <v>5208</v>
      </c>
      <c r="D2052" s="55" t="s">
        <v>820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4289</v>
      </c>
      <c r="C2053" s="37" t="s">
        <v>4290</v>
      </c>
      <c r="D2053" s="55" t="s">
        <v>820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4291</v>
      </c>
      <c r="C2054" s="37" t="s">
        <v>4292</v>
      </c>
      <c r="D2054" s="55" t="s">
        <v>820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4293</v>
      </c>
      <c r="C2055" s="37" t="s">
        <v>4294</v>
      </c>
      <c r="D2055" s="55" t="s">
        <v>820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4295</v>
      </c>
      <c r="C2056" s="37" t="s">
        <v>4296</v>
      </c>
      <c r="D2056" s="55" t="s">
        <v>820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4297</v>
      </c>
      <c r="C2057" s="37" t="s">
        <v>4298</v>
      </c>
      <c r="D2057" s="55" t="s">
        <v>820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4299</v>
      </c>
      <c r="C2058" s="37" t="s">
        <v>4300</v>
      </c>
      <c r="D2058" s="55" t="s">
        <v>820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4301</v>
      </c>
      <c r="C2059" s="37" t="s">
        <v>4302</v>
      </c>
      <c r="D2059" s="55" t="s">
        <v>820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4303</v>
      </c>
      <c r="C2060" s="37" t="s">
        <v>4304</v>
      </c>
      <c r="D2060" s="55" t="s">
        <v>820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4305</v>
      </c>
      <c r="C2061" s="37" t="s">
        <v>4306</v>
      </c>
      <c r="D2061" s="55" t="s">
        <v>820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4307</v>
      </c>
      <c r="C2062" s="37" t="s">
        <v>4308</v>
      </c>
      <c r="D2062" s="55" t="s">
        <v>820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4309</v>
      </c>
      <c r="C2063" s="37" t="s">
        <v>4310</v>
      </c>
      <c r="D2063" s="55" t="s">
        <v>820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820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4311</v>
      </c>
      <c r="C2065" s="37" t="s">
        <v>5203</v>
      </c>
      <c r="D2065" s="55" t="s">
        <v>820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4312</v>
      </c>
      <c r="C2066" s="37" t="s">
        <v>4313</v>
      </c>
      <c r="D2066" s="55" t="s">
        <v>820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4314</v>
      </c>
      <c r="C2067" s="37" t="s">
        <v>4315</v>
      </c>
      <c r="D2067" s="55" t="s">
        <v>820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4316</v>
      </c>
      <c r="C2068" s="37" t="s">
        <v>4317</v>
      </c>
      <c r="D2068" s="55" t="s">
        <v>820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771</v>
      </c>
      <c r="C2069" s="37" t="s">
        <v>772</v>
      </c>
      <c r="D2069" s="55" t="s">
        <v>820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4318</v>
      </c>
      <c r="C2070" s="37" t="s">
        <v>4319</v>
      </c>
      <c r="D2070" s="55" t="s">
        <v>820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4320</v>
      </c>
      <c r="C2071" s="37" t="s">
        <v>4321</v>
      </c>
      <c r="D2071" s="55" t="s">
        <v>820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4322</v>
      </c>
      <c r="C2072" s="37" t="s">
        <v>4323</v>
      </c>
      <c r="D2072" s="55" t="s">
        <v>820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4324</v>
      </c>
      <c r="C2073" s="37" t="s">
        <v>4325</v>
      </c>
      <c r="D2073" s="55" t="s">
        <v>805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4326</v>
      </c>
      <c r="C2074" s="37" t="s">
        <v>4327</v>
      </c>
      <c r="D2074" s="55" t="s">
        <v>820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4328</v>
      </c>
      <c r="C2075" s="37" t="s">
        <v>4329</v>
      </c>
      <c r="D2075" s="55" t="s">
        <v>820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4330</v>
      </c>
      <c r="C2076" s="37" t="s">
        <v>4331</v>
      </c>
      <c r="D2076" s="55" t="s">
        <v>820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4332</v>
      </c>
      <c r="C2077" s="37" t="s">
        <v>4333</v>
      </c>
      <c r="D2077" s="55" t="s">
        <v>820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4334</v>
      </c>
      <c r="C2078" s="37" t="s">
        <v>4335</v>
      </c>
      <c r="D2078" s="55" t="s">
        <v>820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4336</v>
      </c>
      <c r="C2079" s="37" t="s">
        <v>4337</v>
      </c>
      <c r="D2079" s="55" t="s">
        <v>820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4338</v>
      </c>
      <c r="C2080" s="37" t="s">
        <v>4339</v>
      </c>
      <c r="D2080" s="55" t="s">
        <v>820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4340</v>
      </c>
      <c r="C2081" s="37" t="s">
        <v>5169</v>
      </c>
      <c r="D2081" s="55" t="s">
        <v>805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4341</v>
      </c>
      <c r="C2082" s="37" t="s">
        <v>4342</v>
      </c>
      <c r="D2082" s="55" t="s">
        <v>820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4343</v>
      </c>
      <c r="C2083" s="37" t="s">
        <v>5189</v>
      </c>
      <c r="D2083" s="55" t="s">
        <v>820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820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4344</v>
      </c>
      <c r="C2085" s="37" t="s">
        <v>4345</v>
      </c>
      <c r="D2085" s="55" t="s">
        <v>820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4346</v>
      </c>
      <c r="C2086" s="37" t="s">
        <v>4347</v>
      </c>
      <c r="D2086" s="55" t="s">
        <v>820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4348</v>
      </c>
      <c r="C2087" s="37" t="s">
        <v>4349</v>
      </c>
      <c r="D2087" s="55" t="s">
        <v>805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805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805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4350</v>
      </c>
      <c r="C2090" s="37" t="s">
        <v>4351</v>
      </c>
      <c r="D2090" s="55" t="s">
        <v>805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4352</v>
      </c>
      <c r="C2091" s="37" t="s">
        <v>5196</v>
      </c>
      <c r="D2091" s="55" t="s">
        <v>820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820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4353</v>
      </c>
      <c r="C2093" s="37" t="s">
        <v>4354</v>
      </c>
      <c r="D2093" s="55" t="s">
        <v>820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4355</v>
      </c>
      <c r="C2094" s="37" t="s">
        <v>4356</v>
      </c>
      <c r="D2094" s="55" t="s">
        <v>805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4357</v>
      </c>
      <c r="C2095" s="37" t="s">
        <v>4358</v>
      </c>
      <c r="D2095" s="55" t="s">
        <v>820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4359</v>
      </c>
      <c r="C2096" s="37" t="s">
        <v>4360</v>
      </c>
      <c r="D2096" s="55" t="s">
        <v>820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820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4361</v>
      </c>
      <c r="C2098" s="37" t="s">
        <v>4362</v>
      </c>
      <c r="D2098" s="55" t="s">
        <v>820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4363</v>
      </c>
      <c r="C2099" s="37" t="s">
        <v>4364</v>
      </c>
      <c r="D2099" s="55" t="s">
        <v>820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4365</v>
      </c>
      <c r="C2100" s="37" t="s">
        <v>4366</v>
      </c>
      <c r="D2100" s="55" t="s">
        <v>820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4367</v>
      </c>
      <c r="C2101" s="37" t="s">
        <v>4368</v>
      </c>
      <c r="D2101" s="55" t="s">
        <v>820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4369</v>
      </c>
      <c r="C2102" s="37" t="s">
        <v>4370</v>
      </c>
      <c r="D2102" s="55" t="s">
        <v>805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4371</v>
      </c>
      <c r="C2103" s="37" t="s">
        <v>4372</v>
      </c>
      <c r="D2103" s="55" t="s">
        <v>820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4373</v>
      </c>
      <c r="C2104" s="37" t="s">
        <v>4374</v>
      </c>
      <c r="D2104" s="55" t="s">
        <v>820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4375</v>
      </c>
      <c r="C2105" s="37" t="s">
        <v>4376</v>
      </c>
      <c r="D2105" s="55" t="s">
        <v>805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4377</v>
      </c>
      <c r="C2106" s="37" t="s">
        <v>4378</v>
      </c>
      <c r="D2106" s="55" t="s">
        <v>820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4379</v>
      </c>
      <c r="C2107" s="37" t="s">
        <v>4380</v>
      </c>
      <c r="D2107" s="55" t="s">
        <v>820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4381</v>
      </c>
      <c r="C2108" s="37" t="s">
        <v>4382</v>
      </c>
      <c r="D2108" s="55" t="s">
        <v>820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4383</v>
      </c>
      <c r="C2109" s="37" t="s">
        <v>4384</v>
      </c>
      <c r="D2109" s="55" t="s">
        <v>820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4385</v>
      </c>
      <c r="C2110" s="37" t="s">
        <v>4386</v>
      </c>
      <c r="D2110" s="55" t="s">
        <v>820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4387</v>
      </c>
      <c r="C2111" s="37" t="s">
        <v>4388</v>
      </c>
      <c r="D2111" s="55" t="s">
        <v>820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820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4389</v>
      </c>
      <c r="C2113" s="37" t="s">
        <v>4390</v>
      </c>
      <c r="D2113" s="55" t="s">
        <v>820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4391</v>
      </c>
      <c r="C2114" s="37" t="s">
        <v>4392</v>
      </c>
      <c r="D2114" s="55" t="s">
        <v>820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4393</v>
      </c>
      <c r="C2115" s="37" t="s">
        <v>4394</v>
      </c>
      <c r="D2115" s="55" t="s">
        <v>820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805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4395</v>
      </c>
      <c r="C2117" s="37" t="s">
        <v>4396</v>
      </c>
      <c r="D2117" s="55" t="s">
        <v>820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4397</v>
      </c>
      <c r="C2118" s="37" t="s">
        <v>4398</v>
      </c>
      <c r="D2118" s="55" t="s">
        <v>820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4399</v>
      </c>
      <c r="C2119" s="37" t="s">
        <v>4400</v>
      </c>
      <c r="D2119" s="55" t="s">
        <v>820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4401</v>
      </c>
      <c r="C2120" s="37" t="s">
        <v>5200</v>
      </c>
      <c r="D2120" s="55" t="s">
        <v>820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4402</v>
      </c>
      <c r="C2121" s="37" t="s">
        <v>4403</v>
      </c>
      <c r="D2121" s="55" t="s">
        <v>820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4404</v>
      </c>
      <c r="C2122" s="37" t="s">
        <v>4405</v>
      </c>
      <c r="D2122" s="55" t="s">
        <v>820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805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4406</v>
      </c>
      <c r="C2124" s="37" t="s">
        <v>4407</v>
      </c>
      <c r="D2124" s="55" t="s">
        <v>820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4408</v>
      </c>
      <c r="C2125" s="37" t="s">
        <v>4409</v>
      </c>
      <c r="D2125" s="55" t="s">
        <v>820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4410</v>
      </c>
      <c r="C2126" s="37" t="s">
        <v>4411</v>
      </c>
      <c r="D2126" s="55" t="s">
        <v>805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4412</v>
      </c>
      <c r="C2127" s="37" t="s">
        <v>4413</v>
      </c>
      <c r="D2127" s="55" t="s">
        <v>820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4414</v>
      </c>
      <c r="C2128" s="37" t="s">
        <v>4415</v>
      </c>
      <c r="D2128" s="55" t="s">
        <v>820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4416</v>
      </c>
      <c r="C2129" s="37" t="s">
        <v>4417</v>
      </c>
      <c r="D2129" s="55" t="s">
        <v>820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4418</v>
      </c>
      <c r="C2130" s="37" t="s">
        <v>4419</v>
      </c>
      <c r="D2130" s="55" t="s">
        <v>820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4420</v>
      </c>
      <c r="C2131" s="37" t="s">
        <v>4421</v>
      </c>
      <c r="D2131" s="55" t="s">
        <v>820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820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4422</v>
      </c>
      <c r="C2133" s="37" t="s">
        <v>4423</v>
      </c>
      <c r="D2133" s="55" t="s">
        <v>820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4424</v>
      </c>
      <c r="C2134" s="37" t="s">
        <v>4425</v>
      </c>
      <c r="D2134" s="55" t="s">
        <v>820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4426</v>
      </c>
      <c r="C2135" s="37" t="s">
        <v>4427</v>
      </c>
      <c r="D2135" s="55" t="s">
        <v>820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4428</v>
      </c>
      <c r="C2136" s="37" t="s">
        <v>4429</v>
      </c>
      <c r="D2136" s="55" t="s">
        <v>820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4430</v>
      </c>
      <c r="C2137" s="37" t="s">
        <v>4431</v>
      </c>
      <c r="D2137" s="55" t="s">
        <v>820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4432</v>
      </c>
      <c r="C2138" s="37" t="s">
        <v>4433</v>
      </c>
      <c r="D2138" s="55" t="s">
        <v>820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4434</v>
      </c>
      <c r="C2139" s="37" t="s">
        <v>4435</v>
      </c>
      <c r="D2139" s="55" t="s">
        <v>820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4436</v>
      </c>
      <c r="C2140" s="37" t="s">
        <v>4437</v>
      </c>
      <c r="D2140" s="55" t="s">
        <v>820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4438</v>
      </c>
      <c r="C2141" s="37" t="s">
        <v>4439</v>
      </c>
      <c r="D2141" s="55" t="s">
        <v>820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4440</v>
      </c>
      <c r="C2142" s="37" t="s">
        <v>4441</v>
      </c>
      <c r="D2142" s="55" t="s">
        <v>820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805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4442</v>
      </c>
      <c r="C2144" s="37" t="s">
        <v>4443</v>
      </c>
      <c r="D2144" s="55" t="s">
        <v>820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4444</v>
      </c>
      <c r="C2145" s="37" t="s">
        <v>4445</v>
      </c>
      <c r="D2145" s="55" t="s">
        <v>820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4446</v>
      </c>
      <c r="C2146" s="37" t="s">
        <v>4447</v>
      </c>
      <c r="D2146" s="55" t="s">
        <v>820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4448</v>
      </c>
      <c r="C2147" s="37" t="s">
        <v>4449</v>
      </c>
      <c r="D2147" s="55" t="s">
        <v>805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4450</v>
      </c>
      <c r="C2148" s="37" t="s">
        <v>4451</v>
      </c>
      <c r="D2148" s="55" t="s">
        <v>805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4452</v>
      </c>
      <c r="C2149" s="37" t="s">
        <v>5197</v>
      </c>
      <c r="D2149" s="55" t="s">
        <v>820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4453</v>
      </c>
      <c r="C2150" s="37" t="s">
        <v>4454</v>
      </c>
      <c r="D2150" s="55" t="s">
        <v>820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4455</v>
      </c>
      <c r="C2151" s="37" t="s">
        <v>4456</v>
      </c>
      <c r="D2151" s="55" t="s">
        <v>820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4457</v>
      </c>
      <c r="C2152" s="37" t="s">
        <v>4458</v>
      </c>
      <c r="D2152" s="55" t="s">
        <v>820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4459</v>
      </c>
      <c r="C2153" s="37" t="s">
        <v>4460</v>
      </c>
      <c r="D2153" s="55" t="s">
        <v>820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4461</v>
      </c>
      <c r="C2154" s="37" t="s">
        <v>4462</v>
      </c>
      <c r="D2154" s="55" t="s">
        <v>820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4463</v>
      </c>
      <c r="C2155" s="37" t="s">
        <v>4464</v>
      </c>
      <c r="D2155" s="55" t="s">
        <v>820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4465</v>
      </c>
      <c r="C2156" s="37" t="s">
        <v>4466</v>
      </c>
      <c r="D2156" s="55" t="s">
        <v>820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4467</v>
      </c>
      <c r="C2157" s="37" t="s">
        <v>4468</v>
      </c>
      <c r="D2157" s="55" t="s">
        <v>820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820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4469</v>
      </c>
      <c r="C2159" s="37" t="s">
        <v>4470</v>
      </c>
      <c r="D2159" s="55" t="s">
        <v>820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4471</v>
      </c>
      <c r="C2160" s="37" t="s">
        <v>4472</v>
      </c>
      <c r="D2160" s="55" t="s">
        <v>820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4473</v>
      </c>
      <c r="C2161" s="37" t="s">
        <v>4474</v>
      </c>
      <c r="D2161" s="55" t="s">
        <v>820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820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4475</v>
      </c>
      <c r="C2163" s="37" t="s">
        <v>4476</v>
      </c>
      <c r="D2163" s="55" t="s">
        <v>820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4477</v>
      </c>
      <c r="C2164" s="37" t="s">
        <v>4478</v>
      </c>
      <c r="D2164" s="55" t="s">
        <v>820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4479</v>
      </c>
      <c r="C2165" s="37" t="s">
        <v>4480</v>
      </c>
      <c r="D2165" s="55" t="s">
        <v>820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4481</v>
      </c>
      <c r="C2166" s="37" t="s">
        <v>4482</v>
      </c>
      <c r="D2166" s="55" t="s">
        <v>820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4483</v>
      </c>
      <c r="C2167" s="37" t="s">
        <v>4484</v>
      </c>
      <c r="D2167" s="55" t="s">
        <v>820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805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4485</v>
      </c>
      <c r="C2169" s="37" t="s">
        <v>4486</v>
      </c>
      <c r="D2169" s="55" t="s">
        <v>820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820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4487</v>
      </c>
      <c r="C2171" s="37" t="s">
        <v>4488</v>
      </c>
      <c r="D2171" s="55" t="s">
        <v>820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4489</v>
      </c>
      <c r="C2172" s="37" t="s">
        <v>4490</v>
      </c>
      <c r="D2172" s="55" t="s">
        <v>820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4491</v>
      </c>
      <c r="C2173" s="37" t="s">
        <v>4492</v>
      </c>
      <c r="D2173" s="55" t="s">
        <v>820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4493</v>
      </c>
      <c r="C2174" s="37" t="s">
        <v>4494</v>
      </c>
      <c r="D2174" s="55" t="s">
        <v>820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4495</v>
      </c>
      <c r="C2175" s="37" t="s">
        <v>4496</v>
      </c>
      <c r="D2175" s="55" t="s">
        <v>805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4497</v>
      </c>
      <c r="C2176" s="37" t="s">
        <v>4498</v>
      </c>
      <c r="D2176" s="55" t="s">
        <v>820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805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4499</v>
      </c>
      <c r="C2178" s="37" t="s">
        <v>4500</v>
      </c>
      <c r="D2178" s="55" t="s">
        <v>820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4501</v>
      </c>
      <c r="C2179" s="37" t="s">
        <v>4502</v>
      </c>
      <c r="D2179" s="55" t="s">
        <v>820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4503</v>
      </c>
      <c r="C2180" s="37" t="s">
        <v>4504</v>
      </c>
      <c r="D2180" s="55" t="s">
        <v>820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805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4505</v>
      </c>
      <c r="C2182" s="37" t="s">
        <v>4506</v>
      </c>
      <c r="D2182" s="55" t="s">
        <v>820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4507</v>
      </c>
      <c r="C2183" s="37" t="s">
        <v>4508</v>
      </c>
      <c r="D2183" s="55" t="s">
        <v>820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4509</v>
      </c>
      <c r="C2184" s="37" t="s">
        <v>4510</v>
      </c>
      <c r="D2184" s="55" t="s">
        <v>820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4511</v>
      </c>
      <c r="C2185" s="37" t="s">
        <v>4512</v>
      </c>
      <c r="D2185" s="55" t="s">
        <v>820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4513</v>
      </c>
      <c r="C2186" s="37" t="s">
        <v>4514</v>
      </c>
      <c r="D2186" s="55" t="s">
        <v>820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4515</v>
      </c>
      <c r="C2187" s="37" t="s">
        <v>4516</v>
      </c>
      <c r="D2187" s="55" t="s">
        <v>820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4517</v>
      </c>
      <c r="C2188" s="37" t="s">
        <v>4518</v>
      </c>
      <c r="D2188" s="55" t="s">
        <v>820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4519</v>
      </c>
      <c r="C2189" s="37" t="s">
        <v>4520</v>
      </c>
      <c r="D2189" s="55" t="s">
        <v>820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4521</v>
      </c>
      <c r="C2190" s="37" t="s">
        <v>4522</v>
      </c>
      <c r="D2190" s="55" t="s">
        <v>820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4523</v>
      </c>
      <c r="C2191" s="37" t="s">
        <v>4524</v>
      </c>
      <c r="D2191" s="55" t="s">
        <v>820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4525</v>
      </c>
      <c r="C2192" s="37" t="s">
        <v>5190</v>
      </c>
      <c r="D2192" s="55" t="s">
        <v>820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4526</v>
      </c>
      <c r="C2193" s="37" t="s">
        <v>4527</v>
      </c>
      <c r="D2193" s="55" t="s">
        <v>820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4528</v>
      </c>
      <c r="C2194" s="37" t="s">
        <v>4529</v>
      </c>
      <c r="D2194" s="55" t="s">
        <v>820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4530</v>
      </c>
      <c r="C2195" s="37" t="s">
        <v>4531</v>
      </c>
      <c r="D2195" s="55" t="s">
        <v>820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4532</v>
      </c>
      <c r="C2196" s="37" t="s">
        <v>4533</v>
      </c>
      <c r="D2196" s="55" t="s">
        <v>820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4534</v>
      </c>
      <c r="C2197" s="37" t="s">
        <v>4535</v>
      </c>
      <c r="D2197" s="55" t="s">
        <v>820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4536</v>
      </c>
      <c r="C2198" s="37" t="s">
        <v>4537</v>
      </c>
      <c r="D2198" s="55" t="s">
        <v>820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805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4538</v>
      </c>
      <c r="C2200" s="37" t="s">
        <v>4539</v>
      </c>
      <c r="D2200" s="55" t="s">
        <v>805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820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4540</v>
      </c>
      <c r="C2202" s="37" t="s">
        <v>4541</v>
      </c>
      <c r="D2202" s="55" t="s">
        <v>820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4542</v>
      </c>
      <c r="C2203" s="37" t="s">
        <v>4543</v>
      </c>
      <c r="D2203" s="55" t="s">
        <v>820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4544</v>
      </c>
      <c r="C2204" s="37" t="s">
        <v>4545</v>
      </c>
      <c r="D2204" s="55" t="s">
        <v>820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4546</v>
      </c>
      <c r="C2205" s="37" t="s">
        <v>4547</v>
      </c>
      <c r="D2205" s="55" t="s">
        <v>820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4548</v>
      </c>
      <c r="C2206" s="37" t="s">
        <v>4549</v>
      </c>
      <c r="D2206" s="55" t="s">
        <v>805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4550</v>
      </c>
      <c r="C2207" s="37" t="s">
        <v>4551</v>
      </c>
      <c r="D2207" s="55" t="s">
        <v>820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4552</v>
      </c>
      <c r="C2208" s="37" t="s">
        <v>4553</v>
      </c>
      <c r="D2208" s="55" t="s">
        <v>820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4554</v>
      </c>
      <c r="C2209" s="37" t="s">
        <v>4555</v>
      </c>
      <c r="D2209" s="55" t="s">
        <v>820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4556</v>
      </c>
      <c r="C2210" s="37" t="s">
        <v>4557</v>
      </c>
      <c r="D2210" s="55" t="s">
        <v>820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4558</v>
      </c>
      <c r="C2211" s="37" t="s">
        <v>4559</v>
      </c>
      <c r="D2211" s="55" t="s">
        <v>820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4560</v>
      </c>
      <c r="C2212" s="37" t="s">
        <v>4561</v>
      </c>
      <c r="D2212" s="55" t="s">
        <v>820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4562</v>
      </c>
      <c r="C2213" s="37" t="s">
        <v>4563</v>
      </c>
      <c r="D2213" s="55" t="s">
        <v>820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4564</v>
      </c>
      <c r="C2214" s="37" t="s">
        <v>4565</v>
      </c>
      <c r="D2214" s="55" t="s">
        <v>820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4566</v>
      </c>
      <c r="C2215" s="37" t="s">
        <v>4567</v>
      </c>
      <c r="D2215" s="55" t="s">
        <v>805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4568</v>
      </c>
      <c r="C2216" s="37" t="s">
        <v>4569</v>
      </c>
      <c r="D2216" s="55" t="s">
        <v>820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4570</v>
      </c>
      <c r="C2217" s="37" t="s">
        <v>4571</v>
      </c>
      <c r="D2217" s="55" t="s">
        <v>820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820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4572</v>
      </c>
      <c r="C2219" s="37" t="s">
        <v>4573</v>
      </c>
      <c r="D2219" s="55" t="s">
        <v>820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4574</v>
      </c>
      <c r="C2220" s="37" t="s">
        <v>4575</v>
      </c>
      <c r="D2220" s="55" t="s">
        <v>820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820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4576</v>
      </c>
      <c r="C2222" s="37" t="s">
        <v>4577</v>
      </c>
      <c r="D2222" s="55" t="s">
        <v>820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4578</v>
      </c>
      <c r="C2223" s="37" t="s">
        <v>5191</v>
      </c>
      <c r="D2223" s="55" t="s">
        <v>820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4579</v>
      </c>
      <c r="C2224" s="37" t="s">
        <v>4580</v>
      </c>
      <c r="D2224" s="55" t="s">
        <v>820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4581</v>
      </c>
      <c r="C2225" s="37" t="s">
        <v>4582</v>
      </c>
      <c r="D2225" s="55" t="s">
        <v>820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4583</v>
      </c>
      <c r="C2226" s="37" t="s">
        <v>4584</v>
      </c>
      <c r="D2226" s="55" t="s">
        <v>820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4585</v>
      </c>
      <c r="C2227" s="37" t="s">
        <v>4586</v>
      </c>
      <c r="D2227" s="55" t="s">
        <v>820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820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4587</v>
      </c>
      <c r="C2229" s="37" t="s">
        <v>4588</v>
      </c>
      <c r="D2229" s="55" t="s">
        <v>820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820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4589</v>
      </c>
      <c r="C2231" s="37" t="s">
        <v>4590</v>
      </c>
      <c r="D2231" s="55" t="s">
        <v>820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4591</v>
      </c>
      <c r="C2232" s="37" t="s">
        <v>4592</v>
      </c>
      <c r="D2232" s="55" t="s">
        <v>820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4593</v>
      </c>
      <c r="C2233" s="37" t="s">
        <v>4594</v>
      </c>
      <c r="D2233" s="55" t="s">
        <v>820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4595</v>
      </c>
      <c r="C2234" s="37" t="s">
        <v>4596</v>
      </c>
      <c r="D2234" s="55" t="s">
        <v>820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4597</v>
      </c>
      <c r="C2235" s="37" t="s">
        <v>4598</v>
      </c>
      <c r="D2235" s="55" t="s">
        <v>820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4599</v>
      </c>
      <c r="C2236" s="37" t="s">
        <v>4600</v>
      </c>
      <c r="D2236" s="55" t="s">
        <v>820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4601</v>
      </c>
      <c r="C2237" s="37" t="s">
        <v>4602</v>
      </c>
      <c r="D2237" s="55" t="s">
        <v>820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805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4603</v>
      </c>
      <c r="C2239" s="37" t="s">
        <v>4604</v>
      </c>
      <c r="D2239" s="55" t="s">
        <v>820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4605</v>
      </c>
      <c r="C2240" s="37" t="s">
        <v>4606</v>
      </c>
      <c r="D2240" s="55" t="s">
        <v>820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4607</v>
      </c>
      <c r="C2241" s="37" t="s">
        <v>4608</v>
      </c>
      <c r="D2241" s="55" t="s">
        <v>820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805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4609</v>
      </c>
      <c r="C2243" s="37" t="s">
        <v>4610</v>
      </c>
      <c r="D2243" s="55" t="s">
        <v>820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4611</v>
      </c>
      <c r="C2244" s="37" t="s">
        <v>4612</v>
      </c>
      <c r="D2244" s="55" t="s">
        <v>820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4613</v>
      </c>
      <c r="C2245" s="37" t="s">
        <v>4614</v>
      </c>
      <c r="D2245" s="55" t="s">
        <v>820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4615</v>
      </c>
      <c r="C2246" s="37" t="s">
        <v>4616</v>
      </c>
      <c r="D2246" s="55" t="s">
        <v>820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4617</v>
      </c>
      <c r="C2247" s="37" t="s">
        <v>4618</v>
      </c>
      <c r="D2247" s="55" t="s">
        <v>820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4619</v>
      </c>
      <c r="C2248" s="37" t="s">
        <v>4620</v>
      </c>
      <c r="D2248" s="55" t="s">
        <v>820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4621</v>
      </c>
      <c r="C2249" s="37" t="s">
        <v>4622</v>
      </c>
      <c r="D2249" s="55" t="s">
        <v>820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4623</v>
      </c>
      <c r="C2250" s="37" t="s">
        <v>4624</v>
      </c>
      <c r="D2250" s="55" t="s">
        <v>820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4625</v>
      </c>
      <c r="C2251" s="37" t="s">
        <v>4626</v>
      </c>
      <c r="D2251" s="55" t="s">
        <v>820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4627</v>
      </c>
      <c r="C2252" s="37" t="s">
        <v>4628</v>
      </c>
      <c r="D2252" s="55" t="s">
        <v>820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4629</v>
      </c>
      <c r="C2253" s="37" t="s">
        <v>4630</v>
      </c>
      <c r="D2253" s="55" t="s">
        <v>820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4631</v>
      </c>
      <c r="C2254" s="37" t="s">
        <v>4632</v>
      </c>
      <c r="D2254" s="55" t="s">
        <v>820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820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820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4633</v>
      </c>
      <c r="C2257" s="37" t="s">
        <v>4634</v>
      </c>
      <c r="D2257" s="55" t="s">
        <v>820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4635</v>
      </c>
      <c r="C2258" s="37" t="s">
        <v>4636</v>
      </c>
      <c r="D2258" s="55" t="s">
        <v>820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4637</v>
      </c>
      <c r="C2259" s="37" t="s">
        <v>4638</v>
      </c>
      <c r="D2259" s="55" t="s">
        <v>820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4639</v>
      </c>
      <c r="C2260" s="37" t="s">
        <v>4640</v>
      </c>
      <c r="D2260" s="55" t="s">
        <v>820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4641</v>
      </c>
      <c r="C2261" s="37" t="s">
        <v>4642</v>
      </c>
      <c r="D2261" s="55" t="s">
        <v>820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4643</v>
      </c>
      <c r="C2262" s="37" t="s">
        <v>4644</v>
      </c>
      <c r="D2262" s="55" t="s">
        <v>820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4645</v>
      </c>
      <c r="C2263" s="37" t="s">
        <v>4646</v>
      </c>
      <c r="D2263" s="55" t="s">
        <v>820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4647</v>
      </c>
      <c r="C2264" s="37" t="s">
        <v>4648</v>
      </c>
      <c r="D2264" s="55" t="s">
        <v>805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4649</v>
      </c>
      <c r="C2265" s="37" t="s">
        <v>4650</v>
      </c>
      <c r="D2265" s="55" t="s">
        <v>820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4651</v>
      </c>
      <c r="C2266" s="37" t="s">
        <v>4652</v>
      </c>
      <c r="D2266" s="55" t="s">
        <v>820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4653</v>
      </c>
      <c r="C2267" s="37" t="s">
        <v>4654</v>
      </c>
      <c r="D2267" s="55" t="s">
        <v>820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4655</v>
      </c>
      <c r="C2268" s="37" t="s">
        <v>4656</v>
      </c>
      <c r="D2268" s="55" t="s">
        <v>820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4657</v>
      </c>
      <c r="C2269" s="37" t="s">
        <v>4658</v>
      </c>
      <c r="D2269" s="55" t="s">
        <v>820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4659</v>
      </c>
      <c r="C2270" s="37" t="s">
        <v>4660</v>
      </c>
      <c r="D2270" s="55" t="s">
        <v>805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4661</v>
      </c>
      <c r="C2271" s="37" t="s">
        <v>4662</v>
      </c>
      <c r="D2271" s="55" t="s">
        <v>820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4663</v>
      </c>
      <c r="C2272" s="37" t="s">
        <v>4664</v>
      </c>
      <c r="D2272" s="55" t="s">
        <v>820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4665</v>
      </c>
      <c r="C2273" s="37" t="s">
        <v>4666</v>
      </c>
      <c r="D2273" s="55" t="s">
        <v>820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4667</v>
      </c>
      <c r="C2274" s="37" t="s">
        <v>4668</v>
      </c>
      <c r="D2274" s="55" t="s">
        <v>820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4669</v>
      </c>
      <c r="C2275" s="37" t="s">
        <v>4670</v>
      </c>
      <c r="D2275" s="55" t="s">
        <v>820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4671</v>
      </c>
      <c r="C2276" s="37" t="s">
        <v>4672</v>
      </c>
      <c r="D2276" s="55" t="s">
        <v>820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4673</v>
      </c>
      <c r="C2277" s="37" t="s">
        <v>4674</v>
      </c>
      <c r="D2277" s="55" t="s">
        <v>820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4675</v>
      </c>
      <c r="C2278" s="37" t="s">
        <v>4676</v>
      </c>
      <c r="D2278" s="55" t="s">
        <v>820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4677</v>
      </c>
      <c r="C2279" s="37" t="s">
        <v>4678</v>
      </c>
      <c r="D2279" s="55" t="s">
        <v>820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4679</v>
      </c>
      <c r="C2280" s="37" t="s">
        <v>4680</v>
      </c>
      <c r="D2280" s="55" t="s">
        <v>820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4681</v>
      </c>
      <c r="C2281" s="37" t="s">
        <v>4682</v>
      </c>
      <c r="D2281" s="55" t="s">
        <v>820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4683</v>
      </c>
      <c r="C2282" s="37" t="s">
        <v>4684</v>
      </c>
      <c r="D2282" s="55" t="s">
        <v>820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4685</v>
      </c>
      <c r="C2283" s="37" t="s">
        <v>4686</v>
      </c>
      <c r="D2283" s="55" t="s">
        <v>820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4687</v>
      </c>
      <c r="C2284" s="37" t="s">
        <v>4688</v>
      </c>
      <c r="D2284" s="55" t="s">
        <v>820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4689</v>
      </c>
      <c r="C2285" s="37" t="s">
        <v>4690</v>
      </c>
      <c r="D2285" s="55" t="s">
        <v>820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4691</v>
      </c>
      <c r="C2286" s="37" t="s">
        <v>4692</v>
      </c>
      <c r="D2286" s="55" t="s">
        <v>820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4693</v>
      </c>
      <c r="C2287" s="37" t="s">
        <v>4694</v>
      </c>
      <c r="D2287" s="55" t="s">
        <v>820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4695</v>
      </c>
      <c r="C2288" s="37" t="s">
        <v>4696</v>
      </c>
      <c r="D2288" s="55" t="s">
        <v>805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4697</v>
      </c>
      <c r="C2289" s="37" t="s">
        <v>4698</v>
      </c>
      <c r="D2289" s="55" t="s">
        <v>820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4699</v>
      </c>
      <c r="C2290" s="37" t="s">
        <v>4700</v>
      </c>
      <c r="D2290" s="55" t="s">
        <v>820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4701</v>
      </c>
      <c r="C2291" s="37" t="s">
        <v>4702</v>
      </c>
      <c r="D2291" s="55" t="s">
        <v>820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4703</v>
      </c>
      <c r="C2292" s="37" t="s">
        <v>4704</v>
      </c>
      <c r="D2292" s="55" t="s">
        <v>820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805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4705</v>
      </c>
      <c r="C2294" s="37" t="s">
        <v>4706</v>
      </c>
      <c r="D2294" s="55" t="s">
        <v>805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4707</v>
      </c>
      <c r="C2295" s="37" t="s">
        <v>4708</v>
      </c>
      <c r="D2295" s="55" t="s">
        <v>820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4709</v>
      </c>
      <c r="C2296" s="37" t="s">
        <v>4710</v>
      </c>
      <c r="D2296" s="55" t="s">
        <v>820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4711</v>
      </c>
      <c r="C2297" s="37" t="s">
        <v>4712</v>
      </c>
      <c r="D2297" s="55" t="s">
        <v>820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4713</v>
      </c>
      <c r="C2298" s="37" t="s">
        <v>4714</v>
      </c>
      <c r="D2298" s="55" t="s">
        <v>820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820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4715</v>
      </c>
      <c r="C2300" s="37" t="s">
        <v>4716</v>
      </c>
      <c r="D2300" s="55" t="s">
        <v>820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4717</v>
      </c>
      <c r="C2301" s="37" t="s">
        <v>4718</v>
      </c>
      <c r="D2301" s="55" t="s">
        <v>820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4719</v>
      </c>
      <c r="C2302" s="37" t="s">
        <v>4720</v>
      </c>
      <c r="D2302" s="55" t="s">
        <v>820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4721</v>
      </c>
      <c r="C2303" s="37" t="s">
        <v>4722</v>
      </c>
      <c r="D2303" s="55" t="s">
        <v>820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4723</v>
      </c>
      <c r="C2304" s="37" t="s">
        <v>4724</v>
      </c>
      <c r="D2304" s="55" t="s">
        <v>805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4725</v>
      </c>
      <c r="C2305" s="37" t="s">
        <v>4726</v>
      </c>
      <c r="D2305" s="55" t="s">
        <v>820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4727</v>
      </c>
      <c r="C2306" s="37" t="s">
        <v>4728</v>
      </c>
      <c r="D2306" s="55" t="s">
        <v>820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4729</v>
      </c>
      <c r="C2307" s="37" t="s">
        <v>5201</v>
      </c>
      <c r="D2307" s="55" t="s">
        <v>820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4730</v>
      </c>
      <c r="C2308" s="37" t="s">
        <v>4731</v>
      </c>
      <c r="D2308" s="55" t="s">
        <v>820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4732</v>
      </c>
      <c r="C2309" s="37" t="s">
        <v>4733</v>
      </c>
      <c r="D2309" s="55" t="s">
        <v>805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4734</v>
      </c>
      <c r="C2310" s="37" t="s">
        <v>4735</v>
      </c>
      <c r="D2310" s="55" t="s">
        <v>820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4736</v>
      </c>
      <c r="C2311" s="37" t="s">
        <v>4737</v>
      </c>
      <c r="D2311" s="55" t="s">
        <v>820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4738</v>
      </c>
      <c r="C2312" s="37" t="s">
        <v>4739</v>
      </c>
      <c r="D2312" s="55" t="s">
        <v>805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4740</v>
      </c>
      <c r="C2313" s="37" t="s">
        <v>4741</v>
      </c>
      <c r="D2313" s="55" t="s">
        <v>820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820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4742</v>
      </c>
      <c r="C2315" s="37" t="s">
        <v>4743</v>
      </c>
      <c r="D2315" s="55" t="s">
        <v>820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4744</v>
      </c>
      <c r="C2316" s="37" t="s">
        <v>4745</v>
      </c>
      <c r="D2316" s="55" t="s">
        <v>805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4746</v>
      </c>
      <c r="C2317" s="37" t="s">
        <v>4747</v>
      </c>
      <c r="D2317" s="55" t="s">
        <v>820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4748</v>
      </c>
      <c r="C2318" s="37" t="s">
        <v>4749</v>
      </c>
      <c r="D2318" s="55" t="s">
        <v>820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4750</v>
      </c>
      <c r="C2319" s="37" t="s">
        <v>4751</v>
      </c>
      <c r="D2319" s="55" t="s">
        <v>820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4752</v>
      </c>
      <c r="C2320" s="37" t="s">
        <v>4753</v>
      </c>
      <c r="D2320" s="55" t="s">
        <v>820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4754</v>
      </c>
      <c r="C2321" s="37" t="s">
        <v>4755</v>
      </c>
      <c r="D2321" s="55" t="s">
        <v>820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805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4756</v>
      </c>
      <c r="C2323" s="37" t="s">
        <v>4757</v>
      </c>
      <c r="D2323" s="55" t="s">
        <v>820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4758</v>
      </c>
      <c r="C2324" s="37" t="s">
        <v>4759</v>
      </c>
      <c r="D2324" s="55" t="s">
        <v>805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4760</v>
      </c>
      <c r="C2325" s="37" t="s">
        <v>4761</v>
      </c>
      <c r="D2325" s="55" t="s">
        <v>820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4762</v>
      </c>
      <c r="C2326" s="37" t="s">
        <v>4763</v>
      </c>
      <c r="D2326" s="55" t="s">
        <v>820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4764</v>
      </c>
      <c r="C2327" s="37" t="s">
        <v>4765</v>
      </c>
      <c r="D2327" s="55" t="s">
        <v>820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4766</v>
      </c>
      <c r="C2328" s="37" t="s">
        <v>4767</v>
      </c>
      <c r="D2328" s="55" t="s">
        <v>820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820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4768</v>
      </c>
      <c r="C2330" s="37" t="s">
        <v>4769</v>
      </c>
      <c r="D2330" s="55" t="s">
        <v>820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820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4770</v>
      </c>
      <c r="C2332" s="37" t="s">
        <v>4771</v>
      </c>
      <c r="D2332" s="55" t="s">
        <v>820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4772</v>
      </c>
      <c r="C2333" s="37" t="s">
        <v>4773</v>
      </c>
      <c r="D2333" s="55" t="s">
        <v>820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4774</v>
      </c>
      <c r="C2334" s="37" t="s">
        <v>4775</v>
      </c>
      <c r="D2334" s="55" t="s">
        <v>820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4776</v>
      </c>
      <c r="C2335" s="37" t="s">
        <v>4777</v>
      </c>
      <c r="D2335" s="55" t="s">
        <v>820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4778</v>
      </c>
      <c r="C2336" s="37" t="s">
        <v>4779</v>
      </c>
      <c r="D2336" s="55" t="s">
        <v>820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4780</v>
      </c>
      <c r="C2337" s="37" t="s">
        <v>4781</v>
      </c>
      <c r="D2337" s="55" t="s">
        <v>820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820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820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820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4782</v>
      </c>
      <c r="C2341" s="37" t="s">
        <v>4783</v>
      </c>
      <c r="D2341" s="55" t="s">
        <v>820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4784</v>
      </c>
      <c r="C2342" s="37" t="s">
        <v>4785</v>
      </c>
      <c r="D2342" s="55" t="s">
        <v>820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4786</v>
      </c>
      <c r="C2343" s="37" t="s">
        <v>4787</v>
      </c>
      <c r="D2343" s="55" t="s">
        <v>820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4788</v>
      </c>
      <c r="C2344" s="37" t="s">
        <v>4789</v>
      </c>
      <c r="D2344" s="55" t="s">
        <v>820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4790</v>
      </c>
      <c r="C2345" s="37" t="s">
        <v>4791</v>
      </c>
      <c r="D2345" s="55" t="s">
        <v>820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4792</v>
      </c>
      <c r="C2346" s="37" t="s">
        <v>4793</v>
      </c>
      <c r="D2346" s="55" t="s">
        <v>820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4794</v>
      </c>
      <c r="C2347" s="37" t="s">
        <v>4795</v>
      </c>
      <c r="D2347" s="55" t="s">
        <v>820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4796</v>
      </c>
      <c r="C2348" s="37" t="s">
        <v>4797</v>
      </c>
      <c r="D2348" s="55" t="s">
        <v>820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4798</v>
      </c>
      <c r="C2349" s="37" t="s">
        <v>4799</v>
      </c>
      <c r="D2349" s="55" t="s">
        <v>820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4800</v>
      </c>
      <c r="C2350" s="37" t="s">
        <v>4801</v>
      </c>
      <c r="D2350" s="55" t="s">
        <v>820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820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4802</v>
      </c>
      <c r="C2352" s="37" t="s">
        <v>4803</v>
      </c>
      <c r="D2352" s="55" t="s">
        <v>820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4804</v>
      </c>
      <c r="C2353" s="37" t="s">
        <v>4805</v>
      </c>
      <c r="D2353" s="55" t="s">
        <v>820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820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820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805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4806</v>
      </c>
      <c r="C2357" s="37" t="s">
        <v>4807</v>
      </c>
      <c r="D2357" s="55" t="s">
        <v>820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4808</v>
      </c>
      <c r="C2358" s="37" t="s">
        <v>4809</v>
      </c>
      <c r="D2358" s="55" t="s">
        <v>820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4810</v>
      </c>
      <c r="C2359" s="37" t="s">
        <v>4811</v>
      </c>
      <c r="D2359" s="55" t="s">
        <v>805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820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820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4812</v>
      </c>
      <c r="C2362" s="37" t="s">
        <v>4813</v>
      </c>
      <c r="D2362" s="55" t="s">
        <v>820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4814</v>
      </c>
      <c r="C2363" s="37" t="s">
        <v>4815</v>
      </c>
      <c r="D2363" s="55" t="s">
        <v>820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4816</v>
      </c>
      <c r="C2364" s="37" t="s">
        <v>4817</v>
      </c>
      <c r="D2364" s="55" t="s">
        <v>820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4818</v>
      </c>
      <c r="C2365" s="37" t="s">
        <v>4819</v>
      </c>
      <c r="D2365" s="55" t="s">
        <v>820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4820</v>
      </c>
      <c r="C2366" s="37" t="s">
        <v>4821</v>
      </c>
      <c r="D2366" s="55" t="s">
        <v>820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4822</v>
      </c>
      <c r="C2367" s="37" t="s">
        <v>4823</v>
      </c>
      <c r="D2367" s="55" t="s">
        <v>820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4824</v>
      </c>
      <c r="C2368" s="37" t="s">
        <v>4825</v>
      </c>
      <c r="D2368" s="55" t="s">
        <v>820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4826</v>
      </c>
      <c r="C2369" s="37" t="s">
        <v>4827</v>
      </c>
      <c r="D2369" s="55" t="s">
        <v>820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4828</v>
      </c>
      <c r="C2370" s="37" t="s">
        <v>4829</v>
      </c>
      <c r="D2370" s="55" t="s">
        <v>820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4830</v>
      </c>
      <c r="C2371" s="37" t="s">
        <v>4831</v>
      </c>
      <c r="D2371" s="55" t="s">
        <v>820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4832</v>
      </c>
      <c r="C2372" s="37" t="s">
        <v>4833</v>
      </c>
      <c r="D2372" s="55" t="s">
        <v>820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4834</v>
      </c>
      <c r="C2373" s="37" t="s">
        <v>4835</v>
      </c>
      <c r="D2373" s="55" t="s">
        <v>820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4836</v>
      </c>
      <c r="C2374" s="37" t="s">
        <v>4837</v>
      </c>
      <c r="D2374" s="55" t="s">
        <v>820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4838</v>
      </c>
      <c r="C2375" s="37" t="s">
        <v>4839</v>
      </c>
      <c r="D2375" s="55" t="s">
        <v>820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4840</v>
      </c>
      <c r="C2376" s="37" t="s">
        <v>4841</v>
      </c>
      <c r="D2376" s="55" t="s">
        <v>820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4842</v>
      </c>
      <c r="C2377" s="37" t="s">
        <v>4843</v>
      </c>
      <c r="D2377" s="55" t="s">
        <v>820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4844</v>
      </c>
      <c r="C2378" s="37" t="s">
        <v>4845</v>
      </c>
      <c r="D2378" s="55" t="s">
        <v>820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4846</v>
      </c>
      <c r="C2379" s="37" t="s">
        <v>4847</v>
      </c>
      <c r="D2379" s="55" t="s">
        <v>820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4848</v>
      </c>
      <c r="C2380" s="37" t="s">
        <v>4849</v>
      </c>
      <c r="D2380" s="55" t="s">
        <v>820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4850</v>
      </c>
      <c r="C2381" s="37" t="s">
        <v>4851</v>
      </c>
      <c r="D2381" s="55" t="s">
        <v>820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4852</v>
      </c>
      <c r="C2382" s="37" t="s">
        <v>4853</v>
      </c>
      <c r="D2382" s="55" t="s">
        <v>820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4854</v>
      </c>
      <c r="C2383" s="37" t="s">
        <v>4855</v>
      </c>
      <c r="D2383" s="55" t="s">
        <v>820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4856</v>
      </c>
      <c r="C2384" s="37" t="s">
        <v>4857</v>
      </c>
      <c r="D2384" s="55" t="s">
        <v>820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4858</v>
      </c>
      <c r="C2385" s="37" t="s">
        <v>4859</v>
      </c>
      <c r="D2385" s="55" t="s">
        <v>820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4860</v>
      </c>
      <c r="C2386" s="37" t="s">
        <v>4861</v>
      </c>
      <c r="D2386" s="55" t="s">
        <v>820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4862</v>
      </c>
      <c r="C2387" s="37" t="s">
        <v>4863</v>
      </c>
      <c r="D2387" s="55" t="s">
        <v>820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4864</v>
      </c>
      <c r="C2388" s="37" t="s">
        <v>4865</v>
      </c>
      <c r="D2388" s="55" t="s">
        <v>820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4866</v>
      </c>
      <c r="C2389" s="37" t="s">
        <v>4867</v>
      </c>
      <c r="D2389" s="55" t="s">
        <v>820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4868</v>
      </c>
      <c r="C2390" s="37" t="s">
        <v>4869</v>
      </c>
      <c r="D2390" s="55" t="s">
        <v>820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4870</v>
      </c>
      <c r="C2391" s="37" t="s">
        <v>4871</v>
      </c>
      <c r="D2391" s="55" t="s">
        <v>820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4872</v>
      </c>
      <c r="C2392" s="37" t="s">
        <v>4873</v>
      </c>
      <c r="D2392" s="55" t="s">
        <v>820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4874</v>
      </c>
      <c r="C2393" s="37" t="s">
        <v>4875</v>
      </c>
      <c r="D2393" s="55" t="s">
        <v>820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4876</v>
      </c>
      <c r="C2394" s="37" t="s">
        <v>4877</v>
      </c>
      <c r="D2394" s="55" t="s">
        <v>820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4878</v>
      </c>
      <c r="C2395" s="37" t="s">
        <v>4879</v>
      </c>
      <c r="D2395" s="55" t="s">
        <v>820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820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4880</v>
      </c>
      <c r="C2397" s="37" t="s">
        <v>4881</v>
      </c>
      <c r="D2397" s="55" t="s">
        <v>820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4882</v>
      </c>
      <c r="C2398" s="37" t="s">
        <v>4883</v>
      </c>
      <c r="D2398" s="55" t="s">
        <v>820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4884</v>
      </c>
      <c r="C2399" s="37" t="s">
        <v>4885</v>
      </c>
      <c r="D2399" s="55" t="s">
        <v>820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4886</v>
      </c>
      <c r="C2400" s="37" t="s">
        <v>4887</v>
      </c>
      <c r="D2400" s="55" t="s">
        <v>820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4888</v>
      </c>
      <c r="C2401" s="37" t="s">
        <v>4889</v>
      </c>
      <c r="D2401" s="55" t="s">
        <v>820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820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4890</v>
      </c>
      <c r="C2403" s="37" t="s">
        <v>4891</v>
      </c>
      <c r="D2403" s="55" t="s">
        <v>820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4892</v>
      </c>
      <c r="C2404" s="37" t="s">
        <v>4893</v>
      </c>
      <c r="D2404" s="55" t="s">
        <v>820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4894</v>
      </c>
      <c r="C2405" s="37" t="s">
        <v>4895</v>
      </c>
      <c r="D2405" s="55" t="s">
        <v>820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4896</v>
      </c>
      <c r="C2406" s="37" t="s">
        <v>4897</v>
      </c>
      <c r="D2406" s="55" t="s">
        <v>820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4898</v>
      </c>
      <c r="C2407" s="37" t="s">
        <v>4899</v>
      </c>
      <c r="D2407" s="55" t="s">
        <v>820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4900</v>
      </c>
      <c r="C2408" s="37" t="s">
        <v>4901</v>
      </c>
      <c r="D2408" s="55" t="s">
        <v>820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4902</v>
      </c>
      <c r="C2409" s="37" t="s">
        <v>4903</v>
      </c>
      <c r="D2409" s="55" t="s">
        <v>820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4904</v>
      </c>
      <c r="C2410" s="37" t="s">
        <v>4905</v>
      </c>
      <c r="D2410" s="55" t="s">
        <v>820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4906</v>
      </c>
      <c r="C2411" s="37" t="s">
        <v>4907</v>
      </c>
      <c r="D2411" s="55" t="s">
        <v>820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820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4908</v>
      </c>
      <c r="C2413" s="37" t="s">
        <v>4909</v>
      </c>
      <c r="D2413" s="55" t="s">
        <v>820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4910</v>
      </c>
      <c r="C2414" s="37" t="s">
        <v>4911</v>
      </c>
      <c r="D2414" s="55" t="s">
        <v>820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4912</v>
      </c>
      <c r="C2415" s="37" t="s">
        <v>4913</v>
      </c>
      <c r="D2415" s="55" t="s">
        <v>805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4914</v>
      </c>
      <c r="C2416" s="37" t="s">
        <v>4915</v>
      </c>
      <c r="D2416" s="55" t="s">
        <v>820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820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4916</v>
      </c>
      <c r="C2418" s="37" t="s">
        <v>4917</v>
      </c>
      <c r="D2418" s="55" t="s">
        <v>820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4918</v>
      </c>
      <c r="C2419" s="37" t="s">
        <v>4919</v>
      </c>
      <c r="D2419" s="55" t="s">
        <v>820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4920</v>
      </c>
      <c r="C2420" s="37" t="s">
        <v>4921</v>
      </c>
      <c r="D2420" s="55" t="s">
        <v>820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805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4922</v>
      </c>
      <c r="C2422" s="37" t="s">
        <v>4923</v>
      </c>
      <c r="D2422" s="55" t="s">
        <v>820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4924</v>
      </c>
      <c r="C2423" s="37" t="s">
        <v>4925</v>
      </c>
      <c r="D2423" s="55" t="s">
        <v>820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4926</v>
      </c>
      <c r="C2424" s="37" t="s">
        <v>4927</v>
      </c>
      <c r="D2424" s="55" t="s">
        <v>820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4928</v>
      </c>
      <c r="C2425" s="37" t="s">
        <v>4929</v>
      </c>
      <c r="D2425" s="55" t="s">
        <v>820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4930</v>
      </c>
      <c r="C2426" s="37" t="s">
        <v>4931</v>
      </c>
      <c r="D2426" s="55" t="s">
        <v>820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4932</v>
      </c>
      <c r="C2427" s="37" t="s">
        <v>4933</v>
      </c>
      <c r="D2427" s="55" t="s">
        <v>820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4934</v>
      </c>
      <c r="C2428" s="37" t="s">
        <v>4935</v>
      </c>
      <c r="D2428" s="55" t="s">
        <v>805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4936</v>
      </c>
      <c r="C2429" s="37" t="s">
        <v>4937</v>
      </c>
      <c r="D2429" s="55" t="s">
        <v>820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4938</v>
      </c>
      <c r="C2430" s="37" t="s">
        <v>4939</v>
      </c>
      <c r="D2430" s="55" t="s">
        <v>820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4940</v>
      </c>
      <c r="C2431" s="37" t="s">
        <v>4941</v>
      </c>
      <c r="D2431" s="55" t="s">
        <v>820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4942</v>
      </c>
      <c r="C2432" s="37" t="s">
        <v>4943</v>
      </c>
      <c r="D2432" s="55" t="s">
        <v>820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4944</v>
      </c>
      <c r="C2433" s="37" t="s">
        <v>4945</v>
      </c>
      <c r="D2433" s="55" t="s">
        <v>820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805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4946</v>
      </c>
      <c r="C2435" s="37" t="s">
        <v>4947</v>
      </c>
      <c r="D2435" s="55" t="s">
        <v>820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4948</v>
      </c>
      <c r="C2436" s="37" t="s">
        <v>4949</v>
      </c>
      <c r="D2436" s="55" t="s">
        <v>820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4950</v>
      </c>
      <c r="C2437" s="37" t="s">
        <v>4951</v>
      </c>
      <c r="D2437" s="55" t="s">
        <v>820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4952</v>
      </c>
      <c r="C2438" s="37" t="s">
        <v>4953</v>
      </c>
      <c r="D2438" s="55" t="s">
        <v>820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4954</v>
      </c>
      <c r="C2439" s="37" t="s">
        <v>4955</v>
      </c>
      <c r="D2439" s="55" t="s">
        <v>820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4956</v>
      </c>
      <c r="C2440" s="37" t="s">
        <v>4957</v>
      </c>
      <c r="D2440" s="55" t="s">
        <v>820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4958</v>
      </c>
      <c r="C2441" s="37" t="s">
        <v>4959</v>
      </c>
      <c r="D2441" s="55" t="s">
        <v>820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4960</v>
      </c>
      <c r="C2442" s="37" t="s">
        <v>4961</v>
      </c>
      <c r="D2442" s="55" t="s">
        <v>820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4962</v>
      </c>
      <c r="C2443" s="37" t="s">
        <v>4963</v>
      </c>
      <c r="D2443" s="55" t="s">
        <v>820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4964</v>
      </c>
      <c r="C2444" s="37" t="s">
        <v>4965</v>
      </c>
      <c r="D2444" s="55" t="s">
        <v>805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4966</v>
      </c>
      <c r="C2445" s="37" t="s">
        <v>4967</v>
      </c>
      <c r="D2445" s="55" t="s">
        <v>820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4968</v>
      </c>
      <c r="C2446" s="37" t="s">
        <v>4969</v>
      </c>
      <c r="D2446" s="55" t="s">
        <v>820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4970</v>
      </c>
      <c r="C2447" s="37" t="s">
        <v>4971</v>
      </c>
      <c r="D2447" s="55" t="s">
        <v>820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820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4972</v>
      </c>
      <c r="C2449" s="37" t="s">
        <v>4973</v>
      </c>
      <c r="D2449" s="55" t="s">
        <v>820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4974</v>
      </c>
      <c r="C2450" s="37" t="s">
        <v>4975</v>
      </c>
      <c r="D2450" s="55" t="s">
        <v>805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4976</v>
      </c>
      <c r="C2451" s="37" t="s">
        <v>4977</v>
      </c>
      <c r="D2451" s="55" t="s">
        <v>820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4978</v>
      </c>
      <c r="C2452" s="37" t="s">
        <v>4979</v>
      </c>
      <c r="D2452" s="55" t="s">
        <v>820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805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4980</v>
      </c>
      <c r="C2454" s="37" t="s">
        <v>4981</v>
      </c>
      <c r="D2454" s="55" t="s">
        <v>820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820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4982</v>
      </c>
      <c r="C2456" s="37" t="s">
        <v>4983</v>
      </c>
      <c r="D2456" s="55" t="s">
        <v>820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4984</v>
      </c>
      <c r="C2457" s="37" t="s">
        <v>4985</v>
      </c>
      <c r="D2457" s="55" t="s">
        <v>805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4986</v>
      </c>
      <c r="C2458" s="37" t="s">
        <v>4987</v>
      </c>
      <c r="D2458" s="55" t="s">
        <v>820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820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805</v>
      </c>
      <c r="E2460" s="56">
        <v>3480.6</v>
      </c>
      <c r="F2460" s="55">
        <v>43</v>
      </c>
      <c r="G2460" s="55">
        <v>1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4988</v>
      </c>
      <c r="C2461" s="37" t="s">
        <v>4989</v>
      </c>
      <c r="D2461" s="55" t="s">
        <v>820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4990</v>
      </c>
      <c r="C2462" s="37" t="s">
        <v>4991</v>
      </c>
      <c r="D2462" s="55" t="s">
        <v>820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4992</v>
      </c>
      <c r="C2463" s="37" t="s">
        <v>4993</v>
      </c>
      <c r="D2463" s="55" t="s">
        <v>820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4994</v>
      </c>
      <c r="C2464" s="37" t="s">
        <v>4995</v>
      </c>
      <c r="D2464" s="55" t="s">
        <v>820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5179</v>
      </c>
      <c r="D2465" s="55" t="s">
        <v>820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4996</v>
      </c>
      <c r="C2466" s="37" t="s">
        <v>4997</v>
      </c>
      <c r="D2466" s="55" t="s">
        <v>820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820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4998</v>
      </c>
      <c r="C2468" s="37" t="s">
        <v>4999</v>
      </c>
      <c r="D2468" s="55" t="s">
        <v>820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5000</v>
      </c>
      <c r="C2469" s="37" t="s">
        <v>5001</v>
      </c>
      <c r="D2469" s="55" t="s">
        <v>820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5002</v>
      </c>
      <c r="C2470" s="37" t="s">
        <v>5003</v>
      </c>
      <c r="D2470" s="55" t="s">
        <v>805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5004</v>
      </c>
      <c r="C2471" s="37" t="s">
        <v>5005</v>
      </c>
      <c r="D2471" s="55" t="s">
        <v>805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5006</v>
      </c>
      <c r="C2472" s="37" t="s">
        <v>5007</v>
      </c>
      <c r="D2472" s="55" t="s">
        <v>820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5008</v>
      </c>
      <c r="C2473" s="37" t="s">
        <v>5009</v>
      </c>
      <c r="D2473" s="55" t="s">
        <v>820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5010</v>
      </c>
      <c r="C2474" s="37" t="s">
        <v>5011</v>
      </c>
      <c r="D2474" s="55" t="s">
        <v>820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5012</v>
      </c>
      <c r="C2475" s="37" t="s">
        <v>5013</v>
      </c>
      <c r="D2475" s="55" t="s">
        <v>820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5014</v>
      </c>
      <c r="C2476" s="37" t="s">
        <v>5015</v>
      </c>
      <c r="D2476" s="55" t="s">
        <v>820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5016</v>
      </c>
      <c r="C2477" s="37" t="s">
        <v>5017</v>
      </c>
      <c r="D2477" s="55" t="s">
        <v>820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820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5018</v>
      </c>
      <c r="C2479" s="37" t="s">
        <v>5019</v>
      </c>
      <c r="D2479" s="55" t="s">
        <v>820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5020</v>
      </c>
      <c r="C2480" s="37" t="s">
        <v>5021</v>
      </c>
      <c r="D2480" s="55" t="s">
        <v>805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5022</v>
      </c>
      <c r="C2481" s="37" t="s">
        <v>5023</v>
      </c>
      <c r="D2481" s="55" t="s">
        <v>820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5024</v>
      </c>
      <c r="C2482" s="37" t="s">
        <v>5025</v>
      </c>
      <c r="D2482" s="55" t="s">
        <v>805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5026</v>
      </c>
      <c r="C2483" s="37" t="s">
        <v>5027</v>
      </c>
      <c r="D2483" s="55" t="s">
        <v>820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5028</v>
      </c>
      <c r="C2484" s="37" t="s">
        <v>5029</v>
      </c>
      <c r="D2484" s="55" t="s">
        <v>820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5030</v>
      </c>
      <c r="C2485" s="37" t="s">
        <v>5031</v>
      </c>
      <c r="D2485" s="55" t="s">
        <v>820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820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5032</v>
      </c>
      <c r="C2487" s="37" t="s">
        <v>5033</v>
      </c>
      <c r="D2487" s="55" t="s">
        <v>820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5034</v>
      </c>
      <c r="C2488" s="37" t="s">
        <v>5035</v>
      </c>
      <c r="D2488" s="55" t="s">
        <v>820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5036</v>
      </c>
      <c r="C2489" s="37" t="s">
        <v>5037</v>
      </c>
      <c r="D2489" s="55" t="s">
        <v>820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5038</v>
      </c>
      <c r="C2490" s="37" t="s">
        <v>5039</v>
      </c>
      <c r="D2490" s="55" t="s">
        <v>820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5040</v>
      </c>
      <c r="C2491" s="37" t="s">
        <v>5041</v>
      </c>
      <c r="D2491" s="55" t="s">
        <v>820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5042</v>
      </c>
      <c r="C2492" s="37" t="s">
        <v>5043</v>
      </c>
      <c r="D2492" s="55" t="s">
        <v>805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820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5044</v>
      </c>
      <c r="C2494" s="37" t="s">
        <v>5045</v>
      </c>
      <c r="D2494" s="55" t="s">
        <v>820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820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5046</v>
      </c>
      <c r="C2496" s="37" t="s">
        <v>5047</v>
      </c>
      <c r="D2496" s="55" t="s">
        <v>820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5048</v>
      </c>
      <c r="C2497" s="37" t="s">
        <v>5049</v>
      </c>
      <c r="D2497" s="55" t="s">
        <v>820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5050</v>
      </c>
      <c r="C2498" s="37" t="s">
        <v>5051</v>
      </c>
      <c r="D2498" s="55" t="s">
        <v>820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5052</v>
      </c>
      <c r="C2499" s="37" t="s">
        <v>5053</v>
      </c>
      <c r="D2499" s="55" t="s">
        <v>820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5054</v>
      </c>
      <c r="C2500" s="37" t="s">
        <v>5055</v>
      </c>
      <c r="D2500" s="55" t="s">
        <v>820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5056</v>
      </c>
      <c r="C2501" s="37" t="s">
        <v>5057</v>
      </c>
      <c r="D2501" s="55" t="s">
        <v>820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5058</v>
      </c>
      <c r="C2502" s="37" t="s">
        <v>5059</v>
      </c>
      <c r="D2502" s="55" t="s">
        <v>820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5060</v>
      </c>
      <c r="C2503" s="37" t="s">
        <v>5061</v>
      </c>
      <c r="D2503" s="55" t="s">
        <v>820</v>
      </c>
      <c r="E2503" s="58">
        <v>473.54</v>
      </c>
      <c r="F2503" s="57">
        <v>23.86</v>
      </c>
      <c r="G2503" s="57">
        <v>1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805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5062</v>
      </c>
      <c r="C2505" s="37" t="s">
        <v>5063</v>
      </c>
      <c r="D2505" s="55" t="s">
        <v>820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5064</v>
      </c>
      <c r="C2506" s="37" t="s">
        <v>5192</v>
      </c>
      <c r="D2506" s="55" t="s">
        <v>820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5065</v>
      </c>
      <c r="C2507" s="37" t="s">
        <v>5066</v>
      </c>
      <c r="D2507" s="55" t="s">
        <v>820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5067</v>
      </c>
      <c r="C2508" s="37" t="s">
        <v>5068</v>
      </c>
      <c r="D2508" s="55" t="s">
        <v>820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5069</v>
      </c>
      <c r="C2509" s="37" t="s">
        <v>5070</v>
      </c>
      <c r="D2509" s="55" t="s">
        <v>805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5071</v>
      </c>
      <c r="C2510" s="37" t="s">
        <v>5072</v>
      </c>
      <c r="D2510" s="55" t="s">
        <v>820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5073</v>
      </c>
      <c r="C2511" s="37" t="s">
        <v>5074</v>
      </c>
      <c r="D2511" s="55" t="s">
        <v>820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820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820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5075</v>
      </c>
      <c r="C2514" s="37" t="s">
        <v>5076</v>
      </c>
      <c r="D2514" s="55" t="s">
        <v>820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5077</v>
      </c>
      <c r="C2515" s="37" t="s">
        <v>5078</v>
      </c>
      <c r="D2515" s="55" t="s">
        <v>820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5079</v>
      </c>
      <c r="C2516" s="37" t="s">
        <v>5080</v>
      </c>
      <c r="D2516" s="55" t="s">
        <v>820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820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5081</v>
      </c>
      <c r="C2518" s="37" t="s">
        <v>5082</v>
      </c>
      <c r="D2518" s="55" t="s">
        <v>820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5083</v>
      </c>
      <c r="C2519" s="37" t="s">
        <v>5084</v>
      </c>
      <c r="D2519" s="55" t="s">
        <v>820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5085</v>
      </c>
      <c r="C2520" s="37" t="s">
        <v>5193</v>
      </c>
      <c r="D2520" s="55" t="s">
        <v>820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5086</v>
      </c>
      <c r="C2521" s="37" t="s">
        <v>5087</v>
      </c>
      <c r="D2521" s="55" t="s">
        <v>805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5088</v>
      </c>
      <c r="C2522" s="37" t="s">
        <v>5089</v>
      </c>
      <c r="D2522" s="55" t="s">
        <v>820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5090</v>
      </c>
      <c r="C2523" s="37" t="s">
        <v>5091</v>
      </c>
      <c r="D2523" s="55" t="s">
        <v>820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805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5092</v>
      </c>
      <c r="C2525" s="37" t="s">
        <v>5093</v>
      </c>
      <c r="D2525" s="55" t="s">
        <v>820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5094</v>
      </c>
      <c r="C2526" s="37" t="s">
        <v>5095</v>
      </c>
      <c r="D2526" s="55" t="s">
        <v>820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5096</v>
      </c>
      <c r="C2527" s="37" t="s">
        <v>5097</v>
      </c>
      <c r="D2527" s="55" t="s">
        <v>820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5098</v>
      </c>
      <c r="C2528" s="37" t="s">
        <v>5099</v>
      </c>
      <c r="D2528" s="55" t="s">
        <v>805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5100</v>
      </c>
      <c r="C2529" s="37" t="s">
        <v>5101</v>
      </c>
      <c r="D2529" s="55" t="s">
        <v>820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5102</v>
      </c>
      <c r="C2530" s="37" t="s">
        <v>5103</v>
      </c>
      <c r="D2530" s="55" t="s">
        <v>805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5104</v>
      </c>
      <c r="C2531" s="37" t="s">
        <v>5105</v>
      </c>
      <c r="D2531" s="55" t="s">
        <v>820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753</v>
      </c>
      <c r="C2532" s="37" t="s">
        <v>754</v>
      </c>
      <c r="D2532" s="55" t="s">
        <v>820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5106</v>
      </c>
      <c r="C2533" s="37" t="s">
        <v>5107</v>
      </c>
      <c r="D2533" s="55" t="s">
        <v>820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5108</v>
      </c>
      <c r="C2534" s="37" t="s">
        <v>5109</v>
      </c>
      <c r="D2534" s="55" t="s">
        <v>820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805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5110</v>
      </c>
      <c r="C2536" s="37" t="s">
        <v>5111</v>
      </c>
      <c r="D2536" s="55" t="s">
        <v>820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820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5112</v>
      </c>
      <c r="C2538" s="37" t="s">
        <v>5113</v>
      </c>
      <c r="D2538" s="55" t="s">
        <v>820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763</v>
      </c>
      <c r="C2539" s="37" t="s">
        <v>764</v>
      </c>
      <c r="D2539" s="55" t="s">
        <v>820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805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5114</v>
      </c>
      <c r="C2541" s="37" t="s">
        <v>5115</v>
      </c>
      <c r="D2541" s="55" t="s">
        <v>820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5116</v>
      </c>
      <c r="C2542" s="37" t="s">
        <v>5214</v>
      </c>
      <c r="D2542" s="55" t="s">
        <v>820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5117</v>
      </c>
      <c r="C2543" s="37" t="s">
        <v>5213</v>
      </c>
      <c r="D2543" s="55" t="s">
        <v>820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5118</v>
      </c>
      <c r="C2544" s="37" t="s">
        <v>5119</v>
      </c>
      <c r="D2544" s="55" t="s">
        <v>820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5120</v>
      </c>
      <c r="C2545" s="37" t="s">
        <v>5121</v>
      </c>
      <c r="D2545" s="55" t="s">
        <v>805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5122</v>
      </c>
      <c r="C2546" s="37" t="s">
        <v>5123</v>
      </c>
      <c r="D2546" s="55" t="s">
        <v>820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5124</v>
      </c>
      <c r="C2547" s="37" t="s">
        <v>5125</v>
      </c>
      <c r="D2547" s="55" t="s">
        <v>820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5126</v>
      </c>
      <c r="C2548" s="37" t="s">
        <v>5127</v>
      </c>
      <c r="D2548" s="55" t="s">
        <v>820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5128</v>
      </c>
      <c r="C2549" s="37" t="s">
        <v>5129</v>
      </c>
      <c r="D2549" s="55" t="s">
        <v>820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5130</v>
      </c>
      <c r="C2550" s="37" t="s">
        <v>5131</v>
      </c>
      <c r="D2550" s="55" t="s">
        <v>820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5132</v>
      </c>
      <c r="C2551" s="37" t="s">
        <v>5133</v>
      </c>
      <c r="D2551" s="55" t="s">
        <v>820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5134</v>
      </c>
      <c r="C2552" s="37" t="s">
        <v>5135</v>
      </c>
      <c r="D2552" s="55" t="s">
        <v>820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5136</v>
      </c>
      <c r="C2553" s="37" t="s">
        <v>5137</v>
      </c>
      <c r="D2553" s="55" t="s">
        <v>820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5138</v>
      </c>
      <c r="C2554" s="37" t="s">
        <v>5139</v>
      </c>
      <c r="D2554" s="55" t="s">
        <v>820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820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5140</v>
      </c>
      <c r="C2556" s="37" t="s">
        <v>5141</v>
      </c>
      <c r="D2556" s="55" t="s">
        <v>820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5142</v>
      </c>
      <c r="C2557" s="37" t="s">
        <v>5143</v>
      </c>
      <c r="D2557" s="55" t="s">
        <v>820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5144</v>
      </c>
      <c r="C2558" s="37" t="s">
        <v>5145</v>
      </c>
      <c r="D2558" s="55" t="s">
        <v>820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5146</v>
      </c>
      <c r="C2559" s="37" t="s">
        <v>5147</v>
      </c>
      <c r="D2559" s="55" t="s">
        <v>805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5148</v>
      </c>
      <c r="C2560" s="37" t="s">
        <v>5149</v>
      </c>
      <c r="D2560" s="55" t="s">
        <v>820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5150</v>
      </c>
      <c r="C2561" s="37" t="s">
        <v>5151</v>
      </c>
      <c r="D2561" s="55" t="s">
        <v>820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820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820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805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5157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820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5157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820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820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820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820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820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820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820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820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820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820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820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820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820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820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5157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820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820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820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820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820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820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820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820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805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820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5157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820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820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820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820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820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5157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820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805</v>
      </c>
    </row>
    <row r="2602" spans="1:11" x14ac:dyDescent="0.4">
      <c r="D2602" s="37" t="s">
        <v>5157</v>
      </c>
    </row>
    <row r="2603" spans="1:11" x14ac:dyDescent="0.4">
      <c r="D2603" s="37" t="s">
        <v>820</v>
      </c>
    </row>
    <row r="2604" spans="1:11" x14ac:dyDescent="0.4">
      <c r="D2604" s="37" t="s">
        <v>5157</v>
      </c>
    </row>
    <row r="2605" spans="1:11" x14ac:dyDescent="0.4">
      <c r="D2605" s="37" t="s">
        <v>820</v>
      </c>
    </row>
    <row r="2606" spans="1:11" x14ac:dyDescent="0.4">
      <c r="D2606" s="37" t="s">
        <v>820</v>
      </c>
    </row>
    <row r="2607" spans="1:11" x14ac:dyDescent="0.4">
      <c r="D2607" s="37" t="s">
        <v>820</v>
      </c>
    </row>
    <row r="2608" spans="1:11" x14ac:dyDescent="0.4">
      <c r="D2608" s="37" t="s">
        <v>820</v>
      </c>
    </row>
    <row r="2609" spans="4:4" x14ac:dyDescent="0.4">
      <c r="D2609" s="37" t="s">
        <v>805</v>
      </c>
    </row>
    <row r="2610" spans="4:4" x14ac:dyDescent="0.4">
      <c r="D2610" s="37" t="s">
        <v>805</v>
      </c>
    </row>
    <row r="2611" spans="4:4" x14ac:dyDescent="0.4">
      <c r="D2611" s="37" t="s">
        <v>5157</v>
      </c>
    </row>
    <row r="2612" spans="4:4" x14ac:dyDescent="0.4">
      <c r="D2612" s="37" t="s">
        <v>805</v>
      </c>
    </row>
    <row r="2613" spans="4:4" x14ac:dyDescent="0.4">
      <c r="D2613" s="37" t="s">
        <v>5157</v>
      </c>
    </row>
    <row r="2614" spans="4:4" x14ac:dyDescent="0.4">
      <c r="D2614" s="37" t="s">
        <v>805</v>
      </c>
    </row>
    <row r="2615" spans="4:4" x14ac:dyDescent="0.4">
      <c r="D2615" s="37" t="s">
        <v>5157</v>
      </c>
    </row>
    <row r="2616" spans="4:4" x14ac:dyDescent="0.4">
      <c r="D2616" s="37" t="s">
        <v>820</v>
      </c>
    </row>
    <row r="2617" spans="4:4" x14ac:dyDescent="0.4">
      <c r="D2617" s="37" t="s">
        <v>820</v>
      </c>
    </row>
    <row r="2618" spans="4:4" x14ac:dyDescent="0.4">
      <c r="D2618" s="37" t="s">
        <v>5157</v>
      </c>
    </row>
    <row r="2619" spans="4:4" x14ac:dyDescent="0.4">
      <c r="D2619" s="37" t="s">
        <v>820</v>
      </c>
    </row>
    <row r="2620" spans="4:4" x14ac:dyDescent="0.4">
      <c r="D2620" s="37" t="s">
        <v>805</v>
      </c>
    </row>
    <row r="2621" spans="4:4" x14ac:dyDescent="0.4">
      <c r="D2621" s="37" t="s">
        <v>820</v>
      </c>
    </row>
    <row r="2622" spans="4:4" x14ac:dyDescent="0.4">
      <c r="D2622" s="37" t="s">
        <v>820</v>
      </c>
    </row>
    <row r="2623" spans="4:4" x14ac:dyDescent="0.4">
      <c r="D2623" s="37" t="s">
        <v>5157</v>
      </c>
    </row>
    <row r="2624" spans="4:4" x14ac:dyDescent="0.4">
      <c r="D2624" s="37" t="s">
        <v>820</v>
      </c>
    </row>
    <row r="2625" spans="4:4" x14ac:dyDescent="0.4">
      <c r="D2625" s="37" t="s">
        <v>820</v>
      </c>
    </row>
    <row r="2626" spans="4:4" x14ac:dyDescent="0.4">
      <c r="D2626" s="37" t="s">
        <v>820</v>
      </c>
    </row>
    <row r="2627" spans="4:4" x14ac:dyDescent="0.4">
      <c r="D2627" s="37" t="s">
        <v>820</v>
      </c>
    </row>
    <row r="2628" spans="4:4" x14ac:dyDescent="0.4">
      <c r="D2628" s="37" t="s">
        <v>5157</v>
      </c>
    </row>
    <row r="2629" spans="4:4" x14ac:dyDescent="0.4">
      <c r="D2629" s="37" t="s">
        <v>820</v>
      </c>
    </row>
    <row r="2630" spans="4:4" x14ac:dyDescent="0.4">
      <c r="D2630" s="37" t="s">
        <v>805</v>
      </c>
    </row>
    <row r="2631" spans="4:4" x14ac:dyDescent="0.4">
      <c r="D2631" s="37" t="s">
        <v>5157</v>
      </c>
    </row>
    <row r="2632" spans="4:4" x14ac:dyDescent="0.4">
      <c r="D2632" s="37" t="s">
        <v>820</v>
      </c>
    </row>
    <row r="2633" spans="4:4" x14ac:dyDescent="0.4">
      <c r="D2633" s="37" t="s">
        <v>820</v>
      </c>
    </row>
    <row r="2634" spans="4:4" x14ac:dyDescent="0.4">
      <c r="D2634" s="37" t="s">
        <v>805</v>
      </c>
    </row>
    <row r="2635" spans="4:4" x14ac:dyDescent="0.4">
      <c r="D2635" s="37" t="s">
        <v>5157</v>
      </c>
    </row>
    <row r="2636" spans="4:4" x14ac:dyDescent="0.4">
      <c r="D2636" s="37" t="s">
        <v>820</v>
      </c>
    </row>
    <row r="2637" spans="4:4" x14ac:dyDescent="0.4">
      <c r="D2637" s="37" t="s">
        <v>820</v>
      </c>
    </row>
    <row r="2638" spans="4:4" x14ac:dyDescent="0.4">
      <c r="D2638" s="37" t="s">
        <v>820</v>
      </c>
    </row>
    <row r="2639" spans="4:4" x14ac:dyDescent="0.4">
      <c r="D2639" s="37" t="s">
        <v>820</v>
      </c>
    </row>
    <row r="2640" spans="4:4" x14ac:dyDescent="0.4">
      <c r="D2640" s="37" t="s">
        <v>820</v>
      </c>
    </row>
    <row r="2641" spans="4:4" x14ac:dyDescent="0.4">
      <c r="D2641" s="37" t="s">
        <v>820</v>
      </c>
    </row>
    <row r="2642" spans="4:4" x14ac:dyDescent="0.4">
      <c r="D2642" s="37" t="s">
        <v>5157</v>
      </c>
    </row>
    <row r="2643" spans="4:4" x14ac:dyDescent="0.4">
      <c r="D2643" s="37" t="s">
        <v>820</v>
      </c>
    </row>
    <row r="2644" spans="4:4" x14ac:dyDescent="0.4">
      <c r="D2644" s="37" t="s">
        <v>5157</v>
      </c>
    </row>
    <row r="2645" spans="4:4" x14ac:dyDescent="0.4">
      <c r="D2645" s="37" t="s">
        <v>820</v>
      </c>
    </row>
    <row r="2646" spans="4:4" x14ac:dyDescent="0.4">
      <c r="D2646" s="37" t="s">
        <v>820</v>
      </c>
    </row>
    <row r="2647" spans="4:4" x14ac:dyDescent="0.4">
      <c r="D2647" s="37" t="s">
        <v>820</v>
      </c>
    </row>
    <row r="2648" spans="4:4" x14ac:dyDescent="0.4">
      <c r="D2648" s="37" t="s">
        <v>805</v>
      </c>
    </row>
    <row r="2649" spans="4:4" x14ac:dyDescent="0.4">
      <c r="D2649" s="37" t="s">
        <v>5157</v>
      </c>
    </row>
    <row r="2650" spans="4:4" x14ac:dyDescent="0.4">
      <c r="D2650" s="37" t="s">
        <v>820</v>
      </c>
    </row>
    <row r="2651" spans="4:4" x14ac:dyDescent="0.4">
      <c r="D2651" s="37" t="s">
        <v>820</v>
      </c>
    </row>
    <row r="2652" spans="4:4" x14ac:dyDescent="0.4">
      <c r="D2652" s="37" t="s">
        <v>820</v>
      </c>
    </row>
    <row r="2653" spans="4:4" x14ac:dyDescent="0.4">
      <c r="D2653" s="37" t="s">
        <v>820</v>
      </c>
    </row>
    <row r="2654" spans="4:4" x14ac:dyDescent="0.4">
      <c r="D2654" s="37" t="s">
        <v>820</v>
      </c>
    </row>
    <row r="2655" spans="4:4" x14ac:dyDescent="0.4">
      <c r="D2655" s="37" t="s">
        <v>820</v>
      </c>
    </row>
    <row r="2656" spans="4:4" x14ac:dyDescent="0.4">
      <c r="D2656" s="37" t="s">
        <v>805</v>
      </c>
    </row>
    <row r="2657" spans="4:4" x14ac:dyDescent="0.4">
      <c r="D2657" s="37" t="s">
        <v>5157</v>
      </c>
    </row>
    <row r="2658" spans="4:4" x14ac:dyDescent="0.4">
      <c r="D2658" s="37" t="s">
        <v>820</v>
      </c>
    </row>
    <row r="2659" spans="4:4" x14ac:dyDescent="0.4">
      <c r="D2659" s="37" t="s">
        <v>820</v>
      </c>
    </row>
    <row r="2660" spans="4:4" x14ac:dyDescent="0.4">
      <c r="D2660" s="37" t="s">
        <v>805</v>
      </c>
    </row>
    <row r="2661" spans="4:4" x14ac:dyDescent="0.4">
      <c r="D2661" s="37" t="s">
        <v>820</v>
      </c>
    </row>
    <row r="2662" spans="4:4" x14ac:dyDescent="0.4">
      <c r="D2662" s="37" t="s">
        <v>5157</v>
      </c>
    </row>
    <row r="2663" spans="4:4" x14ac:dyDescent="0.4">
      <c r="D2663" s="37" t="s">
        <v>820</v>
      </c>
    </row>
    <row r="2664" spans="4:4" x14ac:dyDescent="0.4">
      <c r="D2664" s="37" t="s">
        <v>820</v>
      </c>
    </row>
    <row r="2665" spans="4:4" x14ac:dyDescent="0.4">
      <c r="D2665" s="37" t="s">
        <v>820</v>
      </c>
    </row>
    <row r="2666" spans="4:4" x14ac:dyDescent="0.4">
      <c r="D2666" s="37" t="s">
        <v>820</v>
      </c>
    </row>
    <row r="2667" spans="4:4" x14ac:dyDescent="0.4">
      <c r="D2667" s="37" t="s">
        <v>820</v>
      </c>
    </row>
    <row r="2668" spans="4:4" x14ac:dyDescent="0.4">
      <c r="D2668" s="37" t="s">
        <v>5157</v>
      </c>
    </row>
    <row r="2669" spans="4:4" x14ac:dyDescent="0.4">
      <c r="D2669" s="37" t="s">
        <v>820</v>
      </c>
    </row>
    <row r="2670" spans="4:4" x14ac:dyDescent="0.4">
      <c r="D2670" s="37" t="s">
        <v>820</v>
      </c>
    </row>
    <row r="2671" spans="4:4" x14ac:dyDescent="0.4">
      <c r="D2671" s="37" t="s">
        <v>820</v>
      </c>
    </row>
    <row r="2672" spans="4:4" x14ac:dyDescent="0.4">
      <c r="D2672" s="37" t="s">
        <v>820</v>
      </c>
    </row>
    <row r="2673" spans="4:4" x14ac:dyDescent="0.4">
      <c r="D2673" s="37" t="s">
        <v>820</v>
      </c>
    </row>
    <row r="2674" spans="4:4" x14ac:dyDescent="0.4">
      <c r="D2674" s="37" t="s">
        <v>820</v>
      </c>
    </row>
    <row r="2675" spans="4:4" x14ac:dyDescent="0.4">
      <c r="D2675" s="37" t="s">
        <v>820</v>
      </c>
    </row>
    <row r="2676" spans="4:4" x14ac:dyDescent="0.4">
      <c r="D2676" s="37" t="s">
        <v>820</v>
      </c>
    </row>
    <row r="2677" spans="4:4" x14ac:dyDescent="0.4">
      <c r="D2677" s="37" t="s">
        <v>820</v>
      </c>
    </row>
    <row r="2678" spans="4:4" x14ac:dyDescent="0.4">
      <c r="D2678" s="37" t="s">
        <v>5157</v>
      </c>
    </row>
    <row r="2679" spans="4:4" x14ac:dyDescent="0.4">
      <c r="D2679" s="37" t="s">
        <v>820</v>
      </c>
    </row>
    <row r="2680" spans="4:4" x14ac:dyDescent="0.4">
      <c r="D2680" s="37" t="s">
        <v>805</v>
      </c>
    </row>
    <row r="2681" spans="4:4" x14ac:dyDescent="0.4">
      <c r="D2681" s="37" t="s">
        <v>5157</v>
      </c>
    </row>
    <row r="2682" spans="4:4" x14ac:dyDescent="0.4">
      <c r="D2682" s="37" t="s">
        <v>820</v>
      </c>
    </row>
    <row r="2683" spans="4:4" x14ac:dyDescent="0.4">
      <c r="D2683" s="37" t="s">
        <v>820</v>
      </c>
    </row>
    <row r="2684" spans="4:4" x14ac:dyDescent="0.4">
      <c r="D2684" s="37" t="s">
        <v>820</v>
      </c>
    </row>
    <row r="2685" spans="4:4" x14ac:dyDescent="0.4">
      <c r="D2685" s="37" t="s">
        <v>5157</v>
      </c>
    </row>
    <row r="2686" spans="4:4" x14ac:dyDescent="0.4">
      <c r="D2686" s="37" t="s">
        <v>805</v>
      </c>
    </row>
    <row r="2687" spans="4:4" x14ac:dyDescent="0.4">
      <c r="D2687" s="37" t="s">
        <v>805</v>
      </c>
    </row>
    <row r="2688" spans="4:4" x14ac:dyDescent="0.4">
      <c r="D2688" s="37" t="s">
        <v>5157</v>
      </c>
    </row>
    <row r="2689" spans="4:4" x14ac:dyDescent="0.4">
      <c r="D2689" s="37" t="s">
        <v>820</v>
      </c>
    </row>
    <row r="2690" spans="4:4" x14ac:dyDescent="0.4">
      <c r="D2690" s="37" t="s">
        <v>820</v>
      </c>
    </row>
    <row r="2691" spans="4:4" x14ac:dyDescent="0.4">
      <c r="D2691" s="37" t="s">
        <v>820</v>
      </c>
    </row>
    <row r="2692" spans="4:4" x14ac:dyDescent="0.4">
      <c r="D2692" s="37" t="s">
        <v>820</v>
      </c>
    </row>
    <row r="2693" spans="4:4" x14ac:dyDescent="0.4">
      <c r="D2693" s="37" t="s">
        <v>820</v>
      </c>
    </row>
    <row r="2694" spans="4:4" x14ac:dyDescent="0.4">
      <c r="D2694" s="37" t="s">
        <v>820</v>
      </c>
    </row>
    <row r="2695" spans="4:4" x14ac:dyDescent="0.4">
      <c r="D2695" s="37" t="s">
        <v>820</v>
      </c>
    </row>
    <row r="2696" spans="4:4" x14ac:dyDescent="0.4">
      <c r="D2696" s="37" t="s">
        <v>820</v>
      </c>
    </row>
    <row r="2697" spans="4:4" x14ac:dyDescent="0.4">
      <c r="D2697" s="37" t="s">
        <v>820</v>
      </c>
    </row>
    <row r="2698" spans="4:4" x14ac:dyDescent="0.4">
      <c r="D2698" s="37" t="s">
        <v>820</v>
      </c>
    </row>
    <row r="2699" spans="4:4" x14ac:dyDescent="0.4">
      <c r="D2699" s="37" t="s">
        <v>820</v>
      </c>
    </row>
    <row r="2700" spans="4:4" x14ac:dyDescent="0.4">
      <c r="D2700" s="37" t="s">
        <v>820</v>
      </c>
    </row>
    <row r="2701" spans="4:4" x14ac:dyDescent="0.4">
      <c r="D2701" s="37" t="s">
        <v>820</v>
      </c>
    </row>
    <row r="2702" spans="4:4" x14ac:dyDescent="0.4">
      <c r="D2702" s="37" t="s">
        <v>5157</v>
      </c>
    </row>
    <row r="2703" spans="4:4" x14ac:dyDescent="0.4">
      <c r="D2703" s="37" t="s">
        <v>820</v>
      </c>
    </row>
    <row r="2704" spans="4:4" x14ac:dyDescent="0.4">
      <c r="D2704" s="37" t="s">
        <v>5157</v>
      </c>
    </row>
    <row r="2705" spans="4:4" x14ac:dyDescent="0.4">
      <c r="D2705" s="37" t="s">
        <v>820</v>
      </c>
    </row>
    <row r="2706" spans="4:4" x14ac:dyDescent="0.4">
      <c r="D2706" s="37" t="s">
        <v>820</v>
      </c>
    </row>
    <row r="2707" spans="4:4" x14ac:dyDescent="0.4">
      <c r="D2707" s="37" t="s">
        <v>820</v>
      </c>
    </row>
    <row r="2708" spans="4:4" x14ac:dyDescent="0.4">
      <c r="D2708" s="37" t="s">
        <v>820</v>
      </c>
    </row>
    <row r="2709" spans="4:4" x14ac:dyDescent="0.4">
      <c r="D2709" s="37" t="s">
        <v>820</v>
      </c>
    </row>
    <row r="2710" spans="4:4" x14ac:dyDescent="0.4">
      <c r="D2710" s="37" t="s">
        <v>805</v>
      </c>
    </row>
    <row r="2711" spans="4:4" x14ac:dyDescent="0.4">
      <c r="D2711" s="37" t="s">
        <v>820</v>
      </c>
    </row>
    <row r="2712" spans="4:4" x14ac:dyDescent="0.4">
      <c r="D2712" s="37" t="s">
        <v>820</v>
      </c>
    </row>
    <row r="2713" spans="4:4" x14ac:dyDescent="0.4">
      <c r="D2713" s="37" t="s">
        <v>820</v>
      </c>
    </row>
    <row r="2714" spans="4:4" x14ac:dyDescent="0.4">
      <c r="D2714" s="37" t="s">
        <v>820</v>
      </c>
    </row>
    <row r="2715" spans="4:4" x14ac:dyDescent="0.4">
      <c r="D2715" s="37" t="s">
        <v>820</v>
      </c>
    </row>
    <row r="2716" spans="4:4" x14ac:dyDescent="0.4">
      <c r="D2716" s="37" t="s">
        <v>5157</v>
      </c>
    </row>
    <row r="2717" spans="4:4" x14ac:dyDescent="0.4">
      <c r="D2717" s="37" t="s">
        <v>820</v>
      </c>
    </row>
    <row r="2718" spans="4:4" x14ac:dyDescent="0.4">
      <c r="D2718" s="37" t="s">
        <v>805</v>
      </c>
    </row>
    <row r="2719" spans="4:4" x14ac:dyDescent="0.4">
      <c r="D2719" s="37" t="s">
        <v>5157</v>
      </c>
    </row>
    <row r="2720" spans="4:4" x14ac:dyDescent="0.4">
      <c r="D2720" s="37" t="s">
        <v>820</v>
      </c>
    </row>
    <row r="2721" spans="4:4" x14ac:dyDescent="0.4">
      <c r="D2721" s="37" t="s">
        <v>805</v>
      </c>
    </row>
    <row r="2722" spans="4:4" x14ac:dyDescent="0.4">
      <c r="D2722" s="37" t="s">
        <v>5157</v>
      </c>
    </row>
    <row r="2723" spans="4:4" x14ac:dyDescent="0.4">
      <c r="D2723" s="37" t="s">
        <v>820</v>
      </c>
    </row>
    <row r="2724" spans="4:4" x14ac:dyDescent="0.4">
      <c r="D2724" s="37" t="s">
        <v>820</v>
      </c>
    </row>
    <row r="2725" spans="4:4" x14ac:dyDescent="0.4">
      <c r="D2725" s="37" t="s">
        <v>5157</v>
      </c>
    </row>
    <row r="2726" spans="4:4" x14ac:dyDescent="0.4">
      <c r="D2726" s="37" t="s">
        <v>820</v>
      </c>
    </row>
    <row r="2727" spans="4:4" x14ac:dyDescent="0.4">
      <c r="D2727" s="37" t="s">
        <v>805</v>
      </c>
    </row>
    <row r="2728" spans="4:4" x14ac:dyDescent="0.4">
      <c r="D2728" s="37" t="s">
        <v>5157</v>
      </c>
    </row>
    <row r="2729" spans="4:4" x14ac:dyDescent="0.4">
      <c r="D2729" s="37" t="s">
        <v>820</v>
      </c>
    </row>
    <row r="2730" spans="4:4" x14ac:dyDescent="0.4">
      <c r="D2730" s="37" t="s">
        <v>820</v>
      </c>
    </row>
    <row r="2731" spans="4:4" x14ac:dyDescent="0.4">
      <c r="D2731" s="37" t="s">
        <v>820</v>
      </c>
    </row>
    <row r="2732" spans="4:4" x14ac:dyDescent="0.4">
      <c r="D2732" s="37" t="s">
        <v>820</v>
      </c>
    </row>
    <row r="2733" spans="4:4" x14ac:dyDescent="0.4">
      <c r="D2733" s="37" t="s">
        <v>820</v>
      </c>
    </row>
    <row r="2734" spans="4:4" x14ac:dyDescent="0.4">
      <c r="D2734" s="37" t="s">
        <v>820</v>
      </c>
    </row>
    <row r="2735" spans="4:4" x14ac:dyDescent="0.4">
      <c r="D2735" s="37" t="s">
        <v>820</v>
      </c>
    </row>
    <row r="2736" spans="4:4" x14ac:dyDescent="0.4">
      <c r="D2736" s="37" t="s">
        <v>820</v>
      </c>
    </row>
    <row r="2737" spans="4:4" x14ac:dyDescent="0.4">
      <c r="D2737" s="37" t="s">
        <v>820</v>
      </c>
    </row>
    <row r="2738" spans="4:4" x14ac:dyDescent="0.4">
      <c r="D2738" s="37" t="s">
        <v>820</v>
      </c>
    </row>
    <row r="2739" spans="4:4" x14ac:dyDescent="0.4">
      <c r="D2739" s="37" t="s">
        <v>820</v>
      </c>
    </row>
    <row r="2740" spans="4:4" x14ac:dyDescent="0.4">
      <c r="D2740" s="37" t="s">
        <v>820</v>
      </c>
    </row>
    <row r="2741" spans="4:4" x14ac:dyDescent="0.4">
      <c r="D2741" s="37" t="s">
        <v>820</v>
      </c>
    </row>
    <row r="2742" spans="4:4" x14ac:dyDescent="0.4">
      <c r="D2742" s="37" t="s">
        <v>820</v>
      </c>
    </row>
    <row r="2743" spans="4:4" x14ac:dyDescent="0.4">
      <c r="D2743" s="37" t="s">
        <v>820</v>
      </c>
    </row>
    <row r="2744" spans="4:4" x14ac:dyDescent="0.4">
      <c r="D2744" s="37" t="s">
        <v>820</v>
      </c>
    </row>
    <row r="2745" spans="4:4" x14ac:dyDescent="0.4">
      <c r="D2745" s="37" t="s">
        <v>820</v>
      </c>
    </row>
    <row r="2746" spans="4:4" x14ac:dyDescent="0.4">
      <c r="D2746" s="37" t="s">
        <v>805</v>
      </c>
    </row>
    <row r="2747" spans="4:4" x14ac:dyDescent="0.4">
      <c r="D2747" s="37" t="s">
        <v>5157</v>
      </c>
    </row>
    <row r="2748" spans="4:4" x14ac:dyDescent="0.4">
      <c r="D2748" s="37" t="s">
        <v>805</v>
      </c>
    </row>
    <row r="2749" spans="4:4" x14ac:dyDescent="0.4">
      <c r="D2749" s="37" t="s">
        <v>5157</v>
      </c>
    </row>
    <row r="2750" spans="4:4" x14ac:dyDescent="0.4">
      <c r="D2750" s="37" t="s">
        <v>820</v>
      </c>
    </row>
    <row r="2751" spans="4:4" x14ac:dyDescent="0.4">
      <c r="D2751" s="37" t="s">
        <v>5157</v>
      </c>
    </row>
    <row r="2752" spans="4:4" x14ac:dyDescent="0.4">
      <c r="D2752" s="37" t="s">
        <v>820</v>
      </c>
    </row>
    <row r="2753" spans="4:4" x14ac:dyDescent="0.4">
      <c r="D2753" s="37" t="s">
        <v>820</v>
      </c>
    </row>
    <row r="2754" spans="4:4" x14ac:dyDescent="0.4">
      <c r="D2754" s="37" t="s">
        <v>820</v>
      </c>
    </row>
    <row r="2755" spans="4:4" x14ac:dyDescent="0.4">
      <c r="D2755" s="37" t="s">
        <v>5157</v>
      </c>
    </row>
    <row r="2756" spans="4:4" x14ac:dyDescent="0.4">
      <c r="D2756" s="37" t="s">
        <v>820</v>
      </c>
    </row>
    <row r="2757" spans="4:4" x14ac:dyDescent="0.4">
      <c r="D2757" s="37" t="s">
        <v>5157</v>
      </c>
    </row>
    <row r="2758" spans="4:4" x14ac:dyDescent="0.4">
      <c r="D2758" s="37" t="s">
        <v>805</v>
      </c>
    </row>
    <row r="2759" spans="4:4" x14ac:dyDescent="0.4">
      <c r="D2759" s="37" t="s">
        <v>820</v>
      </c>
    </row>
    <row r="2760" spans="4:4" x14ac:dyDescent="0.4">
      <c r="D2760" s="37" t="s">
        <v>820</v>
      </c>
    </row>
    <row r="2761" spans="4:4" x14ac:dyDescent="0.4">
      <c r="D2761" s="37" t="s">
        <v>820</v>
      </c>
    </row>
    <row r="2762" spans="4:4" x14ac:dyDescent="0.4">
      <c r="D2762" s="37" t="s">
        <v>820</v>
      </c>
    </row>
    <row r="2763" spans="4:4" x14ac:dyDescent="0.4">
      <c r="D2763" s="37" t="s">
        <v>820</v>
      </c>
    </row>
    <row r="2764" spans="4:4" x14ac:dyDescent="0.4">
      <c r="D2764" s="37" t="s">
        <v>5157</v>
      </c>
    </row>
    <row r="2765" spans="4:4" x14ac:dyDescent="0.4">
      <c r="D2765" s="37" t="s">
        <v>820</v>
      </c>
    </row>
    <row r="2766" spans="4:4" x14ac:dyDescent="0.4">
      <c r="D2766" s="37" t="s">
        <v>820</v>
      </c>
    </row>
    <row r="2767" spans="4:4" x14ac:dyDescent="0.4">
      <c r="D2767" s="37" t="s">
        <v>820</v>
      </c>
    </row>
    <row r="2768" spans="4:4" x14ac:dyDescent="0.4">
      <c r="D2768" s="37" t="s">
        <v>805</v>
      </c>
    </row>
    <row r="2769" spans="4:4" x14ac:dyDescent="0.4">
      <c r="D2769" s="37" t="s">
        <v>5157</v>
      </c>
    </row>
    <row r="2770" spans="4:4" x14ac:dyDescent="0.4">
      <c r="D2770" s="37" t="s">
        <v>820</v>
      </c>
    </row>
    <row r="2771" spans="4:4" x14ac:dyDescent="0.4">
      <c r="D2771" s="37" t="s">
        <v>820</v>
      </c>
    </row>
    <row r="2772" spans="4:4" x14ac:dyDescent="0.4">
      <c r="D2772" s="37" t="s">
        <v>820</v>
      </c>
    </row>
    <row r="2773" spans="4:4" x14ac:dyDescent="0.4">
      <c r="D2773" s="37" t="s">
        <v>5157</v>
      </c>
    </row>
    <row r="2774" spans="4:4" x14ac:dyDescent="0.4">
      <c r="D2774" s="37" t="s">
        <v>820</v>
      </c>
    </row>
    <row r="2775" spans="4:4" x14ac:dyDescent="0.4">
      <c r="D2775" s="37" t="s">
        <v>820</v>
      </c>
    </row>
    <row r="2776" spans="4:4" x14ac:dyDescent="0.4">
      <c r="D2776" s="37" t="s">
        <v>820</v>
      </c>
    </row>
    <row r="2777" spans="4:4" x14ac:dyDescent="0.4">
      <c r="D2777" s="37" t="s">
        <v>5157</v>
      </c>
    </row>
    <row r="2778" spans="4:4" x14ac:dyDescent="0.4">
      <c r="D2778" s="37" t="s">
        <v>820</v>
      </c>
    </row>
    <row r="2779" spans="4:4" x14ac:dyDescent="0.4">
      <c r="D2779" s="37" t="s">
        <v>820</v>
      </c>
    </row>
    <row r="2780" spans="4:4" x14ac:dyDescent="0.4">
      <c r="D2780" s="37" t="s">
        <v>820</v>
      </c>
    </row>
    <row r="2781" spans="4:4" x14ac:dyDescent="0.4">
      <c r="D2781" s="37" t="s">
        <v>820</v>
      </c>
    </row>
    <row r="2782" spans="4:4" x14ac:dyDescent="0.4">
      <c r="D2782" s="37" t="s">
        <v>820</v>
      </c>
    </row>
    <row r="2783" spans="4:4" x14ac:dyDescent="0.4">
      <c r="D2783" s="37" t="s">
        <v>820</v>
      </c>
    </row>
    <row r="2784" spans="4:4" x14ac:dyDescent="0.4">
      <c r="D2784" s="37" t="s">
        <v>5157</v>
      </c>
    </row>
    <row r="2785" spans="4:4" x14ac:dyDescent="0.4">
      <c r="D2785" s="37" t="s">
        <v>820</v>
      </c>
    </row>
    <row r="2786" spans="4:4" x14ac:dyDescent="0.4">
      <c r="D2786" s="37" t="s">
        <v>820</v>
      </c>
    </row>
    <row r="2787" spans="4:4" x14ac:dyDescent="0.4">
      <c r="D2787" s="37" t="s">
        <v>820</v>
      </c>
    </row>
    <row r="2788" spans="4:4" x14ac:dyDescent="0.4">
      <c r="D2788" s="37" t="s">
        <v>5157</v>
      </c>
    </row>
    <row r="2789" spans="4:4" x14ac:dyDescent="0.4">
      <c r="D2789" s="37" t="s">
        <v>820</v>
      </c>
    </row>
    <row r="2790" spans="4:4" x14ac:dyDescent="0.4">
      <c r="D2790" s="37" t="s">
        <v>820</v>
      </c>
    </row>
    <row r="2791" spans="4:4" x14ac:dyDescent="0.4">
      <c r="D2791" s="37" t="s">
        <v>820</v>
      </c>
    </row>
    <row r="2792" spans="4:4" x14ac:dyDescent="0.4">
      <c r="D2792" s="37" t="s">
        <v>820</v>
      </c>
    </row>
    <row r="2793" spans="4:4" x14ac:dyDescent="0.4">
      <c r="D2793" s="37" t="s">
        <v>820</v>
      </c>
    </row>
    <row r="2794" spans="4:4" x14ac:dyDescent="0.4">
      <c r="D2794" s="37" t="s">
        <v>5157</v>
      </c>
    </row>
    <row r="2795" spans="4:4" x14ac:dyDescent="0.4">
      <c r="D2795" s="37" t="s">
        <v>820</v>
      </c>
    </row>
    <row r="2796" spans="4:4" x14ac:dyDescent="0.4">
      <c r="D2796" s="37" t="s">
        <v>820</v>
      </c>
    </row>
    <row r="2797" spans="4:4" x14ac:dyDescent="0.4">
      <c r="D2797" s="37" t="s">
        <v>805</v>
      </c>
    </row>
    <row r="2798" spans="4:4" x14ac:dyDescent="0.4">
      <c r="D2798" s="37" t="s">
        <v>5157</v>
      </c>
    </row>
    <row r="2799" spans="4:4" x14ac:dyDescent="0.4">
      <c r="D2799" s="37" t="s">
        <v>820</v>
      </c>
    </row>
    <row r="2800" spans="4:4" x14ac:dyDescent="0.4">
      <c r="D2800" s="37" t="s">
        <v>820</v>
      </c>
    </row>
    <row r="2801" spans="4:4" x14ac:dyDescent="0.4">
      <c r="D2801" s="37" t="s">
        <v>820</v>
      </c>
    </row>
    <row r="2802" spans="4:4" x14ac:dyDescent="0.4">
      <c r="D2802" s="37" t="s">
        <v>805</v>
      </c>
    </row>
    <row r="2803" spans="4:4" x14ac:dyDescent="0.4">
      <c r="D2803" s="37" t="s">
        <v>820</v>
      </c>
    </row>
    <row r="2804" spans="4:4" x14ac:dyDescent="0.4">
      <c r="D2804" s="37" t="s">
        <v>820</v>
      </c>
    </row>
    <row r="2805" spans="4:4" x14ac:dyDescent="0.4">
      <c r="D2805" s="37" t="s">
        <v>820</v>
      </c>
    </row>
    <row r="2806" spans="4:4" x14ac:dyDescent="0.4">
      <c r="D2806" s="37" t="s">
        <v>820</v>
      </c>
    </row>
    <row r="2807" spans="4:4" x14ac:dyDescent="0.4">
      <c r="D2807" s="37" t="s">
        <v>820</v>
      </c>
    </row>
    <row r="2808" spans="4:4" x14ac:dyDescent="0.4">
      <c r="D2808" s="37" t="s">
        <v>820</v>
      </c>
    </row>
    <row r="2809" spans="4:4" x14ac:dyDescent="0.4">
      <c r="D2809" s="37" t="s">
        <v>820</v>
      </c>
    </row>
    <row r="2810" spans="4:4" x14ac:dyDescent="0.4">
      <c r="D2810" s="37" t="s">
        <v>820</v>
      </c>
    </row>
    <row r="2811" spans="4:4" x14ac:dyDescent="0.4">
      <c r="D2811" s="37" t="s">
        <v>5157</v>
      </c>
    </row>
    <row r="2812" spans="4:4" x14ac:dyDescent="0.4">
      <c r="D2812" s="37" t="s">
        <v>820</v>
      </c>
    </row>
    <row r="2813" spans="4:4" x14ac:dyDescent="0.4">
      <c r="D2813" s="37" t="s">
        <v>5157</v>
      </c>
    </row>
    <row r="2814" spans="4:4" x14ac:dyDescent="0.4">
      <c r="D2814" s="37" t="s">
        <v>820</v>
      </c>
    </row>
    <row r="2815" spans="4:4" x14ac:dyDescent="0.4">
      <c r="D2815" s="37" t="s">
        <v>820</v>
      </c>
    </row>
    <row r="2816" spans="4:4" x14ac:dyDescent="0.4">
      <c r="D2816" s="37" t="s">
        <v>820</v>
      </c>
    </row>
    <row r="2817" spans="4:4" x14ac:dyDescent="0.4">
      <c r="D2817" s="37" t="s">
        <v>5157</v>
      </c>
    </row>
    <row r="2818" spans="4:4" x14ac:dyDescent="0.4">
      <c r="D2818" s="37" t="s">
        <v>820</v>
      </c>
    </row>
    <row r="2819" spans="4:4" x14ac:dyDescent="0.4">
      <c r="D2819" s="37" t="s">
        <v>820</v>
      </c>
    </row>
    <row r="2820" spans="4:4" x14ac:dyDescent="0.4">
      <c r="D2820" s="37" t="s">
        <v>5157</v>
      </c>
    </row>
    <row r="2821" spans="4:4" x14ac:dyDescent="0.4">
      <c r="D2821" s="37" t="s">
        <v>820</v>
      </c>
    </row>
    <row r="2822" spans="4:4" x14ac:dyDescent="0.4">
      <c r="D2822" s="37" t="s">
        <v>820</v>
      </c>
    </row>
    <row r="2823" spans="4:4" x14ac:dyDescent="0.4">
      <c r="D2823" s="37" t="s">
        <v>5157</v>
      </c>
    </row>
    <row r="2824" spans="4:4" x14ac:dyDescent="0.4">
      <c r="D2824" s="37" t="s">
        <v>820</v>
      </c>
    </row>
    <row r="2825" spans="4:4" x14ac:dyDescent="0.4">
      <c r="D2825" s="37" t="s">
        <v>820</v>
      </c>
    </row>
    <row r="2826" spans="4:4" x14ac:dyDescent="0.4">
      <c r="D2826" s="37" t="s">
        <v>820</v>
      </c>
    </row>
    <row r="2827" spans="4:4" x14ac:dyDescent="0.4">
      <c r="D2827" s="37" t="s">
        <v>820</v>
      </c>
    </row>
    <row r="2828" spans="4:4" x14ac:dyDescent="0.4">
      <c r="D2828" s="37" t="s">
        <v>820</v>
      </c>
    </row>
    <row r="2829" spans="4:4" x14ac:dyDescent="0.4">
      <c r="D2829" s="37" t="s">
        <v>805</v>
      </c>
    </row>
    <row r="2830" spans="4:4" x14ac:dyDescent="0.4">
      <c r="D2830" s="37" t="s">
        <v>5157</v>
      </c>
    </row>
    <row r="2831" spans="4:4" x14ac:dyDescent="0.4">
      <c r="D2831" s="37" t="s">
        <v>820</v>
      </c>
    </row>
    <row r="2832" spans="4:4" x14ac:dyDescent="0.4">
      <c r="D2832" s="37" t="s">
        <v>820</v>
      </c>
    </row>
    <row r="2833" spans="4:4" x14ac:dyDescent="0.4">
      <c r="D2833" s="37" t="s">
        <v>820</v>
      </c>
    </row>
    <row r="2834" spans="4:4" x14ac:dyDescent="0.4">
      <c r="D2834" s="37" t="s">
        <v>820</v>
      </c>
    </row>
    <row r="2835" spans="4:4" x14ac:dyDescent="0.4">
      <c r="D2835" s="37" t="s">
        <v>820</v>
      </c>
    </row>
    <row r="2836" spans="4:4" x14ac:dyDescent="0.4">
      <c r="D2836" s="37" t="s">
        <v>805</v>
      </c>
    </row>
    <row r="2837" spans="4:4" x14ac:dyDescent="0.4">
      <c r="D2837" s="37" t="s">
        <v>820</v>
      </c>
    </row>
    <row r="2838" spans="4:4" x14ac:dyDescent="0.4">
      <c r="D2838" s="37" t="s">
        <v>820</v>
      </c>
    </row>
    <row r="2839" spans="4:4" x14ac:dyDescent="0.4">
      <c r="D2839" s="37" t="s">
        <v>820</v>
      </c>
    </row>
    <row r="2840" spans="4:4" x14ac:dyDescent="0.4">
      <c r="D2840" s="37" t="s">
        <v>820</v>
      </c>
    </row>
    <row r="2841" spans="4:4" x14ac:dyDescent="0.4">
      <c r="D2841" s="37" t="s">
        <v>5157</v>
      </c>
    </row>
    <row r="2842" spans="4:4" x14ac:dyDescent="0.4">
      <c r="D2842" s="37" t="s">
        <v>820</v>
      </c>
    </row>
    <row r="2843" spans="4:4" x14ac:dyDescent="0.4">
      <c r="D2843" s="37" t="s">
        <v>820</v>
      </c>
    </row>
    <row r="2844" spans="4:4" x14ac:dyDescent="0.4">
      <c r="D2844" s="37" t="s">
        <v>820</v>
      </c>
    </row>
    <row r="2845" spans="4:4" x14ac:dyDescent="0.4">
      <c r="D2845" s="37" t="s">
        <v>820</v>
      </c>
    </row>
    <row r="2846" spans="4:4" x14ac:dyDescent="0.4">
      <c r="D2846" s="37" t="s">
        <v>820</v>
      </c>
    </row>
    <row r="2847" spans="4:4" x14ac:dyDescent="0.4">
      <c r="D2847" s="37" t="s">
        <v>820</v>
      </c>
    </row>
    <row r="2848" spans="4:4" x14ac:dyDescent="0.4">
      <c r="D2848" s="37" t="s">
        <v>820</v>
      </c>
    </row>
    <row r="2849" spans="4:4" x14ac:dyDescent="0.4">
      <c r="D2849" s="37" t="s">
        <v>820</v>
      </c>
    </row>
    <row r="2850" spans="4:4" x14ac:dyDescent="0.4">
      <c r="D2850" s="37" t="s">
        <v>820</v>
      </c>
    </row>
    <row r="2851" spans="4:4" x14ac:dyDescent="0.4">
      <c r="D2851" s="37" t="s">
        <v>820</v>
      </c>
    </row>
    <row r="2852" spans="4:4" x14ac:dyDescent="0.4">
      <c r="D2852" s="37" t="s">
        <v>820</v>
      </c>
    </row>
    <row r="2853" spans="4:4" x14ac:dyDescent="0.4">
      <c r="D2853" s="37" t="s">
        <v>5157</v>
      </c>
    </row>
    <row r="2854" spans="4:4" x14ac:dyDescent="0.4">
      <c r="D2854" s="37" t="s">
        <v>820</v>
      </c>
    </row>
    <row r="2855" spans="4:4" x14ac:dyDescent="0.4">
      <c r="D2855" s="37" t="s">
        <v>5157</v>
      </c>
    </row>
    <row r="2856" spans="4:4" x14ac:dyDescent="0.4">
      <c r="D2856" s="37" t="s">
        <v>820</v>
      </c>
    </row>
    <row r="2857" spans="4:4" x14ac:dyDescent="0.4">
      <c r="D2857" s="37" t="s">
        <v>805</v>
      </c>
    </row>
    <row r="2858" spans="4:4" x14ac:dyDescent="0.4">
      <c r="D2858" s="37" t="s">
        <v>820</v>
      </c>
    </row>
    <row r="2859" spans="4:4" x14ac:dyDescent="0.4">
      <c r="D2859" s="37" t="s">
        <v>820</v>
      </c>
    </row>
    <row r="2860" spans="4:4" x14ac:dyDescent="0.4">
      <c r="D2860" s="37" t="s">
        <v>820</v>
      </c>
    </row>
    <row r="2861" spans="4:4" x14ac:dyDescent="0.4">
      <c r="D2861" s="37" t="s">
        <v>820</v>
      </c>
    </row>
    <row r="2862" spans="4:4" x14ac:dyDescent="0.4">
      <c r="D2862" s="37" t="s">
        <v>805</v>
      </c>
    </row>
    <row r="2863" spans="4:4" x14ac:dyDescent="0.4">
      <c r="D2863" s="37" t="s">
        <v>5157</v>
      </c>
    </row>
    <row r="2864" spans="4:4" x14ac:dyDescent="0.4">
      <c r="D2864" s="37" t="s">
        <v>805</v>
      </c>
    </row>
    <row r="2865" spans="4:4" x14ac:dyDescent="0.4">
      <c r="D2865" s="37" t="s">
        <v>5157</v>
      </c>
    </row>
    <row r="2866" spans="4:4" x14ac:dyDescent="0.4">
      <c r="D2866" s="37" t="s">
        <v>820</v>
      </c>
    </row>
    <row r="2867" spans="4:4" x14ac:dyDescent="0.4">
      <c r="D2867" s="37" t="s">
        <v>820</v>
      </c>
    </row>
    <row r="2868" spans="4:4" x14ac:dyDescent="0.4">
      <c r="D2868" s="37" t="s">
        <v>5157</v>
      </c>
    </row>
    <row r="2869" spans="4:4" x14ac:dyDescent="0.4">
      <c r="D2869" s="37" t="s">
        <v>820</v>
      </c>
    </row>
    <row r="2870" spans="4:4" x14ac:dyDescent="0.4">
      <c r="D2870" s="37" t="s">
        <v>820</v>
      </c>
    </row>
    <row r="2871" spans="4:4" x14ac:dyDescent="0.4">
      <c r="D2871" s="37" t="s">
        <v>5157</v>
      </c>
    </row>
    <row r="2872" spans="4:4" x14ac:dyDescent="0.4">
      <c r="D2872" s="37" t="s">
        <v>820</v>
      </c>
    </row>
    <row r="2873" spans="4:4" x14ac:dyDescent="0.4">
      <c r="D2873" s="37" t="s">
        <v>5157</v>
      </c>
    </row>
    <row r="2874" spans="4:4" x14ac:dyDescent="0.4">
      <c r="D2874" s="37" t="s">
        <v>820</v>
      </c>
    </row>
    <row r="2875" spans="4:4" x14ac:dyDescent="0.4">
      <c r="D2875" s="37" t="s">
        <v>820</v>
      </c>
    </row>
    <row r="2876" spans="4:4" x14ac:dyDescent="0.4">
      <c r="D2876" s="37" t="s">
        <v>820</v>
      </c>
    </row>
    <row r="2877" spans="4:4" x14ac:dyDescent="0.4">
      <c r="D2877" s="37" t="s">
        <v>820</v>
      </c>
    </row>
    <row r="2878" spans="4:4" x14ac:dyDescent="0.4">
      <c r="D2878" s="37" t="s">
        <v>805</v>
      </c>
    </row>
    <row r="2879" spans="4:4" x14ac:dyDescent="0.4">
      <c r="D2879" s="37" t="s">
        <v>5157</v>
      </c>
    </row>
    <row r="2880" spans="4:4" x14ac:dyDescent="0.4">
      <c r="D2880" s="37" t="s">
        <v>820</v>
      </c>
    </row>
    <row r="2881" spans="4:4" x14ac:dyDescent="0.4">
      <c r="D2881" s="37" t="s">
        <v>820</v>
      </c>
    </row>
    <row r="2882" spans="4:4" x14ac:dyDescent="0.4">
      <c r="D2882" s="37" t="s">
        <v>820</v>
      </c>
    </row>
    <row r="2883" spans="4:4" x14ac:dyDescent="0.4">
      <c r="D2883" s="37" t="s">
        <v>820</v>
      </c>
    </row>
    <row r="2884" spans="4:4" x14ac:dyDescent="0.4">
      <c r="D2884" s="37" t="s">
        <v>805</v>
      </c>
    </row>
    <row r="2885" spans="4:4" x14ac:dyDescent="0.4">
      <c r="D2885" s="37" t="s">
        <v>820</v>
      </c>
    </row>
    <row r="2886" spans="4:4" x14ac:dyDescent="0.4">
      <c r="D2886" s="37" t="s">
        <v>5157</v>
      </c>
    </row>
    <row r="2887" spans="4:4" x14ac:dyDescent="0.4">
      <c r="D2887" s="37" t="s">
        <v>820</v>
      </c>
    </row>
    <row r="2888" spans="4:4" x14ac:dyDescent="0.4">
      <c r="D2888" s="37" t="s">
        <v>805</v>
      </c>
    </row>
    <row r="2889" spans="4:4" x14ac:dyDescent="0.4">
      <c r="D2889" s="37" t="s">
        <v>820</v>
      </c>
    </row>
    <row r="2890" spans="4:4" x14ac:dyDescent="0.4">
      <c r="D2890" s="37" t="s">
        <v>820</v>
      </c>
    </row>
    <row r="2891" spans="4:4" x14ac:dyDescent="0.4">
      <c r="D2891" s="37" t="s">
        <v>820</v>
      </c>
    </row>
    <row r="2892" spans="4:4" x14ac:dyDescent="0.4">
      <c r="D2892" s="37" t="s">
        <v>805</v>
      </c>
    </row>
    <row r="2893" spans="4:4" x14ac:dyDescent="0.4">
      <c r="D2893" s="37" t="s">
        <v>5157</v>
      </c>
    </row>
    <row r="2894" spans="4:4" x14ac:dyDescent="0.4">
      <c r="D2894" s="37" t="s">
        <v>820</v>
      </c>
    </row>
    <row r="2895" spans="4:4" x14ac:dyDescent="0.4">
      <c r="D2895" s="37" t="s">
        <v>820</v>
      </c>
    </row>
    <row r="2896" spans="4:4" x14ac:dyDescent="0.4">
      <c r="D2896" s="37" t="s">
        <v>820</v>
      </c>
    </row>
    <row r="2897" spans="4:4" x14ac:dyDescent="0.4">
      <c r="D2897" s="37" t="s">
        <v>820</v>
      </c>
    </row>
    <row r="2898" spans="4:4" x14ac:dyDescent="0.4">
      <c r="D2898" s="37" t="s">
        <v>820</v>
      </c>
    </row>
    <row r="2899" spans="4:4" x14ac:dyDescent="0.4">
      <c r="D2899" s="37" t="s">
        <v>5157</v>
      </c>
    </row>
    <row r="2900" spans="4:4" x14ac:dyDescent="0.4">
      <c r="D2900" s="37" t="s">
        <v>805</v>
      </c>
    </row>
    <row r="2901" spans="4:4" x14ac:dyDescent="0.4">
      <c r="D2901" s="37" t="s">
        <v>5157</v>
      </c>
    </row>
    <row r="2902" spans="4:4" x14ac:dyDescent="0.4">
      <c r="D2902" s="37" t="s">
        <v>820</v>
      </c>
    </row>
    <row r="2903" spans="4:4" x14ac:dyDescent="0.4">
      <c r="D2903" s="37" t="s">
        <v>805</v>
      </c>
    </row>
    <row r="2904" spans="4:4" x14ac:dyDescent="0.4">
      <c r="D2904" s="37" t="s">
        <v>5157</v>
      </c>
    </row>
    <row r="2905" spans="4:4" x14ac:dyDescent="0.4">
      <c r="D2905" s="37" t="s">
        <v>820</v>
      </c>
    </row>
    <row r="2906" spans="4:4" x14ac:dyDescent="0.4">
      <c r="D2906" s="37" t="s">
        <v>820</v>
      </c>
    </row>
    <row r="2907" spans="4:4" x14ac:dyDescent="0.4">
      <c r="D2907" s="37" t="s">
        <v>820</v>
      </c>
    </row>
    <row r="2908" spans="4:4" x14ac:dyDescent="0.4">
      <c r="D2908" s="37" t="s">
        <v>820</v>
      </c>
    </row>
    <row r="2909" spans="4:4" x14ac:dyDescent="0.4">
      <c r="D2909" s="37" t="s">
        <v>820</v>
      </c>
    </row>
    <row r="2910" spans="4:4" x14ac:dyDescent="0.4">
      <c r="D2910" s="37" t="s">
        <v>5157</v>
      </c>
    </row>
    <row r="2911" spans="4:4" x14ac:dyDescent="0.4">
      <c r="D2911" s="37" t="s">
        <v>820</v>
      </c>
    </row>
    <row r="2912" spans="4:4" x14ac:dyDescent="0.4">
      <c r="D2912" s="37" t="s">
        <v>820</v>
      </c>
    </row>
    <row r="2913" spans="4:4" x14ac:dyDescent="0.4">
      <c r="D2913" s="37" t="s">
        <v>5157</v>
      </c>
    </row>
    <row r="2914" spans="4:4" x14ac:dyDescent="0.4">
      <c r="D2914" s="37" t="s">
        <v>820</v>
      </c>
    </row>
    <row r="2915" spans="4:4" x14ac:dyDescent="0.4">
      <c r="D2915" s="37" t="s">
        <v>820</v>
      </c>
    </row>
    <row r="2916" spans="4:4" x14ac:dyDescent="0.4">
      <c r="D2916" s="37" t="s">
        <v>820</v>
      </c>
    </row>
    <row r="2917" spans="4:4" x14ac:dyDescent="0.4">
      <c r="D2917" s="37" t="s">
        <v>820</v>
      </c>
    </row>
    <row r="2918" spans="4:4" x14ac:dyDescent="0.4">
      <c r="D2918" s="37" t="s">
        <v>820</v>
      </c>
    </row>
    <row r="2919" spans="4:4" x14ac:dyDescent="0.4">
      <c r="D2919" s="37" t="s">
        <v>820</v>
      </c>
    </row>
    <row r="2920" spans="4:4" x14ac:dyDescent="0.4">
      <c r="D2920" s="37" t="s">
        <v>5157</v>
      </c>
    </row>
    <row r="2921" spans="4:4" x14ac:dyDescent="0.4">
      <c r="D2921" s="37" t="s">
        <v>820</v>
      </c>
    </row>
    <row r="2922" spans="4:4" x14ac:dyDescent="0.4">
      <c r="D2922" s="37" t="s">
        <v>5157</v>
      </c>
    </row>
    <row r="2923" spans="4:4" x14ac:dyDescent="0.4">
      <c r="D2923" s="37" t="s">
        <v>820</v>
      </c>
    </row>
    <row r="2924" spans="4:4" x14ac:dyDescent="0.4">
      <c r="D2924" s="37" t="s">
        <v>820</v>
      </c>
    </row>
    <row r="2925" spans="4:4" x14ac:dyDescent="0.4">
      <c r="D2925" s="37" t="s">
        <v>5157</v>
      </c>
    </row>
    <row r="2926" spans="4:4" x14ac:dyDescent="0.4">
      <c r="D2926" s="37" t="s">
        <v>820</v>
      </c>
    </row>
    <row r="2927" spans="4:4" x14ac:dyDescent="0.4">
      <c r="D2927" s="37" t="s">
        <v>820</v>
      </c>
    </row>
    <row r="2928" spans="4:4" x14ac:dyDescent="0.4">
      <c r="D2928" s="37" t="s">
        <v>820</v>
      </c>
    </row>
    <row r="2929" spans="4:4" x14ac:dyDescent="0.4">
      <c r="D2929" s="37" t="s">
        <v>820</v>
      </c>
    </row>
    <row r="2930" spans="4:4" x14ac:dyDescent="0.4">
      <c r="D2930" s="37" t="s">
        <v>820</v>
      </c>
    </row>
    <row r="2931" spans="4:4" x14ac:dyDescent="0.4">
      <c r="D2931" s="37" t="s">
        <v>820</v>
      </c>
    </row>
    <row r="2932" spans="4:4" x14ac:dyDescent="0.4">
      <c r="D2932" s="37" t="s">
        <v>5157</v>
      </c>
    </row>
    <row r="2933" spans="4:4" x14ac:dyDescent="0.4">
      <c r="D2933" s="37" t="s">
        <v>820</v>
      </c>
    </row>
    <row r="2934" spans="4:4" x14ac:dyDescent="0.4">
      <c r="D2934" s="37" t="s">
        <v>5157</v>
      </c>
    </row>
    <row r="2935" spans="4:4" x14ac:dyDescent="0.4">
      <c r="D2935" s="37" t="s">
        <v>820</v>
      </c>
    </row>
    <row r="2936" spans="4:4" x14ac:dyDescent="0.4">
      <c r="D2936" s="37" t="s">
        <v>820</v>
      </c>
    </row>
    <row r="2937" spans="4:4" x14ac:dyDescent="0.4">
      <c r="D2937" s="37" t="s">
        <v>820</v>
      </c>
    </row>
    <row r="2938" spans="4:4" x14ac:dyDescent="0.4">
      <c r="D2938" s="37" t="s">
        <v>820</v>
      </c>
    </row>
    <row r="2939" spans="4:4" x14ac:dyDescent="0.4">
      <c r="D2939" s="37" t="s">
        <v>5157</v>
      </c>
    </row>
    <row r="2940" spans="4:4" x14ac:dyDescent="0.4">
      <c r="D2940" s="37" t="s">
        <v>820</v>
      </c>
    </row>
    <row r="2941" spans="4:4" x14ac:dyDescent="0.4">
      <c r="D2941" s="37" t="s">
        <v>820</v>
      </c>
    </row>
    <row r="2942" spans="4:4" x14ac:dyDescent="0.4">
      <c r="D2942" s="37" t="s">
        <v>820</v>
      </c>
    </row>
    <row r="2943" spans="4:4" x14ac:dyDescent="0.4">
      <c r="D2943" s="37" t="s">
        <v>5157</v>
      </c>
    </row>
    <row r="2944" spans="4:4" x14ac:dyDescent="0.4">
      <c r="D2944" s="37" t="s">
        <v>820</v>
      </c>
    </row>
    <row r="2945" spans="4:4" x14ac:dyDescent="0.4">
      <c r="D2945" s="37" t="s">
        <v>5157</v>
      </c>
    </row>
    <row r="2946" spans="4:4" x14ac:dyDescent="0.4">
      <c r="D2946" s="37" t="s">
        <v>805</v>
      </c>
    </row>
    <row r="2947" spans="4:4" x14ac:dyDescent="0.4">
      <c r="D2947" s="37" t="s">
        <v>5157</v>
      </c>
    </row>
    <row r="2948" spans="4:4" x14ac:dyDescent="0.4">
      <c r="D2948" s="37" t="s">
        <v>820</v>
      </c>
    </row>
    <row r="2949" spans="4:4" x14ac:dyDescent="0.4">
      <c r="D2949" s="37" t="s">
        <v>820</v>
      </c>
    </row>
    <row r="2950" spans="4:4" x14ac:dyDescent="0.4">
      <c r="D2950" s="37" t="s">
        <v>805</v>
      </c>
    </row>
    <row r="2951" spans="4:4" x14ac:dyDescent="0.4">
      <c r="D2951" s="37" t="s">
        <v>5157</v>
      </c>
    </row>
    <row r="2952" spans="4:4" x14ac:dyDescent="0.4">
      <c r="D2952" s="37" t="s">
        <v>820</v>
      </c>
    </row>
    <row r="2953" spans="4:4" x14ac:dyDescent="0.4">
      <c r="D2953" s="37" t="s">
        <v>5157</v>
      </c>
    </row>
    <row r="2954" spans="4:4" x14ac:dyDescent="0.4">
      <c r="D2954" s="37" t="s">
        <v>820</v>
      </c>
    </row>
    <row r="2955" spans="4:4" x14ac:dyDescent="0.4">
      <c r="D2955" s="37" t="s">
        <v>820</v>
      </c>
    </row>
    <row r="2956" spans="4:4" x14ac:dyDescent="0.4">
      <c r="D2956" s="37" t="s">
        <v>820</v>
      </c>
    </row>
    <row r="2957" spans="4:4" x14ac:dyDescent="0.4">
      <c r="D2957" s="37" t="s">
        <v>820</v>
      </c>
    </row>
    <row r="2958" spans="4:4" x14ac:dyDescent="0.4">
      <c r="D2958" s="37" t="s">
        <v>820</v>
      </c>
    </row>
    <row r="2959" spans="4:4" x14ac:dyDescent="0.4">
      <c r="D2959" s="37" t="s">
        <v>820</v>
      </c>
    </row>
    <row r="2960" spans="4:4" x14ac:dyDescent="0.4">
      <c r="D2960" s="37" t="s">
        <v>820</v>
      </c>
    </row>
    <row r="2961" spans="4:4" x14ac:dyDescent="0.4">
      <c r="D2961" s="37" t="s">
        <v>820</v>
      </c>
    </row>
    <row r="2962" spans="4:4" x14ac:dyDescent="0.4">
      <c r="D2962" s="37" t="s">
        <v>820</v>
      </c>
    </row>
    <row r="2963" spans="4:4" x14ac:dyDescent="0.4">
      <c r="D2963" s="37" t="s">
        <v>820</v>
      </c>
    </row>
    <row r="2964" spans="4:4" x14ac:dyDescent="0.4">
      <c r="D2964" s="37" t="s">
        <v>820</v>
      </c>
    </row>
    <row r="2965" spans="4:4" x14ac:dyDescent="0.4">
      <c r="D2965" s="37" t="s">
        <v>820</v>
      </c>
    </row>
    <row r="2966" spans="4:4" x14ac:dyDescent="0.4">
      <c r="D2966" s="37" t="s">
        <v>820</v>
      </c>
    </row>
    <row r="2967" spans="4:4" x14ac:dyDescent="0.4">
      <c r="D2967" s="37" t="s">
        <v>820</v>
      </c>
    </row>
    <row r="2968" spans="4:4" x14ac:dyDescent="0.4">
      <c r="D2968" s="37" t="s">
        <v>820</v>
      </c>
    </row>
    <row r="2969" spans="4:4" x14ac:dyDescent="0.4">
      <c r="D2969" s="37" t="s">
        <v>820</v>
      </c>
    </row>
    <row r="2970" spans="4:4" x14ac:dyDescent="0.4">
      <c r="D2970" s="37" t="s">
        <v>5157</v>
      </c>
    </row>
    <row r="2971" spans="4:4" x14ac:dyDescent="0.4">
      <c r="D2971" s="37" t="s">
        <v>820</v>
      </c>
    </row>
    <row r="2972" spans="4:4" x14ac:dyDescent="0.4">
      <c r="D2972" s="37" t="s">
        <v>820</v>
      </c>
    </row>
    <row r="2973" spans="4:4" x14ac:dyDescent="0.4">
      <c r="D2973" s="37" t="s">
        <v>820</v>
      </c>
    </row>
    <row r="2974" spans="4:4" x14ac:dyDescent="0.4">
      <c r="D2974" s="37" t="s">
        <v>820</v>
      </c>
    </row>
    <row r="2975" spans="4:4" x14ac:dyDescent="0.4">
      <c r="D2975" s="37" t="s">
        <v>820</v>
      </c>
    </row>
    <row r="2976" spans="4:4" x14ac:dyDescent="0.4">
      <c r="D2976" s="37" t="s">
        <v>820</v>
      </c>
    </row>
    <row r="2977" spans="4:4" x14ac:dyDescent="0.4">
      <c r="D2977" s="37" t="s">
        <v>820</v>
      </c>
    </row>
    <row r="2978" spans="4:4" x14ac:dyDescent="0.4">
      <c r="D2978" s="37" t="s">
        <v>820</v>
      </c>
    </row>
    <row r="2979" spans="4:4" x14ac:dyDescent="0.4">
      <c r="D2979" s="37" t="s">
        <v>820</v>
      </c>
    </row>
    <row r="2980" spans="4:4" x14ac:dyDescent="0.4">
      <c r="D2980" s="37" t="s">
        <v>820</v>
      </c>
    </row>
    <row r="2981" spans="4:4" x14ac:dyDescent="0.4">
      <c r="D2981" s="37" t="s">
        <v>820</v>
      </c>
    </row>
    <row r="2982" spans="4:4" x14ac:dyDescent="0.4">
      <c r="D2982" s="37" t="s">
        <v>820</v>
      </c>
    </row>
    <row r="2983" spans="4:4" x14ac:dyDescent="0.4">
      <c r="D2983" s="37" t="s">
        <v>820</v>
      </c>
    </row>
    <row r="2984" spans="4:4" x14ac:dyDescent="0.4">
      <c r="D2984" s="37" t="s">
        <v>820</v>
      </c>
    </row>
    <row r="2985" spans="4:4" x14ac:dyDescent="0.4">
      <c r="D2985" s="37" t="s">
        <v>820</v>
      </c>
    </row>
    <row r="2986" spans="4:4" x14ac:dyDescent="0.4">
      <c r="D2986" s="37" t="s">
        <v>820</v>
      </c>
    </row>
    <row r="2987" spans="4:4" x14ac:dyDescent="0.4">
      <c r="D2987" s="37" t="s">
        <v>820</v>
      </c>
    </row>
    <row r="2988" spans="4:4" x14ac:dyDescent="0.4">
      <c r="D2988" s="37" t="s">
        <v>5157</v>
      </c>
    </row>
    <row r="2989" spans="4:4" x14ac:dyDescent="0.4">
      <c r="D2989" s="37" t="s">
        <v>820</v>
      </c>
    </row>
    <row r="2990" spans="4:4" x14ac:dyDescent="0.4">
      <c r="D2990" s="37" t="s">
        <v>820</v>
      </c>
    </row>
    <row r="2991" spans="4:4" x14ac:dyDescent="0.4">
      <c r="D2991" s="37" t="s">
        <v>820</v>
      </c>
    </row>
    <row r="2992" spans="4:4" x14ac:dyDescent="0.4">
      <c r="D2992" s="37" t="s">
        <v>5157</v>
      </c>
    </row>
    <row r="2993" spans="4:4" x14ac:dyDescent="0.4">
      <c r="D2993" s="37" t="s">
        <v>820</v>
      </c>
    </row>
    <row r="2994" spans="4:4" x14ac:dyDescent="0.4">
      <c r="D2994" s="37" t="s">
        <v>820</v>
      </c>
    </row>
    <row r="2995" spans="4:4" x14ac:dyDescent="0.4">
      <c r="D2995" s="37" t="s">
        <v>5157</v>
      </c>
    </row>
    <row r="2996" spans="4:4" x14ac:dyDescent="0.4">
      <c r="D2996" s="37" t="s">
        <v>820</v>
      </c>
    </row>
    <row r="2997" spans="4:4" x14ac:dyDescent="0.4">
      <c r="D2997" s="37" t="s">
        <v>820</v>
      </c>
    </row>
    <row r="2998" spans="4:4" x14ac:dyDescent="0.4">
      <c r="D2998" s="37" t="s">
        <v>820</v>
      </c>
    </row>
    <row r="2999" spans="4:4" x14ac:dyDescent="0.4">
      <c r="D2999" s="37" t="s">
        <v>820</v>
      </c>
    </row>
    <row r="3000" spans="4:4" x14ac:dyDescent="0.4">
      <c r="D3000" s="37" t="s">
        <v>5157</v>
      </c>
    </row>
    <row r="3001" spans="4:4" x14ac:dyDescent="0.4">
      <c r="D3001" s="37" t="s">
        <v>820</v>
      </c>
    </row>
    <row r="3002" spans="4:4" x14ac:dyDescent="0.4">
      <c r="D3002" s="37" t="s">
        <v>820</v>
      </c>
    </row>
    <row r="3003" spans="4:4" x14ac:dyDescent="0.4">
      <c r="D3003" s="37" t="s">
        <v>820</v>
      </c>
    </row>
    <row r="3004" spans="4:4" x14ac:dyDescent="0.4">
      <c r="D3004" s="37" t="s">
        <v>820</v>
      </c>
    </row>
    <row r="3005" spans="4:4" x14ac:dyDescent="0.4">
      <c r="D3005" s="37" t="s">
        <v>820</v>
      </c>
    </row>
    <row r="3006" spans="4:4" x14ac:dyDescent="0.4">
      <c r="D3006" s="37" t="s">
        <v>820</v>
      </c>
    </row>
    <row r="3007" spans="4:4" x14ac:dyDescent="0.4">
      <c r="D3007" s="37" t="s">
        <v>820</v>
      </c>
    </row>
    <row r="3008" spans="4:4" x14ac:dyDescent="0.4">
      <c r="D3008" s="37" t="s">
        <v>820</v>
      </c>
    </row>
    <row r="3009" spans="4:4" x14ac:dyDescent="0.4">
      <c r="D3009" s="37" t="s">
        <v>820</v>
      </c>
    </row>
    <row r="3010" spans="4:4" x14ac:dyDescent="0.4">
      <c r="D3010" s="37" t="s">
        <v>820</v>
      </c>
    </row>
    <row r="3011" spans="4:4" x14ac:dyDescent="0.4">
      <c r="D3011" s="37" t="s">
        <v>5157</v>
      </c>
    </row>
    <row r="3012" spans="4:4" x14ac:dyDescent="0.4">
      <c r="D3012" s="37" t="s">
        <v>820</v>
      </c>
    </row>
    <row r="3013" spans="4:4" x14ac:dyDescent="0.4">
      <c r="D3013" s="37" t="s">
        <v>820</v>
      </c>
    </row>
    <row r="3014" spans="4:4" x14ac:dyDescent="0.4">
      <c r="D3014" s="37" t="s">
        <v>5157</v>
      </c>
    </row>
    <row r="3015" spans="4:4" x14ac:dyDescent="0.4">
      <c r="D3015" s="37" t="s">
        <v>805</v>
      </c>
    </row>
    <row r="3016" spans="4:4" x14ac:dyDescent="0.4">
      <c r="D3016" s="37" t="s">
        <v>5157</v>
      </c>
    </row>
    <row r="3017" spans="4:4" x14ac:dyDescent="0.4">
      <c r="D3017" s="37" t="s">
        <v>820</v>
      </c>
    </row>
    <row r="3018" spans="4:4" x14ac:dyDescent="0.4">
      <c r="D3018" s="37" t="s">
        <v>820</v>
      </c>
    </row>
    <row r="3019" spans="4:4" x14ac:dyDescent="0.4">
      <c r="D3019" s="37" t="s">
        <v>820</v>
      </c>
    </row>
    <row r="3020" spans="4:4" x14ac:dyDescent="0.4">
      <c r="D3020" s="37" t="s">
        <v>820</v>
      </c>
    </row>
    <row r="3021" spans="4:4" x14ac:dyDescent="0.4">
      <c r="D3021" s="37" t="s">
        <v>820</v>
      </c>
    </row>
    <row r="3022" spans="4:4" x14ac:dyDescent="0.4">
      <c r="D3022" s="37" t="s">
        <v>5157</v>
      </c>
    </row>
    <row r="3023" spans="4:4" x14ac:dyDescent="0.4">
      <c r="D3023" s="37" t="s">
        <v>805</v>
      </c>
    </row>
    <row r="3024" spans="4:4" x14ac:dyDescent="0.4">
      <c r="D3024" s="37" t="s">
        <v>5157</v>
      </c>
    </row>
    <row r="3025" spans="4:4" x14ac:dyDescent="0.4">
      <c r="D3025" s="37" t="s">
        <v>820</v>
      </c>
    </row>
    <row r="3026" spans="4:4" x14ac:dyDescent="0.4">
      <c r="D3026" s="37" t="s">
        <v>820</v>
      </c>
    </row>
    <row r="3027" spans="4:4" x14ac:dyDescent="0.4">
      <c r="D3027" s="37" t="s">
        <v>820</v>
      </c>
    </row>
    <row r="3028" spans="4:4" x14ac:dyDescent="0.4">
      <c r="D3028" s="37" t="s">
        <v>820</v>
      </c>
    </row>
    <row r="3029" spans="4:4" x14ac:dyDescent="0.4">
      <c r="D3029" s="37" t="s">
        <v>5157</v>
      </c>
    </row>
    <row r="3030" spans="4:4" x14ac:dyDescent="0.4">
      <c r="D3030" s="37" t="s">
        <v>820</v>
      </c>
    </row>
    <row r="3031" spans="4:4" x14ac:dyDescent="0.4">
      <c r="D3031" s="37" t="s">
        <v>820</v>
      </c>
    </row>
    <row r="3032" spans="4:4" x14ac:dyDescent="0.4">
      <c r="D3032" s="37" t="s">
        <v>5157</v>
      </c>
    </row>
    <row r="3033" spans="4:4" x14ac:dyDescent="0.4">
      <c r="D3033" s="37" t="s">
        <v>805</v>
      </c>
    </row>
    <row r="3034" spans="4:4" x14ac:dyDescent="0.4">
      <c r="D3034" s="37" t="s">
        <v>820</v>
      </c>
    </row>
    <row r="3035" spans="4:4" x14ac:dyDescent="0.4">
      <c r="D3035" s="37" t="s">
        <v>820</v>
      </c>
    </row>
    <row r="3036" spans="4:4" x14ac:dyDescent="0.4">
      <c r="D3036" s="37" t="s">
        <v>820</v>
      </c>
    </row>
    <row r="3037" spans="4:4" x14ac:dyDescent="0.4">
      <c r="D3037" s="37" t="s">
        <v>5157</v>
      </c>
    </row>
    <row r="3038" spans="4:4" x14ac:dyDescent="0.4">
      <c r="D3038" s="37" t="s">
        <v>820</v>
      </c>
    </row>
    <row r="3039" spans="4:4" x14ac:dyDescent="0.4">
      <c r="D3039" s="37" t="s">
        <v>820</v>
      </c>
    </row>
    <row r="3040" spans="4:4" x14ac:dyDescent="0.4">
      <c r="D3040" s="37" t="s">
        <v>5157</v>
      </c>
    </row>
    <row r="3041" spans="4:4" x14ac:dyDescent="0.4">
      <c r="D3041" s="37" t="s">
        <v>805</v>
      </c>
    </row>
    <row r="3042" spans="4:4" x14ac:dyDescent="0.4">
      <c r="D3042" s="37" t="s">
        <v>820</v>
      </c>
    </row>
    <row r="3043" spans="4:4" x14ac:dyDescent="0.4">
      <c r="D3043" s="37" t="s">
        <v>820</v>
      </c>
    </row>
    <row r="3044" spans="4:4" x14ac:dyDescent="0.4">
      <c r="D3044" s="37" t="s">
        <v>820</v>
      </c>
    </row>
    <row r="3045" spans="4:4" x14ac:dyDescent="0.4">
      <c r="D3045" s="37" t="s">
        <v>5157</v>
      </c>
    </row>
    <row r="3046" spans="4:4" x14ac:dyDescent="0.4">
      <c r="D3046" s="37" t="s">
        <v>820</v>
      </c>
    </row>
    <row r="3047" spans="4:4" x14ac:dyDescent="0.4">
      <c r="D3047" s="37" t="s">
        <v>820</v>
      </c>
    </row>
    <row r="3048" spans="4:4" x14ac:dyDescent="0.4">
      <c r="D3048" s="37" t="s">
        <v>820</v>
      </c>
    </row>
    <row r="3049" spans="4:4" x14ac:dyDescent="0.4">
      <c r="D3049" s="37" t="s">
        <v>820</v>
      </c>
    </row>
    <row r="3050" spans="4:4" x14ac:dyDescent="0.4">
      <c r="D3050" s="37" t="s">
        <v>820</v>
      </c>
    </row>
    <row r="3051" spans="4:4" x14ac:dyDescent="0.4">
      <c r="D3051" s="37" t="s">
        <v>820</v>
      </c>
    </row>
    <row r="3052" spans="4:4" x14ac:dyDescent="0.4">
      <c r="D3052" s="37" t="s">
        <v>805</v>
      </c>
    </row>
    <row r="3053" spans="4:4" x14ac:dyDescent="0.4">
      <c r="D3053" s="37" t="s">
        <v>820</v>
      </c>
    </row>
    <row r="3054" spans="4:4" x14ac:dyDescent="0.4">
      <c r="D3054" s="37" t="s">
        <v>820</v>
      </c>
    </row>
    <row r="3055" spans="4:4" x14ac:dyDescent="0.4">
      <c r="D3055" s="37" t="s">
        <v>820</v>
      </c>
    </row>
    <row r="3056" spans="4:4" x14ac:dyDescent="0.4">
      <c r="D3056" s="37" t="s">
        <v>820</v>
      </c>
    </row>
    <row r="3057" spans="4:4" x14ac:dyDescent="0.4">
      <c r="D3057" s="37" t="s">
        <v>5157</v>
      </c>
    </row>
    <row r="3058" spans="4:4" x14ac:dyDescent="0.4">
      <c r="D3058" s="37" t="s">
        <v>820</v>
      </c>
    </row>
    <row r="3059" spans="4:4" x14ac:dyDescent="0.4">
      <c r="D3059" s="37" t="s">
        <v>805</v>
      </c>
    </row>
    <row r="3060" spans="4:4" x14ac:dyDescent="0.4">
      <c r="D3060" s="37" t="s">
        <v>5157</v>
      </c>
    </row>
    <row r="3061" spans="4:4" x14ac:dyDescent="0.4">
      <c r="D3061" s="37" t="s">
        <v>820</v>
      </c>
    </row>
    <row r="3062" spans="4:4" x14ac:dyDescent="0.4">
      <c r="D3062" s="37" t="s">
        <v>820</v>
      </c>
    </row>
    <row r="3063" spans="4:4" x14ac:dyDescent="0.4">
      <c r="D3063" s="37" t="s">
        <v>805</v>
      </c>
    </row>
    <row r="3064" spans="4:4" x14ac:dyDescent="0.4">
      <c r="D3064" s="37" t="s">
        <v>5157</v>
      </c>
    </row>
    <row r="3065" spans="4:4" x14ac:dyDescent="0.4">
      <c r="D3065" s="37" t="s">
        <v>820</v>
      </c>
    </row>
    <row r="3066" spans="4:4" x14ac:dyDescent="0.4">
      <c r="D3066" s="37" t="s">
        <v>820</v>
      </c>
    </row>
    <row r="3067" spans="4:4" x14ac:dyDescent="0.4">
      <c r="D3067" s="37" t="s">
        <v>5157</v>
      </c>
    </row>
    <row r="3068" spans="4:4" x14ac:dyDescent="0.4">
      <c r="D3068" s="37" t="s">
        <v>820</v>
      </c>
    </row>
    <row r="3069" spans="4:4" x14ac:dyDescent="0.4">
      <c r="D3069" s="37" t="s">
        <v>805</v>
      </c>
    </row>
    <row r="3070" spans="4:4" x14ac:dyDescent="0.4">
      <c r="D3070" s="37" t="s">
        <v>5157</v>
      </c>
    </row>
    <row r="3071" spans="4:4" x14ac:dyDescent="0.4">
      <c r="D3071" s="37" t="s">
        <v>820</v>
      </c>
    </row>
    <row r="3072" spans="4:4" x14ac:dyDescent="0.4">
      <c r="D3072" s="37" t="s">
        <v>820</v>
      </c>
    </row>
    <row r="3073" spans="4:4" x14ac:dyDescent="0.4">
      <c r="D3073" s="37" t="s">
        <v>5157</v>
      </c>
    </row>
    <row r="3074" spans="4:4" x14ac:dyDescent="0.4">
      <c r="D3074" s="37" t="s">
        <v>805</v>
      </c>
    </row>
    <row r="3075" spans="4:4" x14ac:dyDescent="0.4">
      <c r="D3075" s="37" t="s">
        <v>5157</v>
      </c>
    </row>
    <row r="3076" spans="4:4" x14ac:dyDescent="0.4">
      <c r="D3076" s="37" t="s">
        <v>820</v>
      </c>
    </row>
    <row r="3077" spans="4:4" x14ac:dyDescent="0.4">
      <c r="D3077" s="37" t="s">
        <v>820</v>
      </c>
    </row>
    <row r="3078" spans="4:4" x14ac:dyDescent="0.4">
      <c r="D3078" s="37" t="s">
        <v>820</v>
      </c>
    </row>
    <row r="3079" spans="4:4" x14ac:dyDescent="0.4">
      <c r="D3079" s="37" t="s">
        <v>820</v>
      </c>
    </row>
    <row r="3080" spans="4:4" x14ac:dyDescent="0.4">
      <c r="D3080" s="37" t="s">
        <v>820</v>
      </c>
    </row>
    <row r="3081" spans="4:4" x14ac:dyDescent="0.4">
      <c r="D3081" s="37" t="s">
        <v>5157</v>
      </c>
    </row>
    <row r="3082" spans="4:4" x14ac:dyDescent="0.4">
      <c r="D3082" s="37" t="s">
        <v>820</v>
      </c>
    </row>
    <row r="3083" spans="4:4" x14ac:dyDescent="0.4">
      <c r="D3083" s="37" t="s">
        <v>820</v>
      </c>
    </row>
    <row r="3084" spans="4:4" x14ac:dyDescent="0.4">
      <c r="D3084" s="37" t="s">
        <v>5157</v>
      </c>
    </row>
    <row r="3085" spans="4:4" x14ac:dyDescent="0.4">
      <c r="D3085" s="37" t="s">
        <v>820</v>
      </c>
    </row>
    <row r="3086" spans="4:4" x14ac:dyDescent="0.4">
      <c r="D3086" s="37" t="s">
        <v>820</v>
      </c>
    </row>
    <row r="3087" spans="4:4" x14ac:dyDescent="0.4">
      <c r="D3087" s="37" t="s">
        <v>805</v>
      </c>
    </row>
    <row r="3088" spans="4:4" x14ac:dyDescent="0.4">
      <c r="D3088" s="37" t="s">
        <v>805</v>
      </c>
    </row>
    <row r="3089" spans="4:4" x14ac:dyDescent="0.4">
      <c r="D3089" s="37" t="s">
        <v>5157</v>
      </c>
    </row>
    <row r="3090" spans="4:4" x14ac:dyDescent="0.4">
      <c r="D3090" s="37" t="s">
        <v>820</v>
      </c>
    </row>
    <row r="3091" spans="4:4" x14ac:dyDescent="0.4">
      <c r="D3091" s="37" t="s">
        <v>820</v>
      </c>
    </row>
    <row r="3092" spans="4:4" x14ac:dyDescent="0.4">
      <c r="D3092" s="37" t="s">
        <v>5157</v>
      </c>
    </row>
    <row r="3093" spans="4:4" x14ac:dyDescent="0.4">
      <c r="D3093" s="37" t="s">
        <v>820</v>
      </c>
    </row>
    <row r="3094" spans="4:4" x14ac:dyDescent="0.4">
      <c r="D3094" s="37" t="s">
        <v>820</v>
      </c>
    </row>
    <row r="3095" spans="4:4" x14ac:dyDescent="0.4">
      <c r="D3095" s="37" t="s">
        <v>820</v>
      </c>
    </row>
    <row r="3096" spans="4:4" x14ac:dyDescent="0.4">
      <c r="D3096" s="37" t="s">
        <v>820</v>
      </c>
    </row>
    <row r="3097" spans="4:4" x14ac:dyDescent="0.4">
      <c r="D3097" s="37" t="s">
        <v>820</v>
      </c>
    </row>
    <row r="3098" spans="4:4" x14ac:dyDescent="0.4">
      <c r="D3098" s="37" t="s">
        <v>820</v>
      </c>
    </row>
    <row r="3099" spans="4:4" x14ac:dyDescent="0.4">
      <c r="D3099" s="37" t="s">
        <v>805</v>
      </c>
    </row>
    <row r="3100" spans="4:4" x14ac:dyDescent="0.4">
      <c r="D3100" s="37" t="s">
        <v>820</v>
      </c>
    </row>
    <row r="3101" spans="4:4" x14ac:dyDescent="0.4">
      <c r="D3101" s="37" t="s">
        <v>805</v>
      </c>
    </row>
    <row r="3102" spans="4:4" x14ac:dyDescent="0.4">
      <c r="D3102" s="37" t="s">
        <v>5157</v>
      </c>
    </row>
    <row r="3103" spans="4:4" x14ac:dyDescent="0.4">
      <c r="D3103" s="37" t="s">
        <v>820</v>
      </c>
    </row>
    <row r="3104" spans="4:4" x14ac:dyDescent="0.4">
      <c r="D3104" s="37" t="s">
        <v>820</v>
      </c>
    </row>
    <row r="3105" spans="4:4" x14ac:dyDescent="0.4">
      <c r="D3105" s="37" t="s">
        <v>820</v>
      </c>
    </row>
    <row r="3106" spans="4:4" x14ac:dyDescent="0.4">
      <c r="D3106" s="37" t="s">
        <v>820</v>
      </c>
    </row>
    <row r="3107" spans="4:4" x14ac:dyDescent="0.4">
      <c r="D3107" s="37" t="s">
        <v>820</v>
      </c>
    </row>
    <row r="3108" spans="4:4" x14ac:dyDescent="0.4">
      <c r="D3108" s="37" t="s">
        <v>820</v>
      </c>
    </row>
    <row r="3109" spans="4:4" x14ac:dyDescent="0.4">
      <c r="D3109" s="37" t="s">
        <v>820</v>
      </c>
    </row>
    <row r="3110" spans="4:4" x14ac:dyDescent="0.4">
      <c r="D3110" s="37" t="s">
        <v>820</v>
      </c>
    </row>
    <row r="3111" spans="4:4" x14ac:dyDescent="0.4">
      <c r="D3111" s="37" t="s">
        <v>820</v>
      </c>
    </row>
    <row r="3112" spans="4:4" x14ac:dyDescent="0.4">
      <c r="D3112" s="37" t="s">
        <v>805</v>
      </c>
    </row>
    <row r="3113" spans="4:4" x14ac:dyDescent="0.4">
      <c r="D3113" s="37" t="s">
        <v>820</v>
      </c>
    </row>
    <row r="3114" spans="4:4" x14ac:dyDescent="0.4">
      <c r="D3114" s="37" t="s">
        <v>5157</v>
      </c>
    </row>
    <row r="3115" spans="4:4" x14ac:dyDescent="0.4">
      <c r="D3115" s="37" t="s">
        <v>820</v>
      </c>
    </row>
    <row r="3116" spans="4:4" x14ac:dyDescent="0.4">
      <c r="D3116" s="37" t="s">
        <v>820</v>
      </c>
    </row>
    <row r="3117" spans="4:4" x14ac:dyDescent="0.4">
      <c r="D3117" s="37" t="s">
        <v>5157</v>
      </c>
    </row>
    <row r="3118" spans="4:4" x14ac:dyDescent="0.4">
      <c r="D3118" s="37" t="s">
        <v>820</v>
      </c>
    </row>
    <row r="3119" spans="4:4" x14ac:dyDescent="0.4">
      <c r="D3119" s="37" t="s">
        <v>5157</v>
      </c>
    </row>
    <row r="3120" spans="4:4" x14ac:dyDescent="0.4">
      <c r="D3120" s="37" t="s">
        <v>820</v>
      </c>
    </row>
    <row r="3121" spans="4:4" x14ac:dyDescent="0.4">
      <c r="D3121" s="37" t="s">
        <v>820</v>
      </c>
    </row>
    <row r="3122" spans="4:4" x14ac:dyDescent="0.4">
      <c r="D3122" s="37" t="s">
        <v>820</v>
      </c>
    </row>
    <row r="3123" spans="4:4" x14ac:dyDescent="0.4">
      <c r="D3123" s="37" t="s">
        <v>5157</v>
      </c>
    </row>
    <row r="3124" spans="4:4" x14ac:dyDescent="0.4">
      <c r="D3124" s="37" t="s">
        <v>820</v>
      </c>
    </row>
    <row r="3125" spans="4:4" x14ac:dyDescent="0.4">
      <c r="D3125" s="37" t="s">
        <v>5157</v>
      </c>
    </row>
    <row r="3126" spans="4:4" x14ac:dyDescent="0.4">
      <c r="D3126" s="37" t="s">
        <v>820</v>
      </c>
    </row>
    <row r="3127" spans="4:4" x14ac:dyDescent="0.4">
      <c r="D3127" s="37" t="s">
        <v>820</v>
      </c>
    </row>
    <row r="3128" spans="4:4" x14ac:dyDescent="0.4">
      <c r="D3128" s="37" t="s">
        <v>820</v>
      </c>
    </row>
    <row r="3129" spans="4:4" x14ac:dyDescent="0.4">
      <c r="D3129" s="37" t="s">
        <v>805</v>
      </c>
    </row>
    <row r="3130" spans="4:4" x14ac:dyDescent="0.4">
      <c r="D3130" s="37" t="s">
        <v>5157</v>
      </c>
    </row>
    <row r="3131" spans="4:4" x14ac:dyDescent="0.4">
      <c r="D3131" s="37" t="s">
        <v>820</v>
      </c>
    </row>
    <row r="3132" spans="4:4" x14ac:dyDescent="0.4">
      <c r="D3132" s="37" t="s">
        <v>820</v>
      </c>
    </row>
    <row r="3133" spans="4:4" x14ac:dyDescent="0.4">
      <c r="D3133" s="37" t="s">
        <v>5157</v>
      </c>
    </row>
    <row r="3134" spans="4:4" x14ac:dyDescent="0.4">
      <c r="D3134" s="37" t="s">
        <v>820</v>
      </c>
    </row>
    <row r="3135" spans="4:4" x14ac:dyDescent="0.4">
      <c r="D3135" s="37" t="s">
        <v>820</v>
      </c>
    </row>
    <row r="3136" spans="4:4" x14ac:dyDescent="0.4">
      <c r="D3136" s="37" t="s">
        <v>805</v>
      </c>
    </row>
    <row r="3137" spans="4:4" x14ac:dyDescent="0.4">
      <c r="D3137" s="37" t="s">
        <v>5157</v>
      </c>
    </row>
    <row r="3138" spans="4:4" x14ac:dyDescent="0.4">
      <c r="D3138" s="37" t="s">
        <v>820</v>
      </c>
    </row>
    <row r="3139" spans="4:4" x14ac:dyDescent="0.4">
      <c r="D3139" s="37" t="s">
        <v>820</v>
      </c>
    </row>
    <row r="3140" spans="4:4" x14ac:dyDescent="0.4">
      <c r="D3140" s="37" t="s">
        <v>820</v>
      </c>
    </row>
    <row r="3141" spans="4:4" x14ac:dyDescent="0.4">
      <c r="D3141" s="37" t="s">
        <v>5157</v>
      </c>
    </row>
    <row r="3142" spans="4:4" x14ac:dyDescent="0.4">
      <c r="D3142" s="37" t="s">
        <v>820</v>
      </c>
    </row>
    <row r="3143" spans="4:4" x14ac:dyDescent="0.4">
      <c r="D3143" s="37" t="s">
        <v>5157</v>
      </c>
    </row>
    <row r="3144" spans="4:4" x14ac:dyDescent="0.4">
      <c r="D3144" s="37" t="s">
        <v>820</v>
      </c>
    </row>
    <row r="3145" spans="4:4" x14ac:dyDescent="0.4">
      <c r="D3145" s="37" t="s">
        <v>820</v>
      </c>
    </row>
    <row r="3146" spans="4:4" x14ac:dyDescent="0.4">
      <c r="D3146" s="37" t="s">
        <v>5157</v>
      </c>
    </row>
    <row r="3147" spans="4:4" x14ac:dyDescent="0.4">
      <c r="D3147" s="37" t="s">
        <v>820</v>
      </c>
    </row>
    <row r="3148" spans="4:4" x14ac:dyDescent="0.4">
      <c r="D3148" s="37" t="s">
        <v>820</v>
      </c>
    </row>
    <row r="3149" spans="4:4" x14ac:dyDescent="0.4">
      <c r="D3149" s="37" t="s">
        <v>5157</v>
      </c>
    </row>
    <row r="3150" spans="4:4" x14ac:dyDescent="0.4">
      <c r="D3150" s="37" t="s">
        <v>820</v>
      </c>
    </row>
    <row r="3151" spans="4:4" x14ac:dyDescent="0.4">
      <c r="D3151" s="37" t="s">
        <v>820</v>
      </c>
    </row>
    <row r="3152" spans="4:4" x14ac:dyDescent="0.4">
      <c r="D3152" s="37" t="s">
        <v>820</v>
      </c>
    </row>
    <row r="3153" spans="4:4" x14ac:dyDescent="0.4">
      <c r="D3153" s="37" t="s">
        <v>805</v>
      </c>
    </row>
    <row r="3154" spans="4:4" x14ac:dyDescent="0.4">
      <c r="D3154" s="37" t="s">
        <v>820</v>
      </c>
    </row>
    <row r="3155" spans="4:4" x14ac:dyDescent="0.4">
      <c r="D3155" s="37" t="s">
        <v>5157</v>
      </c>
    </row>
    <row r="3156" spans="4:4" x14ac:dyDescent="0.4">
      <c r="D3156" s="37" t="s">
        <v>820</v>
      </c>
    </row>
    <row r="3157" spans="4:4" x14ac:dyDescent="0.4">
      <c r="D3157" s="37" t="s">
        <v>805</v>
      </c>
    </row>
    <row r="3158" spans="4:4" x14ac:dyDescent="0.4">
      <c r="D3158" s="37" t="s">
        <v>5157</v>
      </c>
    </row>
    <row r="3159" spans="4:4" x14ac:dyDescent="0.4">
      <c r="D3159" s="37" t="s">
        <v>820</v>
      </c>
    </row>
    <row r="3160" spans="4:4" x14ac:dyDescent="0.4">
      <c r="D3160" s="37" t="s">
        <v>5157</v>
      </c>
    </row>
    <row r="3161" spans="4:4" x14ac:dyDescent="0.4">
      <c r="D3161" s="37" t="s">
        <v>820</v>
      </c>
    </row>
    <row r="3162" spans="4:4" x14ac:dyDescent="0.4">
      <c r="D3162" s="37" t="s">
        <v>5157</v>
      </c>
    </row>
    <row r="3163" spans="4:4" x14ac:dyDescent="0.4">
      <c r="D3163" s="37" t="s">
        <v>820</v>
      </c>
    </row>
    <row r="3164" spans="4:4" x14ac:dyDescent="0.4">
      <c r="D3164" s="37" t="s">
        <v>5157</v>
      </c>
    </row>
    <row r="3165" spans="4:4" x14ac:dyDescent="0.4">
      <c r="D3165" s="37" t="s">
        <v>805</v>
      </c>
    </row>
    <row r="3166" spans="4:4" x14ac:dyDescent="0.4">
      <c r="D3166" s="37" t="s">
        <v>5157</v>
      </c>
    </row>
    <row r="3167" spans="4:4" x14ac:dyDescent="0.4">
      <c r="D3167" s="37" t="s">
        <v>820</v>
      </c>
    </row>
    <row r="3168" spans="4:4" x14ac:dyDescent="0.4">
      <c r="D3168" s="37" t="s">
        <v>5157</v>
      </c>
    </row>
    <row r="3169" spans="4:4" x14ac:dyDescent="0.4">
      <c r="D3169" s="37" t="s">
        <v>805</v>
      </c>
    </row>
    <row r="3170" spans="4:4" x14ac:dyDescent="0.4">
      <c r="D3170" s="37" t="s">
        <v>820</v>
      </c>
    </row>
    <row r="3171" spans="4:4" x14ac:dyDescent="0.4">
      <c r="D3171" s="37" t="s">
        <v>5157</v>
      </c>
    </row>
    <row r="3172" spans="4:4" x14ac:dyDescent="0.4">
      <c r="D3172" s="37" t="s">
        <v>820</v>
      </c>
    </row>
    <row r="3173" spans="4:4" x14ac:dyDescent="0.4">
      <c r="D3173" s="37" t="s">
        <v>5157</v>
      </c>
    </row>
    <row r="3174" spans="4:4" x14ac:dyDescent="0.4">
      <c r="D3174" s="37" t="s">
        <v>820</v>
      </c>
    </row>
    <row r="3175" spans="4:4" x14ac:dyDescent="0.4">
      <c r="D3175" s="37" t="s">
        <v>820</v>
      </c>
    </row>
    <row r="3176" spans="4:4" x14ac:dyDescent="0.4">
      <c r="D3176" s="37" t="s">
        <v>805</v>
      </c>
    </row>
    <row r="3177" spans="4:4" x14ac:dyDescent="0.4">
      <c r="D3177" s="37" t="s">
        <v>5157</v>
      </c>
    </row>
    <row r="3178" spans="4:4" x14ac:dyDescent="0.4">
      <c r="D3178" s="37" t="s">
        <v>820</v>
      </c>
    </row>
    <row r="3179" spans="4:4" x14ac:dyDescent="0.4">
      <c r="D3179" s="37" t="s">
        <v>820</v>
      </c>
    </row>
    <row r="3180" spans="4:4" x14ac:dyDescent="0.4">
      <c r="D3180" s="37" t="s">
        <v>820</v>
      </c>
    </row>
    <row r="3181" spans="4:4" x14ac:dyDescent="0.4">
      <c r="D3181" s="37" t="s">
        <v>820</v>
      </c>
    </row>
    <row r="3182" spans="4:4" x14ac:dyDescent="0.4">
      <c r="D3182" s="37" t="s">
        <v>5157</v>
      </c>
    </row>
    <row r="3183" spans="4:4" x14ac:dyDescent="0.4">
      <c r="D3183" s="37" t="s">
        <v>805</v>
      </c>
    </row>
    <row r="3184" spans="4:4" x14ac:dyDescent="0.4">
      <c r="D3184" s="37" t="s">
        <v>5157</v>
      </c>
    </row>
    <row r="3185" spans="4:4" x14ac:dyDescent="0.4">
      <c r="D3185" s="37" t="s">
        <v>820</v>
      </c>
    </row>
    <row r="3186" spans="4:4" x14ac:dyDescent="0.4">
      <c r="D3186" s="37" t="s">
        <v>820</v>
      </c>
    </row>
    <row r="3187" spans="4:4" x14ac:dyDescent="0.4">
      <c r="D3187" s="37" t="s">
        <v>820</v>
      </c>
    </row>
    <row r="3188" spans="4:4" x14ac:dyDescent="0.4">
      <c r="D3188" s="37" t="s">
        <v>820</v>
      </c>
    </row>
    <row r="3189" spans="4:4" x14ac:dyDescent="0.4">
      <c r="D3189" s="37" t="s">
        <v>805</v>
      </c>
    </row>
    <row r="3190" spans="4:4" x14ac:dyDescent="0.4">
      <c r="D3190" s="37" t="s">
        <v>820</v>
      </c>
    </row>
    <row r="3191" spans="4:4" x14ac:dyDescent="0.4">
      <c r="D3191" s="37" t="s">
        <v>820</v>
      </c>
    </row>
    <row r="3192" spans="4:4" x14ac:dyDescent="0.4">
      <c r="D3192" s="37" t="s">
        <v>820</v>
      </c>
    </row>
    <row r="3193" spans="4:4" x14ac:dyDescent="0.4">
      <c r="D3193" s="37" t="s">
        <v>820</v>
      </c>
    </row>
    <row r="3194" spans="4:4" x14ac:dyDescent="0.4">
      <c r="D3194" s="37" t="s">
        <v>820</v>
      </c>
    </row>
    <row r="3195" spans="4:4" x14ac:dyDescent="0.4">
      <c r="D3195" s="37" t="s">
        <v>820</v>
      </c>
    </row>
    <row r="3196" spans="4:4" x14ac:dyDescent="0.4">
      <c r="D3196" s="37" t="s">
        <v>820</v>
      </c>
    </row>
    <row r="3197" spans="4:4" x14ac:dyDescent="0.4">
      <c r="D3197" s="37" t="s">
        <v>820</v>
      </c>
    </row>
    <row r="3198" spans="4:4" x14ac:dyDescent="0.4">
      <c r="D3198" s="37" t="s">
        <v>820</v>
      </c>
    </row>
    <row r="3199" spans="4:4" x14ac:dyDescent="0.4">
      <c r="D3199" s="37" t="s">
        <v>820</v>
      </c>
    </row>
    <row r="3200" spans="4:4" x14ac:dyDescent="0.4">
      <c r="D3200" s="37" t="s">
        <v>820</v>
      </c>
    </row>
    <row r="3201" spans="4:4" x14ac:dyDescent="0.4">
      <c r="D3201" s="37" t="s">
        <v>820</v>
      </c>
    </row>
    <row r="3202" spans="4:4" x14ac:dyDescent="0.4">
      <c r="D3202" s="37" t="s">
        <v>820</v>
      </c>
    </row>
    <row r="3203" spans="4:4" x14ac:dyDescent="0.4">
      <c r="D3203" s="37" t="s">
        <v>805</v>
      </c>
    </row>
    <row r="3204" spans="4:4" x14ac:dyDescent="0.4">
      <c r="D3204" s="37" t="s">
        <v>820</v>
      </c>
    </row>
    <row r="3205" spans="4:4" x14ac:dyDescent="0.4">
      <c r="D3205" s="37" t="s">
        <v>820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E15" zoomScaleNormal="100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5152</v>
      </c>
      <c r="B8" s="6"/>
      <c r="C8" s="6"/>
      <c r="D8" s="6"/>
      <c r="E8" s="14"/>
    </row>
    <row r="9" spans="1:7" x14ac:dyDescent="0.4">
      <c r="A9" s="74" t="s">
        <v>5154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757</v>
      </c>
      <c r="B11" s="73" t="s">
        <v>758</v>
      </c>
      <c r="C11" s="75">
        <v>297</v>
      </c>
      <c r="D11" s="75">
        <v>50668200</v>
      </c>
      <c r="E11" s="19">
        <v>8.32</v>
      </c>
      <c r="F11" s="17"/>
      <c r="G11" s="17"/>
    </row>
    <row r="12" spans="1:7" x14ac:dyDescent="0.4">
      <c r="A12" s="72" t="s">
        <v>2246</v>
      </c>
      <c r="B12" s="73" t="s">
        <v>2247</v>
      </c>
      <c r="C12" s="76">
        <v>810</v>
      </c>
      <c r="D12" s="77">
        <v>36895500</v>
      </c>
      <c r="E12" s="15">
        <v>6.06</v>
      </c>
    </row>
    <row r="13" spans="1:7" x14ac:dyDescent="0.4">
      <c r="A13" s="72" t="s">
        <v>158</v>
      </c>
      <c r="B13" s="72" t="s">
        <v>159</v>
      </c>
      <c r="C13" s="77">
        <v>368</v>
      </c>
      <c r="D13" s="77">
        <v>36726400</v>
      </c>
      <c r="E13" s="15">
        <v>6.03</v>
      </c>
    </row>
    <row r="14" spans="1:7" x14ac:dyDescent="0.4">
      <c r="A14" s="72" t="s">
        <v>446</v>
      </c>
      <c r="B14" s="73" t="s">
        <v>447</v>
      </c>
      <c r="C14" s="75">
        <v>168</v>
      </c>
      <c r="D14" s="75">
        <v>23385600</v>
      </c>
      <c r="E14" s="19">
        <v>3.84</v>
      </c>
      <c r="F14" s="17"/>
      <c r="G14" s="17"/>
    </row>
    <row r="15" spans="1:7" x14ac:dyDescent="0.4">
      <c r="A15" s="72" t="s">
        <v>679</v>
      </c>
      <c r="B15" s="73" t="s">
        <v>680</v>
      </c>
      <c r="C15" s="76">
        <v>146</v>
      </c>
      <c r="D15" s="77">
        <v>22221200</v>
      </c>
      <c r="E15" s="15">
        <v>3.65</v>
      </c>
    </row>
    <row r="16" spans="1:7" x14ac:dyDescent="0.4">
      <c r="A16" s="72" t="s">
        <v>488</v>
      </c>
      <c r="B16" s="72" t="s">
        <v>489</v>
      </c>
      <c r="C16" s="76">
        <v>162</v>
      </c>
      <c r="D16" s="77">
        <v>21594600</v>
      </c>
      <c r="E16" s="15">
        <v>3.55</v>
      </c>
    </row>
    <row r="17" spans="1:7" x14ac:dyDescent="0.4">
      <c r="A17" s="72" t="s">
        <v>4625</v>
      </c>
      <c r="B17" s="73" t="s">
        <v>4626</v>
      </c>
      <c r="C17" s="76">
        <v>199</v>
      </c>
      <c r="D17" s="77">
        <v>21113900</v>
      </c>
      <c r="E17" s="15">
        <v>3.47</v>
      </c>
    </row>
    <row r="18" spans="1:7" x14ac:dyDescent="0.4">
      <c r="A18" s="72" t="s">
        <v>434</v>
      </c>
      <c r="B18" s="72" t="s">
        <v>435</v>
      </c>
      <c r="C18" s="77">
        <v>239</v>
      </c>
      <c r="D18" s="77">
        <v>17805500</v>
      </c>
      <c r="E18" s="15">
        <v>2.92</v>
      </c>
    </row>
    <row r="19" spans="1:7" x14ac:dyDescent="0.4">
      <c r="A19" s="72" t="s">
        <v>721</v>
      </c>
      <c r="B19" s="73" t="s">
        <v>722</v>
      </c>
      <c r="C19" s="75">
        <v>168</v>
      </c>
      <c r="D19" s="75">
        <v>16682400</v>
      </c>
      <c r="E19" s="19">
        <v>2.74</v>
      </c>
      <c r="F19" s="17"/>
      <c r="G19" s="17"/>
    </row>
    <row r="20" spans="1:7" x14ac:dyDescent="0.4">
      <c r="A20" s="72" t="s">
        <v>479</v>
      </c>
      <c r="B20" s="72" t="s">
        <v>480</v>
      </c>
      <c r="C20" s="77">
        <v>117</v>
      </c>
      <c r="D20" s="77">
        <v>15666300</v>
      </c>
      <c r="E20" s="15">
        <v>2.57</v>
      </c>
    </row>
    <row r="21" spans="1:7" x14ac:dyDescent="0.4">
      <c r="A21" s="72" t="s">
        <v>31</v>
      </c>
      <c r="B21" s="72" t="s">
        <v>32</v>
      </c>
      <c r="C21" s="77">
        <v>45</v>
      </c>
      <c r="D21" s="77">
        <v>15615000</v>
      </c>
      <c r="E21" s="15">
        <v>2.56</v>
      </c>
    </row>
    <row r="22" spans="1:7" x14ac:dyDescent="0.4">
      <c r="A22" s="72" t="s">
        <v>471</v>
      </c>
      <c r="B22" s="72" t="s">
        <v>472</v>
      </c>
      <c r="C22" s="77">
        <v>96</v>
      </c>
      <c r="D22" s="77">
        <v>14380800</v>
      </c>
      <c r="E22" s="15">
        <v>2.36</v>
      </c>
    </row>
    <row r="23" spans="1:7" x14ac:dyDescent="0.4">
      <c r="A23" s="72" t="s">
        <v>4341</v>
      </c>
      <c r="B23" s="72" t="s">
        <v>4342</v>
      </c>
      <c r="C23" s="76">
        <v>117</v>
      </c>
      <c r="D23" s="77">
        <v>12858300</v>
      </c>
      <c r="E23" s="15">
        <v>2.11</v>
      </c>
    </row>
    <row r="24" spans="1:7" x14ac:dyDescent="0.4">
      <c r="A24" s="72" t="s">
        <v>569</v>
      </c>
      <c r="B24" s="72" t="s">
        <v>570</v>
      </c>
      <c r="C24" s="76">
        <v>44</v>
      </c>
      <c r="D24" s="77">
        <v>11440000</v>
      </c>
      <c r="E24" s="15">
        <v>1.88</v>
      </c>
    </row>
    <row r="25" spans="1:7" x14ac:dyDescent="0.4">
      <c r="A25" s="72" t="s">
        <v>41</v>
      </c>
      <c r="B25" s="72" t="s">
        <v>42</v>
      </c>
      <c r="C25" s="77">
        <v>122</v>
      </c>
      <c r="D25" s="77">
        <v>11358200</v>
      </c>
      <c r="E25" s="15">
        <v>1.86</v>
      </c>
    </row>
    <row r="26" spans="1:7" x14ac:dyDescent="0.4">
      <c r="A26" s="72" t="s">
        <v>35</v>
      </c>
      <c r="B26" s="72" t="s">
        <v>36</v>
      </c>
      <c r="C26" s="77">
        <v>82</v>
      </c>
      <c r="D26" s="77">
        <v>11053600</v>
      </c>
      <c r="E26" s="15">
        <v>1.81</v>
      </c>
    </row>
    <row r="27" spans="1:7" x14ac:dyDescent="0.4">
      <c r="A27" s="72" t="s">
        <v>232</v>
      </c>
      <c r="B27" s="72" t="s">
        <v>233</v>
      </c>
      <c r="C27" s="77">
        <v>38</v>
      </c>
      <c r="D27" s="77">
        <v>10887000</v>
      </c>
      <c r="E27" s="15">
        <v>1.79</v>
      </c>
    </row>
    <row r="28" spans="1:7" x14ac:dyDescent="0.4">
      <c r="A28" s="72" t="s">
        <v>401</v>
      </c>
      <c r="B28" s="73" t="s">
        <v>402</v>
      </c>
      <c r="C28" s="75">
        <v>248</v>
      </c>
      <c r="D28" s="75">
        <v>10403600</v>
      </c>
      <c r="E28" s="19">
        <v>1.71</v>
      </c>
      <c r="F28" s="17"/>
      <c r="G28" s="17"/>
    </row>
    <row r="29" spans="1:7" x14ac:dyDescent="0.4">
      <c r="A29" s="72" t="s">
        <v>45</v>
      </c>
      <c r="B29" s="72" t="s">
        <v>46</v>
      </c>
      <c r="C29" s="77">
        <v>81</v>
      </c>
      <c r="D29" s="77">
        <v>10068300</v>
      </c>
      <c r="E29" s="15">
        <v>1.65</v>
      </c>
    </row>
    <row r="30" spans="1:7" x14ac:dyDescent="0.4">
      <c r="A30" s="72" t="s">
        <v>397</v>
      </c>
      <c r="B30" s="72" t="s">
        <v>398</v>
      </c>
      <c r="C30" s="77">
        <v>91</v>
      </c>
      <c r="D30" s="77">
        <v>9900800</v>
      </c>
      <c r="E30" s="15">
        <v>1.63</v>
      </c>
    </row>
    <row r="31" spans="1:7" x14ac:dyDescent="0.4">
      <c r="A31" s="72" t="s">
        <v>353</v>
      </c>
      <c r="B31" s="72" t="s">
        <v>354</v>
      </c>
      <c r="C31" s="77">
        <v>56</v>
      </c>
      <c r="D31" s="77">
        <v>9200800</v>
      </c>
      <c r="E31" s="15">
        <v>1.51</v>
      </c>
    </row>
    <row r="32" spans="1:7" x14ac:dyDescent="0.4">
      <c r="A32" s="72" t="s">
        <v>737</v>
      </c>
      <c r="B32" s="72" t="s">
        <v>738</v>
      </c>
      <c r="C32" s="77">
        <v>73</v>
      </c>
      <c r="D32" s="77">
        <v>8548300</v>
      </c>
      <c r="E32" s="15">
        <v>1.4</v>
      </c>
    </row>
    <row r="33" spans="1:7" x14ac:dyDescent="0.4">
      <c r="A33" s="72" t="s">
        <v>422</v>
      </c>
      <c r="B33" s="72" t="s">
        <v>423</v>
      </c>
      <c r="C33" s="77">
        <v>77</v>
      </c>
      <c r="D33" s="77">
        <v>8000300</v>
      </c>
      <c r="E33" s="15">
        <v>1.31</v>
      </c>
    </row>
    <row r="34" spans="1:7" x14ac:dyDescent="0.4">
      <c r="A34" s="72" t="s">
        <v>3660</v>
      </c>
      <c r="B34" s="72" t="s">
        <v>3661</v>
      </c>
      <c r="C34" s="77">
        <v>131</v>
      </c>
      <c r="D34" s="77">
        <v>7571800</v>
      </c>
      <c r="E34" s="15">
        <v>1.24</v>
      </c>
    </row>
    <row r="35" spans="1:7" x14ac:dyDescent="0.4">
      <c r="A35" s="72" t="s">
        <v>57</v>
      </c>
      <c r="B35" s="72" t="s">
        <v>58</v>
      </c>
      <c r="C35" s="75">
        <v>182</v>
      </c>
      <c r="D35" s="75">
        <v>7389200</v>
      </c>
      <c r="E35" s="19">
        <v>1.21</v>
      </c>
      <c r="F35" s="17"/>
      <c r="G35" s="17"/>
    </row>
    <row r="36" spans="1:7" x14ac:dyDescent="0.4">
      <c r="A36" s="72" t="s">
        <v>493</v>
      </c>
      <c r="B36" s="72" t="s">
        <v>494</v>
      </c>
      <c r="C36" s="77">
        <v>29</v>
      </c>
      <c r="D36" s="77">
        <v>7119500</v>
      </c>
      <c r="E36" s="15">
        <v>1.17</v>
      </c>
    </row>
    <row r="37" spans="1:7" x14ac:dyDescent="0.4">
      <c r="A37" s="72" t="s">
        <v>4615</v>
      </c>
      <c r="B37" s="72" t="s">
        <v>4616</v>
      </c>
      <c r="C37" s="77">
        <v>124</v>
      </c>
      <c r="D37" s="77">
        <v>7043200</v>
      </c>
      <c r="E37" s="15">
        <v>1.1599999999999999</v>
      </c>
    </row>
    <row r="38" spans="1:7" x14ac:dyDescent="0.4">
      <c r="A38" s="72" t="s">
        <v>236</v>
      </c>
      <c r="B38" s="72" t="s">
        <v>237</v>
      </c>
      <c r="C38" s="77">
        <v>11</v>
      </c>
      <c r="D38" s="77">
        <v>6655000</v>
      </c>
      <c r="E38" s="15">
        <v>1.0900000000000001</v>
      </c>
    </row>
    <row r="39" spans="1:7" x14ac:dyDescent="0.4">
      <c r="A39" s="72" t="s">
        <v>516</v>
      </c>
      <c r="B39" s="72" t="s">
        <v>517</v>
      </c>
      <c r="C39" s="72">
        <v>131</v>
      </c>
      <c r="D39" s="77">
        <v>6530350</v>
      </c>
      <c r="E39" s="15">
        <v>1.07</v>
      </c>
    </row>
    <row r="40" spans="1:7" x14ac:dyDescent="0.4">
      <c r="A40" s="72" t="s">
        <v>719</v>
      </c>
      <c r="B40" s="72" t="s">
        <v>720</v>
      </c>
      <c r="C40" s="72">
        <v>447</v>
      </c>
      <c r="D40" s="77">
        <v>6418920</v>
      </c>
      <c r="E40" s="15">
        <v>1.05</v>
      </c>
    </row>
    <row r="41" spans="1:7" x14ac:dyDescent="0.4">
      <c r="A41" s="72" t="s">
        <v>3350</v>
      </c>
      <c r="B41" s="72" t="s">
        <v>3351</v>
      </c>
      <c r="C41" s="77">
        <v>233</v>
      </c>
      <c r="D41" s="77">
        <v>6279350</v>
      </c>
      <c r="E41" s="15">
        <v>1.03</v>
      </c>
    </row>
    <row r="42" spans="1:7" x14ac:dyDescent="0.4">
      <c r="A42" s="72" t="s">
        <v>61</v>
      </c>
      <c r="B42" s="73" t="s">
        <v>62</v>
      </c>
      <c r="C42" s="75">
        <v>20</v>
      </c>
      <c r="D42" s="75">
        <v>5770000</v>
      </c>
      <c r="E42" s="19">
        <v>0.95</v>
      </c>
      <c r="F42" s="17"/>
      <c r="G42" s="17"/>
    </row>
    <row r="43" spans="1:7" x14ac:dyDescent="0.4">
      <c r="A43" s="72" t="s">
        <v>557</v>
      </c>
      <c r="B43" s="73" t="s">
        <v>558</v>
      </c>
      <c r="C43" s="75">
        <v>213</v>
      </c>
      <c r="D43" s="75">
        <v>5729700</v>
      </c>
      <c r="E43" s="19">
        <v>0.94</v>
      </c>
      <c r="F43" s="17"/>
      <c r="G43" s="17"/>
    </row>
    <row r="44" spans="1:7" x14ac:dyDescent="0.4">
      <c r="A44" s="72" t="s">
        <v>545</v>
      </c>
      <c r="B44" s="72" t="s">
        <v>546</v>
      </c>
      <c r="C44" s="77">
        <v>151</v>
      </c>
      <c r="D44" s="77">
        <v>5700250</v>
      </c>
      <c r="E44" s="15">
        <v>0.94</v>
      </c>
    </row>
    <row r="45" spans="1:7" x14ac:dyDescent="0.4">
      <c r="A45" s="72" t="s">
        <v>3930</v>
      </c>
      <c r="B45" s="72" t="s">
        <v>3931</v>
      </c>
      <c r="C45" s="77">
        <v>76</v>
      </c>
      <c r="D45" s="77">
        <v>5692400</v>
      </c>
      <c r="E45" s="15">
        <v>0.93</v>
      </c>
    </row>
    <row r="46" spans="1:7" x14ac:dyDescent="0.4">
      <c r="A46" s="72" t="s">
        <v>625</v>
      </c>
      <c r="B46" s="72" t="s">
        <v>626</v>
      </c>
      <c r="C46" s="77">
        <v>110</v>
      </c>
      <c r="D46" s="77">
        <v>5522000</v>
      </c>
      <c r="E46" s="15">
        <v>0.91</v>
      </c>
    </row>
    <row r="47" spans="1:7" x14ac:dyDescent="0.4">
      <c r="A47" s="72" t="s">
        <v>761</v>
      </c>
      <c r="B47" s="72" t="s">
        <v>762</v>
      </c>
      <c r="C47" s="77">
        <v>56</v>
      </c>
      <c r="D47" s="77">
        <v>5432000</v>
      </c>
      <c r="E47" s="15">
        <v>0.89</v>
      </c>
    </row>
    <row r="48" spans="1:7" x14ac:dyDescent="0.4">
      <c r="A48" s="72" t="s">
        <v>2001</v>
      </c>
      <c r="B48" s="72" t="s">
        <v>2002</v>
      </c>
      <c r="C48" s="77">
        <v>160</v>
      </c>
      <c r="D48" s="77">
        <v>5048000</v>
      </c>
      <c r="E48" s="15">
        <v>0.83</v>
      </c>
    </row>
    <row r="49" spans="1:5" x14ac:dyDescent="0.4">
      <c r="A49" s="72" t="s">
        <v>631</v>
      </c>
      <c r="B49" s="72" t="s">
        <v>632</v>
      </c>
      <c r="C49" s="77">
        <v>48</v>
      </c>
      <c r="D49" s="77">
        <v>4992000</v>
      </c>
      <c r="E49" s="15">
        <v>0.82</v>
      </c>
    </row>
    <row r="50" spans="1:5" x14ac:dyDescent="0.4">
      <c r="A50" s="72" t="s">
        <v>468</v>
      </c>
      <c r="B50" s="72" t="s">
        <v>469</v>
      </c>
      <c r="C50" s="77">
        <v>88</v>
      </c>
      <c r="D50" s="77">
        <v>4840000</v>
      </c>
      <c r="E50" s="15">
        <v>0.79</v>
      </c>
    </row>
    <row r="51" spans="1:5" x14ac:dyDescent="0.4">
      <c r="A51" s="72" t="s">
        <v>607</v>
      </c>
      <c r="B51" s="72" t="s">
        <v>608</v>
      </c>
      <c r="C51" s="77">
        <v>48</v>
      </c>
      <c r="D51" s="77">
        <v>4454400</v>
      </c>
      <c r="E51" s="15">
        <v>0.73</v>
      </c>
    </row>
    <row r="52" spans="1:5" x14ac:dyDescent="0.4">
      <c r="A52" s="72" t="s">
        <v>361</v>
      </c>
      <c r="B52" s="72" t="s">
        <v>362</v>
      </c>
      <c r="C52" s="77">
        <v>76</v>
      </c>
      <c r="D52" s="77">
        <v>4354800</v>
      </c>
      <c r="E52" s="15">
        <v>0.71</v>
      </c>
    </row>
    <row r="53" spans="1:5" x14ac:dyDescent="0.4">
      <c r="A53" s="72" t="s">
        <v>2919</v>
      </c>
      <c r="B53" s="72" t="s">
        <v>2920</v>
      </c>
      <c r="C53" s="77">
        <v>92</v>
      </c>
      <c r="D53" s="77">
        <v>4213600</v>
      </c>
      <c r="E53" s="15">
        <v>0.69</v>
      </c>
    </row>
    <row r="54" spans="1:5" x14ac:dyDescent="0.4">
      <c r="A54" s="72" t="s">
        <v>3231</v>
      </c>
      <c r="B54" s="72" t="s">
        <v>3232</v>
      </c>
      <c r="C54" s="77">
        <v>65</v>
      </c>
      <c r="D54" s="77">
        <v>4095000</v>
      </c>
      <c r="E54" s="15">
        <v>0.67</v>
      </c>
    </row>
    <row r="55" spans="1:5" x14ac:dyDescent="0.4">
      <c r="A55" s="72" t="s">
        <v>351</v>
      </c>
      <c r="B55" s="72" t="s">
        <v>352</v>
      </c>
      <c r="C55" s="77">
        <v>21</v>
      </c>
      <c r="D55" s="77">
        <v>4000500</v>
      </c>
      <c r="E55" s="15">
        <v>0.66</v>
      </c>
    </row>
    <row r="56" spans="1:5" x14ac:dyDescent="0.4">
      <c r="A56" s="72" t="s">
        <v>637</v>
      </c>
      <c r="B56" s="72" t="s">
        <v>638</v>
      </c>
      <c r="C56" s="72">
        <v>85</v>
      </c>
      <c r="D56" s="77">
        <v>3927000</v>
      </c>
      <c r="E56" s="15">
        <v>0.64</v>
      </c>
    </row>
    <row r="57" spans="1:5" x14ac:dyDescent="0.4">
      <c r="A57" s="72" t="s">
        <v>47</v>
      </c>
      <c r="B57" s="72" t="s">
        <v>48</v>
      </c>
      <c r="C57" s="77">
        <v>112</v>
      </c>
      <c r="D57" s="77">
        <v>3830400</v>
      </c>
      <c r="E57" s="15">
        <v>0.63</v>
      </c>
    </row>
    <row r="58" spans="1:5" x14ac:dyDescent="0.4">
      <c r="A58" s="72" t="s">
        <v>475</v>
      </c>
      <c r="B58" s="72" t="s">
        <v>476</v>
      </c>
      <c r="C58" s="72">
        <v>78</v>
      </c>
      <c r="D58" s="77">
        <v>3740100</v>
      </c>
      <c r="E58" s="15">
        <v>0.61</v>
      </c>
    </row>
    <row r="59" spans="1:5" x14ac:dyDescent="0.4">
      <c r="A59" s="72" t="s">
        <v>279</v>
      </c>
      <c r="B59" s="72" t="s">
        <v>280</v>
      </c>
      <c r="C59" s="72">
        <v>315</v>
      </c>
      <c r="D59" s="77">
        <v>3698100</v>
      </c>
      <c r="E59" s="15">
        <v>0.61</v>
      </c>
    </row>
    <row r="60" spans="1:5" x14ac:dyDescent="0.4">
      <c r="A60" s="72" t="s">
        <v>701</v>
      </c>
      <c r="B60" s="72" t="s">
        <v>702</v>
      </c>
      <c r="C60" s="77">
        <v>79</v>
      </c>
      <c r="D60" s="77">
        <v>3456250</v>
      </c>
      <c r="E60" s="15">
        <v>0.56999999999999995</v>
      </c>
    </row>
    <row r="61" spans="1:5" x14ac:dyDescent="0.4">
      <c r="A61" s="72" t="s">
        <v>49</v>
      </c>
      <c r="B61" s="72" t="s">
        <v>50</v>
      </c>
      <c r="C61" s="77">
        <v>28</v>
      </c>
      <c r="D61" s="77">
        <v>3449600</v>
      </c>
      <c r="E61" s="15">
        <v>0.56999999999999995</v>
      </c>
    </row>
    <row r="62" spans="1:5" x14ac:dyDescent="0.4">
      <c r="A62" s="72" t="s">
        <v>162</v>
      </c>
      <c r="B62" s="72" t="s">
        <v>163</v>
      </c>
      <c r="C62" s="77">
        <v>60</v>
      </c>
      <c r="D62" s="77">
        <v>3324000</v>
      </c>
      <c r="E62" s="15">
        <v>0.55000000000000004</v>
      </c>
    </row>
    <row r="63" spans="1:5" x14ac:dyDescent="0.4">
      <c r="A63" s="72" t="s">
        <v>733</v>
      </c>
      <c r="B63" s="72" t="s">
        <v>734</v>
      </c>
      <c r="C63" s="77">
        <v>42</v>
      </c>
      <c r="D63" s="77">
        <v>3267600</v>
      </c>
      <c r="E63" s="15">
        <v>0.54</v>
      </c>
    </row>
    <row r="64" spans="1:5" x14ac:dyDescent="0.4">
      <c r="A64" s="72" t="s">
        <v>51</v>
      </c>
      <c r="B64" s="72" t="s">
        <v>52</v>
      </c>
      <c r="C64" s="77">
        <v>69</v>
      </c>
      <c r="D64" s="77">
        <v>2973900</v>
      </c>
      <c r="E64" s="15">
        <v>0.49</v>
      </c>
    </row>
    <row r="65" spans="1:5" x14ac:dyDescent="0.4">
      <c r="A65" s="72" t="s">
        <v>4667</v>
      </c>
      <c r="B65" s="72" t="s">
        <v>4668</v>
      </c>
      <c r="C65" s="77">
        <v>56</v>
      </c>
      <c r="D65" s="77">
        <v>2861600</v>
      </c>
      <c r="E65" s="15">
        <v>0.47</v>
      </c>
    </row>
    <row r="66" spans="1:5" x14ac:dyDescent="0.4">
      <c r="A66" s="72" t="s">
        <v>223</v>
      </c>
      <c r="B66" s="72" t="s">
        <v>224</v>
      </c>
      <c r="C66" s="77">
        <v>85</v>
      </c>
      <c r="D66" s="77">
        <v>2673250</v>
      </c>
      <c r="E66" s="15">
        <v>0.44</v>
      </c>
    </row>
    <row r="67" spans="1:5" x14ac:dyDescent="0.4">
      <c r="A67" s="72" t="s">
        <v>4852</v>
      </c>
      <c r="B67" s="72" t="s">
        <v>4853</v>
      </c>
      <c r="C67" s="77">
        <v>175</v>
      </c>
      <c r="D67" s="77">
        <v>2658250</v>
      </c>
      <c r="E67" s="15">
        <v>0.44</v>
      </c>
    </row>
    <row r="68" spans="1:5" x14ac:dyDescent="0.4">
      <c r="A68" s="72" t="s">
        <v>643</v>
      </c>
      <c r="B68" s="72" t="s">
        <v>644</v>
      </c>
      <c r="C68" s="77">
        <v>18</v>
      </c>
      <c r="D68" s="77">
        <v>2656800</v>
      </c>
      <c r="E68" s="15">
        <v>0.44</v>
      </c>
    </row>
    <row r="69" spans="1:5" x14ac:dyDescent="0.4">
      <c r="A69" s="72" t="s">
        <v>3758</v>
      </c>
      <c r="B69" s="72" t="s">
        <v>3759</v>
      </c>
      <c r="C69" s="77">
        <v>177</v>
      </c>
      <c r="D69" s="77">
        <v>2603670</v>
      </c>
      <c r="E69" s="15">
        <v>0.43</v>
      </c>
    </row>
    <row r="70" spans="1:5" x14ac:dyDescent="0.4">
      <c r="A70" s="72" t="s">
        <v>349</v>
      </c>
      <c r="B70" s="72" t="s">
        <v>350</v>
      </c>
      <c r="C70" s="77">
        <v>5</v>
      </c>
      <c r="D70" s="77">
        <v>2520000</v>
      </c>
      <c r="E70" s="15">
        <v>0.41</v>
      </c>
    </row>
    <row r="71" spans="1:5" x14ac:dyDescent="0.4">
      <c r="A71" s="72" t="s">
        <v>5064</v>
      </c>
      <c r="B71" s="72" t="s">
        <v>5192</v>
      </c>
      <c r="C71" s="77">
        <v>101</v>
      </c>
      <c r="D71" s="77">
        <v>2469450</v>
      </c>
      <c r="E71" s="15">
        <v>0.41</v>
      </c>
    </row>
    <row r="72" spans="1:5" x14ac:dyDescent="0.4">
      <c r="A72" s="72" t="s">
        <v>876</v>
      </c>
      <c r="B72" s="72" t="s">
        <v>877</v>
      </c>
      <c r="C72" s="77">
        <v>93</v>
      </c>
      <c r="D72" s="77">
        <v>2418000</v>
      </c>
      <c r="E72" s="15">
        <v>0.4</v>
      </c>
    </row>
    <row r="73" spans="1:5" x14ac:dyDescent="0.4">
      <c r="A73" s="72" t="s">
        <v>613</v>
      </c>
      <c r="B73" s="72" t="s">
        <v>614</v>
      </c>
      <c r="C73" s="77">
        <v>46</v>
      </c>
      <c r="D73" s="77">
        <v>2410400</v>
      </c>
      <c r="E73" s="15">
        <v>0.4</v>
      </c>
    </row>
    <row r="74" spans="1:5" x14ac:dyDescent="0.4">
      <c r="A74" s="72" t="s">
        <v>39</v>
      </c>
      <c r="B74" s="72" t="s">
        <v>40</v>
      </c>
      <c r="C74" s="72">
        <v>11</v>
      </c>
      <c r="D74" s="77">
        <v>2277000</v>
      </c>
      <c r="E74" s="15">
        <v>0.37</v>
      </c>
    </row>
    <row r="75" spans="1:5" x14ac:dyDescent="0.4">
      <c r="A75" s="72" t="s">
        <v>3251</v>
      </c>
      <c r="B75" s="72" t="s">
        <v>3252</v>
      </c>
      <c r="C75" s="72">
        <v>46</v>
      </c>
      <c r="D75" s="77">
        <v>2263200</v>
      </c>
      <c r="E75" s="15">
        <v>0.37</v>
      </c>
    </row>
    <row r="76" spans="1:5" x14ac:dyDescent="0.4">
      <c r="A76" s="72" t="s">
        <v>2482</v>
      </c>
      <c r="B76" s="72" t="s">
        <v>2483</v>
      </c>
      <c r="C76" s="72">
        <v>254</v>
      </c>
      <c r="D76" s="77">
        <v>2207260</v>
      </c>
      <c r="E76" s="15">
        <v>0.36</v>
      </c>
    </row>
    <row r="77" spans="1:5" x14ac:dyDescent="0.4">
      <c r="A77" s="72" t="s">
        <v>603</v>
      </c>
      <c r="B77" s="72" t="s">
        <v>604</v>
      </c>
      <c r="C77" s="77">
        <v>46</v>
      </c>
      <c r="D77" s="77">
        <v>1936600</v>
      </c>
      <c r="E77" s="15">
        <v>0.32</v>
      </c>
    </row>
    <row r="78" spans="1:5" x14ac:dyDescent="0.4">
      <c r="A78" s="72" t="s">
        <v>3442</v>
      </c>
      <c r="B78" s="72" t="s">
        <v>3443</v>
      </c>
      <c r="C78" s="72">
        <v>204</v>
      </c>
      <c r="D78" s="77">
        <v>1827840</v>
      </c>
      <c r="E78" s="15">
        <v>0.3</v>
      </c>
    </row>
    <row r="79" spans="1:5" x14ac:dyDescent="0.4">
      <c r="A79" s="72" t="s">
        <v>470</v>
      </c>
      <c r="B79" s="72" t="s">
        <v>5179</v>
      </c>
      <c r="C79" s="72">
        <v>58</v>
      </c>
      <c r="D79" s="77">
        <v>1696500</v>
      </c>
      <c r="E79" s="15">
        <v>0.28000000000000003</v>
      </c>
    </row>
    <row r="80" spans="1:5" x14ac:dyDescent="0.4">
      <c r="A80" s="72" t="s">
        <v>671</v>
      </c>
      <c r="B80" s="72" t="s">
        <v>672</v>
      </c>
      <c r="C80" s="72">
        <v>104</v>
      </c>
      <c r="D80" s="77">
        <v>1632800</v>
      </c>
      <c r="E80" s="15">
        <v>0.27</v>
      </c>
    </row>
    <row r="81" spans="1:5" x14ac:dyDescent="0.4">
      <c r="A81" s="72" t="s">
        <v>4774</v>
      </c>
      <c r="B81" s="72" t="s">
        <v>4775</v>
      </c>
      <c r="C81" s="72">
        <v>52</v>
      </c>
      <c r="D81" s="77">
        <v>1630200</v>
      </c>
      <c r="E81" s="15">
        <v>0.27</v>
      </c>
    </row>
    <row r="82" spans="1:5" x14ac:dyDescent="0.4">
      <c r="A82" s="72" t="s">
        <v>3444</v>
      </c>
      <c r="B82" s="72" t="s">
        <v>3445</v>
      </c>
      <c r="C82" s="77">
        <v>126</v>
      </c>
      <c r="D82" s="77">
        <v>1598940</v>
      </c>
      <c r="E82" s="15">
        <v>0.26</v>
      </c>
    </row>
    <row r="83" spans="1:5" x14ac:dyDescent="0.4">
      <c r="A83" s="72" t="s">
        <v>420</v>
      </c>
      <c r="B83" s="72" t="s">
        <v>421</v>
      </c>
      <c r="C83" s="72">
        <v>40</v>
      </c>
      <c r="D83" s="77">
        <v>1482000</v>
      </c>
      <c r="E83" s="15">
        <v>0.24</v>
      </c>
    </row>
    <row r="84" spans="1:5" x14ac:dyDescent="0.4">
      <c r="A84" s="72" t="s">
        <v>4846</v>
      </c>
      <c r="B84" s="72" t="s">
        <v>4847</v>
      </c>
      <c r="C84" s="77">
        <v>88</v>
      </c>
      <c r="D84" s="77">
        <v>1435280</v>
      </c>
      <c r="E84" s="15">
        <v>0.24</v>
      </c>
    </row>
    <row r="85" spans="1:5" x14ac:dyDescent="0.4">
      <c r="A85" s="72" t="s">
        <v>3532</v>
      </c>
      <c r="B85" s="72" t="s">
        <v>3533</v>
      </c>
      <c r="C85" s="77">
        <v>28</v>
      </c>
      <c r="D85" s="77">
        <v>856800</v>
      </c>
      <c r="E85" s="15">
        <v>0.14000000000000001</v>
      </c>
    </row>
    <row r="86" spans="1:5" x14ac:dyDescent="0.4">
      <c r="A86" s="72" t="s">
        <v>221</v>
      </c>
      <c r="B86" s="72" t="s">
        <v>222</v>
      </c>
      <c r="C86" s="77">
        <v>15</v>
      </c>
      <c r="D86" s="77">
        <v>667500</v>
      </c>
      <c r="E86" s="15">
        <v>0.11</v>
      </c>
    </row>
    <row r="87" spans="1:5" x14ac:dyDescent="0.4">
      <c r="A87" s="72" t="s">
        <v>258</v>
      </c>
      <c r="B87" s="72" t="s">
        <v>259</v>
      </c>
      <c r="C87" s="77">
        <v>22</v>
      </c>
      <c r="D87" s="77">
        <v>484000</v>
      </c>
      <c r="E87" s="15">
        <v>0.08</v>
      </c>
    </row>
    <row r="88" spans="1:5" x14ac:dyDescent="0.4">
      <c r="A88" s="72" t="s">
        <v>3836</v>
      </c>
      <c r="B88" s="72" t="s">
        <v>3837</v>
      </c>
      <c r="C88" s="77">
        <v>41</v>
      </c>
      <c r="D88" s="77">
        <v>425990</v>
      </c>
      <c r="E88" s="15">
        <v>7.0000000000000007E-2</v>
      </c>
    </row>
    <row r="89" spans="1:5" x14ac:dyDescent="0.4">
      <c r="A89" s="72" t="s">
        <v>2043</v>
      </c>
      <c r="B89" s="72" t="s">
        <v>2044</v>
      </c>
      <c r="C89" s="77">
        <v>97</v>
      </c>
      <c r="D89" s="77">
        <v>415160</v>
      </c>
      <c r="E89" s="15">
        <v>7.0000000000000007E-2</v>
      </c>
    </row>
    <row r="90" spans="1:5" x14ac:dyDescent="0.4">
      <c r="A90" s="72"/>
      <c r="B90" s="72" t="s">
        <v>10</v>
      </c>
      <c r="C90" s="77">
        <v>-2184572</v>
      </c>
      <c r="D90" s="77">
        <v>-2184572</v>
      </c>
      <c r="E90" s="15"/>
    </row>
    <row r="91" spans="1:5" x14ac:dyDescent="0.4">
      <c r="C91" s="13"/>
      <c r="D91" s="13"/>
      <c r="E91" s="72"/>
    </row>
    <row r="92" spans="1:5" x14ac:dyDescent="0.4">
      <c r="C92" s="13"/>
      <c r="D92" s="13"/>
      <c r="E92" s="72"/>
    </row>
    <row r="93" spans="1:5" x14ac:dyDescent="0.4">
      <c r="C93" s="13"/>
      <c r="D93" s="13"/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5152</v>
      </c>
      <c r="B8" s="6"/>
      <c r="C8" s="6"/>
      <c r="D8" s="6"/>
      <c r="E8" s="14"/>
    </row>
    <row r="9" spans="1:5" x14ac:dyDescent="0.4">
      <c r="A9" s="74" t="s">
        <v>5154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757</v>
      </c>
      <c r="B11" s="72" t="s">
        <v>758</v>
      </c>
      <c r="C11" s="77">
        <v>297</v>
      </c>
      <c r="D11" s="77">
        <v>35372700</v>
      </c>
      <c r="E11" s="15">
        <v>5.84</v>
      </c>
    </row>
    <row r="12" spans="1:5" x14ac:dyDescent="0.4">
      <c r="A12" s="72" t="s">
        <v>158</v>
      </c>
      <c r="B12" s="72" t="s">
        <v>159</v>
      </c>
      <c r="C12" s="76">
        <v>326</v>
      </c>
      <c r="D12" s="77">
        <v>31752400</v>
      </c>
      <c r="E12" s="15">
        <v>5.24</v>
      </c>
    </row>
    <row r="13" spans="1:5" x14ac:dyDescent="0.4">
      <c r="A13" s="72" t="s">
        <v>2246</v>
      </c>
      <c r="B13" s="72" t="s">
        <v>2247</v>
      </c>
      <c r="C13" s="77">
        <v>926</v>
      </c>
      <c r="D13" s="77">
        <v>30928400</v>
      </c>
      <c r="E13" s="15">
        <v>5.1100000000000003</v>
      </c>
    </row>
    <row r="14" spans="1:5" x14ac:dyDescent="0.4">
      <c r="A14" s="72" t="s">
        <v>721</v>
      </c>
      <c r="B14" s="72" t="s">
        <v>722</v>
      </c>
      <c r="C14" s="77">
        <v>214</v>
      </c>
      <c r="D14" s="77">
        <v>23989400</v>
      </c>
      <c r="E14" s="15">
        <v>3.96</v>
      </c>
    </row>
    <row r="15" spans="1:5" x14ac:dyDescent="0.4">
      <c r="A15" s="72" t="s">
        <v>679</v>
      </c>
      <c r="B15" s="72" t="s">
        <v>680</v>
      </c>
      <c r="C15" s="76">
        <v>146</v>
      </c>
      <c r="D15" s="77">
        <v>22965800</v>
      </c>
      <c r="E15" s="15">
        <v>3.79</v>
      </c>
    </row>
    <row r="16" spans="1:5" x14ac:dyDescent="0.4">
      <c r="A16" s="72" t="s">
        <v>4625</v>
      </c>
      <c r="B16" s="72" t="s">
        <v>4626</v>
      </c>
      <c r="C16" s="76">
        <v>199</v>
      </c>
      <c r="D16" s="77">
        <v>22447200</v>
      </c>
      <c r="E16" s="15">
        <v>3.71</v>
      </c>
    </row>
    <row r="17" spans="1:5" x14ac:dyDescent="0.4">
      <c r="A17" s="72" t="s">
        <v>434</v>
      </c>
      <c r="B17" s="72" t="s">
        <v>435</v>
      </c>
      <c r="C17" s="76">
        <v>239</v>
      </c>
      <c r="D17" s="77">
        <v>18546400</v>
      </c>
      <c r="E17" s="15">
        <v>3.06</v>
      </c>
    </row>
    <row r="18" spans="1:5" x14ac:dyDescent="0.4">
      <c r="A18" s="72" t="s">
        <v>488</v>
      </c>
      <c r="B18" s="72" t="s">
        <v>489</v>
      </c>
      <c r="C18" s="77">
        <v>147</v>
      </c>
      <c r="D18" s="77">
        <v>17360700</v>
      </c>
      <c r="E18" s="15">
        <v>2.87</v>
      </c>
    </row>
    <row r="19" spans="1:5" x14ac:dyDescent="0.4">
      <c r="A19" s="72" t="s">
        <v>4341</v>
      </c>
      <c r="B19" s="72" t="s">
        <v>4342</v>
      </c>
      <c r="C19" s="77">
        <v>157</v>
      </c>
      <c r="D19" s="77">
        <v>17238600</v>
      </c>
      <c r="E19" s="15">
        <v>2.85</v>
      </c>
    </row>
    <row r="20" spans="1:5" x14ac:dyDescent="0.4">
      <c r="A20" s="72" t="s">
        <v>446</v>
      </c>
      <c r="B20" s="72" t="s">
        <v>447</v>
      </c>
      <c r="C20" s="77">
        <v>168</v>
      </c>
      <c r="D20" s="77">
        <v>15120000</v>
      </c>
      <c r="E20" s="15">
        <v>2.5</v>
      </c>
    </row>
    <row r="21" spans="1:5" x14ac:dyDescent="0.4">
      <c r="A21" s="72" t="s">
        <v>31</v>
      </c>
      <c r="B21" s="72" t="s">
        <v>32</v>
      </c>
      <c r="C21" s="77">
        <v>40</v>
      </c>
      <c r="D21" s="77">
        <v>14760000</v>
      </c>
      <c r="E21" s="15">
        <v>2.44</v>
      </c>
    </row>
    <row r="22" spans="1:5" x14ac:dyDescent="0.4">
      <c r="A22" s="72" t="s">
        <v>45</v>
      </c>
      <c r="B22" s="72" t="s">
        <v>46</v>
      </c>
      <c r="C22" s="77">
        <v>81</v>
      </c>
      <c r="D22" s="77">
        <v>14183100</v>
      </c>
      <c r="E22" s="15">
        <v>2.34</v>
      </c>
    </row>
    <row r="23" spans="1:5" x14ac:dyDescent="0.4">
      <c r="A23" s="72" t="s">
        <v>41</v>
      </c>
      <c r="B23" s="72" t="s">
        <v>42</v>
      </c>
      <c r="C23" s="76">
        <v>122</v>
      </c>
      <c r="D23" s="77">
        <v>13651800</v>
      </c>
      <c r="E23" s="15">
        <v>2.25</v>
      </c>
    </row>
    <row r="24" spans="1:5" x14ac:dyDescent="0.4">
      <c r="A24" s="72" t="s">
        <v>401</v>
      </c>
      <c r="B24" s="72" t="s">
        <v>402</v>
      </c>
      <c r="C24" s="76">
        <v>248</v>
      </c>
      <c r="D24" s="77">
        <v>13094400</v>
      </c>
      <c r="E24" s="15">
        <v>2.16</v>
      </c>
    </row>
    <row r="25" spans="1:5" x14ac:dyDescent="0.4">
      <c r="A25" s="72" t="s">
        <v>397</v>
      </c>
      <c r="B25" s="72" t="s">
        <v>398</v>
      </c>
      <c r="C25" s="77">
        <v>91</v>
      </c>
      <c r="D25" s="77">
        <v>12649000</v>
      </c>
      <c r="E25" s="15">
        <v>2.09</v>
      </c>
    </row>
    <row r="26" spans="1:5" x14ac:dyDescent="0.4">
      <c r="A26" s="72" t="s">
        <v>35</v>
      </c>
      <c r="B26" s="72" t="s">
        <v>36</v>
      </c>
      <c r="C26" s="77">
        <v>82</v>
      </c>
      <c r="D26" s="77">
        <v>12390200</v>
      </c>
      <c r="E26" s="15">
        <v>2.0499999999999998</v>
      </c>
    </row>
    <row r="27" spans="1:5" x14ac:dyDescent="0.4">
      <c r="A27" s="72" t="s">
        <v>353</v>
      </c>
      <c r="B27" s="72" t="s">
        <v>354</v>
      </c>
      <c r="C27" s="77">
        <v>56</v>
      </c>
      <c r="D27" s="77">
        <v>12152000</v>
      </c>
      <c r="E27" s="15">
        <v>2.0099999999999998</v>
      </c>
    </row>
    <row r="28" spans="1:5" x14ac:dyDescent="0.4">
      <c r="A28" s="72" t="s">
        <v>232</v>
      </c>
      <c r="B28" s="72" t="s">
        <v>233</v>
      </c>
      <c r="C28" s="77">
        <v>37</v>
      </c>
      <c r="D28" s="77">
        <v>12043500</v>
      </c>
      <c r="E28" s="15">
        <v>1.99</v>
      </c>
    </row>
    <row r="29" spans="1:5" x14ac:dyDescent="0.4">
      <c r="A29" s="72" t="s">
        <v>422</v>
      </c>
      <c r="B29" s="72" t="s">
        <v>423</v>
      </c>
      <c r="C29" s="77">
        <v>77</v>
      </c>
      <c r="D29" s="77">
        <v>11473000</v>
      </c>
      <c r="E29" s="15">
        <v>1.89</v>
      </c>
    </row>
    <row r="30" spans="1:5" x14ac:dyDescent="0.4">
      <c r="A30" s="72" t="s">
        <v>737</v>
      </c>
      <c r="B30" s="72" t="s">
        <v>738</v>
      </c>
      <c r="C30" s="77">
        <v>73</v>
      </c>
      <c r="D30" s="77">
        <v>11176300</v>
      </c>
      <c r="E30" s="15">
        <v>1.85</v>
      </c>
    </row>
    <row r="31" spans="1:5" x14ac:dyDescent="0.4">
      <c r="A31" s="72" t="s">
        <v>493</v>
      </c>
      <c r="B31" s="72" t="s">
        <v>494</v>
      </c>
      <c r="C31" s="77">
        <v>53</v>
      </c>
      <c r="D31" s="77">
        <v>10600000</v>
      </c>
      <c r="E31" s="15">
        <v>1.75</v>
      </c>
    </row>
    <row r="32" spans="1:5" x14ac:dyDescent="0.4">
      <c r="A32" s="72" t="s">
        <v>479</v>
      </c>
      <c r="B32" s="72" t="s">
        <v>480</v>
      </c>
      <c r="C32" s="77">
        <v>99</v>
      </c>
      <c r="D32" s="77">
        <v>10553400</v>
      </c>
      <c r="E32" s="15">
        <v>1.74</v>
      </c>
    </row>
    <row r="33" spans="1:5" x14ac:dyDescent="0.4">
      <c r="A33" s="72" t="s">
        <v>4615</v>
      </c>
      <c r="B33" s="72" t="s">
        <v>4616</v>
      </c>
      <c r="C33" s="77">
        <v>134</v>
      </c>
      <c r="D33" s="77">
        <v>9808800</v>
      </c>
      <c r="E33" s="15">
        <v>1.62</v>
      </c>
    </row>
    <row r="34" spans="1:5" x14ac:dyDescent="0.4">
      <c r="A34" s="72" t="s">
        <v>471</v>
      </c>
      <c r="B34" s="72" t="s">
        <v>472</v>
      </c>
      <c r="C34" s="77">
        <v>90</v>
      </c>
      <c r="D34" s="77">
        <v>8865000</v>
      </c>
      <c r="E34" s="15">
        <v>1.46</v>
      </c>
    </row>
    <row r="35" spans="1:5" x14ac:dyDescent="0.4">
      <c r="A35" s="72" t="s">
        <v>57</v>
      </c>
      <c r="B35" s="72" t="s">
        <v>58</v>
      </c>
      <c r="C35" s="77">
        <v>196</v>
      </c>
      <c r="D35" s="77">
        <v>8241800</v>
      </c>
      <c r="E35" s="15">
        <v>1.36</v>
      </c>
    </row>
    <row r="36" spans="1:5" x14ac:dyDescent="0.4">
      <c r="A36" s="72" t="s">
        <v>631</v>
      </c>
      <c r="B36" s="72" t="s">
        <v>632</v>
      </c>
      <c r="C36" s="77">
        <v>59</v>
      </c>
      <c r="D36" s="77">
        <v>7852900</v>
      </c>
      <c r="E36" s="15">
        <v>1.3</v>
      </c>
    </row>
    <row r="37" spans="1:5" x14ac:dyDescent="0.4">
      <c r="A37" s="72" t="s">
        <v>236</v>
      </c>
      <c r="B37" s="72" t="s">
        <v>237</v>
      </c>
      <c r="C37" s="77">
        <v>11</v>
      </c>
      <c r="D37" s="77">
        <v>7722000</v>
      </c>
      <c r="E37" s="15">
        <v>1.28</v>
      </c>
    </row>
    <row r="38" spans="1:5" x14ac:dyDescent="0.4">
      <c r="A38" s="72" t="s">
        <v>516</v>
      </c>
      <c r="B38" s="72" t="s">
        <v>517</v>
      </c>
      <c r="C38" s="77">
        <v>131</v>
      </c>
      <c r="D38" s="77">
        <v>7257400</v>
      </c>
      <c r="E38" s="15">
        <v>1.2</v>
      </c>
    </row>
    <row r="39" spans="1:5" x14ac:dyDescent="0.4">
      <c r="A39" s="72" t="s">
        <v>569</v>
      </c>
      <c r="B39" s="72" t="s">
        <v>570</v>
      </c>
      <c r="C39" s="72">
        <v>36</v>
      </c>
      <c r="D39" s="77">
        <v>7196400</v>
      </c>
      <c r="E39" s="15">
        <v>1.19</v>
      </c>
    </row>
    <row r="40" spans="1:5" x14ac:dyDescent="0.4">
      <c r="A40" s="72" t="s">
        <v>3930</v>
      </c>
      <c r="B40" s="72" t="s">
        <v>3931</v>
      </c>
      <c r="C40" s="72">
        <v>76</v>
      </c>
      <c r="D40" s="77">
        <v>6847600</v>
      </c>
      <c r="E40" s="15">
        <v>1.1299999999999999</v>
      </c>
    </row>
    <row r="41" spans="1:5" x14ac:dyDescent="0.4">
      <c r="A41" s="72" t="s">
        <v>3350</v>
      </c>
      <c r="B41" s="72" t="s">
        <v>3351</v>
      </c>
      <c r="C41" s="72">
        <v>233</v>
      </c>
      <c r="D41" s="77">
        <v>6442450</v>
      </c>
      <c r="E41" s="15">
        <v>1.06</v>
      </c>
    </row>
    <row r="42" spans="1:5" x14ac:dyDescent="0.4">
      <c r="A42" s="72" t="s">
        <v>625</v>
      </c>
      <c r="B42" s="72" t="s">
        <v>626</v>
      </c>
      <c r="C42" s="72">
        <v>110</v>
      </c>
      <c r="D42" s="77">
        <v>6435000</v>
      </c>
      <c r="E42" s="15">
        <v>1.06</v>
      </c>
    </row>
    <row r="43" spans="1:5" x14ac:dyDescent="0.4">
      <c r="A43" s="72" t="s">
        <v>607</v>
      </c>
      <c r="B43" s="72" t="s">
        <v>608</v>
      </c>
      <c r="C43" s="77">
        <v>48</v>
      </c>
      <c r="D43" s="77">
        <v>6052800</v>
      </c>
      <c r="E43" s="15">
        <v>1</v>
      </c>
    </row>
    <row r="44" spans="1:5" x14ac:dyDescent="0.4">
      <c r="A44" s="72" t="s">
        <v>545</v>
      </c>
      <c r="B44" s="72" t="s">
        <v>546</v>
      </c>
      <c r="C44" s="77">
        <v>151</v>
      </c>
      <c r="D44" s="77">
        <v>5911650</v>
      </c>
      <c r="E44" s="15">
        <v>0.98</v>
      </c>
    </row>
    <row r="45" spans="1:5" x14ac:dyDescent="0.4">
      <c r="A45" s="72" t="s">
        <v>761</v>
      </c>
      <c r="B45" s="72" t="s">
        <v>762</v>
      </c>
      <c r="C45" s="77">
        <v>56</v>
      </c>
      <c r="D45" s="77">
        <v>5476800</v>
      </c>
      <c r="E45" s="15">
        <v>0.9</v>
      </c>
    </row>
    <row r="46" spans="1:5" x14ac:dyDescent="0.4">
      <c r="A46" s="72" t="s">
        <v>557</v>
      </c>
      <c r="B46" s="72" t="s">
        <v>558</v>
      </c>
      <c r="C46" s="77">
        <v>170</v>
      </c>
      <c r="D46" s="77">
        <v>5363500</v>
      </c>
      <c r="E46" s="15">
        <v>0.89</v>
      </c>
    </row>
    <row r="47" spans="1:5" x14ac:dyDescent="0.4">
      <c r="A47" s="72" t="s">
        <v>61</v>
      </c>
      <c r="B47" s="72" t="s">
        <v>62</v>
      </c>
      <c r="C47" s="77">
        <v>18</v>
      </c>
      <c r="D47" s="77">
        <v>5310000</v>
      </c>
      <c r="E47" s="15">
        <v>0.88</v>
      </c>
    </row>
    <row r="48" spans="1:5" x14ac:dyDescent="0.4">
      <c r="A48" s="72" t="s">
        <v>719</v>
      </c>
      <c r="B48" s="72" t="s">
        <v>720</v>
      </c>
      <c r="C48" s="77">
        <v>397</v>
      </c>
      <c r="D48" s="77">
        <v>5157030</v>
      </c>
      <c r="E48" s="15">
        <v>0.85</v>
      </c>
    </row>
    <row r="49" spans="1:5" x14ac:dyDescent="0.4">
      <c r="A49" s="72" t="s">
        <v>637</v>
      </c>
      <c r="B49" s="72" t="s">
        <v>638</v>
      </c>
      <c r="C49" s="77">
        <v>85</v>
      </c>
      <c r="D49" s="77">
        <v>4947000</v>
      </c>
      <c r="E49" s="15">
        <v>0.82</v>
      </c>
    </row>
    <row r="50" spans="1:5" x14ac:dyDescent="0.4">
      <c r="A50" s="72" t="s">
        <v>2919</v>
      </c>
      <c r="B50" s="72" t="s">
        <v>2920</v>
      </c>
      <c r="C50" s="77">
        <v>92</v>
      </c>
      <c r="D50" s="77">
        <v>4839200</v>
      </c>
      <c r="E50" s="15">
        <v>0.8</v>
      </c>
    </row>
    <row r="51" spans="1:5" x14ac:dyDescent="0.4">
      <c r="A51" s="72" t="s">
        <v>3660</v>
      </c>
      <c r="B51" s="72" t="s">
        <v>3661</v>
      </c>
      <c r="C51" s="77">
        <v>117</v>
      </c>
      <c r="D51" s="77">
        <v>4475250</v>
      </c>
      <c r="E51" s="15">
        <v>0.74</v>
      </c>
    </row>
    <row r="52" spans="1:5" x14ac:dyDescent="0.4">
      <c r="A52" s="72" t="s">
        <v>468</v>
      </c>
      <c r="B52" s="72" t="s">
        <v>469</v>
      </c>
      <c r="C52" s="77">
        <v>88</v>
      </c>
      <c r="D52" s="77">
        <v>4281200</v>
      </c>
      <c r="E52" s="15">
        <v>0.71</v>
      </c>
    </row>
    <row r="53" spans="1:5" x14ac:dyDescent="0.4">
      <c r="A53" s="72" t="s">
        <v>351</v>
      </c>
      <c r="B53" s="72" t="s">
        <v>352</v>
      </c>
      <c r="C53" s="77">
        <v>21</v>
      </c>
      <c r="D53" s="77">
        <v>4252500</v>
      </c>
      <c r="E53" s="15">
        <v>0.7</v>
      </c>
    </row>
    <row r="54" spans="1:5" x14ac:dyDescent="0.4">
      <c r="A54" s="72" t="s">
        <v>701</v>
      </c>
      <c r="B54" s="72" t="s">
        <v>702</v>
      </c>
      <c r="C54" s="77">
        <v>79</v>
      </c>
      <c r="D54" s="77">
        <v>3926300</v>
      </c>
      <c r="E54" s="15">
        <v>0.65</v>
      </c>
    </row>
    <row r="55" spans="1:5" x14ac:dyDescent="0.4">
      <c r="A55" s="72" t="s">
        <v>47</v>
      </c>
      <c r="B55" s="72" t="s">
        <v>48</v>
      </c>
      <c r="C55" s="72">
        <v>112</v>
      </c>
      <c r="D55" s="77">
        <v>3841600</v>
      </c>
      <c r="E55" s="15">
        <v>0.63</v>
      </c>
    </row>
    <row r="56" spans="1:5" x14ac:dyDescent="0.4">
      <c r="A56" s="72" t="s">
        <v>49</v>
      </c>
      <c r="B56" s="72" t="s">
        <v>50</v>
      </c>
      <c r="C56" s="72">
        <v>28</v>
      </c>
      <c r="D56" s="77">
        <v>3754800</v>
      </c>
      <c r="E56" s="15">
        <v>0.62</v>
      </c>
    </row>
    <row r="57" spans="1:5" x14ac:dyDescent="0.4">
      <c r="A57" s="72" t="s">
        <v>3231</v>
      </c>
      <c r="B57" s="72" t="s">
        <v>3232</v>
      </c>
      <c r="C57" s="72">
        <v>56</v>
      </c>
      <c r="D57" s="77">
        <v>3684800</v>
      </c>
      <c r="E57" s="15">
        <v>0.61</v>
      </c>
    </row>
    <row r="58" spans="1:5" x14ac:dyDescent="0.4">
      <c r="A58" s="72" t="s">
        <v>1619</v>
      </c>
      <c r="B58" s="72" t="s">
        <v>1620</v>
      </c>
      <c r="C58" s="72">
        <v>491</v>
      </c>
      <c r="D58" s="77">
        <v>3628490</v>
      </c>
      <c r="E58" s="15">
        <v>0.6</v>
      </c>
    </row>
    <row r="59" spans="1:5" x14ac:dyDescent="0.4">
      <c r="A59" s="72" t="s">
        <v>27</v>
      </c>
      <c r="B59" s="72" t="s">
        <v>28</v>
      </c>
      <c r="C59" s="72">
        <v>48</v>
      </c>
      <c r="D59" s="77">
        <v>3499200</v>
      </c>
      <c r="E59" s="15">
        <v>0.57999999999999996</v>
      </c>
    </row>
    <row r="60" spans="1:5" x14ac:dyDescent="0.4">
      <c r="A60" s="72" t="s">
        <v>4667</v>
      </c>
      <c r="B60" s="72" t="s">
        <v>4668</v>
      </c>
      <c r="C60" s="72">
        <v>56</v>
      </c>
      <c r="D60" s="77">
        <v>3416000</v>
      </c>
      <c r="E60" s="15">
        <v>0.56000000000000005</v>
      </c>
    </row>
    <row r="61" spans="1:5" x14ac:dyDescent="0.4">
      <c r="A61" s="72" t="s">
        <v>279</v>
      </c>
      <c r="B61" s="72" t="s">
        <v>280</v>
      </c>
      <c r="C61" s="77">
        <v>315</v>
      </c>
      <c r="D61" s="77">
        <v>3361050</v>
      </c>
      <c r="E61" s="15">
        <v>0.56000000000000005</v>
      </c>
    </row>
    <row r="62" spans="1:5" x14ac:dyDescent="0.4">
      <c r="A62" s="72" t="s">
        <v>733</v>
      </c>
      <c r="B62" s="72" t="s">
        <v>734</v>
      </c>
      <c r="C62" s="77">
        <v>42</v>
      </c>
      <c r="D62" s="77">
        <v>3347400</v>
      </c>
      <c r="E62" s="15">
        <v>0.55000000000000004</v>
      </c>
    </row>
    <row r="63" spans="1:5" x14ac:dyDescent="0.4">
      <c r="A63" s="72" t="s">
        <v>39</v>
      </c>
      <c r="B63" s="72" t="s">
        <v>40</v>
      </c>
      <c r="C63" s="77">
        <v>11</v>
      </c>
      <c r="D63" s="77">
        <v>3157000</v>
      </c>
      <c r="E63" s="15">
        <v>0.52</v>
      </c>
    </row>
    <row r="64" spans="1:5" x14ac:dyDescent="0.4">
      <c r="A64" s="72" t="s">
        <v>223</v>
      </c>
      <c r="B64" s="72" t="s">
        <v>224</v>
      </c>
      <c r="C64" s="77">
        <v>85</v>
      </c>
      <c r="D64" s="77">
        <v>3115250</v>
      </c>
      <c r="E64" s="15">
        <v>0.51</v>
      </c>
    </row>
    <row r="65" spans="1:5" x14ac:dyDescent="0.4">
      <c r="A65" s="72" t="s">
        <v>361</v>
      </c>
      <c r="B65" s="72" t="s">
        <v>362</v>
      </c>
      <c r="C65" s="77">
        <v>64</v>
      </c>
      <c r="D65" s="77">
        <v>2976000</v>
      </c>
      <c r="E65" s="15">
        <v>0.49</v>
      </c>
    </row>
    <row r="66" spans="1:5" x14ac:dyDescent="0.4">
      <c r="A66" s="72" t="s">
        <v>2001</v>
      </c>
      <c r="B66" s="72" t="s">
        <v>2002</v>
      </c>
      <c r="C66" s="77">
        <v>86</v>
      </c>
      <c r="D66" s="77">
        <v>2919700</v>
      </c>
      <c r="E66" s="15">
        <v>0.48</v>
      </c>
    </row>
    <row r="67" spans="1:5" x14ac:dyDescent="0.4">
      <c r="A67" s="72" t="s">
        <v>5064</v>
      </c>
      <c r="B67" s="72" t="s">
        <v>5192</v>
      </c>
      <c r="C67" s="77">
        <v>101</v>
      </c>
      <c r="D67" s="77">
        <v>2646200</v>
      </c>
      <c r="E67" s="15">
        <v>0.44</v>
      </c>
    </row>
    <row r="68" spans="1:5" x14ac:dyDescent="0.4">
      <c r="A68" s="72" t="s">
        <v>4774</v>
      </c>
      <c r="B68" s="72" t="s">
        <v>4775</v>
      </c>
      <c r="C68" s="77">
        <v>62</v>
      </c>
      <c r="D68" s="77">
        <v>2461400</v>
      </c>
      <c r="E68" s="15">
        <v>0.41</v>
      </c>
    </row>
    <row r="69" spans="1:5" x14ac:dyDescent="0.4">
      <c r="A69" s="72" t="s">
        <v>4852</v>
      </c>
      <c r="B69" s="72" t="s">
        <v>4853</v>
      </c>
      <c r="C69" s="72">
        <v>136</v>
      </c>
      <c r="D69" s="77">
        <v>2388160</v>
      </c>
      <c r="E69" s="15">
        <v>0.39</v>
      </c>
    </row>
    <row r="70" spans="1:5" x14ac:dyDescent="0.4">
      <c r="A70" s="72" t="s">
        <v>349</v>
      </c>
      <c r="B70" s="72" t="s">
        <v>350</v>
      </c>
      <c r="C70" s="72">
        <v>5</v>
      </c>
      <c r="D70" s="77">
        <v>2290000</v>
      </c>
      <c r="E70" s="15">
        <v>0.38</v>
      </c>
    </row>
    <row r="71" spans="1:5" x14ac:dyDescent="0.4">
      <c r="A71" s="72" t="s">
        <v>603</v>
      </c>
      <c r="B71" s="72" t="s">
        <v>604</v>
      </c>
      <c r="C71" s="72">
        <v>46</v>
      </c>
      <c r="D71" s="77">
        <v>2254000</v>
      </c>
      <c r="E71" s="15">
        <v>0.37</v>
      </c>
    </row>
    <row r="72" spans="1:5" x14ac:dyDescent="0.4">
      <c r="A72" s="72" t="s">
        <v>420</v>
      </c>
      <c r="B72" s="72" t="s">
        <v>421</v>
      </c>
      <c r="C72" s="72">
        <v>57</v>
      </c>
      <c r="D72" s="77">
        <v>2214450</v>
      </c>
      <c r="E72" s="15">
        <v>0.37</v>
      </c>
    </row>
    <row r="73" spans="1:5" x14ac:dyDescent="0.4">
      <c r="A73" s="72" t="s">
        <v>3758</v>
      </c>
      <c r="B73" s="72" t="s">
        <v>3759</v>
      </c>
      <c r="C73" s="72">
        <v>138</v>
      </c>
      <c r="D73" s="77">
        <v>2093460</v>
      </c>
      <c r="E73" s="15">
        <v>0.35</v>
      </c>
    </row>
    <row r="74" spans="1:5" x14ac:dyDescent="0.4">
      <c r="A74" s="72" t="s">
        <v>2482</v>
      </c>
      <c r="B74" s="72" t="s">
        <v>2483</v>
      </c>
      <c r="C74" s="72">
        <v>188</v>
      </c>
      <c r="D74" s="77">
        <v>1994680</v>
      </c>
      <c r="E74" s="15">
        <v>0.33</v>
      </c>
    </row>
    <row r="75" spans="1:5" x14ac:dyDescent="0.4">
      <c r="A75" s="72" t="s">
        <v>643</v>
      </c>
      <c r="B75" s="72" t="s">
        <v>644</v>
      </c>
      <c r="C75" s="72">
        <v>14</v>
      </c>
      <c r="D75" s="77">
        <v>1979600</v>
      </c>
      <c r="E75" s="15">
        <v>0.33</v>
      </c>
    </row>
    <row r="76" spans="1:5" x14ac:dyDescent="0.4">
      <c r="A76" s="72" t="s">
        <v>162</v>
      </c>
      <c r="B76" s="72" t="s">
        <v>163</v>
      </c>
      <c r="C76" s="72">
        <v>35</v>
      </c>
      <c r="D76" s="77">
        <v>1914500</v>
      </c>
      <c r="E76" s="15">
        <v>0.32</v>
      </c>
    </row>
    <row r="77" spans="1:5" x14ac:dyDescent="0.4">
      <c r="A77" s="72" t="s">
        <v>671</v>
      </c>
      <c r="B77" s="72" t="s">
        <v>672</v>
      </c>
      <c r="C77" s="77">
        <v>104</v>
      </c>
      <c r="D77" s="77">
        <v>1912560</v>
      </c>
      <c r="E77" s="15">
        <v>0.32</v>
      </c>
    </row>
    <row r="78" spans="1:5" x14ac:dyDescent="0.4">
      <c r="A78" s="72" t="s">
        <v>4846</v>
      </c>
      <c r="B78" s="72" t="s">
        <v>4847</v>
      </c>
      <c r="C78" s="72">
        <v>88</v>
      </c>
      <c r="D78" s="77">
        <v>1878800</v>
      </c>
      <c r="E78" s="15">
        <v>0.31</v>
      </c>
    </row>
    <row r="79" spans="1:5" x14ac:dyDescent="0.4">
      <c r="A79" s="72" t="s">
        <v>3532</v>
      </c>
      <c r="B79" s="72" t="s">
        <v>3533</v>
      </c>
      <c r="C79" s="72">
        <v>54</v>
      </c>
      <c r="D79" s="77">
        <v>1876500</v>
      </c>
      <c r="E79" s="15">
        <v>0.31</v>
      </c>
    </row>
    <row r="80" spans="1:5" x14ac:dyDescent="0.4">
      <c r="A80" s="72" t="s">
        <v>470</v>
      </c>
      <c r="B80" s="72" t="s">
        <v>5179</v>
      </c>
      <c r="C80" s="72">
        <v>58</v>
      </c>
      <c r="D80" s="77">
        <v>1841500</v>
      </c>
      <c r="E80" s="15">
        <v>0.3</v>
      </c>
    </row>
    <row r="81" spans="1:5" x14ac:dyDescent="0.4">
      <c r="A81" s="72" t="s">
        <v>613</v>
      </c>
      <c r="B81" s="72" t="s">
        <v>614</v>
      </c>
      <c r="C81" s="72">
        <v>34</v>
      </c>
      <c r="D81" s="77">
        <v>1737400</v>
      </c>
      <c r="E81" s="15">
        <v>0.28999999999999998</v>
      </c>
    </row>
    <row r="82" spans="1:5" x14ac:dyDescent="0.4">
      <c r="A82" s="72" t="s">
        <v>3442</v>
      </c>
      <c r="B82" s="72" t="s">
        <v>3443</v>
      </c>
      <c r="C82" s="72">
        <v>137</v>
      </c>
      <c r="D82" s="77">
        <v>1405620</v>
      </c>
      <c r="E82" s="15">
        <v>0.23</v>
      </c>
    </row>
    <row r="83" spans="1:5" x14ac:dyDescent="0.4">
      <c r="A83" s="72" t="s">
        <v>876</v>
      </c>
      <c r="B83" s="72" t="s">
        <v>877</v>
      </c>
      <c r="C83" s="72">
        <v>48</v>
      </c>
      <c r="D83" s="77">
        <v>1356000</v>
      </c>
      <c r="E83" s="15">
        <v>0.22</v>
      </c>
    </row>
    <row r="84" spans="1:5" x14ac:dyDescent="0.4">
      <c r="A84" s="72" t="s">
        <v>723</v>
      </c>
      <c r="B84" s="72" t="s">
        <v>724</v>
      </c>
      <c r="C84" s="72">
        <v>9</v>
      </c>
      <c r="D84" s="77">
        <v>1203300</v>
      </c>
      <c r="E84" s="15">
        <v>0.2</v>
      </c>
    </row>
    <row r="85" spans="1:5" x14ac:dyDescent="0.4">
      <c r="A85" s="72" t="s">
        <v>3444</v>
      </c>
      <c r="B85" s="72" t="s">
        <v>3445</v>
      </c>
      <c r="C85" s="72">
        <v>77</v>
      </c>
      <c r="D85" s="77">
        <v>1128820</v>
      </c>
      <c r="E85" s="15">
        <v>0.19</v>
      </c>
    </row>
    <row r="86" spans="1:5" x14ac:dyDescent="0.4">
      <c r="A86" s="72" t="s">
        <v>4013</v>
      </c>
      <c r="B86" s="72" t="s">
        <v>4014</v>
      </c>
      <c r="C86" s="77">
        <v>35</v>
      </c>
      <c r="D86" s="77">
        <v>1114750</v>
      </c>
      <c r="E86" s="15">
        <v>0.18</v>
      </c>
    </row>
    <row r="87" spans="1:5" x14ac:dyDescent="0.4">
      <c r="A87" s="72" t="s">
        <v>3251</v>
      </c>
      <c r="B87" s="72" t="s">
        <v>3252</v>
      </c>
      <c r="C87" s="72">
        <v>22</v>
      </c>
      <c r="D87" s="77">
        <v>1092300</v>
      </c>
      <c r="E87" s="15">
        <v>0.18</v>
      </c>
    </row>
    <row r="88" spans="1:5" x14ac:dyDescent="0.4">
      <c r="A88" s="72" t="s">
        <v>2043</v>
      </c>
      <c r="B88" s="72" t="s">
        <v>2044</v>
      </c>
      <c r="C88" s="72">
        <v>175</v>
      </c>
      <c r="D88" s="77">
        <v>822500</v>
      </c>
      <c r="E88" s="15">
        <v>0.14000000000000001</v>
      </c>
    </row>
    <row r="89" spans="1:5" x14ac:dyDescent="0.4">
      <c r="A89" s="72" t="s">
        <v>258</v>
      </c>
      <c r="B89" s="72" t="s">
        <v>259</v>
      </c>
      <c r="C89" s="72">
        <v>37</v>
      </c>
      <c r="D89" s="77">
        <v>802900</v>
      </c>
      <c r="E89" s="15">
        <v>0.13</v>
      </c>
    </row>
    <row r="90" spans="1:5" x14ac:dyDescent="0.4">
      <c r="A90" s="72" t="s">
        <v>3836</v>
      </c>
      <c r="B90" s="72" t="s">
        <v>3837</v>
      </c>
      <c r="C90" s="72">
        <v>73</v>
      </c>
      <c r="D90" s="77">
        <v>797890</v>
      </c>
      <c r="E90" s="15">
        <v>0.13</v>
      </c>
    </row>
    <row r="91" spans="1:5" x14ac:dyDescent="0.4">
      <c r="A91" s="72" t="s">
        <v>484</v>
      </c>
      <c r="B91" s="72" t="s">
        <v>485</v>
      </c>
      <c r="C91" s="72">
        <v>12</v>
      </c>
      <c r="D91" s="77">
        <v>706800</v>
      </c>
      <c r="E91" s="15">
        <v>0.12</v>
      </c>
    </row>
    <row r="92" spans="1:5" x14ac:dyDescent="0.4">
      <c r="A92" s="72" t="s">
        <v>221</v>
      </c>
      <c r="B92" s="72" t="s">
        <v>222</v>
      </c>
      <c r="C92" s="77">
        <v>15</v>
      </c>
      <c r="D92" s="77">
        <v>669000</v>
      </c>
      <c r="E92" s="15">
        <v>0.11</v>
      </c>
    </row>
    <row r="93" spans="1:5" x14ac:dyDescent="0.4">
      <c r="A93" s="72" t="s">
        <v>2095</v>
      </c>
      <c r="B93" s="72" t="s">
        <v>2096</v>
      </c>
      <c r="C93" s="77">
        <v>40</v>
      </c>
      <c r="D93" s="77">
        <v>572400</v>
      </c>
      <c r="E93" s="15">
        <v>0.09</v>
      </c>
    </row>
    <row r="94" spans="1:5" x14ac:dyDescent="0.4">
      <c r="A94" s="72" t="s">
        <v>512</v>
      </c>
      <c r="B94" s="72" t="s">
        <v>513</v>
      </c>
      <c r="C94" s="72">
        <v>13</v>
      </c>
      <c r="D94" s="77">
        <v>570050</v>
      </c>
      <c r="E94" s="15">
        <v>0.09</v>
      </c>
    </row>
    <row r="95" spans="1:5" x14ac:dyDescent="0.4">
      <c r="A95" s="72"/>
      <c r="B95" s="72" t="s">
        <v>10</v>
      </c>
      <c r="C95" s="77">
        <v>-2044735</v>
      </c>
      <c r="D95" s="77">
        <v>-2044735</v>
      </c>
      <c r="E95" s="15"/>
    </row>
    <row r="96" spans="1:5" x14ac:dyDescent="0.4">
      <c r="C96" s="13"/>
      <c r="D96" s="13"/>
      <c r="E96" s="72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D99" s="13"/>
    </row>
    <row r="100" spans="3:5" x14ac:dyDescent="0.4">
      <c r="D100" s="13"/>
    </row>
    <row r="101" spans="3:5" x14ac:dyDescent="0.4">
      <c r="D101" s="13"/>
    </row>
    <row r="102" spans="3:5" x14ac:dyDescent="0.4">
      <c r="C102" s="13"/>
      <c r="D102" s="13"/>
    </row>
    <row r="103" spans="3:5" x14ac:dyDescent="0.4">
      <c r="C103" s="13"/>
      <c r="D103" s="13"/>
    </row>
    <row r="104" spans="3:5" x14ac:dyDescent="0.4">
      <c r="D104" s="13"/>
    </row>
    <row r="105" spans="3:5" x14ac:dyDescent="0.4">
      <c r="D105" s="13"/>
      <c r="E105" s="15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5153</v>
      </c>
      <c r="B8" s="6"/>
      <c r="C8" s="6"/>
      <c r="D8" s="6"/>
      <c r="E8" s="14"/>
    </row>
    <row r="9" spans="1:7" x14ac:dyDescent="0.4">
      <c r="A9" s="74" t="s">
        <v>5155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757</v>
      </c>
      <c r="B11" s="73" t="s">
        <v>758</v>
      </c>
      <c r="C11" s="75">
        <v>236</v>
      </c>
      <c r="D11" s="75">
        <v>40261600</v>
      </c>
      <c r="E11" s="19">
        <v>8.01</v>
      </c>
      <c r="F11" s="17"/>
      <c r="G11" s="17"/>
    </row>
    <row r="12" spans="1:7" x14ac:dyDescent="0.4">
      <c r="A12" s="72" t="s">
        <v>493</v>
      </c>
      <c r="B12" s="73" t="s">
        <v>494</v>
      </c>
      <c r="C12" s="78">
        <v>101</v>
      </c>
      <c r="D12" s="75">
        <v>24795500</v>
      </c>
      <c r="E12" s="19">
        <v>4.93</v>
      </c>
      <c r="F12" s="17"/>
      <c r="G12" s="17"/>
    </row>
    <row r="13" spans="1:7" x14ac:dyDescent="0.4">
      <c r="A13" s="72" t="s">
        <v>666</v>
      </c>
      <c r="B13" s="72" t="s">
        <v>667</v>
      </c>
      <c r="C13" s="77">
        <v>549</v>
      </c>
      <c r="D13" s="77">
        <v>24156000</v>
      </c>
      <c r="E13" s="15">
        <v>4.8</v>
      </c>
    </row>
    <row r="14" spans="1:7" x14ac:dyDescent="0.4">
      <c r="A14" s="72" t="s">
        <v>468</v>
      </c>
      <c r="B14" s="72" t="s">
        <v>469</v>
      </c>
      <c r="C14" s="77">
        <v>349</v>
      </c>
      <c r="D14" s="77">
        <v>19195000</v>
      </c>
      <c r="E14" s="15">
        <v>3.82</v>
      </c>
    </row>
    <row r="15" spans="1:7" x14ac:dyDescent="0.4">
      <c r="A15" s="72" t="s">
        <v>761</v>
      </c>
      <c r="B15" s="72" t="s">
        <v>762</v>
      </c>
      <c r="C15" s="76">
        <v>180</v>
      </c>
      <c r="D15" s="77">
        <v>17460000</v>
      </c>
      <c r="E15" s="15">
        <v>3.47</v>
      </c>
    </row>
    <row r="16" spans="1:7" x14ac:dyDescent="0.4">
      <c r="A16" s="72" t="s">
        <v>180</v>
      </c>
      <c r="B16" s="72" t="s">
        <v>181</v>
      </c>
      <c r="C16" s="76">
        <v>119</v>
      </c>
      <c r="D16" s="77">
        <v>16779000</v>
      </c>
      <c r="E16" s="15">
        <v>3.34</v>
      </c>
    </row>
    <row r="17" spans="1:7" x14ac:dyDescent="0.4">
      <c r="A17" s="72" t="s">
        <v>643</v>
      </c>
      <c r="B17" s="73" t="s">
        <v>644</v>
      </c>
      <c r="C17" s="78">
        <v>100</v>
      </c>
      <c r="D17" s="75">
        <v>14760000</v>
      </c>
      <c r="E17" s="19">
        <v>2.94</v>
      </c>
      <c r="F17" s="17"/>
      <c r="G17" s="17"/>
    </row>
    <row r="18" spans="1:7" x14ac:dyDescent="0.4">
      <c r="A18" s="72" t="s">
        <v>236</v>
      </c>
      <c r="B18" s="72" t="s">
        <v>237</v>
      </c>
      <c r="C18" s="77">
        <v>24</v>
      </c>
      <c r="D18" s="77">
        <v>14520000</v>
      </c>
      <c r="E18" s="15">
        <v>2.89</v>
      </c>
    </row>
    <row r="19" spans="1:7" x14ac:dyDescent="0.4">
      <c r="A19" s="72" t="s">
        <v>488</v>
      </c>
      <c r="B19" s="72" t="s">
        <v>489</v>
      </c>
      <c r="C19" s="77">
        <v>99</v>
      </c>
      <c r="D19" s="77">
        <v>13196700</v>
      </c>
      <c r="E19" s="15">
        <v>2.62</v>
      </c>
    </row>
    <row r="20" spans="1:7" x14ac:dyDescent="0.4">
      <c r="A20" s="72" t="s">
        <v>446</v>
      </c>
      <c r="B20" s="72" t="s">
        <v>447</v>
      </c>
      <c r="C20" s="77">
        <v>87</v>
      </c>
      <c r="D20" s="77">
        <v>12110400</v>
      </c>
      <c r="E20" s="15">
        <v>2.41</v>
      </c>
    </row>
    <row r="21" spans="1:7" x14ac:dyDescent="0.4">
      <c r="A21" s="72" t="s">
        <v>679</v>
      </c>
      <c r="B21" s="72" t="s">
        <v>680</v>
      </c>
      <c r="C21" s="77">
        <v>75</v>
      </c>
      <c r="D21" s="77">
        <v>11415000</v>
      </c>
      <c r="E21" s="15">
        <v>2.27</v>
      </c>
    </row>
    <row r="22" spans="1:7" x14ac:dyDescent="0.4">
      <c r="A22" s="72" t="s">
        <v>2001</v>
      </c>
      <c r="B22" s="73" t="s">
        <v>2002</v>
      </c>
      <c r="C22" s="75">
        <v>357</v>
      </c>
      <c r="D22" s="75">
        <v>11263350</v>
      </c>
      <c r="E22" s="19">
        <v>2.2400000000000002</v>
      </c>
      <c r="F22" s="17"/>
      <c r="G22" s="17"/>
    </row>
    <row r="23" spans="1:7" x14ac:dyDescent="0.4">
      <c r="A23" s="72" t="s">
        <v>434</v>
      </c>
      <c r="B23" s="73" t="s">
        <v>435</v>
      </c>
      <c r="C23" s="78">
        <v>149</v>
      </c>
      <c r="D23" s="75">
        <v>11100500</v>
      </c>
      <c r="E23" s="19">
        <v>2.21</v>
      </c>
      <c r="F23" s="17"/>
      <c r="G23" s="17"/>
    </row>
    <row r="24" spans="1:7" x14ac:dyDescent="0.4">
      <c r="A24" s="72" t="s">
        <v>737</v>
      </c>
      <c r="B24" s="72" t="s">
        <v>738</v>
      </c>
      <c r="C24" s="76">
        <v>93</v>
      </c>
      <c r="D24" s="77">
        <v>10890300</v>
      </c>
      <c r="E24" s="15">
        <v>2.17</v>
      </c>
    </row>
    <row r="25" spans="1:7" x14ac:dyDescent="0.4">
      <c r="A25" s="72" t="s">
        <v>4966</v>
      </c>
      <c r="B25" s="72" t="s">
        <v>4967</v>
      </c>
      <c r="C25" s="77">
        <v>469</v>
      </c>
      <c r="D25" s="77">
        <v>10599400</v>
      </c>
      <c r="E25" s="15">
        <v>2.11</v>
      </c>
    </row>
    <row r="26" spans="1:7" x14ac:dyDescent="0.4">
      <c r="A26" s="72" t="s">
        <v>4625</v>
      </c>
      <c r="B26" s="72" t="s">
        <v>4626</v>
      </c>
      <c r="C26" s="77">
        <v>99</v>
      </c>
      <c r="D26" s="77">
        <v>10503900</v>
      </c>
      <c r="E26" s="15">
        <v>2.09</v>
      </c>
    </row>
    <row r="27" spans="1:7" x14ac:dyDescent="0.4">
      <c r="A27" s="72" t="s">
        <v>232</v>
      </c>
      <c r="B27" s="72" t="s">
        <v>233</v>
      </c>
      <c r="C27" s="77">
        <v>36</v>
      </c>
      <c r="D27" s="77">
        <v>10314000</v>
      </c>
      <c r="E27" s="15">
        <v>2.0499999999999998</v>
      </c>
    </row>
    <row r="28" spans="1:7" x14ac:dyDescent="0.4">
      <c r="A28" s="72" t="s">
        <v>721</v>
      </c>
      <c r="B28" s="72" t="s">
        <v>722</v>
      </c>
      <c r="C28" s="77">
        <v>103</v>
      </c>
      <c r="D28" s="77">
        <v>10227900</v>
      </c>
      <c r="E28" s="15">
        <v>2.0299999999999998</v>
      </c>
    </row>
    <row r="29" spans="1:7" x14ac:dyDescent="0.4">
      <c r="A29" s="72" t="s">
        <v>479</v>
      </c>
      <c r="B29" s="72" t="s">
        <v>480</v>
      </c>
      <c r="C29" s="77">
        <v>69</v>
      </c>
      <c r="D29" s="77">
        <v>9239100</v>
      </c>
      <c r="E29" s="15">
        <v>1.84</v>
      </c>
    </row>
    <row r="30" spans="1:7" x14ac:dyDescent="0.4">
      <c r="A30" s="72" t="s">
        <v>3634</v>
      </c>
      <c r="B30" s="72" t="s">
        <v>3635</v>
      </c>
      <c r="C30" s="77">
        <v>220</v>
      </c>
      <c r="D30" s="77">
        <v>9042000</v>
      </c>
      <c r="E30" s="15">
        <v>1.8</v>
      </c>
    </row>
    <row r="31" spans="1:7" x14ac:dyDescent="0.4">
      <c r="A31" s="72" t="s">
        <v>471</v>
      </c>
      <c r="B31" s="72" t="s">
        <v>472</v>
      </c>
      <c r="C31" s="77">
        <v>59</v>
      </c>
      <c r="D31" s="77">
        <v>8838200</v>
      </c>
      <c r="E31" s="15">
        <v>1.76</v>
      </c>
    </row>
    <row r="32" spans="1:7" x14ac:dyDescent="0.4">
      <c r="A32" s="72" t="s">
        <v>397</v>
      </c>
      <c r="B32" s="72" t="s">
        <v>398</v>
      </c>
      <c r="C32" s="77">
        <v>76</v>
      </c>
      <c r="D32" s="77">
        <v>8268800</v>
      </c>
      <c r="E32" s="15">
        <v>1.64</v>
      </c>
    </row>
    <row r="33" spans="1:5" x14ac:dyDescent="0.4">
      <c r="A33" s="72" t="s">
        <v>252</v>
      </c>
      <c r="B33" s="72" t="s">
        <v>253</v>
      </c>
      <c r="C33" s="77">
        <v>90</v>
      </c>
      <c r="D33" s="77">
        <v>8226000</v>
      </c>
      <c r="E33" s="15">
        <v>1.64</v>
      </c>
    </row>
    <row r="34" spans="1:5" x14ac:dyDescent="0.4">
      <c r="A34" s="72" t="s">
        <v>4846</v>
      </c>
      <c r="B34" s="72" t="s">
        <v>4847</v>
      </c>
      <c r="C34" s="77">
        <v>491</v>
      </c>
      <c r="D34" s="77">
        <v>8008210</v>
      </c>
      <c r="E34" s="15">
        <v>1.59</v>
      </c>
    </row>
    <row r="35" spans="1:5" x14ac:dyDescent="0.4">
      <c r="A35" s="72" t="s">
        <v>31</v>
      </c>
      <c r="B35" s="72" t="s">
        <v>32</v>
      </c>
      <c r="C35" s="72">
        <v>23</v>
      </c>
      <c r="D35" s="77">
        <v>7981000</v>
      </c>
      <c r="E35" s="15">
        <v>1.59</v>
      </c>
    </row>
    <row r="36" spans="1:5" x14ac:dyDescent="0.4">
      <c r="A36" s="72" t="s">
        <v>733</v>
      </c>
      <c r="B36" s="72" t="s">
        <v>734</v>
      </c>
      <c r="C36" s="77">
        <v>100</v>
      </c>
      <c r="D36" s="77">
        <v>7780000</v>
      </c>
      <c r="E36" s="15">
        <v>1.55</v>
      </c>
    </row>
    <row r="37" spans="1:5" x14ac:dyDescent="0.4">
      <c r="A37" s="72" t="s">
        <v>412</v>
      </c>
      <c r="B37" s="72" t="s">
        <v>413</v>
      </c>
      <c r="C37" s="77">
        <v>350</v>
      </c>
      <c r="D37" s="77">
        <v>7752500</v>
      </c>
      <c r="E37" s="15">
        <v>1.54</v>
      </c>
    </row>
    <row r="38" spans="1:5" x14ac:dyDescent="0.4">
      <c r="A38" s="72" t="s">
        <v>351</v>
      </c>
      <c r="B38" s="72" t="s">
        <v>352</v>
      </c>
      <c r="C38" s="77">
        <v>40</v>
      </c>
      <c r="D38" s="77">
        <v>7620000</v>
      </c>
      <c r="E38" s="15">
        <v>1.52</v>
      </c>
    </row>
    <row r="39" spans="1:5" x14ac:dyDescent="0.4">
      <c r="A39" s="72" t="s">
        <v>353</v>
      </c>
      <c r="B39" s="72" t="s">
        <v>354</v>
      </c>
      <c r="C39" s="77">
        <v>44</v>
      </c>
      <c r="D39" s="77">
        <v>7229200</v>
      </c>
      <c r="E39" s="15">
        <v>1.44</v>
      </c>
    </row>
    <row r="40" spans="1:5" x14ac:dyDescent="0.4">
      <c r="A40" s="72" t="s">
        <v>719</v>
      </c>
      <c r="B40" s="72" t="s">
        <v>720</v>
      </c>
      <c r="C40" s="77">
        <v>499</v>
      </c>
      <c r="D40" s="77">
        <v>7165640</v>
      </c>
      <c r="E40" s="15">
        <v>1.42</v>
      </c>
    </row>
    <row r="41" spans="1:5" x14ac:dyDescent="0.4">
      <c r="A41" s="72" t="s">
        <v>475</v>
      </c>
      <c r="B41" s="72" t="s">
        <v>476</v>
      </c>
      <c r="C41" s="77">
        <v>144</v>
      </c>
      <c r="D41" s="77">
        <v>6904800</v>
      </c>
      <c r="E41" s="15">
        <v>1.37</v>
      </c>
    </row>
    <row r="42" spans="1:5" x14ac:dyDescent="0.4">
      <c r="A42" s="72" t="s">
        <v>2919</v>
      </c>
      <c r="B42" s="72" t="s">
        <v>2920</v>
      </c>
      <c r="C42" s="77">
        <v>146</v>
      </c>
      <c r="D42" s="77">
        <v>6686800</v>
      </c>
      <c r="E42" s="15">
        <v>1.33</v>
      </c>
    </row>
    <row r="43" spans="1:5" x14ac:dyDescent="0.4">
      <c r="A43" s="72" t="s">
        <v>3015</v>
      </c>
      <c r="B43" s="72" t="s">
        <v>3016</v>
      </c>
      <c r="C43" s="72">
        <v>213</v>
      </c>
      <c r="D43" s="77">
        <v>6240900</v>
      </c>
      <c r="E43" s="15">
        <v>1.24</v>
      </c>
    </row>
    <row r="44" spans="1:5" x14ac:dyDescent="0.4">
      <c r="A44" s="72" t="s">
        <v>3532</v>
      </c>
      <c r="B44" s="72" t="s">
        <v>3533</v>
      </c>
      <c r="C44" s="77">
        <v>192</v>
      </c>
      <c r="D44" s="77">
        <v>5875200</v>
      </c>
      <c r="E44" s="15">
        <v>1.17</v>
      </c>
    </row>
    <row r="45" spans="1:5" x14ac:dyDescent="0.4">
      <c r="A45" s="72" t="s">
        <v>37</v>
      </c>
      <c r="B45" s="72" t="s">
        <v>38</v>
      </c>
      <c r="C45" s="77">
        <v>62</v>
      </c>
      <c r="D45" s="77">
        <v>5852800</v>
      </c>
      <c r="E45" s="15">
        <v>1.1599999999999999</v>
      </c>
    </row>
    <row r="46" spans="1:5" x14ac:dyDescent="0.4">
      <c r="A46" s="72" t="s">
        <v>35</v>
      </c>
      <c r="B46" s="72" t="s">
        <v>36</v>
      </c>
      <c r="C46" s="77">
        <v>42</v>
      </c>
      <c r="D46" s="77">
        <v>5661600</v>
      </c>
      <c r="E46" s="15">
        <v>1.1299999999999999</v>
      </c>
    </row>
    <row r="47" spans="1:5" x14ac:dyDescent="0.4">
      <c r="A47" s="72" t="s">
        <v>603</v>
      </c>
      <c r="B47" s="72" t="s">
        <v>604</v>
      </c>
      <c r="C47" s="72">
        <v>130</v>
      </c>
      <c r="D47" s="77">
        <v>5473000</v>
      </c>
      <c r="E47" s="15">
        <v>1.0900000000000001</v>
      </c>
    </row>
    <row r="48" spans="1:5" x14ac:dyDescent="0.4">
      <c r="A48" s="72" t="s">
        <v>1444</v>
      </c>
      <c r="B48" s="72" t="s">
        <v>1445</v>
      </c>
      <c r="C48" s="72">
        <v>308</v>
      </c>
      <c r="D48" s="77">
        <v>5257560</v>
      </c>
      <c r="E48" s="15">
        <v>1.05</v>
      </c>
    </row>
    <row r="49" spans="1:5" x14ac:dyDescent="0.4">
      <c r="A49" s="72" t="s">
        <v>484</v>
      </c>
      <c r="B49" s="72" t="s">
        <v>485</v>
      </c>
      <c r="C49" s="72">
        <v>60</v>
      </c>
      <c r="D49" s="77">
        <v>5106000</v>
      </c>
      <c r="E49" s="15">
        <v>1.02</v>
      </c>
    </row>
    <row r="50" spans="1:5" x14ac:dyDescent="0.4">
      <c r="A50" s="72" t="s">
        <v>486</v>
      </c>
      <c r="B50" s="72" t="s">
        <v>487</v>
      </c>
      <c r="C50" s="77">
        <v>19</v>
      </c>
      <c r="D50" s="77">
        <v>5016000</v>
      </c>
      <c r="E50" s="15">
        <v>1</v>
      </c>
    </row>
    <row r="51" spans="1:5" x14ac:dyDescent="0.4">
      <c r="A51" s="72" t="s">
        <v>664</v>
      </c>
      <c r="B51" s="72" t="s">
        <v>665</v>
      </c>
      <c r="C51" s="77">
        <v>88</v>
      </c>
      <c r="D51" s="77">
        <v>4171200</v>
      </c>
      <c r="E51" s="15">
        <v>0.83</v>
      </c>
    </row>
    <row r="52" spans="1:5" x14ac:dyDescent="0.4">
      <c r="A52" s="72" t="s">
        <v>619</v>
      </c>
      <c r="B52" s="72" t="s">
        <v>620</v>
      </c>
      <c r="C52" s="72">
        <v>100</v>
      </c>
      <c r="D52" s="77">
        <v>4060000</v>
      </c>
      <c r="E52" s="15">
        <v>0.81</v>
      </c>
    </row>
    <row r="53" spans="1:5" x14ac:dyDescent="0.4">
      <c r="A53" s="72" t="s">
        <v>593</v>
      </c>
      <c r="B53" s="72" t="s">
        <v>594</v>
      </c>
      <c r="C53" s="77">
        <v>100</v>
      </c>
      <c r="D53" s="77">
        <v>3850000</v>
      </c>
      <c r="E53" s="15">
        <v>0.77</v>
      </c>
    </row>
    <row r="54" spans="1:5" x14ac:dyDescent="0.4">
      <c r="A54" s="72" t="s">
        <v>3930</v>
      </c>
      <c r="B54" s="72" t="s">
        <v>3931</v>
      </c>
      <c r="C54" s="72">
        <v>50</v>
      </c>
      <c r="D54" s="77">
        <v>3745000</v>
      </c>
      <c r="E54" s="15">
        <v>0.74</v>
      </c>
    </row>
    <row r="55" spans="1:5" x14ac:dyDescent="0.4">
      <c r="A55" s="72" t="s">
        <v>607</v>
      </c>
      <c r="B55" s="72" t="s">
        <v>608</v>
      </c>
      <c r="C55" s="77">
        <v>40</v>
      </c>
      <c r="D55" s="77">
        <v>3712000</v>
      </c>
      <c r="E55" s="15">
        <v>0.74</v>
      </c>
    </row>
    <row r="56" spans="1:5" x14ac:dyDescent="0.4">
      <c r="A56" s="72" t="s">
        <v>4341</v>
      </c>
      <c r="B56" s="72" t="s">
        <v>4342</v>
      </c>
      <c r="C56" s="77">
        <v>32</v>
      </c>
      <c r="D56" s="77">
        <v>3516800</v>
      </c>
      <c r="E56" s="15">
        <v>0.7</v>
      </c>
    </row>
    <row r="57" spans="1:5" x14ac:dyDescent="0.4">
      <c r="A57" s="72" t="s">
        <v>723</v>
      </c>
      <c r="B57" s="72" t="s">
        <v>724</v>
      </c>
      <c r="C57" s="72">
        <v>30</v>
      </c>
      <c r="D57" s="77">
        <v>3411000</v>
      </c>
      <c r="E57" s="15">
        <v>0.68</v>
      </c>
    </row>
    <row r="58" spans="1:5" x14ac:dyDescent="0.4">
      <c r="A58" s="72" t="s">
        <v>4491</v>
      </c>
      <c r="B58" s="72" t="s">
        <v>4492</v>
      </c>
      <c r="C58" s="72">
        <v>65</v>
      </c>
      <c r="D58" s="77">
        <v>3373500</v>
      </c>
      <c r="E58" s="15">
        <v>0.67</v>
      </c>
    </row>
    <row r="59" spans="1:5" x14ac:dyDescent="0.4">
      <c r="A59" s="72" t="s">
        <v>631</v>
      </c>
      <c r="B59" s="72" t="s">
        <v>632</v>
      </c>
      <c r="C59" s="72">
        <v>30</v>
      </c>
      <c r="D59" s="77">
        <v>3120000</v>
      </c>
      <c r="E59" s="15">
        <v>0.62</v>
      </c>
    </row>
    <row r="60" spans="1:5" x14ac:dyDescent="0.4">
      <c r="A60" s="72" t="s">
        <v>158</v>
      </c>
      <c r="B60" s="72" t="s">
        <v>159</v>
      </c>
      <c r="C60" s="77">
        <v>29</v>
      </c>
      <c r="D60" s="77">
        <v>2894200</v>
      </c>
      <c r="E60" s="15">
        <v>0.57999999999999996</v>
      </c>
    </row>
    <row r="61" spans="1:5" x14ac:dyDescent="0.4">
      <c r="A61" s="72" t="s">
        <v>45</v>
      </c>
      <c r="B61" s="72" t="s">
        <v>46</v>
      </c>
      <c r="C61" s="77">
        <v>19</v>
      </c>
      <c r="D61" s="77">
        <v>2361700</v>
      </c>
      <c r="E61" s="15">
        <v>0.47</v>
      </c>
    </row>
    <row r="62" spans="1:5" x14ac:dyDescent="0.4">
      <c r="A62" s="72" t="s">
        <v>41</v>
      </c>
      <c r="B62" s="72" t="s">
        <v>42</v>
      </c>
      <c r="C62" s="77">
        <v>25</v>
      </c>
      <c r="D62" s="77">
        <v>2327500</v>
      </c>
      <c r="E62" s="15">
        <v>0.46</v>
      </c>
    </row>
    <row r="63" spans="1:5" x14ac:dyDescent="0.4">
      <c r="A63" s="72" t="s">
        <v>401</v>
      </c>
      <c r="B63" s="72" t="s">
        <v>402</v>
      </c>
      <c r="C63" s="77">
        <v>50</v>
      </c>
      <c r="D63" s="77">
        <v>2097500</v>
      </c>
      <c r="E63" s="15">
        <v>0.42</v>
      </c>
    </row>
    <row r="64" spans="1:5" x14ac:dyDescent="0.4">
      <c r="A64" s="72" t="s">
        <v>470</v>
      </c>
      <c r="B64" s="72" t="s">
        <v>5179</v>
      </c>
      <c r="C64" s="77">
        <v>70</v>
      </c>
      <c r="D64" s="77">
        <v>2047500</v>
      </c>
      <c r="E64" s="15">
        <v>0.41</v>
      </c>
    </row>
    <row r="65" spans="1:5" x14ac:dyDescent="0.4">
      <c r="A65" s="72" t="s">
        <v>5170</v>
      </c>
      <c r="B65" s="72" t="s">
        <v>5171</v>
      </c>
      <c r="C65" s="77">
        <v>101</v>
      </c>
      <c r="D65" s="77">
        <v>1940210</v>
      </c>
      <c r="E65" s="15">
        <v>0.39</v>
      </c>
    </row>
    <row r="66" spans="1:5" x14ac:dyDescent="0.4">
      <c r="A66" s="72" t="s">
        <v>687</v>
      </c>
      <c r="B66" s="72" t="s">
        <v>688</v>
      </c>
      <c r="C66" s="77">
        <v>23</v>
      </c>
      <c r="D66" s="77">
        <v>1886000</v>
      </c>
      <c r="E66" s="15">
        <v>0.38</v>
      </c>
    </row>
    <row r="67" spans="1:5" x14ac:dyDescent="0.4">
      <c r="A67" s="72" t="s">
        <v>551</v>
      </c>
      <c r="B67" s="72" t="s">
        <v>552</v>
      </c>
      <c r="C67" s="77">
        <v>53</v>
      </c>
      <c r="D67" s="77">
        <v>1876200</v>
      </c>
      <c r="E67" s="15">
        <v>0.37</v>
      </c>
    </row>
    <row r="68" spans="1:5" x14ac:dyDescent="0.4">
      <c r="A68" s="72" t="s">
        <v>717</v>
      </c>
      <c r="B68" s="72" t="s">
        <v>718</v>
      </c>
      <c r="C68" s="72">
        <v>99</v>
      </c>
      <c r="D68" s="77">
        <v>1828530</v>
      </c>
      <c r="E68" s="15">
        <v>0.36</v>
      </c>
    </row>
    <row r="69" spans="1:5" x14ac:dyDescent="0.4">
      <c r="A69" s="72" t="s">
        <v>4788</v>
      </c>
      <c r="B69" s="72" t="s">
        <v>4789</v>
      </c>
      <c r="C69" s="77">
        <v>144</v>
      </c>
      <c r="D69" s="77">
        <v>1814400</v>
      </c>
      <c r="E69" s="15">
        <v>0.36</v>
      </c>
    </row>
    <row r="70" spans="1:5" x14ac:dyDescent="0.4">
      <c r="A70" s="72" t="s">
        <v>4499</v>
      </c>
      <c r="B70" s="72" t="s">
        <v>4500</v>
      </c>
      <c r="C70" s="77">
        <v>26</v>
      </c>
      <c r="D70" s="77">
        <v>1690000</v>
      </c>
      <c r="E70" s="15">
        <v>0.34</v>
      </c>
    </row>
    <row r="71" spans="1:5" x14ac:dyDescent="0.4">
      <c r="A71" s="72" t="s">
        <v>39</v>
      </c>
      <c r="B71" s="72" t="s">
        <v>40</v>
      </c>
      <c r="C71" s="77">
        <v>7</v>
      </c>
      <c r="D71" s="77">
        <v>1449000</v>
      </c>
      <c r="E71" s="15">
        <v>0.28999999999999998</v>
      </c>
    </row>
    <row r="72" spans="1:5" x14ac:dyDescent="0.4">
      <c r="A72" s="72"/>
      <c r="B72" s="72" t="s">
        <v>10</v>
      </c>
      <c r="C72" s="77">
        <v>6925202</v>
      </c>
      <c r="D72" s="77">
        <v>6925202</v>
      </c>
      <c r="E72" s="15">
        <v>1.38</v>
      </c>
    </row>
    <row r="73" spans="1:5" x14ac:dyDescent="0.4">
      <c r="C73" s="13"/>
      <c r="D73" s="13"/>
    </row>
    <row r="74" spans="1:5" x14ac:dyDescent="0.4">
      <c r="C74" s="13"/>
      <c r="D74" s="13"/>
    </row>
    <row r="75" spans="1:5" x14ac:dyDescent="0.4">
      <c r="C75" s="13"/>
      <c r="D75" s="13"/>
    </row>
    <row r="76" spans="1:5" x14ac:dyDescent="0.4">
      <c r="C76" s="13"/>
      <c r="D76" s="13"/>
    </row>
    <row r="77" spans="1:5" x14ac:dyDescent="0.4">
      <c r="C77" s="13"/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5153</v>
      </c>
      <c r="B8" s="6"/>
      <c r="C8" s="6"/>
      <c r="D8" s="6"/>
      <c r="E8" s="14"/>
    </row>
    <row r="9" spans="1:5" x14ac:dyDescent="0.4">
      <c r="A9" s="74" t="s">
        <v>5155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721</v>
      </c>
      <c r="B11" s="72" t="s">
        <v>722</v>
      </c>
      <c r="C11" s="77">
        <v>350</v>
      </c>
      <c r="D11" s="77">
        <v>39235000</v>
      </c>
      <c r="E11" s="15">
        <v>7.37</v>
      </c>
    </row>
    <row r="12" spans="1:5" x14ac:dyDescent="0.4">
      <c r="A12" s="72" t="s">
        <v>761</v>
      </c>
      <c r="B12" s="72" t="s">
        <v>762</v>
      </c>
      <c r="C12" s="76">
        <v>336</v>
      </c>
      <c r="D12" s="77">
        <v>32860800</v>
      </c>
      <c r="E12" s="15">
        <v>6.17</v>
      </c>
    </row>
    <row r="13" spans="1:5" x14ac:dyDescent="0.4">
      <c r="A13" s="72" t="s">
        <v>679</v>
      </c>
      <c r="B13" s="72" t="s">
        <v>680</v>
      </c>
      <c r="C13" s="77">
        <v>180</v>
      </c>
      <c r="D13" s="77">
        <v>28314000</v>
      </c>
      <c r="E13" s="15">
        <v>5.32</v>
      </c>
    </row>
    <row r="14" spans="1:5" x14ac:dyDescent="0.4">
      <c r="A14" s="72" t="s">
        <v>666</v>
      </c>
      <c r="B14" s="72" t="s">
        <v>667</v>
      </c>
      <c r="C14" s="77">
        <v>550</v>
      </c>
      <c r="D14" s="77">
        <v>23155000</v>
      </c>
      <c r="E14" s="15">
        <v>4.3499999999999996</v>
      </c>
    </row>
    <row r="15" spans="1:5" x14ac:dyDescent="0.4">
      <c r="A15" s="72" t="s">
        <v>236</v>
      </c>
      <c r="B15" s="72" t="s">
        <v>237</v>
      </c>
      <c r="C15" s="76">
        <v>29</v>
      </c>
      <c r="D15" s="77">
        <v>20358000</v>
      </c>
      <c r="E15" s="15">
        <v>3.82</v>
      </c>
    </row>
    <row r="16" spans="1:5" x14ac:dyDescent="0.4">
      <c r="A16" s="72" t="s">
        <v>4625</v>
      </c>
      <c r="B16" s="72" t="s">
        <v>4626</v>
      </c>
      <c r="C16" s="76">
        <v>145</v>
      </c>
      <c r="D16" s="77">
        <v>16356000</v>
      </c>
      <c r="E16" s="15">
        <v>3.07</v>
      </c>
    </row>
    <row r="17" spans="1:5" x14ac:dyDescent="0.4">
      <c r="A17" s="72" t="s">
        <v>757</v>
      </c>
      <c r="B17" s="72" t="s">
        <v>758</v>
      </c>
      <c r="C17" s="76">
        <v>126</v>
      </c>
      <c r="D17" s="77">
        <v>15006600</v>
      </c>
      <c r="E17" s="15">
        <v>2.82</v>
      </c>
    </row>
    <row r="18" spans="1:5" x14ac:dyDescent="0.4">
      <c r="A18" s="72" t="s">
        <v>737</v>
      </c>
      <c r="B18" s="72" t="s">
        <v>738</v>
      </c>
      <c r="C18" s="77">
        <v>93</v>
      </c>
      <c r="D18" s="77">
        <v>14238300</v>
      </c>
      <c r="E18" s="15">
        <v>2.67</v>
      </c>
    </row>
    <row r="19" spans="1:5" x14ac:dyDescent="0.4">
      <c r="A19" s="72" t="s">
        <v>643</v>
      </c>
      <c r="B19" s="72" t="s">
        <v>644</v>
      </c>
      <c r="C19" s="77">
        <v>100</v>
      </c>
      <c r="D19" s="77">
        <v>14140000</v>
      </c>
      <c r="E19" s="15">
        <v>2.66</v>
      </c>
    </row>
    <row r="20" spans="1:5" x14ac:dyDescent="0.4">
      <c r="A20" s="72" t="s">
        <v>434</v>
      </c>
      <c r="B20" s="72" t="s">
        <v>435</v>
      </c>
      <c r="C20" s="77">
        <v>181</v>
      </c>
      <c r="D20" s="77">
        <v>14045600</v>
      </c>
      <c r="E20" s="15">
        <v>2.64</v>
      </c>
    </row>
    <row r="21" spans="1:5" x14ac:dyDescent="0.4">
      <c r="A21" s="72" t="s">
        <v>4966</v>
      </c>
      <c r="B21" s="72" t="s">
        <v>4967</v>
      </c>
      <c r="C21" s="77">
        <v>502</v>
      </c>
      <c r="D21" s="77">
        <v>14030900</v>
      </c>
      <c r="E21" s="15">
        <v>2.63</v>
      </c>
    </row>
    <row r="22" spans="1:5" x14ac:dyDescent="0.4">
      <c r="A22" s="72" t="s">
        <v>493</v>
      </c>
      <c r="B22" s="72" t="s">
        <v>494</v>
      </c>
      <c r="C22" s="77">
        <v>65</v>
      </c>
      <c r="D22" s="77">
        <v>13000000</v>
      </c>
      <c r="E22" s="15">
        <v>2.44</v>
      </c>
    </row>
    <row r="23" spans="1:5" x14ac:dyDescent="0.4">
      <c r="A23" s="72" t="s">
        <v>232</v>
      </c>
      <c r="B23" s="72" t="s">
        <v>233</v>
      </c>
      <c r="C23" s="76">
        <v>39</v>
      </c>
      <c r="D23" s="77">
        <v>12694500</v>
      </c>
      <c r="E23" s="15">
        <v>2.38</v>
      </c>
    </row>
    <row r="24" spans="1:5" x14ac:dyDescent="0.4">
      <c r="A24" s="72" t="s">
        <v>31</v>
      </c>
      <c r="B24" s="72" t="s">
        <v>32</v>
      </c>
      <c r="C24" s="76">
        <v>29</v>
      </c>
      <c r="D24" s="77">
        <v>10701000</v>
      </c>
      <c r="E24" s="15">
        <v>2.0099999999999998</v>
      </c>
    </row>
    <row r="25" spans="1:5" x14ac:dyDescent="0.4">
      <c r="A25" s="72" t="s">
        <v>397</v>
      </c>
      <c r="B25" s="72" t="s">
        <v>398</v>
      </c>
      <c r="C25" s="77">
        <v>76</v>
      </c>
      <c r="D25" s="77">
        <v>10564000</v>
      </c>
      <c r="E25" s="15">
        <v>1.98</v>
      </c>
    </row>
    <row r="26" spans="1:5" x14ac:dyDescent="0.4">
      <c r="A26" s="72" t="s">
        <v>4846</v>
      </c>
      <c r="B26" s="72" t="s">
        <v>4847</v>
      </c>
      <c r="C26" s="77">
        <v>491</v>
      </c>
      <c r="D26" s="77">
        <v>10482850</v>
      </c>
      <c r="E26" s="15">
        <v>1.97</v>
      </c>
    </row>
    <row r="27" spans="1:5" x14ac:dyDescent="0.4">
      <c r="A27" s="72" t="s">
        <v>603</v>
      </c>
      <c r="B27" s="72" t="s">
        <v>604</v>
      </c>
      <c r="C27" s="77">
        <v>199</v>
      </c>
      <c r="D27" s="77">
        <v>9751000</v>
      </c>
      <c r="E27" s="15">
        <v>1.83</v>
      </c>
    </row>
    <row r="28" spans="1:5" x14ac:dyDescent="0.4">
      <c r="A28" s="72" t="s">
        <v>3634</v>
      </c>
      <c r="B28" s="72" t="s">
        <v>3635</v>
      </c>
      <c r="C28" s="77">
        <v>220</v>
      </c>
      <c r="D28" s="77">
        <v>9515000</v>
      </c>
      <c r="E28" s="15">
        <v>1.79</v>
      </c>
    </row>
    <row r="29" spans="1:5" x14ac:dyDescent="0.4">
      <c r="A29" s="72" t="s">
        <v>2001</v>
      </c>
      <c r="B29" s="72" t="s">
        <v>2002</v>
      </c>
      <c r="C29" s="77">
        <v>278</v>
      </c>
      <c r="D29" s="77">
        <v>9438100</v>
      </c>
      <c r="E29" s="15">
        <v>1.77</v>
      </c>
    </row>
    <row r="30" spans="1:5" x14ac:dyDescent="0.4">
      <c r="A30" s="72" t="s">
        <v>353</v>
      </c>
      <c r="B30" s="72" t="s">
        <v>354</v>
      </c>
      <c r="C30" s="77">
        <v>43</v>
      </c>
      <c r="D30" s="77">
        <v>9331000</v>
      </c>
      <c r="E30" s="15">
        <v>1.75</v>
      </c>
    </row>
    <row r="31" spans="1:5" x14ac:dyDescent="0.4">
      <c r="A31" s="72" t="s">
        <v>252</v>
      </c>
      <c r="B31" s="72" t="s">
        <v>253</v>
      </c>
      <c r="C31" s="77">
        <v>80</v>
      </c>
      <c r="D31" s="77">
        <v>9328000</v>
      </c>
      <c r="E31" s="15">
        <v>1.75</v>
      </c>
    </row>
    <row r="32" spans="1:5" x14ac:dyDescent="0.4">
      <c r="A32" s="72" t="s">
        <v>5110</v>
      </c>
      <c r="B32" s="72" t="s">
        <v>5111</v>
      </c>
      <c r="C32" s="77">
        <v>229</v>
      </c>
      <c r="D32" s="77">
        <v>8816500</v>
      </c>
      <c r="E32" s="15">
        <v>1.66</v>
      </c>
    </row>
    <row r="33" spans="1:5" x14ac:dyDescent="0.4">
      <c r="A33" s="72" t="s">
        <v>733</v>
      </c>
      <c r="B33" s="72" t="s">
        <v>734</v>
      </c>
      <c r="C33" s="77">
        <v>100</v>
      </c>
      <c r="D33" s="77">
        <v>7970000</v>
      </c>
      <c r="E33" s="15">
        <v>1.5</v>
      </c>
    </row>
    <row r="34" spans="1:5" x14ac:dyDescent="0.4">
      <c r="A34" s="72" t="s">
        <v>446</v>
      </c>
      <c r="B34" s="72" t="s">
        <v>447</v>
      </c>
      <c r="C34" s="77">
        <v>87</v>
      </c>
      <c r="D34" s="77">
        <v>7830000</v>
      </c>
      <c r="E34" s="15">
        <v>1.47</v>
      </c>
    </row>
    <row r="35" spans="1:5" x14ac:dyDescent="0.4">
      <c r="A35" s="72" t="s">
        <v>2919</v>
      </c>
      <c r="B35" s="72" t="s">
        <v>2920</v>
      </c>
      <c r="C35" s="77">
        <v>146</v>
      </c>
      <c r="D35" s="77">
        <v>7679600</v>
      </c>
      <c r="E35" s="15">
        <v>1.44</v>
      </c>
    </row>
    <row r="36" spans="1:5" x14ac:dyDescent="0.4">
      <c r="A36" s="72" t="s">
        <v>3015</v>
      </c>
      <c r="B36" s="72" t="s">
        <v>3016</v>
      </c>
      <c r="C36" s="77">
        <v>213</v>
      </c>
      <c r="D36" s="77">
        <v>7604100</v>
      </c>
      <c r="E36" s="15">
        <v>1.43</v>
      </c>
    </row>
    <row r="37" spans="1:5" x14ac:dyDescent="0.4">
      <c r="A37" s="72" t="s">
        <v>180</v>
      </c>
      <c r="B37" s="72" t="s">
        <v>181</v>
      </c>
      <c r="C37" s="77">
        <v>70</v>
      </c>
      <c r="D37" s="77">
        <v>7420000</v>
      </c>
      <c r="E37" s="15">
        <v>1.39</v>
      </c>
    </row>
    <row r="38" spans="1:5" x14ac:dyDescent="0.4">
      <c r="A38" s="72" t="s">
        <v>412</v>
      </c>
      <c r="B38" s="72" t="s">
        <v>413</v>
      </c>
      <c r="C38" s="77">
        <v>350</v>
      </c>
      <c r="D38" s="77">
        <v>7175000</v>
      </c>
      <c r="E38" s="15">
        <v>1.35</v>
      </c>
    </row>
    <row r="39" spans="1:5" x14ac:dyDescent="0.4">
      <c r="A39" s="72" t="s">
        <v>1444</v>
      </c>
      <c r="B39" s="72" t="s">
        <v>1445</v>
      </c>
      <c r="C39" s="77">
        <v>308</v>
      </c>
      <c r="D39" s="77">
        <v>6991600</v>
      </c>
      <c r="E39" s="15">
        <v>1.31</v>
      </c>
    </row>
    <row r="40" spans="1:5" x14ac:dyDescent="0.4">
      <c r="A40" s="72" t="s">
        <v>3532</v>
      </c>
      <c r="B40" s="72" t="s">
        <v>3533</v>
      </c>
      <c r="C40" s="77">
        <v>192</v>
      </c>
      <c r="D40" s="77">
        <v>6672000</v>
      </c>
      <c r="E40" s="15">
        <v>1.25</v>
      </c>
    </row>
    <row r="41" spans="1:5" x14ac:dyDescent="0.4">
      <c r="A41" s="72" t="s">
        <v>35</v>
      </c>
      <c r="B41" s="72" t="s">
        <v>36</v>
      </c>
      <c r="C41" s="77">
        <v>42</v>
      </c>
      <c r="D41" s="77">
        <v>6346200</v>
      </c>
      <c r="E41" s="15">
        <v>1.19</v>
      </c>
    </row>
    <row r="42" spans="1:5" x14ac:dyDescent="0.4">
      <c r="A42" s="72" t="s">
        <v>351</v>
      </c>
      <c r="B42" s="72" t="s">
        <v>352</v>
      </c>
      <c r="C42" s="77">
        <v>30</v>
      </c>
      <c r="D42" s="77">
        <v>6075000</v>
      </c>
      <c r="E42" s="15">
        <v>1.1399999999999999</v>
      </c>
    </row>
    <row r="43" spans="1:5" x14ac:dyDescent="0.4">
      <c r="A43" s="72" t="s">
        <v>488</v>
      </c>
      <c r="B43" s="72" t="s">
        <v>489</v>
      </c>
      <c r="C43" s="77">
        <v>50</v>
      </c>
      <c r="D43" s="77">
        <v>5905000</v>
      </c>
      <c r="E43" s="15">
        <v>1.1100000000000001</v>
      </c>
    </row>
    <row r="44" spans="1:5" x14ac:dyDescent="0.4">
      <c r="A44" s="72" t="s">
        <v>422</v>
      </c>
      <c r="B44" s="72" t="s">
        <v>423</v>
      </c>
      <c r="C44" s="72">
        <v>38</v>
      </c>
      <c r="D44" s="77">
        <v>5662000</v>
      </c>
      <c r="E44" s="15">
        <v>1.06</v>
      </c>
    </row>
    <row r="45" spans="1:5" x14ac:dyDescent="0.4">
      <c r="A45" s="72" t="s">
        <v>486</v>
      </c>
      <c r="B45" s="72" t="s">
        <v>487</v>
      </c>
      <c r="C45" s="72">
        <v>19</v>
      </c>
      <c r="D45" s="77">
        <v>5234500</v>
      </c>
      <c r="E45" s="15">
        <v>0.98</v>
      </c>
    </row>
    <row r="46" spans="1:5" x14ac:dyDescent="0.4">
      <c r="A46" s="72" t="s">
        <v>619</v>
      </c>
      <c r="B46" s="72" t="s">
        <v>620</v>
      </c>
      <c r="C46" s="77">
        <v>99</v>
      </c>
      <c r="D46" s="77">
        <v>5138100</v>
      </c>
      <c r="E46" s="15">
        <v>0.96</v>
      </c>
    </row>
    <row r="47" spans="1:5" x14ac:dyDescent="0.4">
      <c r="A47" s="72" t="s">
        <v>607</v>
      </c>
      <c r="B47" s="72" t="s">
        <v>608</v>
      </c>
      <c r="C47" s="77">
        <v>40</v>
      </c>
      <c r="D47" s="77">
        <v>5044000</v>
      </c>
      <c r="E47" s="15">
        <v>0.95</v>
      </c>
    </row>
    <row r="48" spans="1:5" x14ac:dyDescent="0.4">
      <c r="A48" s="72" t="s">
        <v>3930</v>
      </c>
      <c r="B48" s="72" t="s">
        <v>3931</v>
      </c>
      <c r="C48" s="77">
        <v>50</v>
      </c>
      <c r="D48" s="77">
        <v>4505000</v>
      </c>
      <c r="E48" s="15">
        <v>0.85</v>
      </c>
    </row>
    <row r="49" spans="1:5" x14ac:dyDescent="0.4">
      <c r="A49" s="72" t="s">
        <v>664</v>
      </c>
      <c r="B49" s="72" t="s">
        <v>665</v>
      </c>
      <c r="C49" s="72">
        <v>88</v>
      </c>
      <c r="D49" s="77">
        <v>4470400</v>
      </c>
      <c r="E49" s="15">
        <v>0.84</v>
      </c>
    </row>
    <row r="50" spans="1:5" x14ac:dyDescent="0.4">
      <c r="A50" s="72" t="s">
        <v>719</v>
      </c>
      <c r="B50" s="72" t="s">
        <v>720</v>
      </c>
      <c r="C50" s="77">
        <v>344</v>
      </c>
      <c r="D50" s="77">
        <v>4468560</v>
      </c>
      <c r="E50" s="15">
        <v>0.84</v>
      </c>
    </row>
    <row r="51" spans="1:5" x14ac:dyDescent="0.4">
      <c r="A51" s="72" t="s">
        <v>579</v>
      </c>
      <c r="B51" s="72" t="s">
        <v>580</v>
      </c>
      <c r="C51" s="77">
        <v>142</v>
      </c>
      <c r="D51" s="77">
        <v>4075400</v>
      </c>
      <c r="E51" s="15">
        <v>0.77</v>
      </c>
    </row>
    <row r="52" spans="1:5" x14ac:dyDescent="0.4">
      <c r="A52" s="72" t="s">
        <v>723</v>
      </c>
      <c r="B52" s="72" t="s">
        <v>724</v>
      </c>
      <c r="C52" s="77">
        <v>30</v>
      </c>
      <c r="D52" s="77">
        <v>4011000</v>
      </c>
      <c r="E52" s="15">
        <v>0.75</v>
      </c>
    </row>
    <row r="53" spans="1:5" x14ac:dyDescent="0.4">
      <c r="A53" s="72" t="s">
        <v>631</v>
      </c>
      <c r="B53" s="72" t="s">
        <v>632</v>
      </c>
      <c r="C53" s="72">
        <v>30</v>
      </c>
      <c r="D53" s="77">
        <v>3993000</v>
      </c>
      <c r="E53" s="15">
        <v>0.75</v>
      </c>
    </row>
    <row r="54" spans="1:5" x14ac:dyDescent="0.4">
      <c r="A54" s="72" t="s">
        <v>3408</v>
      </c>
      <c r="B54" s="72" t="s">
        <v>3409</v>
      </c>
      <c r="C54" s="77">
        <v>150</v>
      </c>
      <c r="D54" s="77">
        <v>3990000</v>
      </c>
      <c r="E54" s="15">
        <v>0.75</v>
      </c>
    </row>
    <row r="55" spans="1:5" x14ac:dyDescent="0.4">
      <c r="A55" s="72" t="s">
        <v>593</v>
      </c>
      <c r="B55" s="72" t="s">
        <v>594</v>
      </c>
      <c r="C55" s="77">
        <v>100</v>
      </c>
      <c r="D55" s="77">
        <v>3895000</v>
      </c>
      <c r="E55" s="15">
        <v>0.73</v>
      </c>
    </row>
    <row r="56" spans="1:5" x14ac:dyDescent="0.4">
      <c r="A56" s="72" t="s">
        <v>468</v>
      </c>
      <c r="B56" s="72" t="s">
        <v>469</v>
      </c>
      <c r="C56" s="72">
        <v>78</v>
      </c>
      <c r="D56" s="77">
        <v>3794700</v>
      </c>
      <c r="E56" s="15">
        <v>0.71</v>
      </c>
    </row>
    <row r="57" spans="1:5" x14ac:dyDescent="0.4">
      <c r="A57" s="72" t="s">
        <v>4491</v>
      </c>
      <c r="B57" s="72" t="s">
        <v>4492</v>
      </c>
      <c r="C57" s="72">
        <v>65</v>
      </c>
      <c r="D57" s="77">
        <v>3724500</v>
      </c>
      <c r="E57" s="15">
        <v>0.7</v>
      </c>
    </row>
    <row r="58" spans="1:5" x14ac:dyDescent="0.4">
      <c r="A58" s="72" t="s">
        <v>4341</v>
      </c>
      <c r="B58" s="72" t="s">
        <v>4342</v>
      </c>
      <c r="C58" s="72">
        <v>32</v>
      </c>
      <c r="D58" s="77">
        <v>3513600</v>
      </c>
      <c r="E58" s="15">
        <v>0.66</v>
      </c>
    </row>
    <row r="59" spans="1:5" x14ac:dyDescent="0.4">
      <c r="A59" s="72" t="s">
        <v>45</v>
      </c>
      <c r="B59" s="72" t="s">
        <v>46</v>
      </c>
      <c r="C59" s="77">
        <v>19</v>
      </c>
      <c r="D59" s="77">
        <v>3326900</v>
      </c>
      <c r="E59" s="15">
        <v>0.62</v>
      </c>
    </row>
    <row r="60" spans="1:5" x14ac:dyDescent="0.4">
      <c r="A60" s="72" t="s">
        <v>479</v>
      </c>
      <c r="B60" s="72" t="s">
        <v>480</v>
      </c>
      <c r="C60" s="72">
        <v>29</v>
      </c>
      <c r="D60" s="77">
        <v>3091400</v>
      </c>
      <c r="E60" s="15">
        <v>0.57999999999999996</v>
      </c>
    </row>
    <row r="61" spans="1:5" x14ac:dyDescent="0.4">
      <c r="A61" s="72" t="s">
        <v>471</v>
      </c>
      <c r="B61" s="72" t="s">
        <v>472</v>
      </c>
      <c r="C61" s="77">
        <v>30</v>
      </c>
      <c r="D61" s="77">
        <v>2955000</v>
      </c>
      <c r="E61" s="15">
        <v>0.55000000000000004</v>
      </c>
    </row>
    <row r="62" spans="1:5" x14ac:dyDescent="0.4">
      <c r="A62" s="72" t="s">
        <v>158</v>
      </c>
      <c r="B62" s="72" t="s">
        <v>159</v>
      </c>
      <c r="C62" s="77">
        <v>29</v>
      </c>
      <c r="D62" s="77">
        <v>2824600</v>
      </c>
      <c r="E62" s="15">
        <v>0.53</v>
      </c>
    </row>
    <row r="63" spans="1:5" x14ac:dyDescent="0.4">
      <c r="A63" s="72" t="s">
        <v>41</v>
      </c>
      <c r="B63" s="72" t="s">
        <v>42</v>
      </c>
      <c r="C63" s="77">
        <v>25</v>
      </c>
      <c r="D63" s="77">
        <v>2797500</v>
      </c>
      <c r="E63" s="15">
        <v>0.53</v>
      </c>
    </row>
    <row r="64" spans="1:5" x14ac:dyDescent="0.4">
      <c r="A64" s="72" t="s">
        <v>401</v>
      </c>
      <c r="B64" s="72" t="s">
        <v>402</v>
      </c>
      <c r="C64" s="77">
        <v>50</v>
      </c>
      <c r="D64" s="77">
        <v>2640000</v>
      </c>
      <c r="E64" s="15">
        <v>0.5</v>
      </c>
    </row>
    <row r="65" spans="1:5" x14ac:dyDescent="0.4">
      <c r="A65" s="72" t="s">
        <v>5170</v>
      </c>
      <c r="B65" s="72" t="s">
        <v>5171</v>
      </c>
      <c r="C65" s="77">
        <v>100</v>
      </c>
      <c r="D65" s="77">
        <v>2575000</v>
      </c>
      <c r="E65" s="15">
        <v>0.48</v>
      </c>
    </row>
    <row r="66" spans="1:5" x14ac:dyDescent="0.4">
      <c r="A66" s="72" t="s">
        <v>4788</v>
      </c>
      <c r="B66" s="72" t="s">
        <v>4789</v>
      </c>
      <c r="C66" s="77">
        <v>144</v>
      </c>
      <c r="D66" s="77">
        <v>2301120</v>
      </c>
      <c r="E66" s="15">
        <v>0.43</v>
      </c>
    </row>
    <row r="67" spans="1:5" x14ac:dyDescent="0.4">
      <c r="A67" s="72" t="s">
        <v>470</v>
      </c>
      <c r="B67" s="72" t="s">
        <v>5179</v>
      </c>
      <c r="C67" s="77">
        <v>70</v>
      </c>
      <c r="D67" s="77">
        <v>2222500</v>
      </c>
      <c r="E67" s="15">
        <v>0.42</v>
      </c>
    </row>
    <row r="68" spans="1:5" x14ac:dyDescent="0.4">
      <c r="A68" s="72" t="s">
        <v>4067</v>
      </c>
      <c r="B68" s="72" t="s">
        <v>4068</v>
      </c>
      <c r="C68" s="77">
        <v>145</v>
      </c>
      <c r="D68" s="77">
        <v>2044500</v>
      </c>
      <c r="E68" s="15">
        <v>0.38</v>
      </c>
    </row>
    <row r="69" spans="1:5" x14ac:dyDescent="0.4">
      <c r="A69" s="72" t="s">
        <v>4499</v>
      </c>
      <c r="B69" s="72" t="s">
        <v>4500</v>
      </c>
      <c r="C69" s="77">
        <v>26</v>
      </c>
      <c r="D69" s="77">
        <v>2043600</v>
      </c>
      <c r="E69" s="15">
        <v>0.38</v>
      </c>
    </row>
    <row r="70" spans="1:5" x14ac:dyDescent="0.4">
      <c r="A70" s="72" t="s">
        <v>687</v>
      </c>
      <c r="B70" s="72" t="s">
        <v>688</v>
      </c>
      <c r="C70" s="72">
        <v>23</v>
      </c>
      <c r="D70" s="77">
        <v>2033200</v>
      </c>
      <c r="E70" s="15">
        <v>0.38</v>
      </c>
    </row>
    <row r="71" spans="1:5" x14ac:dyDescent="0.4">
      <c r="A71" s="72" t="s">
        <v>39</v>
      </c>
      <c r="B71" s="72" t="s">
        <v>40</v>
      </c>
      <c r="C71" s="72">
        <v>7</v>
      </c>
      <c r="D71" s="77">
        <v>2009000</v>
      </c>
      <c r="E71" s="15">
        <v>0.38</v>
      </c>
    </row>
    <row r="72" spans="1:5" x14ac:dyDescent="0.4">
      <c r="A72" s="72" t="s">
        <v>551</v>
      </c>
      <c r="B72" s="72" t="s">
        <v>552</v>
      </c>
      <c r="C72" s="72">
        <v>53</v>
      </c>
      <c r="D72" s="77">
        <v>1915950</v>
      </c>
      <c r="E72" s="15">
        <v>0.36</v>
      </c>
    </row>
    <row r="73" spans="1:5" x14ac:dyDescent="0.4">
      <c r="A73" s="72" t="s">
        <v>717</v>
      </c>
      <c r="B73" s="72" t="s">
        <v>718</v>
      </c>
      <c r="C73" s="77">
        <v>99</v>
      </c>
      <c r="D73" s="77">
        <v>1776060</v>
      </c>
      <c r="E73" s="15">
        <v>0.33</v>
      </c>
    </row>
    <row r="74" spans="1:5" x14ac:dyDescent="0.4">
      <c r="A74" s="72" t="s">
        <v>4679</v>
      </c>
      <c r="B74" s="72" t="s">
        <v>4680</v>
      </c>
      <c r="C74" s="77">
        <v>92</v>
      </c>
      <c r="D74" s="77">
        <v>1592520</v>
      </c>
      <c r="E74" s="15">
        <v>0.3</v>
      </c>
    </row>
    <row r="75" spans="1:5" x14ac:dyDescent="0.4">
      <c r="A75" s="72" t="s">
        <v>2482</v>
      </c>
      <c r="B75" s="72" t="s">
        <v>2483</v>
      </c>
      <c r="C75" s="77">
        <v>100</v>
      </c>
      <c r="D75" s="77">
        <v>1061000</v>
      </c>
      <c r="E75" s="15">
        <v>0.2</v>
      </c>
    </row>
    <row r="76" spans="1:5" x14ac:dyDescent="0.4">
      <c r="A76" s="72"/>
      <c r="B76" s="72" t="s">
        <v>10</v>
      </c>
      <c r="C76" s="77">
        <v>4808083</v>
      </c>
      <c r="D76" s="77">
        <v>4808083</v>
      </c>
      <c r="E76" s="15">
        <v>0.9</v>
      </c>
    </row>
    <row r="77" spans="1:5" x14ac:dyDescent="0.4">
      <c r="D77" s="13"/>
      <c r="E77" s="72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5158</v>
      </c>
      <c r="B8" s="6"/>
      <c r="C8" s="6"/>
      <c r="D8" s="6"/>
      <c r="E8" s="14"/>
    </row>
    <row r="9" spans="1:7" x14ac:dyDescent="0.4">
      <c r="A9" s="74" t="s">
        <v>5160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4788</v>
      </c>
      <c r="B11" s="73" t="s">
        <v>4789</v>
      </c>
      <c r="C11" s="75">
        <v>2561</v>
      </c>
      <c r="D11" s="75">
        <v>32268600</v>
      </c>
      <c r="E11" s="19">
        <v>6.38</v>
      </c>
      <c r="F11" s="17"/>
      <c r="G11" s="17"/>
    </row>
    <row r="12" spans="1:7" x14ac:dyDescent="0.4">
      <c r="A12" s="72" t="s">
        <v>434</v>
      </c>
      <c r="B12" s="73" t="s">
        <v>435</v>
      </c>
      <c r="C12" s="75">
        <v>428</v>
      </c>
      <c r="D12" s="75">
        <v>31886000</v>
      </c>
      <c r="E12" s="19">
        <v>6.31</v>
      </c>
      <c r="F12" s="17"/>
      <c r="G12" s="17"/>
    </row>
    <row r="13" spans="1:7" x14ac:dyDescent="0.4">
      <c r="A13" s="72" t="s">
        <v>470</v>
      </c>
      <c r="B13" s="73" t="s">
        <v>5179</v>
      </c>
      <c r="C13" s="75">
        <v>970</v>
      </c>
      <c r="D13" s="75">
        <v>28372500</v>
      </c>
      <c r="E13" s="19">
        <v>5.61</v>
      </c>
      <c r="F13" s="17"/>
      <c r="G13" s="17"/>
    </row>
    <row r="14" spans="1:7" x14ac:dyDescent="0.4">
      <c r="A14" s="72" t="s">
        <v>593</v>
      </c>
      <c r="B14" s="73" t="s">
        <v>594</v>
      </c>
      <c r="C14" s="75">
        <v>553</v>
      </c>
      <c r="D14" s="75">
        <v>21290500</v>
      </c>
      <c r="E14" s="19">
        <v>4.21</v>
      </c>
      <c r="F14" s="17"/>
      <c r="G14" s="17"/>
    </row>
    <row r="15" spans="1:7" x14ac:dyDescent="0.4">
      <c r="A15" s="72" t="s">
        <v>446</v>
      </c>
      <c r="B15" s="73" t="s">
        <v>447</v>
      </c>
      <c r="C15" s="75">
        <v>148</v>
      </c>
      <c r="D15" s="75">
        <v>20601600</v>
      </c>
      <c r="E15" s="19">
        <v>4.08</v>
      </c>
      <c r="F15" s="17"/>
      <c r="G15" s="17"/>
    </row>
    <row r="16" spans="1:7" x14ac:dyDescent="0.4">
      <c r="A16" s="72" t="s">
        <v>679</v>
      </c>
      <c r="B16" s="73" t="s">
        <v>680</v>
      </c>
      <c r="C16" s="75">
        <v>114</v>
      </c>
      <c r="D16" s="75">
        <v>17350800</v>
      </c>
      <c r="E16" s="19">
        <v>3.43</v>
      </c>
      <c r="F16" s="17"/>
      <c r="G16" s="17"/>
    </row>
    <row r="17" spans="1:7" x14ac:dyDescent="0.4">
      <c r="A17" s="72" t="s">
        <v>422</v>
      </c>
      <c r="B17" s="72" t="s">
        <v>423</v>
      </c>
      <c r="C17" s="77">
        <v>148</v>
      </c>
      <c r="D17" s="77">
        <v>15377200</v>
      </c>
      <c r="E17" s="15">
        <v>3.04</v>
      </c>
    </row>
    <row r="18" spans="1:7" x14ac:dyDescent="0.4">
      <c r="A18" s="72" t="s">
        <v>2626</v>
      </c>
      <c r="B18" s="73" t="s">
        <v>2627</v>
      </c>
      <c r="C18" s="75">
        <v>621</v>
      </c>
      <c r="D18" s="75">
        <v>14997150</v>
      </c>
      <c r="E18" s="19">
        <v>2.97</v>
      </c>
      <c r="F18" s="17"/>
      <c r="G18" s="17"/>
    </row>
    <row r="19" spans="1:7" x14ac:dyDescent="0.4">
      <c r="A19" s="72" t="s">
        <v>401</v>
      </c>
      <c r="B19" s="72" t="s">
        <v>402</v>
      </c>
      <c r="C19" s="76">
        <v>340</v>
      </c>
      <c r="D19" s="77">
        <v>14263000</v>
      </c>
      <c r="E19" s="15">
        <v>2.82</v>
      </c>
    </row>
    <row r="20" spans="1:7" x14ac:dyDescent="0.4">
      <c r="A20" s="72" t="s">
        <v>479</v>
      </c>
      <c r="B20" s="72" t="s">
        <v>480</v>
      </c>
      <c r="C20" s="76">
        <v>102</v>
      </c>
      <c r="D20" s="77">
        <v>13657800</v>
      </c>
      <c r="E20" s="15">
        <v>2.7</v>
      </c>
    </row>
    <row r="21" spans="1:7" x14ac:dyDescent="0.4">
      <c r="A21" s="72" t="s">
        <v>426</v>
      </c>
      <c r="B21" s="72" t="s">
        <v>427</v>
      </c>
      <c r="C21" s="77">
        <v>3054</v>
      </c>
      <c r="D21" s="77">
        <v>13208550</v>
      </c>
      <c r="E21" s="15">
        <v>2.61</v>
      </c>
    </row>
    <row r="22" spans="1:7" x14ac:dyDescent="0.4">
      <c r="A22" s="72" t="s">
        <v>484</v>
      </c>
      <c r="B22" s="72" t="s">
        <v>485</v>
      </c>
      <c r="C22" s="76">
        <v>154</v>
      </c>
      <c r="D22" s="77">
        <v>13105400</v>
      </c>
      <c r="E22" s="15">
        <v>2.59</v>
      </c>
    </row>
    <row r="23" spans="1:7" x14ac:dyDescent="0.4">
      <c r="A23" s="72" t="s">
        <v>2232</v>
      </c>
      <c r="B23" s="72" t="s">
        <v>2233</v>
      </c>
      <c r="C23" s="76">
        <v>978</v>
      </c>
      <c r="D23" s="77">
        <v>12078300</v>
      </c>
      <c r="E23" s="15">
        <v>2.39</v>
      </c>
    </row>
    <row r="24" spans="1:7" x14ac:dyDescent="0.4">
      <c r="A24" s="72" t="s">
        <v>488</v>
      </c>
      <c r="B24" s="72" t="s">
        <v>489</v>
      </c>
      <c r="C24" s="76">
        <v>90</v>
      </c>
      <c r="D24" s="77">
        <v>11997000</v>
      </c>
      <c r="E24" s="15">
        <v>2.37</v>
      </c>
    </row>
    <row r="25" spans="1:7" x14ac:dyDescent="0.4">
      <c r="A25" s="72" t="s">
        <v>3272</v>
      </c>
      <c r="B25" s="72" t="s">
        <v>3273</v>
      </c>
      <c r="C25" s="77">
        <v>269</v>
      </c>
      <c r="D25" s="77">
        <v>11728400</v>
      </c>
      <c r="E25" s="15">
        <v>2.3199999999999998</v>
      </c>
    </row>
    <row r="26" spans="1:7" x14ac:dyDescent="0.4">
      <c r="A26" s="72" t="s">
        <v>495</v>
      </c>
      <c r="B26" s="72" t="s">
        <v>496</v>
      </c>
      <c r="C26" s="77">
        <v>41</v>
      </c>
      <c r="D26" s="77">
        <v>11377500</v>
      </c>
      <c r="E26" s="15">
        <v>2.25</v>
      </c>
    </row>
    <row r="27" spans="1:7" x14ac:dyDescent="0.4">
      <c r="A27" s="72" t="s">
        <v>158</v>
      </c>
      <c r="B27" s="72" t="s">
        <v>159</v>
      </c>
      <c r="C27" s="77">
        <v>112</v>
      </c>
      <c r="D27" s="77">
        <v>11177600</v>
      </c>
      <c r="E27" s="15">
        <v>2.21</v>
      </c>
    </row>
    <row r="28" spans="1:7" x14ac:dyDescent="0.4">
      <c r="A28" s="72" t="s">
        <v>757</v>
      </c>
      <c r="B28" s="72" t="s">
        <v>758</v>
      </c>
      <c r="C28" s="77">
        <v>64</v>
      </c>
      <c r="D28" s="77">
        <v>10918400</v>
      </c>
      <c r="E28" s="15">
        <v>2.16</v>
      </c>
    </row>
    <row r="29" spans="1:7" x14ac:dyDescent="0.4">
      <c r="A29" s="72" t="s">
        <v>486</v>
      </c>
      <c r="B29" s="72" t="s">
        <v>487</v>
      </c>
      <c r="C29" s="77">
        <v>41</v>
      </c>
      <c r="D29" s="77">
        <v>10824000</v>
      </c>
      <c r="E29" s="15">
        <v>2.14</v>
      </c>
    </row>
    <row r="30" spans="1:7" x14ac:dyDescent="0.4">
      <c r="A30" s="72" t="s">
        <v>359</v>
      </c>
      <c r="B30" s="72" t="s">
        <v>360</v>
      </c>
      <c r="C30" s="76">
        <v>25</v>
      </c>
      <c r="D30" s="77">
        <v>8875000</v>
      </c>
      <c r="E30" s="15">
        <v>1.76</v>
      </c>
    </row>
    <row r="31" spans="1:7" x14ac:dyDescent="0.4">
      <c r="A31" s="72" t="s">
        <v>683</v>
      </c>
      <c r="B31" s="72" t="s">
        <v>684</v>
      </c>
      <c r="C31" s="77">
        <v>80</v>
      </c>
      <c r="D31" s="77">
        <v>8240000</v>
      </c>
      <c r="E31" s="15">
        <v>1.63</v>
      </c>
    </row>
    <row r="32" spans="1:7" x14ac:dyDescent="0.4">
      <c r="A32" s="72" t="s">
        <v>737</v>
      </c>
      <c r="B32" s="72" t="s">
        <v>738</v>
      </c>
      <c r="C32" s="77">
        <v>67</v>
      </c>
      <c r="D32" s="77">
        <v>7845700</v>
      </c>
      <c r="E32" s="15">
        <v>1.55</v>
      </c>
    </row>
    <row r="33" spans="1:5" x14ac:dyDescent="0.4">
      <c r="A33" s="72" t="s">
        <v>471</v>
      </c>
      <c r="B33" s="72" t="s">
        <v>472</v>
      </c>
      <c r="C33" s="77">
        <v>52</v>
      </c>
      <c r="D33" s="77">
        <v>7789600</v>
      </c>
      <c r="E33" s="15">
        <v>1.54</v>
      </c>
    </row>
    <row r="34" spans="1:5" x14ac:dyDescent="0.4">
      <c r="A34" s="72" t="s">
        <v>607</v>
      </c>
      <c r="B34" s="72" t="s">
        <v>608</v>
      </c>
      <c r="C34" s="77">
        <v>82</v>
      </c>
      <c r="D34" s="77">
        <v>7609600</v>
      </c>
      <c r="E34" s="15">
        <v>1.51</v>
      </c>
    </row>
    <row r="35" spans="1:5" x14ac:dyDescent="0.4">
      <c r="A35" s="72" t="s">
        <v>351</v>
      </c>
      <c r="B35" s="72" t="s">
        <v>352</v>
      </c>
      <c r="C35" s="77">
        <v>39</v>
      </c>
      <c r="D35" s="77">
        <v>7429500</v>
      </c>
      <c r="E35" s="15">
        <v>1.47</v>
      </c>
    </row>
    <row r="36" spans="1:5" x14ac:dyDescent="0.4">
      <c r="A36" s="72" t="s">
        <v>162</v>
      </c>
      <c r="B36" s="72" t="s">
        <v>163</v>
      </c>
      <c r="C36" s="77">
        <v>134</v>
      </c>
      <c r="D36" s="77">
        <v>7423600</v>
      </c>
      <c r="E36" s="15">
        <v>1.47</v>
      </c>
    </row>
    <row r="37" spans="1:5" x14ac:dyDescent="0.4">
      <c r="A37" s="72" t="s">
        <v>45</v>
      </c>
      <c r="B37" s="72" t="s">
        <v>46</v>
      </c>
      <c r="C37" s="77">
        <v>58</v>
      </c>
      <c r="D37" s="77">
        <v>7209400</v>
      </c>
      <c r="E37" s="15">
        <v>1.43</v>
      </c>
    </row>
    <row r="38" spans="1:5" x14ac:dyDescent="0.4">
      <c r="A38" s="72" t="s">
        <v>643</v>
      </c>
      <c r="B38" s="72" t="s">
        <v>644</v>
      </c>
      <c r="C38" s="77">
        <v>47</v>
      </c>
      <c r="D38" s="77">
        <v>6937200</v>
      </c>
      <c r="E38" s="15">
        <v>1.37</v>
      </c>
    </row>
    <row r="39" spans="1:5" x14ac:dyDescent="0.4">
      <c r="A39" s="72" t="s">
        <v>675</v>
      </c>
      <c r="B39" s="72" t="s">
        <v>676</v>
      </c>
      <c r="C39" s="77">
        <v>140</v>
      </c>
      <c r="D39" s="77">
        <v>6559000</v>
      </c>
      <c r="E39" s="15">
        <v>1.3</v>
      </c>
    </row>
    <row r="40" spans="1:5" x14ac:dyDescent="0.4">
      <c r="A40" s="72" t="s">
        <v>3062</v>
      </c>
      <c r="B40" s="72" t="s">
        <v>3063</v>
      </c>
      <c r="C40" s="77">
        <v>362</v>
      </c>
      <c r="D40" s="77">
        <v>6056260</v>
      </c>
      <c r="E40" s="15">
        <v>1.2</v>
      </c>
    </row>
    <row r="41" spans="1:5" x14ac:dyDescent="0.4">
      <c r="A41" s="72" t="s">
        <v>51</v>
      </c>
      <c r="B41" s="72" t="s">
        <v>52</v>
      </c>
      <c r="C41" s="77">
        <v>140</v>
      </c>
      <c r="D41" s="77">
        <v>6034000</v>
      </c>
      <c r="E41" s="15">
        <v>1.19</v>
      </c>
    </row>
    <row r="42" spans="1:5" x14ac:dyDescent="0.4">
      <c r="A42" s="72" t="s">
        <v>180</v>
      </c>
      <c r="B42" s="72" t="s">
        <v>181</v>
      </c>
      <c r="C42" s="77">
        <v>36</v>
      </c>
      <c r="D42" s="77">
        <v>5076000</v>
      </c>
      <c r="E42" s="15">
        <v>1</v>
      </c>
    </row>
    <row r="43" spans="1:5" x14ac:dyDescent="0.4">
      <c r="A43" s="72" t="s">
        <v>551</v>
      </c>
      <c r="B43" s="72" t="s">
        <v>552</v>
      </c>
      <c r="C43" s="72">
        <v>142</v>
      </c>
      <c r="D43" s="77">
        <v>5026800</v>
      </c>
      <c r="E43" s="15">
        <v>0.99</v>
      </c>
    </row>
    <row r="44" spans="1:5" x14ac:dyDescent="0.4">
      <c r="A44" s="72" t="s">
        <v>4268</v>
      </c>
      <c r="B44" s="72" t="s">
        <v>4269</v>
      </c>
      <c r="C44" s="72">
        <v>574</v>
      </c>
      <c r="D44" s="77">
        <v>4505900</v>
      </c>
      <c r="E44" s="15">
        <v>0.89</v>
      </c>
    </row>
    <row r="45" spans="1:5" x14ac:dyDescent="0.4">
      <c r="A45" s="72" t="s">
        <v>637</v>
      </c>
      <c r="B45" s="72" t="s">
        <v>638</v>
      </c>
      <c r="C45" s="77">
        <v>94</v>
      </c>
      <c r="D45" s="77">
        <v>4342800</v>
      </c>
      <c r="E45" s="15">
        <v>0.86</v>
      </c>
    </row>
    <row r="46" spans="1:5" x14ac:dyDescent="0.4">
      <c r="A46" s="72" t="s">
        <v>555</v>
      </c>
      <c r="B46" s="72" t="s">
        <v>556</v>
      </c>
      <c r="C46" s="77">
        <v>39</v>
      </c>
      <c r="D46" s="77">
        <v>4340700</v>
      </c>
      <c r="E46" s="15">
        <v>0.86</v>
      </c>
    </row>
    <row r="47" spans="1:5" x14ac:dyDescent="0.4">
      <c r="A47" s="72" t="s">
        <v>4966</v>
      </c>
      <c r="B47" s="72" t="s">
        <v>4967</v>
      </c>
      <c r="C47" s="72">
        <v>170</v>
      </c>
      <c r="D47" s="77">
        <v>3842000</v>
      </c>
      <c r="E47" s="15">
        <v>0.76</v>
      </c>
    </row>
    <row r="48" spans="1:5" x14ac:dyDescent="0.4">
      <c r="A48" s="72" t="s">
        <v>701</v>
      </c>
      <c r="B48" s="72" t="s">
        <v>702</v>
      </c>
      <c r="C48" s="72">
        <v>83</v>
      </c>
      <c r="D48" s="77">
        <v>3631250</v>
      </c>
      <c r="E48" s="15">
        <v>0.72</v>
      </c>
    </row>
    <row r="49" spans="1:5" x14ac:dyDescent="0.4">
      <c r="A49" s="72" t="s">
        <v>563</v>
      </c>
      <c r="B49" s="72" t="s">
        <v>564</v>
      </c>
      <c r="C49" s="77">
        <v>121</v>
      </c>
      <c r="D49" s="77">
        <v>3593700</v>
      </c>
      <c r="E49" s="15">
        <v>0.71</v>
      </c>
    </row>
    <row r="50" spans="1:5" x14ac:dyDescent="0.4">
      <c r="A50" s="72" t="s">
        <v>37</v>
      </c>
      <c r="B50" s="72" t="s">
        <v>38</v>
      </c>
      <c r="C50" s="77">
        <v>38</v>
      </c>
      <c r="D50" s="77">
        <v>3587200</v>
      </c>
      <c r="E50" s="15">
        <v>0.71</v>
      </c>
    </row>
    <row r="51" spans="1:5" x14ac:dyDescent="0.4">
      <c r="A51" s="72" t="s">
        <v>545</v>
      </c>
      <c r="B51" s="72" t="s">
        <v>546</v>
      </c>
      <c r="C51" s="77">
        <v>95</v>
      </c>
      <c r="D51" s="77">
        <v>3586250</v>
      </c>
      <c r="E51" s="15">
        <v>0.71</v>
      </c>
    </row>
    <row r="52" spans="1:5" x14ac:dyDescent="0.4">
      <c r="A52" s="72" t="s">
        <v>2841</v>
      </c>
      <c r="B52" s="72" t="s">
        <v>2842</v>
      </c>
      <c r="C52" s="77">
        <v>520</v>
      </c>
      <c r="D52" s="77">
        <v>3270800</v>
      </c>
      <c r="E52" s="15">
        <v>0.65</v>
      </c>
    </row>
    <row r="53" spans="1:5" x14ac:dyDescent="0.4">
      <c r="A53" s="72" t="s">
        <v>719</v>
      </c>
      <c r="B53" s="72" t="s">
        <v>720</v>
      </c>
      <c r="C53" s="77">
        <v>227</v>
      </c>
      <c r="D53" s="77">
        <v>3259720</v>
      </c>
      <c r="E53" s="15">
        <v>0.64</v>
      </c>
    </row>
    <row r="54" spans="1:5" x14ac:dyDescent="0.4">
      <c r="A54" s="72" t="s">
        <v>468</v>
      </c>
      <c r="B54" s="72" t="s">
        <v>469</v>
      </c>
      <c r="C54" s="77">
        <v>54</v>
      </c>
      <c r="D54" s="77">
        <v>2970000</v>
      </c>
      <c r="E54" s="15">
        <v>0.59</v>
      </c>
    </row>
    <row r="55" spans="1:5" x14ac:dyDescent="0.4">
      <c r="A55" s="72" t="s">
        <v>35</v>
      </c>
      <c r="B55" s="72" t="s">
        <v>36</v>
      </c>
      <c r="C55" s="77">
        <v>21</v>
      </c>
      <c r="D55" s="77">
        <v>2830800</v>
      </c>
      <c r="E55" s="15">
        <v>0.56000000000000005</v>
      </c>
    </row>
    <row r="56" spans="1:5" x14ac:dyDescent="0.4">
      <c r="A56" s="72" t="s">
        <v>3660</v>
      </c>
      <c r="B56" s="72" t="s">
        <v>3661</v>
      </c>
      <c r="C56" s="72">
        <v>48</v>
      </c>
      <c r="D56" s="77">
        <v>2774400</v>
      </c>
      <c r="E56" s="15">
        <v>0.55000000000000004</v>
      </c>
    </row>
    <row r="57" spans="1:5" x14ac:dyDescent="0.4">
      <c r="A57" s="72" t="s">
        <v>666</v>
      </c>
      <c r="B57" s="72" t="s">
        <v>667</v>
      </c>
      <c r="C57" s="77">
        <v>60</v>
      </c>
      <c r="D57" s="77">
        <v>2640000</v>
      </c>
      <c r="E57" s="15">
        <v>0.52</v>
      </c>
    </row>
    <row r="58" spans="1:5" x14ac:dyDescent="0.4">
      <c r="A58" s="72" t="s">
        <v>31</v>
      </c>
      <c r="B58" s="72" t="s">
        <v>32</v>
      </c>
      <c r="C58" s="77">
        <v>7</v>
      </c>
      <c r="D58" s="77">
        <v>2429000</v>
      </c>
      <c r="E58" s="15">
        <v>0.48</v>
      </c>
    </row>
    <row r="59" spans="1:5" x14ac:dyDescent="0.4">
      <c r="A59" s="72" t="s">
        <v>4615</v>
      </c>
      <c r="B59" s="72" t="s">
        <v>4616</v>
      </c>
      <c r="C59" s="77">
        <v>42</v>
      </c>
      <c r="D59" s="77">
        <v>2385600</v>
      </c>
      <c r="E59" s="15">
        <v>0.47</v>
      </c>
    </row>
    <row r="60" spans="1:5" x14ac:dyDescent="0.4">
      <c r="A60" s="72" t="s">
        <v>4164</v>
      </c>
      <c r="B60" s="72" t="s">
        <v>4165</v>
      </c>
      <c r="C60" s="77">
        <v>399</v>
      </c>
      <c r="D60" s="77">
        <v>2362080</v>
      </c>
      <c r="E60" s="15">
        <v>0.47</v>
      </c>
    </row>
    <row r="61" spans="1:5" x14ac:dyDescent="0.4">
      <c r="A61" s="72" t="s">
        <v>41</v>
      </c>
      <c r="B61" s="72" t="s">
        <v>42</v>
      </c>
      <c r="C61" s="77">
        <v>24</v>
      </c>
      <c r="D61" s="77">
        <v>2234400</v>
      </c>
      <c r="E61" s="15">
        <v>0.44</v>
      </c>
    </row>
    <row r="62" spans="1:5" x14ac:dyDescent="0.4">
      <c r="A62" s="72" t="s">
        <v>627</v>
      </c>
      <c r="B62" s="72" t="s">
        <v>628</v>
      </c>
      <c r="C62" s="77">
        <v>190</v>
      </c>
      <c r="D62" s="77">
        <v>2169800</v>
      </c>
      <c r="E62" s="15">
        <v>0.43</v>
      </c>
    </row>
    <row r="63" spans="1:5" x14ac:dyDescent="0.4">
      <c r="A63" s="72" t="s">
        <v>4499</v>
      </c>
      <c r="B63" s="72" t="s">
        <v>4500</v>
      </c>
      <c r="C63" s="77">
        <v>33</v>
      </c>
      <c r="D63" s="77">
        <v>2145000</v>
      </c>
      <c r="E63" s="15">
        <v>0.42</v>
      </c>
    </row>
    <row r="64" spans="1:5" x14ac:dyDescent="0.4">
      <c r="A64" s="72" t="s">
        <v>771</v>
      </c>
      <c r="B64" s="72" t="s">
        <v>772</v>
      </c>
      <c r="C64" s="77">
        <v>183</v>
      </c>
      <c r="D64" s="77">
        <v>2117310</v>
      </c>
      <c r="E64" s="15">
        <v>0.42</v>
      </c>
    </row>
    <row r="65" spans="1:5" x14ac:dyDescent="0.4">
      <c r="A65" s="72" t="s">
        <v>759</v>
      </c>
      <c r="B65" s="72" t="s">
        <v>760</v>
      </c>
      <c r="C65" s="72">
        <v>107</v>
      </c>
      <c r="D65" s="77">
        <v>1994480</v>
      </c>
      <c r="E65" s="15">
        <v>0.39</v>
      </c>
    </row>
    <row r="66" spans="1:5" x14ac:dyDescent="0.4">
      <c r="A66" s="72" t="s">
        <v>3035</v>
      </c>
      <c r="B66" s="72" t="s">
        <v>3036</v>
      </c>
      <c r="C66" s="77">
        <v>107</v>
      </c>
      <c r="D66" s="77">
        <v>1902460</v>
      </c>
      <c r="E66" s="15">
        <v>0.38</v>
      </c>
    </row>
    <row r="67" spans="1:5" x14ac:dyDescent="0.4">
      <c r="A67" s="72" t="s">
        <v>1545</v>
      </c>
      <c r="B67" s="72" t="s">
        <v>1546</v>
      </c>
      <c r="C67" s="77">
        <v>52</v>
      </c>
      <c r="D67" s="77">
        <v>1723800</v>
      </c>
      <c r="E67" s="15">
        <v>0.34</v>
      </c>
    </row>
    <row r="68" spans="1:5" x14ac:dyDescent="0.4">
      <c r="A68" s="72" t="s">
        <v>3155</v>
      </c>
      <c r="B68" s="72" t="s">
        <v>3156</v>
      </c>
      <c r="C68" s="77">
        <v>61</v>
      </c>
      <c r="D68" s="77">
        <v>1717150</v>
      </c>
      <c r="E68" s="15">
        <v>0.34</v>
      </c>
    </row>
    <row r="69" spans="1:5" x14ac:dyDescent="0.4">
      <c r="A69" s="72" t="s">
        <v>585</v>
      </c>
      <c r="B69" s="72" t="s">
        <v>586</v>
      </c>
      <c r="C69" s="77">
        <v>58</v>
      </c>
      <c r="D69" s="77">
        <v>1635600</v>
      </c>
      <c r="E69" s="15">
        <v>0.32</v>
      </c>
    </row>
    <row r="70" spans="1:5" x14ac:dyDescent="0.4">
      <c r="A70" s="72" t="s">
        <v>420</v>
      </c>
      <c r="B70" s="72" t="s">
        <v>421</v>
      </c>
      <c r="C70" s="77">
        <v>42</v>
      </c>
      <c r="D70" s="77">
        <v>1556100</v>
      </c>
      <c r="E70" s="15">
        <v>0.31</v>
      </c>
    </row>
    <row r="71" spans="1:5" x14ac:dyDescent="0.4">
      <c r="A71" s="72" t="s">
        <v>349</v>
      </c>
      <c r="B71" s="72" t="s">
        <v>350</v>
      </c>
      <c r="C71" s="72">
        <v>3</v>
      </c>
      <c r="D71" s="77">
        <v>1512000</v>
      </c>
      <c r="E71" s="15">
        <v>0.3</v>
      </c>
    </row>
    <row r="72" spans="1:5" x14ac:dyDescent="0.4">
      <c r="A72" s="72" t="s">
        <v>733</v>
      </c>
      <c r="B72" s="72" t="s">
        <v>734</v>
      </c>
      <c r="C72" s="72">
        <v>19</v>
      </c>
      <c r="D72" s="77">
        <v>1478200</v>
      </c>
      <c r="E72" s="15">
        <v>0.28999999999999998</v>
      </c>
    </row>
    <row r="73" spans="1:5" x14ac:dyDescent="0.4">
      <c r="A73" s="72" t="s">
        <v>697</v>
      </c>
      <c r="B73" s="72" t="s">
        <v>698</v>
      </c>
      <c r="C73" s="77">
        <v>19</v>
      </c>
      <c r="D73" s="77">
        <v>1337600</v>
      </c>
      <c r="E73" s="15">
        <v>0.26</v>
      </c>
    </row>
    <row r="74" spans="1:5" x14ac:dyDescent="0.4">
      <c r="A74" s="72" t="s">
        <v>767</v>
      </c>
      <c r="B74" s="72" t="s">
        <v>768</v>
      </c>
      <c r="C74" s="77">
        <v>50</v>
      </c>
      <c r="D74" s="77">
        <v>1162500</v>
      </c>
      <c r="E74" s="15">
        <v>0.23</v>
      </c>
    </row>
    <row r="75" spans="1:5" x14ac:dyDescent="0.4">
      <c r="A75" s="72" t="s">
        <v>671</v>
      </c>
      <c r="B75" s="72" t="s">
        <v>672</v>
      </c>
      <c r="C75" s="77">
        <v>73</v>
      </c>
      <c r="D75" s="77">
        <v>1146100</v>
      </c>
      <c r="E75" s="15">
        <v>0.23</v>
      </c>
    </row>
    <row r="76" spans="1:5" x14ac:dyDescent="0.4">
      <c r="A76" s="72" t="s">
        <v>613</v>
      </c>
      <c r="B76" s="72" t="s">
        <v>614</v>
      </c>
      <c r="C76" s="77">
        <v>20</v>
      </c>
      <c r="D76" s="77">
        <v>1048000</v>
      </c>
      <c r="E76" s="15">
        <v>0.21</v>
      </c>
    </row>
    <row r="77" spans="1:5" x14ac:dyDescent="0.4">
      <c r="A77" s="72" t="s">
        <v>721</v>
      </c>
      <c r="B77" s="72" t="s">
        <v>722</v>
      </c>
      <c r="C77" s="77">
        <v>9</v>
      </c>
      <c r="D77" s="77">
        <v>893700</v>
      </c>
      <c r="E77" s="15">
        <v>0.18</v>
      </c>
    </row>
    <row r="78" spans="1:5" x14ac:dyDescent="0.4">
      <c r="A78" s="72" t="s">
        <v>279</v>
      </c>
      <c r="B78" s="72" t="s">
        <v>280</v>
      </c>
      <c r="C78" s="72">
        <v>73</v>
      </c>
      <c r="D78" s="77">
        <v>857020</v>
      </c>
      <c r="E78" s="15">
        <v>0.17</v>
      </c>
    </row>
    <row r="79" spans="1:5" x14ac:dyDescent="0.4">
      <c r="A79" s="72" t="s">
        <v>49</v>
      </c>
      <c r="B79" s="72" t="s">
        <v>50</v>
      </c>
      <c r="C79" s="72">
        <v>4</v>
      </c>
      <c r="D79" s="77">
        <v>492800</v>
      </c>
      <c r="E79" s="15">
        <v>0.1</v>
      </c>
    </row>
    <row r="80" spans="1:5" x14ac:dyDescent="0.4">
      <c r="A80" s="72" t="s">
        <v>250</v>
      </c>
      <c r="B80" s="72" t="s">
        <v>251</v>
      </c>
      <c r="C80" s="77">
        <v>46</v>
      </c>
      <c r="D80" s="77">
        <v>486220</v>
      </c>
      <c r="E80" s="15">
        <v>0.1</v>
      </c>
    </row>
    <row r="81" spans="1:5" x14ac:dyDescent="0.4">
      <c r="A81" s="72" t="s">
        <v>3394</v>
      </c>
      <c r="B81" s="72" t="s">
        <v>3395</v>
      </c>
      <c r="C81" s="77">
        <v>8</v>
      </c>
      <c r="D81" s="77">
        <v>444000</v>
      </c>
      <c r="E81" s="15">
        <v>0.09</v>
      </c>
    </row>
    <row r="82" spans="1:5" x14ac:dyDescent="0.4">
      <c r="A82" s="72" t="s">
        <v>3532</v>
      </c>
      <c r="B82" s="72" t="s">
        <v>3533</v>
      </c>
      <c r="C82" s="77">
        <v>14</v>
      </c>
      <c r="D82" s="77">
        <v>428400</v>
      </c>
      <c r="E82" s="15">
        <v>0.08</v>
      </c>
    </row>
    <row r="83" spans="1:5" x14ac:dyDescent="0.4">
      <c r="A83" s="72" t="s">
        <v>5204</v>
      </c>
      <c r="B83" s="72" t="s">
        <v>5205</v>
      </c>
      <c r="C83" s="77">
        <v>34</v>
      </c>
      <c r="D83" s="77">
        <v>283560</v>
      </c>
      <c r="E83" s="15">
        <v>0.06</v>
      </c>
    </row>
    <row r="84" spans="1:5" x14ac:dyDescent="0.4">
      <c r="A84" s="72" t="s">
        <v>506</v>
      </c>
      <c r="B84" s="72" t="s">
        <v>507</v>
      </c>
      <c r="C84" s="77">
        <v>18</v>
      </c>
      <c r="D84" s="77">
        <v>259560</v>
      </c>
      <c r="E84" s="15">
        <v>0.05</v>
      </c>
    </row>
    <row r="85" spans="1:5" x14ac:dyDescent="0.4">
      <c r="A85" s="72"/>
      <c r="B85" s="72" t="s">
        <v>10</v>
      </c>
      <c r="C85" s="77">
        <v>3442028</v>
      </c>
      <c r="D85" s="77">
        <v>3442028</v>
      </c>
      <c r="E85" s="15">
        <v>0.68</v>
      </c>
    </row>
    <row r="86" spans="1:5" x14ac:dyDescent="0.4">
      <c r="D86" s="13"/>
      <c r="E86" s="15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5158</v>
      </c>
      <c r="B8" s="6"/>
      <c r="C8" s="6"/>
      <c r="D8" s="6"/>
      <c r="E8" s="14"/>
    </row>
    <row r="9" spans="1:5" x14ac:dyDescent="0.4">
      <c r="A9" s="74" t="s">
        <v>5160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4788</v>
      </c>
      <c r="B11" s="72" t="s">
        <v>4789</v>
      </c>
      <c r="C11" s="77">
        <v>2086</v>
      </c>
      <c r="D11" s="77">
        <v>33334280</v>
      </c>
      <c r="E11" s="15">
        <v>6.32</v>
      </c>
    </row>
    <row r="12" spans="1:5" x14ac:dyDescent="0.4">
      <c r="A12" s="72" t="s">
        <v>470</v>
      </c>
      <c r="B12" s="72" t="s">
        <v>5179</v>
      </c>
      <c r="C12" s="76">
        <v>930</v>
      </c>
      <c r="D12" s="77">
        <v>29527500</v>
      </c>
      <c r="E12" s="15">
        <v>5.6</v>
      </c>
    </row>
    <row r="13" spans="1:5" x14ac:dyDescent="0.4">
      <c r="A13" s="72" t="s">
        <v>434</v>
      </c>
      <c r="B13" s="72" t="s">
        <v>435</v>
      </c>
      <c r="C13" s="77">
        <v>368</v>
      </c>
      <c r="D13" s="77">
        <v>28556800</v>
      </c>
      <c r="E13" s="15">
        <v>5.41</v>
      </c>
    </row>
    <row r="14" spans="1:5" x14ac:dyDescent="0.4">
      <c r="A14" s="72" t="s">
        <v>422</v>
      </c>
      <c r="B14" s="72" t="s">
        <v>423</v>
      </c>
      <c r="C14" s="77">
        <v>159</v>
      </c>
      <c r="D14" s="77">
        <v>23691000</v>
      </c>
      <c r="E14" s="15">
        <v>4.49</v>
      </c>
    </row>
    <row r="15" spans="1:5" x14ac:dyDescent="0.4">
      <c r="A15" s="72" t="s">
        <v>593</v>
      </c>
      <c r="B15" s="72" t="s">
        <v>594</v>
      </c>
      <c r="C15" s="76">
        <v>472</v>
      </c>
      <c r="D15" s="77">
        <v>18384400</v>
      </c>
      <c r="E15" s="15">
        <v>3.49</v>
      </c>
    </row>
    <row r="16" spans="1:5" x14ac:dyDescent="0.4">
      <c r="A16" s="72" t="s">
        <v>679</v>
      </c>
      <c r="B16" s="72" t="s">
        <v>680</v>
      </c>
      <c r="C16" s="76">
        <v>114</v>
      </c>
      <c r="D16" s="77">
        <v>17932200</v>
      </c>
      <c r="E16" s="15">
        <v>3.4</v>
      </c>
    </row>
    <row r="17" spans="1:5" x14ac:dyDescent="0.4">
      <c r="A17" s="72" t="s">
        <v>401</v>
      </c>
      <c r="B17" s="72" t="s">
        <v>402</v>
      </c>
      <c r="C17" s="76">
        <v>313</v>
      </c>
      <c r="D17" s="77">
        <v>16526400</v>
      </c>
      <c r="E17" s="15">
        <v>3.13</v>
      </c>
    </row>
    <row r="18" spans="1:5" x14ac:dyDescent="0.4">
      <c r="A18" s="72" t="s">
        <v>2232</v>
      </c>
      <c r="B18" s="72" t="s">
        <v>2233</v>
      </c>
      <c r="C18" s="77">
        <v>911</v>
      </c>
      <c r="D18" s="77">
        <v>16479990</v>
      </c>
      <c r="E18" s="15">
        <v>3.12</v>
      </c>
    </row>
    <row r="19" spans="1:5" x14ac:dyDescent="0.4">
      <c r="A19" s="72" t="s">
        <v>446</v>
      </c>
      <c r="B19" s="72" t="s">
        <v>447</v>
      </c>
      <c r="C19" s="77">
        <v>183</v>
      </c>
      <c r="D19" s="77">
        <v>16470000</v>
      </c>
      <c r="E19" s="15">
        <v>3.12</v>
      </c>
    </row>
    <row r="20" spans="1:5" x14ac:dyDescent="0.4">
      <c r="A20" s="72" t="s">
        <v>2626</v>
      </c>
      <c r="B20" s="72" t="s">
        <v>2627</v>
      </c>
      <c r="C20" s="77">
        <v>642</v>
      </c>
      <c r="D20" s="77">
        <v>15568500</v>
      </c>
      <c r="E20" s="15">
        <v>2.95</v>
      </c>
    </row>
    <row r="21" spans="1:5" x14ac:dyDescent="0.4">
      <c r="A21" s="72" t="s">
        <v>426</v>
      </c>
      <c r="B21" s="72" t="s">
        <v>427</v>
      </c>
      <c r="C21" s="77">
        <v>2766</v>
      </c>
      <c r="D21" s="77">
        <v>14189580</v>
      </c>
      <c r="E21" s="15">
        <v>2.69</v>
      </c>
    </row>
    <row r="22" spans="1:5" x14ac:dyDescent="0.4">
      <c r="A22" s="72" t="s">
        <v>484</v>
      </c>
      <c r="B22" s="72" t="s">
        <v>485</v>
      </c>
      <c r="C22" s="77">
        <v>214</v>
      </c>
      <c r="D22" s="77">
        <v>12604600</v>
      </c>
      <c r="E22" s="15">
        <v>2.39</v>
      </c>
    </row>
    <row r="23" spans="1:5" x14ac:dyDescent="0.4">
      <c r="A23" s="72" t="s">
        <v>479</v>
      </c>
      <c r="B23" s="72" t="s">
        <v>480</v>
      </c>
      <c r="C23" s="76">
        <v>114</v>
      </c>
      <c r="D23" s="77">
        <v>12152400</v>
      </c>
      <c r="E23" s="15">
        <v>2.2999999999999998</v>
      </c>
    </row>
    <row r="24" spans="1:5" x14ac:dyDescent="0.4">
      <c r="A24" s="72" t="s">
        <v>486</v>
      </c>
      <c r="B24" s="72" t="s">
        <v>487</v>
      </c>
      <c r="C24" s="76">
        <v>44</v>
      </c>
      <c r="D24" s="77">
        <v>12122000</v>
      </c>
      <c r="E24" s="15">
        <v>2.2999999999999998</v>
      </c>
    </row>
    <row r="25" spans="1:5" x14ac:dyDescent="0.4">
      <c r="A25" s="72" t="s">
        <v>45</v>
      </c>
      <c r="B25" s="72" t="s">
        <v>46</v>
      </c>
      <c r="C25" s="77">
        <v>69</v>
      </c>
      <c r="D25" s="77">
        <v>12081900</v>
      </c>
      <c r="E25" s="15">
        <v>2.29</v>
      </c>
    </row>
    <row r="26" spans="1:5" x14ac:dyDescent="0.4">
      <c r="A26" s="72" t="s">
        <v>757</v>
      </c>
      <c r="B26" s="72" t="s">
        <v>758</v>
      </c>
      <c r="C26" s="77">
        <v>99</v>
      </c>
      <c r="D26" s="77">
        <v>11790900</v>
      </c>
      <c r="E26" s="15">
        <v>2.2400000000000002</v>
      </c>
    </row>
    <row r="27" spans="1:5" x14ac:dyDescent="0.4">
      <c r="A27" s="72" t="s">
        <v>158</v>
      </c>
      <c r="B27" s="72" t="s">
        <v>159</v>
      </c>
      <c r="C27" s="77">
        <v>121</v>
      </c>
      <c r="D27" s="77">
        <v>11785400</v>
      </c>
      <c r="E27" s="15">
        <v>2.23</v>
      </c>
    </row>
    <row r="28" spans="1:5" x14ac:dyDescent="0.4">
      <c r="A28" s="72" t="s">
        <v>3272</v>
      </c>
      <c r="B28" s="72" t="s">
        <v>3273</v>
      </c>
      <c r="C28" s="77">
        <v>269</v>
      </c>
      <c r="D28" s="77">
        <v>11486300</v>
      </c>
      <c r="E28" s="15">
        <v>2.1800000000000002</v>
      </c>
    </row>
    <row r="29" spans="1:5" x14ac:dyDescent="0.4">
      <c r="A29" s="72" t="s">
        <v>488</v>
      </c>
      <c r="B29" s="72" t="s">
        <v>489</v>
      </c>
      <c r="C29" s="77">
        <v>90</v>
      </c>
      <c r="D29" s="77">
        <v>10629000</v>
      </c>
      <c r="E29" s="15">
        <v>2.02</v>
      </c>
    </row>
    <row r="30" spans="1:5" x14ac:dyDescent="0.4">
      <c r="A30" s="72" t="s">
        <v>737</v>
      </c>
      <c r="B30" s="72" t="s">
        <v>738</v>
      </c>
      <c r="C30" s="77">
        <v>67</v>
      </c>
      <c r="D30" s="77">
        <v>10257700</v>
      </c>
      <c r="E30" s="15">
        <v>1.94</v>
      </c>
    </row>
    <row r="31" spans="1:5" x14ac:dyDescent="0.4">
      <c r="A31" s="72" t="s">
        <v>51</v>
      </c>
      <c r="B31" s="72" t="s">
        <v>52</v>
      </c>
      <c r="C31" s="77">
        <v>156</v>
      </c>
      <c r="D31" s="77">
        <v>9952800</v>
      </c>
      <c r="E31" s="15">
        <v>1.89</v>
      </c>
    </row>
    <row r="32" spans="1:5" x14ac:dyDescent="0.4">
      <c r="A32" s="72" t="s">
        <v>359</v>
      </c>
      <c r="B32" s="72" t="s">
        <v>360</v>
      </c>
      <c r="C32" s="77">
        <v>25</v>
      </c>
      <c r="D32" s="77">
        <v>9562500</v>
      </c>
      <c r="E32" s="15">
        <v>1.81</v>
      </c>
    </row>
    <row r="33" spans="1:5" x14ac:dyDescent="0.4">
      <c r="A33" s="72" t="s">
        <v>495</v>
      </c>
      <c r="B33" s="72" t="s">
        <v>496</v>
      </c>
      <c r="C33" s="77">
        <v>35</v>
      </c>
      <c r="D33" s="77">
        <v>9275000</v>
      </c>
      <c r="E33" s="15">
        <v>1.76</v>
      </c>
    </row>
    <row r="34" spans="1:5" x14ac:dyDescent="0.4">
      <c r="A34" s="72" t="s">
        <v>607</v>
      </c>
      <c r="B34" s="72" t="s">
        <v>608</v>
      </c>
      <c r="C34" s="77">
        <v>73</v>
      </c>
      <c r="D34" s="77">
        <v>9205300</v>
      </c>
      <c r="E34" s="15">
        <v>1.75</v>
      </c>
    </row>
    <row r="35" spans="1:5" x14ac:dyDescent="0.4">
      <c r="A35" s="72" t="s">
        <v>683</v>
      </c>
      <c r="B35" s="72" t="s">
        <v>684</v>
      </c>
      <c r="C35" s="77">
        <v>80</v>
      </c>
      <c r="D35" s="77">
        <v>7912000</v>
      </c>
      <c r="E35" s="15">
        <v>1.5</v>
      </c>
    </row>
    <row r="36" spans="1:5" x14ac:dyDescent="0.4">
      <c r="A36" s="72" t="s">
        <v>351</v>
      </c>
      <c r="B36" s="72" t="s">
        <v>352</v>
      </c>
      <c r="C36" s="77">
        <v>39</v>
      </c>
      <c r="D36" s="77">
        <v>7897500</v>
      </c>
      <c r="E36" s="15">
        <v>1.5</v>
      </c>
    </row>
    <row r="37" spans="1:5" x14ac:dyDescent="0.4">
      <c r="A37" s="72" t="s">
        <v>643</v>
      </c>
      <c r="B37" s="72" t="s">
        <v>644</v>
      </c>
      <c r="C37" s="77">
        <v>53</v>
      </c>
      <c r="D37" s="77">
        <v>7494200</v>
      </c>
      <c r="E37" s="15">
        <v>1.42</v>
      </c>
    </row>
    <row r="38" spans="1:5" x14ac:dyDescent="0.4">
      <c r="A38" s="72" t="s">
        <v>162</v>
      </c>
      <c r="B38" s="72" t="s">
        <v>163</v>
      </c>
      <c r="C38" s="77">
        <v>134</v>
      </c>
      <c r="D38" s="77">
        <v>7329800</v>
      </c>
      <c r="E38" s="15">
        <v>1.39</v>
      </c>
    </row>
    <row r="39" spans="1:5" x14ac:dyDescent="0.4">
      <c r="A39" s="72" t="s">
        <v>551</v>
      </c>
      <c r="B39" s="72" t="s">
        <v>552</v>
      </c>
      <c r="C39" s="77">
        <v>193</v>
      </c>
      <c r="D39" s="77">
        <v>6976950</v>
      </c>
      <c r="E39" s="15">
        <v>1.32</v>
      </c>
    </row>
    <row r="40" spans="1:5" x14ac:dyDescent="0.4">
      <c r="A40" s="72" t="s">
        <v>471</v>
      </c>
      <c r="B40" s="72" t="s">
        <v>472</v>
      </c>
      <c r="C40" s="72">
        <v>65</v>
      </c>
      <c r="D40" s="77">
        <v>6402500</v>
      </c>
      <c r="E40" s="15">
        <v>1.21</v>
      </c>
    </row>
    <row r="41" spans="1:5" x14ac:dyDescent="0.4">
      <c r="A41" s="72" t="s">
        <v>675</v>
      </c>
      <c r="B41" s="72" t="s">
        <v>676</v>
      </c>
      <c r="C41" s="72">
        <v>140</v>
      </c>
      <c r="D41" s="77">
        <v>6265000</v>
      </c>
      <c r="E41" s="15">
        <v>1.19</v>
      </c>
    </row>
    <row r="42" spans="1:5" x14ac:dyDescent="0.4">
      <c r="A42" s="72" t="s">
        <v>637</v>
      </c>
      <c r="B42" s="72" t="s">
        <v>638</v>
      </c>
      <c r="C42" s="72">
        <v>94</v>
      </c>
      <c r="D42" s="77">
        <v>5470800</v>
      </c>
      <c r="E42" s="15">
        <v>1.04</v>
      </c>
    </row>
    <row r="43" spans="1:5" x14ac:dyDescent="0.4">
      <c r="A43" s="72" t="s">
        <v>3062</v>
      </c>
      <c r="B43" s="72" t="s">
        <v>3063</v>
      </c>
      <c r="C43" s="77">
        <v>236</v>
      </c>
      <c r="D43" s="77">
        <v>4956000</v>
      </c>
      <c r="E43" s="15">
        <v>0.94</v>
      </c>
    </row>
    <row r="44" spans="1:5" x14ac:dyDescent="0.4">
      <c r="A44" s="72" t="s">
        <v>563</v>
      </c>
      <c r="B44" s="72" t="s">
        <v>564</v>
      </c>
      <c r="C44" s="72">
        <v>121</v>
      </c>
      <c r="D44" s="77">
        <v>4543550</v>
      </c>
      <c r="E44" s="15">
        <v>0.86</v>
      </c>
    </row>
    <row r="45" spans="1:5" x14ac:dyDescent="0.4">
      <c r="A45" s="72" t="s">
        <v>4268</v>
      </c>
      <c r="B45" s="72" t="s">
        <v>4269</v>
      </c>
      <c r="C45" s="72">
        <v>459</v>
      </c>
      <c r="D45" s="77">
        <v>4190670</v>
      </c>
      <c r="E45" s="15">
        <v>0.79</v>
      </c>
    </row>
    <row r="46" spans="1:5" x14ac:dyDescent="0.4">
      <c r="A46" s="72" t="s">
        <v>701</v>
      </c>
      <c r="B46" s="72" t="s">
        <v>702</v>
      </c>
      <c r="C46" s="77">
        <v>83</v>
      </c>
      <c r="D46" s="77">
        <v>4125100</v>
      </c>
      <c r="E46" s="15">
        <v>0.78</v>
      </c>
    </row>
    <row r="47" spans="1:5" x14ac:dyDescent="0.4">
      <c r="A47" s="72" t="s">
        <v>4966</v>
      </c>
      <c r="B47" s="72" t="s">
        <v>4967</v>
      </c>
      <c r="C47" s="77">
        <v>139</v>
      </c>
      <c r="D47" s="77">
        <v>3885050</v>
      </c>
      <c r="E47" s="15">
        <v>0.74</v>
      </c>
    </row>
    <row r="48" spans="1:5" x14ac:dyDescent="0.4">
      <c r="A48" s="72" t="s">
        <v>545</v>
      </c>
      <c r="B48" s="72" t="s">
        <v>546</v>
      </c>
      <c r="C48" s="72">
        <v>95</v>
      </c>
      <c r="D48" s="77">
        <v>3719250</v>
      </c>
      <c r="E48" s="15">
        <v>0.71</v>
      </c>
    </row>
    <row r="49" spans="1:5" x14ac:dyDescent="0.4">
      <c r="A49" s="72" t="s">
        <v>2841</v>
      </c>
      <c r="B49" s="72" t="s">
        <v>2842</v>
      </c>
      <c r="C49" s="72">
        <v>520</v>
      </c>
      <c r="D49" s="77">
        <v>3567200</v>
      </c>
      <c r="E49" s="15">
        <v>0.68</v>
      </c>
    </row>
    <row r="50" spans="1:5" x14ac:dyDescent="0.4">
      <c r="A50" s="72" t="s">
        <v>420</v>
      </c>
      <c r="B50" s="72" t="s">
        <v>421</v>
      </c>
      <c r="C50" s="72">
        <v>84</v>
      </c>
      <c r="D50" s="77">
        <v>3263400</v>
      </c>
      <c r="E50" s="15">
        <v>0.62</v>
      </c>
    </row>
    <row r="51" spans="1:5" x14ac:dyDescent="0.4">
      <c r="A51" s="72" t="s">
        <v>35</v>
      </c>
      <c r="B51" s="72" t="s">
        <v>36</v>
      </c>
      <c r="C51" s="77">
        <v>21</v>
      </c>
      <c r="D51" s="77">
        <v>3173100</v>
      </c>
      <c r="E51" s="15">
        <v>0.6</v>
      </c>
    </row>
    <row r="52" spans="1:5" x14ac:dyDescent="0.4">
      <c r="A52" s="72" t="s">
        <v>719</v>
      </c>
      <c r="B52" s="72" t="s">
        <v>720</v>
      </c>
      <c r="C52" s="77">
        <v>227</v>
      </c>
      <c r="D52" s="77">
        <v>2948730</v>
      </c>
      <c r="E52" s="15">
        <v>0.56000000000000005</v>
      </c>
    </row>
    <row r="53" spans="1:5" x14ac:dyDescent="0.4">
      <c r="A53" s="72" t="s">
        <v>41</v>
      </c>
      <c r="B53" s="72" t="s">
        <v>42</v>
      </c>
      <c r="C53" s="72">
        <v>24</v>
      </c>
      <c r="D53" s="77">
        <v>2685600</v>
      </c>
      <c r="E53" s="15">
        <v>0.51</v>
      </c>
    </row>
    <row r="54" spans="1:5" x14ac:dyDescent="0.4">
      <c r="A54" s="72" t="s">
        <v>555</v>
      </c>
      <c r="B54" s="72" t="s">
        <v>556</v>
      </c>
      <c r="C54" s="77">
        <v>25</v>
      </c>
      <c r="D54" s="77">
        <v>2655000</v>
      </c>
      <c r="E54" s="15">
        <v>0.5</v>
      </c>
    </row>
    <row r="55" spans="1:5" x14ac:dyDescent="0.4">
      <c r="A55" s="72" t="s">
        <v>4499</v>
      </c>
      <c r="B55" s="72" t="s">
        <v>4500</v>
      </c>
      <c r="C55" s="72">
        <v>33</v>
      </c>
      <c r="D55" s="77">
        <v>2593800</v>
      </c>
      <c r="E55" s="15">
        <v>0.49</v>
      </c>
    </row>
    <row r="56" spans="1:5" x14ac:dyDescent="0.4">
      <c r="A56" s="72" t="s">
        <v>31</v>
      </c>
      <c r="B56" s="72" t="s">
        <v>32</v>
      </c>
      <c r="C56" s="72">
        <v>7</v>
      </c>
      <c r="D56" s="77">
        <v>2583000</v>
      </c>
      <c r="E56" s="15">
        <v>0.49</v>
      </c>
    </row>
    <row r="57" spans="1:5" x14ac:dyDescent="0.4">
      <c r="A57" s="72" t="s">
        <v>771</v>
      </c>
      <c r="B57" s="72" t="s">
        <v>772</v>
      </c>
      <c r="C57" s="77">
        <v>183</v>
      </c>
      <c r="D57" s="77">
        <v>2497950</v>
      </c>
      <c r="E57" s="15">
        <v>0.47</v>
      </c>
    </row>
    <row r="58" spans="1:5" x14ac:dyDescent="0.4">
      <c r="A58" s="72" t="s">
        <v>4615</v>
      </c>
      <c r="B58" s="72" t="s">
        <v>4616</v>
      </c>
      <c r="C58" s="72">
        <v>34</v>
      </c>
      <c r="D58" s="77">
        <v>2488800</v>
      </c>
      <c r="E58" s="15">
        <v>0.47</v>
      </c>
    </row>
    <row r="59" spans="1:5" x14ac:dyDescent="0.4">
      <c r="A59" s="72" t="s">
        <v>37</v>
      </c>
      <c r="B59" s="72" t="s">
        <v>38</v>
      </c>
      <c r="C59" s="72">
        <v>25</v>
      </c>
      <c r="D59" s="77">
        <v>2365000</v>
      </c>
      <c r="E59" s="15">
        <v>0.45</v>
      </c>
    </row>
    <row r="60" spans="1:5" x14ac:dyDescent="0.4">
      <c r="A60" s="72" t="s">
        <v>250</v>
      </c>
      <c r="B60" s="72" t="s">
        <v>251</v>
      </c>
      <c r="C60" s="72">
        <v>205</v>
      </c>
      <c r="D60" s="77">
        <v>2363650</v>
      </c>
      <c r="E60" s="15">
        <v>0.45</v>
      </c>
    </row>
    <row r="61" spans="1:5" x14ac:dyDescent="0.4">
      <c r="A61" s="72" t="s">
        <v>627</v>
      </c>
      <c r="B61" s="72" t="s">
        <v>628</v>
      </c>
      <c r="C61" s="77">
        <v>190</v>
      </c>
      <c r="D61" s="77">
        <v>2338900</v>
      </c>
      <c r="E61" s="15">
        <v>0.44</v>
      </c>
    </row>
    <row r="62" spans="1:5" x14ac:dyDescent="0.4">
      <c r="A62" s="72" t="s">
        <v>733</v>
      </c>
      <c r="B62" s="72" t="s">
        <v>734</v>
      </c>
      <c r="C62" s="77">
        <v>29</v>
      </c>
      <c r="D62" s="77">
        <v>2311300</v>
      </c>
      <c r="E62" s="15">
        <v>0.44</v>
      </c>
    </row>
    <row r="63" spans="1:5" x14ac:dyDescent="0.4">
      <c r="A63" s="72" t="s">
        <v>3035</v>
      </c>
      <c r="B63" s="72" t="s">
        <v>3036</v>
      </c>
      <c r="C63" s="77">
        <v>107</v>
      </c>
      <c r="D63" s="77">
        <v>2188150</v>
      </c>
      <c r="E63" s="15">
        <v>0.41</v>
      </c>
    </row>
    <row r="64" spans="1:5" x14ac:dyDescent="0.4">
      <c r="A64" s="72" t="s">
        <v>759</v>
      </c>
      <c r="B64" s="72" t="s">
        <v>760</v>
      </c>
      <c r="C64" s="77">
        <v>107</v>
      </c>
      <c r="D64" s="77">
        <v>2150700</v>
      </c>
      <c r="E64" s="15">
        <v>0.41</v>
      </c>
    </row>
    <row r="65" spans="1:5" x14ac:dyDescent="0.4">
      <c r="A65" s="72" t="s">
        <v>3155</v>
      </c>
      <c r="B65" s="72" t="s">
        <v>3156</v>
      </c>
      <c r="C65" s="77">
        <v>61</v>
      </c>
      <c r="D65" s="77">
        <v>1854400</v>
      </c>
      <c r="E65" s="15">
        <v>0.35</v>
      </c>
    </row>
    <row r="66" spans="1:5" x14ac:dyDescent="0.4">
      <c r="A66" s="72" t="s">
        <v>1545</v>
      </c>
      <c r="B66" s="72" t="s">
        <v>1546</v>
      </c>
      <c r="C66" s="72">
        <v>52</v>
      </c>
      <c r="D66" s="77">
        <v>1853800</v>
      </c>
      <c r="E66" s="15">
        <v>0.35</v>
      </c>
    </row>
    <row r="67" spans="1:5" x14ac:dyDescent="0.4">
      <c r="A67" s="72" t="s">
        <v>3660</v>
      </c>
      <c r="B67" s="72" t="s">
        <v>3661</v>
      </c>
      <c r="C67" s="77">
        <v>48</v>
      </c>
      <c r="D67" s="77">
        <v>1836000</v>
      </c>
      <c r="E67" s="15">
        <v>0.35</v>
      </c>
    </row>
    <row r="68" spans="1:5" x14ac:dyDescent="0.4">
      <c r="A68" s="72" t="s">
        <v>666</v>
      </c>
      <c r="B68" s="72" t="s">
        <v>667</v>
      </c>
      <c r="C68" s="77">
        <v>41</v>
      </c>
      <c r="D68" s="77">
        <v>1726100</v>
      </c>
      <c r="E68" s="15">
        <v>0.33</v>
      </c>
    </row>
    <row r="69" spans="1:5" x14ac:dyDescent="0.4">
      <c r="A69" s="72" t="s">
        <v>180</v>
      </c>
      <c r="B69" s="72" t="s">
        <v>181</v>
      </c>
      <c r="C69" s="77">
        <v>15</v>
      </c>
      <c r="D69" s="77">
        <v>1590000</v>
      </c>
      <c r="E69" s="15">
        <v>0.3</v>
      </c>
    </row>
    <row r="70" spans="1:5" x14ac:dyDescent="0.4">
      <c r="A70" s="72" t="s">
        <v>468</v>
      </c>
      <c r="B70" s="72" t="s">
        <v>469</v>
      </c>
      <c r="C70" s="77">
        <v>32</v>
      </c>
      <c r="D70" s="77">
        <v>1556800</v>
      </c>
      <c r="E70" s="15">
        <v>0.3</v>
      </c>
    </row>
    <row r="71" spans="1:5" x14ac:dyDescent="0.4">
      <c r="A71" s="72" t="s">
        <v>585</v>
      </c>
      <c r="B71" s="72" t="s">
        <v>586</v>
      </c>
      <c r="C71" s="72">
        <v>58</v>
      </c>
      <c r="D71" s="77">
        <v>1513800</v>
      </c>
      <c r="E71" s="15">
        <v>0.28999999999999998</v>
      </c>
    </row>
    <row r="72" spans="1:5" x14ac:dyDescent="0.4">
      <c r="A72" s="72" t="s">
        <v>349</v>
      </c>
      <c r="B72" s="72" t="s">
        <v>350</v>
      </c>
      <c r="C72" s="72">
        <v>3</v>
      </c>
      <c r="D72" s="77">
        <v>1374000</v>
      </c>
      <c r="E72" s="15">
        <v>0.26</v>
      </c>
    </row>
    <row r="73" spans="1:5" x14ac:dyDescent="0.4">
      <c r="A73" s="72" t="s">
        <v>697</v>
      </c>
      <c r="B73" s="72" t="s">
        <v>698</v>
      </c>
      <c r="C73" s="72">
        <v>19</v>
      </c>
      <c r="D73" s="77">
        <v>1356600</v>
      </c>
      <c r="E73" s="15">
        <v>0.26</v>
      </c>
    </row>
    <row r="74" spans="1:5" x14ac:dyDescent="0.4">
      <c r="A74" s="72" t="s">
        <v>279</v>
      </c>
      <c r="B74" s="72" t="s">
        <v>280</v>
      </c>
      <c r="C74" s="77">
        <v>127</v>
      </c>
      <c r="D74" s="77">
        <v>1355090</v>
      </c>
      <c r="E74" s="15">
        <v>0.26</v>
      </c>
    </row>
    <row r="75" spans="1:5" x14ac:dyDescent="0.4">
      <c r="A75" s="72" t="s">
        <v>671</v>
      </c>
      <c r="B75" s="72" t="s">
        <v>672</v>
      </c>
      <c r="C75" s="77">
        <v>73</v>
      </c>
      <c r="D75" s="77">
        <v>1342470</v>
      </c>
      <c r="E75" s="15">
        <v>0.25</v>
      </c>
    </row>
    <row r="76" spans="1:5" x14ac:dyDescent="0.4">
      <c r="A76" s="72" t="s">
        <v>397</v>
      </c>
      <c r="B76" s="72" t="s">
        <v>398</v>
      </c>
      <c r="C76" s="77">
        <v>8</v>
      </c>
      <c r="D76" s="77">
        <v>1112000</v>
      </c>
      <c r="E76" s="15">
        <v>0.21</v>
      </c>
    </row>
    <row r="77" spans="1:5" x14ac:dyDescent="0.4">
      <c r="A77" s="72" t="s">
        <v>3532</v>
      </c>
      <c r="B77" s="72" t="s">
        <v>3533</v>
      </c>
      <c r="C77" s="72">
        <v>31</v>
      </c>
      <c r="D77" s="77">
        <v>1077250</v>
      </c>
      <c r="E77" s="15">
        <v>0.2</v>
      </c>
    </row>
    <row r="78" spans="1:5" x14ac:dyDescent="0.4">
      <c r="A78" s="72" t="s">
        <v>767</v>
      </c>
      <c r="B78" s="72" t="s">
        <v>768</v>
      </c>
      <c r="C78" s="72">
        <v>50</v>
      </c>
      <c r="D78" s="77">
        <v>1065000</v>
      </c>
      <c r="E78" s="15">
        <v>0.2</v>
      </c>
    </row>
    <row r="79" spans="1:5" x14ac:dyDescent="0.4">
      <c r="A79" s="72" t="s">
        <v>3394</v>
      </c>
      <c r="B79" s="72" t="s">
        <v>3395</v>
      </c>
      <c r="C79" s="72">
        <v>15</v>
      </c>
      <c r="D79" s="77">
        <v>1002000</v>
      </c>
      <c r="E79" s="15">
        <v>0.19</v>
      </c>
    </row>
    <row r="80" spans="1:5" x14ac:dyDescent="0.4">
      <c r="A80" s="72" t="s">
        <v>49</v>
      </c>
      <c r="B80" s="72" t="s">
        <v>50</v>
      </c>
      <c r="C80" s="77">
        <v>4</v>
      </c>
      <c r="D80" s="77">
        <v>536400</v>
      </c>
      <c r="E80" s="15">
        <v>0.1</v>
      </c>
    </row>
    <row r="81" spans="1:5" x14ac:dyDescent="0.4">
      <c r="A81" s="72" t="s">
        <v>5204</v>
      </c>
      <c r="B81" s="72" t="s">
        <v>5205</v>
      </c>
      <c r="C81" s="72">
        <v>34</v>
      </c>
      <c r="D81" s="77">
        <v>369240</v>
      </c>
      <c r="E81" s="15">
        <v>7.0000000000000007E-2</v>
      </c>
    </row>
    <row r="82" spans="1:5" x14ac:dyDescent="0.4">
      <c r="A82" s="72" t="s">
        <v>4164</v>
      </c>
      <c r="B82" s="72" t="s">
        <v>4165</v>
      </c>
      <c r="C82" s="72">
        <v>34</v>
      </c>
      <c r="D82" s="77">
        <v>225420</v>
      </c>
      <c r="E82" s="15">
        <v>0.04</v>
      </c>
    </row>
    <row r="83" spans="1:5" x14ac:dyDescent="0.4">
      <c r="A83" s="72"/>
      <c r="B83" s="72" t="s">
        <v>10</v>
      </c>
      <c r="C83" s="77">
        <v>7808887</v>
      </c>
      <c r="D83" s="77">
        <v>7808887</v>
      </c>
      <c r="E83" s="15">
        <v>1.48</v>
      </c>
    </row>
    <row r="84" spans="1:5" x14ac:dyDescent="0.4">
      <c r="D84" s="13"/>
      <c r="E84" s="72"/>
    </row>
    <row r="85" spans="1:5" x14ac:dyDescent="0.4">
      <c r="D85" s="13"/>
      <c r="E85" s="15"/>
    </row>
    <row r="86" spans="1:5" x14ac:dyDescent="0.4">
      <c r="D86" s="13"/>
      <c r="E86" s="15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74" t="s">
        <v>574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188</v>
      </c>
      <c r="B11" s="73" t="s">
        <v>189</v>
      </c>
      <c r="C11" s="75">
        <v>487</v>
      </c>
      <c r="D11" s="75">
        <v>598036000</v>
      </c>
      <c r="E11" s="19">
        <v>21.31</v>
      </c>
      <c r="F11" s="17"/>
      <c r="G11" s="17"/>
    </row>
    <row r="12" spans="1:7" x14ac:dyDescent="0.4">
      <c r="A12" s="72" t="s">
        <v>13</v>
      </c>
      <c r="B12" s="73" t="s">
        <v>14</v>
      </c>
      <c r="C12" s="76">
        <v>277</v>
      </c>
      <c r="D12" s="77">
        <v>581977000</v>
      </c>
      <c r="E12" s="15">
        <v>20.73</v>
      </c>
    </row>
    <row r="13" spans="1:7" x14ac:dyDescent="0.4">
      <c r="A13" s="72" t="s">
        <v>484</v>
      </c>
      <c r="B13" s="72" t="s">
        <v>485</v>
      </c>
      <c r="C13" s="77">
        <v>1602</v>
      </c>
      <c r="D13" s="77">
        <v>136330200</v>
      </c>
      <c r="E13" s="15">
        <v>4.8600000000000003</v>
      </c>
    </row>
    <row r="14" spans="1:7" x14ac:dyDescent="0.4">
      <c r="A14" s="72" t="s">
        <v>471</v>
      </c>
      <c r="B14" s="73" t="s">
        <v>472</v>
      </c>
      <c r="C14" s="75">
        <v>832</v>
      </c>
      <c r="D14" s="75">
        <v>124633600</v>
      </c>
      <c r="E14" s="19">
        <v>4.4400000000000004</v>
      </c>
      <c r="F14" s="17"/>
      <c r="G14" s="17"/>
    </row>
    <row r="15" spans="1:7" x14ac:dyDescent="0.4">
      <c r="A15" s="72" t="s">
        <v>479</v>
      </c>
      <c r="B15" s="73" t="s">
        <v>480</v>
      </c>
      <c r="C15" s="76">
        <v>879</v>
      </c>
      <c r="D15" s="77">
        <v>117698100</v>
      </c>
      <c r="E15" s="15">
        <v>4.1900000000000004</v>
      </c>
    </row>
    <row r="16" spans="1:7" x14ac:dyDescent="0.4">
      <c r="A16" s="72" t="s">
        <v>453</v>
      </c>
      <c r="B16" s="72" t="s">
        <v>454</v>
      </c>
      <c r="C16" s="76">
        <v>59</v>
      </c>
      <c r="D16" s="77">
        <v>106495000</v>
      </c>
      <c r="E16" s="15">
        <v>3.79</v>
      </c>
    </row>
    <row r="17" spans="1:7" x14ac:dyDescent="0.4">
      <c r="A17" s="72" t="s">
        <v>495</v>
      </c>
      <c r="B17" s="73" t="s">
        <v>496</v>
      </c>
      <c r="C17" s="76">
        <v>379</v>
      </c>
      <c r="D17" s="77">
        <v>105172500</v>
      </c>
      <c r="E17" s="15">
        <v>3.75</v>
      </c>
    </row>
    <row r="18" spans="1:7" x14ac:dyDescent="0.4">
      <c r="A18" s="72" t="s">
        <v>451</v>
      </c>
      <c r="B18" s="72" t="s">
        <v>452</v>
      </c>
      <c r="C18" s="77">
        <v>98</v>
      </c>
      <c r="D18" s="77">
        <v>105056000</v>
      </c>
      <c r="E18" s="15">
        <v>3.74</v>
      </c>
    </row>
    <row r="19" spans="1:7" x14ac:dyDescent="0.4">
      <c r="A19" s="72" t="s">
        <v>506</v>
      </c>
      <c r="B19" s="73" t="s">
        <v>507</v>
      </c>
      <c r="C19" s="75">
        <v>7076</v>
      </c>
      <c r="D19" s="75">
        <v>102035920</v>
      </c>
      <c r="E19" s="19">
        <v>3.64</v>
      </c>
      <c r="F19" s="17"/>
      <c r="G19" s="17"/>
    </row>
    <row r="20" spans="1:7" x14ac:dyDescent="0.4">
      <c r="A20" s="72" t="s">
        <v>482</v>
      </c>
      <c r="B20" s="72" t="s">
        <v>483</v>
      </c>
      <c r="C20" s="77">
        <v>563</v>
      </c>
      <c r="D20" s="77">
        <v>100382900</v>
      </c>
      <c r="E20" s="15">
        <v>3.58</v>
      </c>
    </row>
    <row r="21" spans="1:7" x14ac:dyDescent="0.4">
      <c r="A21" s="72" t="s">
        <v>488</v>
      </c>
      <c r="B21" s="72" t="s">
        <v>489</v>
      </c>
      <c r="C21" s="77">
        <v>708</v>
      </c>
      <c r="D21" s="77">
        <v>94376400</v>
      </c>
      <c r="E21" s="15">
        <v>3.36</v>
      </c>
    </row>
    <row r="22" spans="1:7" x14ac:dyDescent="0.4">
      <c r="A22" s="72" t="s">
        <v>349</v>
      </c>
      <c r="B22" s="72" t="s">
        <v>350</v>
      </c>
      <c r="C22" s="77">
        <v>170</v>
      </c>
      <c r="D22" s="77">
        <v>85680000</v>
      </c>
      <c r="E22" s="15">
        <v>3.05</v>
      </c>
    </row>
    <row r="23" spans="1:7" x14ac:dyDescent="0.4">
      <c r="A23" s="72" t="s">
        <v>92</v>
      </c>
      <c r="B23" s="72" t="s">
        <v>93</v>
      </c>
      <c r="C23" s="76">
        <v>51</v>
      </c>
      <c r="D23" s="77">
        <v>82671000</v>
      </c>
      <c r="E23" s="15">
        <v>2.95</v>
      </c>
    </row>
    <row r="24" spans="1:7" x14ac:dyDescent="0.4">
      <c r="A24" s="72" t="s">
        <v>357</v>
      </c>
      <c r="B24" s="72" t="s">
        <v>358</v>
      </c>
      <c r="C24" s="76">
        <v>1168</v>
      </c>
      <c r="D24" s="77">
        <v>71364800</v>
      </c>
      <c r="E24" s="15">
        <v>2.54</v>
      </c>
    </row>
    <row r="25" spans="1:7" x14ac:dyDescent="0.4">
      <c r="A25" s="72" t="s">
        <v>757</v>
      </c>
      <c r="B25" s="72" t="s">
        <v>758</v>
      </c>
      <c r="C25" s="77">
        <v>394</v>
      </c>
      <c r="D25" s="77">
        <v>67216400</v>
      </c>
      <c r="E25" s="15">
        <v>2.39</v>
      </c>
    </row>
    <row r="26" spans="1:7" x14ac:dyDescent="0.4">
      <c r="A26" s="72" t="s">
        <v>549</v>
      </c>
      <c r="B26" s="72" t="s">
        <v>550</v>
      </c>
      <c r="C26" s="77">
        <v>2184</v>
      </c>
      <c r="D26" s="77">
        <v>63772800</v>
      </c>
      <c r="E26" s="15">
        <v>2.27</v>
      </c>
    </row>
    <row r="27" spans="1:7" x14ac:dyDescent="0.4">
      <c r="A27" s="72" t="s">
        <v>3097</v>
      </c>
      <c r="B27" s="72" t="s">
        <v>3098</v>
      </c>
      <c r="C27" s="77">
        <v>2164</v>
      </c>
      <c r="D27" s="77">
        <v>59834600</v>
      </c>
      <c r="E27" s="15">
        <v>2.13</v>
      </c>
    </row>
    <row r="28" spans="1:7" x14ac:dyDescent="0.4">
      <c r="A28" s="72" t="s">
        <v>468</v>
      </c>
      <c r="B28" s="73" t="s">
        <v>469</v>
      </c>
      <c r="C28" s="75">
        <v>803</v>
      </c>
      <c r="D28" s="75">
        <v>44165000</v>
      </c>
      <c r="E28" s="19">
        <v>1.57</v>
      </c>
      <c r="F28" s="17"/>
      <c r="G28" s="17"/>
    </row>
    <row r="29" spans="1:7" x14ac:dyDescent="0.4">
      <c r="A29" s="72" t="s">
        <v>497</v>
      </c>
      <c r="B29" s="72" t="s">
        <v>498</v>
      </c>
      <c r="C29" s="77">
        <v>2841</v>
      </c>
      <c r="D29" s="77">
        <v>42472950</v>
      </c>
      <c r="E29" s="15">
        <v>1.51</v>
      </c>
    </row>
    <row r="30" spans="1:7" x14ac:dyDescent="0.4">
      <c r="A30" s="72" t="s">
        <v>575</v>
      </c>
      <c r="B30" s="72" t="s">
        <v>576</v>
      </c>
      <c r="C30" s="77">
        <v>512</v>
      </c>
      <c r="D30" s="77">
        <v>30720000</v>
      </c>
      <c r="E30" s="15">
        <v>1.0900000000000001</v>
      </c>
    </row>
    <row r="31" spans="1:7" x14ac:dyDescent="0.4">
      <c r="A31" s="72" t="s">
        <v>577</v>
      </c>
      <c r="B31" s="72" t="s">
        <v>578</v>
      </c>
      <c r="C31" s="77">
        <v>641</v>
      </c>
      <c r="D31" s="77">
        <v>29774450</v>
      </c>
      <c r="E31" s="15">
        <v>1.06</v>
      </c>
    </row>
    <row r="32" spans="1:7" x14ac:dyDescent="0.4">
      <c r="A32" s="72" t="s">
        <v>585</v>
      </c>
      <c r="B32" s="72" t="s">
        <v>586</v>
      </c>
      <c r="C32" s="77">
        <v>1005</v>
      </c>
      <c r="D32" s="77">
        <v>28341000</v>
      </c>
      <c r="E32" s="15">
        <v>1.01</v>
      </c>
    </row>
    <row r="33" spans="1:7" x14ac:dyDescent="0.4">
      <c r="A33" s="72"/>
      <c r="B33" s="72" t="s">
        <v>10</v>
      </c>
      <c r="C33" s="77">
        <v>28574193</v>
      </c>
      <c r="D33" s="77">
        <v>28574193</v>
      </c>
      <c r="E33" s="15">
        <v>1.02</v>
      </c>
    </row>
    <row r="34" spans="1:7" x14ac:dyDescent="0.4">
      <c r="C34" s="13"/>
      <c r="D34" s="13"/>
      <c r="E34" s="72"/>
    </row>
    <row r="35" spans="1:7" x14ac:dyDescent="0.4">
      <c r="C35" s="18"/>
      <c r="D35" s="18"/>
      <c r="E35" s="73"/>
      <c r="F35" s="17"/>
      <c r="G35" s="17"/>
    </row>
    <row r="36" spans="1:7" x14ac:dyDescent="0.4">
      <c r="C36" s="13"/>
      <c r="D36" s="13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74" t="s">
        <v>574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289</v>
      </c>
      <c r="D11" s="77">
        <v>674237000</v>
      </c>
      <c r="E11" s="15">
        <v>24.92</v>
      </c>
    </row>
    <row r="12" spans="1:5" x14ac:dyDescent="0.4">
      <c r="A12" s="72" t="s">
        <v>188</v>
      </c>
      <c r="B12" s="72" t="s">
        <v>189</v>
      </c>
      <c r="C12" s="76">
        <v>524</v>
      </c>
      <c r="D12" s="77">
        <v>646092000</v>
      </c>
      <c r="E12" s="15">
        <v>23.88</v>
      </c>
    </row>
    <row r="13" spans="1:5" x14ac:dyDescent="0.4">
      <c r="A13" s="72" t="s">
        <v>451</v>
      </c>
      <c r="B13" s="72" t="s">
        <v>452</v>
      </c>
      <c r="C13" s="77">
        <v>97</v>
      </c>
      <c r="D13" s="77">
        <v>141426000</v>
      </c>
      <c r="E13" s="15">
        <v>5.23</v>
      </c>
    </row>
    <row r="14" spans="1:5" x14ac:dyDescent="0.4">
      <c r="A14" s="72" t="s">
        <v>92</v>
      </c>
      <c r="B14" s="72" t="s">
        <v>93</v>
      </c>
      <c r="C14" s="77">
        <v>62</v>
      </c>
      <c r="D14" s="77">
        <v>122264000</v>
      </c>
      <c r="E14" s="15">
        <v>4.5199999999999996</v>
      </c>
    </row>
    <row r="15" spans="1:5" x14ac:dyDescent="0.4">
      <c r="A15" s="72" t="s">
        <v>471</v>
      </c>
      <c r="B15" s="72" t="s">
        <v>472</v>
      </c>
      <c r="C15" s="76">
        <v>1044</v>
      </c>
      <c r="D15" s="77">
        <v>102834000</v>
      </c>
      <c r="E15" s="15">
        <v>3.8</v>
      </c>
    </row>
    <row r="16" spans="1:5" x14ac:dyDescent="0.4">
      <c r="A16" s="72" t="s">
        <v>495</v>
      </c>
      <c r="B16" s="72" t="s">
        <v>496</v>
      </c>
      <c r="C16" s="76">
        <v>379</v>
      </c>
      <c r="D16" s="77">
        <v>100435000</v>
      </c>
      <c r="E16" s="15">
        <v>3.71</v>
      </c>
    </row>
    <row r="17" spans="1:5" x14ac:dyDescent="0.4">
      <c r="A17" s="72" t="s">
        <v>484</v>
      </c>
      <c r="B17" s="72" t="s">
        <v>485</v>
      </c>
      <c r="C17" s="76">
        <v>1700</v>
      </c>
      <c r="D17" s="77">
        <v>100130000</v>
      </c>
      <c r="E17" s="15">
        <v>3.7</v>
      </c>
    </row>
    <row r="18" spans="1:5" x14ac:dyDescent="0.4">
      <c r="A18" s="72" t="s">
        <v>479</v>
      </c>
      <c r="B18" s="72" t="s">
        <v>480</v>
      </c>
      <c r="C18" s="77">
        <v>879</v>
      </c>
      <c r="D18" s="77">
        <v>93701400</v>
      </c>
      <c r="E18" s="15">
        <v>3.46</v>
      </c>
    </row>
    <row r="19" spans="1:5" x14ac:dyDescent="0.4">
      <c r="A19" s="72" t="s">
        <v>506</v>
      </c>
      <c r="B19" s="72" t="s">
        <v>507</v>
      </c>
      <c r="C19" s="77">
        <v>7076</v>
      </c>
      <c r="D19" s="77">
        <v>91634200</v>
      </c>
      <c r="E19" s="15">
        <v>3.39</v>
      </c>
    </row>
    <row r="20" spans="1:5" x14ac:dyDescent="0.4">
      <c r="A20" s="72" t="s">
        <v>488</v>
      </c>
      <c r="B20" s="72" t="s">
        <v>489</v>
      </c>
      <c r="C20" s="77">
        <v>708</v>
      </c>
      <c r="D20" s="77">
        <v>83614800</v>
      </c>
      <c r="E20" s="15">
        <v>3.09</v>
      </c>
    </row>
    <row r="21" spans="1:5" x14ac:dyDescent="0.4">
      <c r="A21" s="72" t="s">
        <v>349</v>
      </c>
      <c r="B21" s="72" t="s">
        <v>350</v>
      </c>
      <c r="C21" s="77">
        <v>170</v>
      </c>
      <c r="D21" s="77">
        <v>77860000</v>
      </c>
      <c r="E21" s="15">
        <v>2.88</v>
      </c>
    </row>
    <row r="22" spans="1:5" x14ac:dyDescent="0.4">
      <c r="A22" s="72" t="s">
        <v>719</v>
      </c>
      <c r="B22" s="72" t="s">
        <v>720</v>
      </c>
      <c r="C22" s="77">
        <v>5918</v>
      </c>
      <c r="D22" s="77">
        <v>76874820</v>
      </c>
      <c r="E22" s="15">
        <v>2.84</v>
      </c>
    </row>
    <row r="23" spans="1:5" x14ac:dyDescent="0.4">
      <c r="A23" s="72" t="s">
        <v>482</v>
      </c>
      <c r="B23" s="72" t="s">
        <v>483</v>
      </c>
      <c r="C23" s="76">
        <v>563</v>
      </c>
      <c r="D23" s="77">
        <v>69812000</v>
      </c>
      <c r="E23" s="15">
        <v>2.58</v>
      </c>
    </row>
    <row r="24" spans="1:5" x14ac:dyDescent="0.4">
      <c r="A24" s="72" t="s">
        <v>357</v>
      </c>
      <c r="B24" s="72" t="s">
        <v>358</v>
      </c>
      <c r="C24" s="76">
        <v>1049</v>
      </c>
      <c r="D24" s="77">
        <v>52292650</v>
      </c>
      <c r="E24" s="15">
        <v>1.93</v>
      </c>
    </row>
    <row r="25" spans="1:5" x14ac:dyDescent="0.4">
      <c r="A25" s="72" t="s">
        <v>3097</v>
      </c>
      <c r="B25" s="72" t="s">
        <v>3098</v>
      </c>
      <c r="C25" s="77">
        <v>1709</v>
      </c>
      <c r="D25" s="77">
        <v>49902800</v>
      </c>
      <c r="E25" s="15">
        <v>1.84</v>
      </c>
    </row>
    <row r="26" spans="1:5" x14ac:dyDescent="0.4">
      <c r="A26" s="72" t="s">
        <v>549</v>
      </c>
      <c r="B26" s="72" t="s">
        <v>550</v>
      </c>
      <c r="C26" s="77">
        <v>1774</v>
      </c>
      <c r="D26" s="77">
        <v>49405900</v>
      </c>
      <c r="E26" s="15">
        <v>1.83</v>
      </c>
    </row>
    <row r="27" spans="1:5" x14ac:dyDescent="0.4">
      <c r="A27" s="72" t="s">
        <v>497</v>
      </c>
      <c r="B27" s="72" t="s">
        <v>498</v>
      </c>
      <c r="C27" s="77">
        <v>2344</v>
      </c>
      <c r="D27" s="77">
        <v>37902480</v>
      </c>
      <c r="E27" s="15">
        <v>1.4</v>
      </c>
    </row>
    <row r="28" spans="1:5" x14ac:dyDescent="0.4">
      <c r="A28" s="72" t="s">
        <v>757</v>
      </c>
      <c r="B28" s="72" t="s">
        <v>758</v>
      </c>
      <c r="C28" s="77">
        <v>233</v>
      </c>
      <c r="D28" s="77">
        <v>27750300</v>
      </c>
      <c r="E28" s="15">
        <v>1.03</v>
      </c>
    </row>
    <row r="29" spans="1:5" x14ac:dyDescent="0.4">
      <c r="A29" s="72" t="s">
        <v>575</v>
      </c>
      <c r="B29" s="72" t="s">
        <v>576</v>
      </c>
      <c r="C29" s="77">
        <v>512</v>
      </c>
      <c r="D29" s="77">
        <v>27545600</v>
      </c>
      <c r="E29" s="15">
        <v>1.02</v>
      </c>
    </row>
    <row r="30" spans="1:5" x14ac:dyDescent="0.4">
      <c r="A30" s="72" t="s">
        <v>585</v>
      </c>
      <c r="B30" s="72" t="s">
        <v>586</v>
      </c>
      <c r="C30" s="77">
        <v>996</v>
      </c>
      <c r="D30" s="77">
        <v>25995600</v>
      </c>
      <c r="E30" s="15">
        <v>0.96</v>
      </c>
    </row>
    <row r="31" spans="1:5" x14ac:dyDescent="0.4">
      <c r="A31" s="72" t="s">
        <v>468</v>
      </c>
      <c r="B31" s="72" t="s">
        <v>469</v>
      </c>
      <c r="C31" s="77">
        <v>512</v>
      </c>
      <c r="D31" s="77">
        <v>24908800</v>
      </c>
      <c r="E31" s="15">
        <v>0.92</v>
      </c>
    </row>
    <row r="32" spans="1:5" x14ac:dyDescent="0.4">
      <c r="A32" s="72" t="s">
        <v>577</v>
      </c>
      <c r="B32" s="72" t="s">
        <v>578</v>
      </c>
      <c r="C32" s="77">
        <v>463</v>
      </c>
      <c r="D32" s="77">
        <v>20348850</v>
      </c>
      <c r="E32" s="15">
        <v>0.75</v>
      </c>
    </row>
    <row r="33" spans="1:5" x14ac:dyDescent="0.4">
      <c r="A33" s="72" t="s">
        <v>717</v>
      </c>
      <c r="B33" s="72" t="s">
        <v>718</v>
      </c>
      <c r="C33" s="77">
        <v>102</v>
      </c>
      <c r="D33" s="77">
        <v>1829880</v>
      </c>
      <c r="E33" s="15">
        <v>7.0000000000000007E-2</v>
      </c>
    </row>
    <row r="34" spans="1:5" x14ac:dyDescent="0.4">
      <c r="A34" s="72"/>
      <c r="B34" s="72" t="s">
        <v>10</v>
      </c>
      <c r="C34" s="77">
        <v>7222386</v>
      </c>
      <c r="D34" s="77">
        <v>7222386</v>
      </c>
      <c r="E34" s="15">
        <v>0.27</v>
      </c>
    </row>
    <row r="35" spans="1:5" x14ac:dyDescent="0.4">
      <c r="C35" s="13"/>
      <c r="D35" s="13"/>
      <c r="E35" s="72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74" t="s">
        <v>522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297</v>
      </c>
      <c r="D11" s="75">
        <v>623997000</v>
      </c>
      <c r="E11" s="19">
        <v>23.94</v>
      </c>
      <c r="F11" s="17"/>
      <c r="G11" s="17"/>
    </row>
    <row r="12" spans="1:7" x14ac:dyDescent="0.4">
      <c r="A12" s="72" t="s">
        <v>80</v>
      </c>
      <c r="B12" s="73" t="s">
        <v>81</v>
      </c>
      <c r="C12" s="78">
        <v>1921</v>
      </c>
      <c r="D12" s="75">
        <v>574379000</v>
      </c>
      <c r="E12" s="19">
        <v>22.04</v>
      </c>
      <c r="F12" s="17"/>
      <c r="G12" s="17"/>
    </row>
    <row r="13" spans="1:7" x14ac:dyDescent="0.4">
      <c r="A13" s="72" t="s">
        <v>453</v>
      </c>
      <c r="B13" s="72" t="s">
        <v>454</v>
      </c>
      <c r="C13" s="77">
        <v>89</v>
      </c>
      <c r="D13" s="77">
        <v>160645000</v>
      </c>
      <c r="E13" s="15">
        <v>6.16</v>
      </c>
    </row>
    <row r="14" spans="1:7" x14ac:dyDescent="0.4">
      <c r="A14" s="72" t="s">
        <v>643</v>
      </c>
      <c r="B14" s="72" t="s">
        <v>644</v>
      </c>
      <c r="C14" s="77">
        <v>852</v>
      </c>
      <c r="D14" s="77">
        <v>125755200</v>
      </c>
      <c r="E14" s="15">
        <v>4.83</v>
      </c>
    </row>
    <row r="15" spans="1:7" x14ac:dyDescent="0.4">
      <c r="A15" s="72" t="s">
        <v>355</v>
      </c>
      <c r="B15" s="72" t="s">
        <v>356</v>
      </c>
      <c r="C15" s="76">
        <v>732</v>
      </c>
      <c r="D15" s="77">
        <v>114777600</v>
      </c>
      <c r="E15" s="15">
        <v>4.4000000000000004</v>
      </c>
    </row>
    <row r="16" spans="1:7" x14ac:dyDescent="0.4">
      <c r="A16" s="72" t="s">
        <v>188</v>
      </c>
      <c r="B16" s="72" t="s">
        <v>189</v>
      </c>
      <c r="C16" s="76">
        <v>91</v>
      </c>
      <c r="D16" s="77">
        <v>111748000</v>
      </c>
      <c r="E16" s="15">
        <v>4.29</v>
      </c>
    </row>
    <row r="17" spans="1:7" x14ac:dyDescent="0.4">
      <c r="A17" s="72" t="s">
        <v>479</v>
      </c>
      <c r="B17" s="73" t="s">
        <v>480</v>
      </c>
      <c r="C17" s="78">
        <v>827</v>
      </c>
      <c r="D17" s="75">
        <v>110735300</v>
      </c>
      <c r="E17" s="19">
        <v>4.25</v>
      </c>
      <c r="F17" s="17"/>
      <c r="G17" s="17"/>
    </row>
    <row r="18" spans="1:7" x14ac:dyDescent="0.4">
      <c r="A18" s="72" t="s">
        <v>349</v>
      </c>
      <c r="B18" s="72" t="s">
        <v>350</v>
      </c>
      <c r="C18" s="77">
        <v>195</v>
      </c>
      <c r="D18" s="77">
        <v>98280000</v>
      </c>
      <c r="E18" s="15">
        <v>3.77</v>
      </c>
    </row>
    <row r="19" spans="1:7" x14ac:dyDescent="0.4">
      <c r="A19" s="72" t="s">
        <v>471</v>
      </c>
      <c r="B19" s="72" t="s">
        <v>472</v>
      </c>
      <c r="C19" s="77">
        <v>640</v>
      </c>
      <c r="D19" s="77">
        <v>95872000</v>
      </c>
      <c r="E19" s="15">
        <v>3.68</v>
      </c>
    </row>
    <row r="20" spans="1:7" x14ac:dyDescent="0.4">
      <c r="A20" s="72" t="s">
        <v>484</v>
      </c>
      <c r="B20" s="72" t="s">
        <v>485</v>
      </c>
      <c r="C20" s="77">
        <v>1112</v>
      </c>
      <c r="D20" s="77">
        <v>94631200</v>
      </c>
      <c r="E20" s="15">
        <v>3.63</v>
      </c>
    </row>
    <row r="21" spans="1:7" x14ac:dyDescent="0.4">
      <c r="A21" s="72" t="s">
        <v>757</v>
      </c>
      <c r="B21" s="72" t="s">
        <v>758</v>
      </c>
      <c r="C21" s="77">
        <v>495</v>
      </c>
      <c r="D21" s="77">
        <v>84447000</v>
      </c>
      <c r="E21" s="15">
        <v>3.24</v>
      </c>
    </row>
    <row r="22" spans="1:7" x14ac:dyDescent="0.4">
      <c r="A22" s="72" t="s">
        <v>446</v>
      </c>
      <c r="B22" s="73" t="s">
        <v>447</v>
      </c>
      <c r="C22" s="75">
        <v>576</v>
      </c>
      <c r="D22" s="75">
        <v>80179200</v>
      </c>
      <c r="E22" s="19">
        <v>3.08</v>
      </c>
      <c r="F22" s="17"/>
      <c r="G22" s="17"/>
    </row>
    <row r="23" spans="1:7" x14ac:dyDescent="0.4">
      <c r="A23" s="72" t="s">
        <v>569</v>
      </c>
      <c r="B23" s="73" t="s">
        <v>570</v>
      </c>
      <c r="C23" s="78">
        <v>307</v>
      </c>
      <c r="D23" s="75">
        <v>79820000</v>
      </c>
      <c r="E23" s="19">
        <v>3.06</v>
      </c>
      <c r="F23" s="17"/>
      <c r="G23" s="17"/>
    </row>
    <row r="24" spans="1:7" x14ac:dyDescent="0.4">
      <c r="A24" s="72" t="s">
        <v>486</v>
      </c>
      <c r="B24" s="72" t="s">
        <v>487</v>
      </c>
      <c r="C24" s="76">
        <v>237</v>
      </c>
      <c r="D24" s="77">
        <v>62568000</v>
      </c>
      <c r="E24" s="15">
        <v>2.4</v>
      </c>
    </row>
    <row r="25" spans="1:7" x14ac:dyDescent="0.4">
      <c r="A25" s="72" t="s">
        <v>666</v>
      </c>
      <c r="B25" s="72" t="s">
        <v>667</v>
      </c>
      <c r="C25" s="77">
        <v>1394</v>
      </c>
      <c r="D25" s="77">
        <v>61336000</v>
      </c>
      <c r="E25" s="15">
        <v>2.35</v>
      </c>
    </row>
    <row r="26" spans="1:7" x14ac:dyDescent="0.4">
      <c r="A26" s="72" t="s">
        <v>769</v>
      </c>
      <c r="B26" s="72" t="s">
        <v>770</v>
      </c>
      <c r="C26" s="77">
        <v>305</v>
      </c>
      <c r="D26" s="77">
        <v>42456000</v>
      </c>
      <c r="E26" s="15">
        <v>1.63</v>
      </c>
    </row>
    <row r="27" spans="1:7" x14ac:dyDescent="0.4">
      <c r="A27" s="72" t="s">
        <v>3930</v>
      </c>
      <c r="B27" s="72" t="s">
        <v>3931</v>
      </c>
      <c r="C27" s="77">
        <v>516</v>
      </c>
      <c r="D27" s="77">
        <v>38648400</v>
      </c>
      <c r="E27" s="15">
        <v>1.48</v>
      </c>
    </row>
    <row r="28" spans="1:7" x14ac:dyDescent="0.4">
      <c r="A28" s="72" t="s">
        <v>555</v>
      </c>
      <c r="B28" s="72" t="s">
        <v>556</v>
      </c>
      <c r="C28" s="77">
        <v>311</v>
      </c>
      <c r="D28" s="77">
        <v>34614300</v>
      </c>
      <c r="E28" s="15">
        <v>1.33</v>
      </c>
    </row>
    <row r="29" spans="1:7" x14ac:dyDescent="0.4">
      <c r="A29" s="72" t="s">
        <v>4013</v>
      </c>
      <c r="B29" s="72" t="s">
        <v>4014</v>
      </c>
      <c r="C29" s="77">
        <v>398</v>
      </c>
      <c r="D29" s="77">
        <v>9751000</v>
      </c>
      <c r="E29" s="15">
        <v>0.37</v>
      </c>
    </row>
    <row r="30" spans="1:7" x14ac:dyDescent="0.4">
      <c r="A30" s="72" t="s">
        <v>351</v>
      </c>
      <c r="B30" s="72" t="s">
        <v>352</v>
      </c>
      <c r="C30" s="77">
        <v>3</v>
      </c>
      <c r="D30" s="77">
        <v>571500</v>
      </c>
      <c r="E30" s="15">
        <v>0.02</v>
      </c>
    </row>
    <row r="31" spans="1:7" x14ac:dyDescent="0.4">
      <c r="A31" s="72" t="s">
        <v>719</v>
      </c>
      <c r="B31" s="72" t="s">
        <v>720</v>
      </c>
      <c r="C31" s="77">
        <v>21</v>
      </c>
      <c r="D31" s="77">
        <v>301560</v>
      </c>
      <c r="E31" s="15">
        <v>0.01</v>
      </c>
    </row>
    <row r="32" spans="1:7" x14ac:dyDescent="0.4">
      <c r="A32" s="72" t="s">
        <v>506</v>
      </c>
      <c r="B32" s="72" t="s">
        <v>507</v>
      </c>
      <c r="C32" s="77">
        <v>20</v>
      </c>
      <c r="D32" s="77">
        <v>288400</v>
      </c>
      <c r="E32" s="15">
        <v>0.01</v>
      </c>
    </row>
    <row r="33" spans="1:5" x14ac:dyDescent="0.4">
      <c r="A33" s="72" t="s">
        <v>621</v>
      </c>
      <c r="B33" s="72" t="s">
        <v>622</v>
      </c>
      <c r="C33" s="77">
        <v>4</v>
      </c>
      <c r="D33" s="77">
        <v>149600</v>
      </c>
      <c r="E33" s="15">
        <v>0.01</v>
      </c>
    </row>
    <row r="34" spans="1:5" x14ac:dyDescent="0.4">
      <c r="A34" s="72" t="s">
        <v>4446</v>
      </c>
      <c r="B34" s="72" t="s">
        <v>4447</v>
      </c>
      <c r="C34" s="77">
        <v>9</v>
      </c>
      <c r="D34" s="77">
        <v>139500</v>
      </c>
      <c r="E34" s="15">
        <v>0.01</v>
      </c>
    </row>
    <row r="35" spans="1:5" x14ac:dyDescent="0.4">
      <c r="A35" s="72"/>
      <c r="B35" s="72" t="s">
        <v>490</v>
      </c>
      <c r="C35" s="77">
        <v>21903387</v>
      </c>
      <c r="D35" s="77"/>
      <c r="E35" s="15"/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74" t="s">
        <v>522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297</v>
      </c>
      <c r="D11" s="77">
        <v>692901000</v>
      </c>
      <c r="E11" s="15">
        <v>26.69</v>
      </c>
    </row>
    <row r="12" spans="1:5" x14ac:dyDescent="0.4">
      <c r="A12" s="72" t="s">
        <v>80</v>
      </c>
      <c r="B12" s="72" t="s">
        <v>81</v>
      </c>
      <c r="C12" s="76">
        <v>1921</v>
      </c>
      <c r="D12" s="77">
        <v>608957000</v>
      </c>
      <c r="E12" s="15">
        <v>23.46</v>
      </c>
    </row>
    <row r="13" spans="1:5" x14ac:dyDescent="0.4">
      <c r="A13" s="72" t="s">
        <v>453</v>
      </c>
      <c r="B13" s="72" t="s">
        <v>454</v>
      </c>
      <c r="C13" s="77">
        <v>89</v>
      </c>
      <c r="D13" s="77">
        <v>189303000</v>
      </c>
      <c r="E13" s="15">
        <v>7.29</v>
      </c>
    </row>
    <row r="14" spans="1:5" x14ac:dyDescent="0.4">
      <c r="A14" s="72" t="s">
        <v>355</v>
      </c>
      <c r="B14" s="72" t="s">
        <v>356</v>
      </c>
      <c r="C14" s="77">
        <v>732</v>
      </c>
      <c r="D14" s="77">
        <v>139738800</v>
      </c>
      <c r="E14" s="15">
        <v>5.38</v>
      </c>
    </row>
    <row r="15" spans="1:5" x14ac:dyDescent="0.4">
      <c r="A15" s="72" t="s">
        <v>643</v>
      </c>
      <c r="B15" s="72" t="s">
        <v>644</v>
      </c>
      <c r="C15" s="76">
        <v>852</v>
      </c>
      <c r="D15" s="77">
        <v>120472800</v>
      </c>
      <c r="E15" s="15">
        <v>4.6399999999999997</v>
      </c>
    </row>
    <row r="16" spans="1:5" x14ac:dyDescent="0.4">
      <c r="A16" s="72" t="s">
        <v>188</v>
      </c>
      <c r="B16" s="72" t="s">
        <v>189</v>
      </c>
      <c r="C16" s="76">
        <v>91</v>
      </c>
      <c r="D16" s="77">
        <v>112203000</v>
      </c>
      <c r="E16" s="15">
        <v>4.32</v>
      </c>
    </row>
    <row r="17" spans="1:5" x14ac:dyDescent="0.4">
      <c r="A17" s="72" t="s">
        <v>349</v>
      </c>
      <c r="B17" s="72" t="s">
        <v>350</v>
      </c>
      <c r="C17" s="76">
        <v>195</v>
      </c>
      <c r="D17" s="77">
        <v>89310000</v>
      </c>
      <c r="E17" s="15">
        <v>3.44</v>
      </c>
    </row>
    <row r="18" spans="1:5" x14ac:dyDescent="0.4">
      <c r="A18" s="72" t="s">
        <v>479</v>
      </c>
      <c r="B18" s="72" t="s">
        <v>480</v>
      </c>
      <c r="C18" s="77">
        <v>827</v>
      </c>
      <c r="D18" s="77">
        <v>88158200</v>
      </c>
      <c r="E18" s="15">
        <v>3.4</v>
      </c>
    </row>
    <row r="19" spans="1:5" x14ac:dyDescent="0.4">
      <c r="A19" s="72" t="s">
        <v>484</v>
      </c>
      <c r="B19" s="72" t="s">
        <v>485</v>
      </c>
      <c r="C19" s="77">
        <v>1112</v>
      </c>
      <c r="D19" s="77">
        <v>65496800</v>
      </c>
      <c r="E19" s="15">
        <v>2.52</v>
      </c>
    </row>
    <row r="20" spans="1:5" x14ac:dyDescent="0.4">
      <c r="A20" s="72" t="s">
        <v>486</v>
      </c>
      <c r="B20" s="72" t="s">
        <v>487</v>
      </c>
      <c r="C20" s="77">
        <v>237</v>
      </c>
      <c r="D20" s="77">
        <v>65293500</v>
      </c>
      <c r="E20" s="15">
        <v>2.52</v>
      </c>
    </row>
    <row r="21" spans="1:5" x14ac:dyDescent="0.4">
      <c r="A21" s="72" t="s">
        <v>471</v>
      </c>
      <c r="B21" s="72" t="s">
        <v>472</v>
      </c>
      <c r="C21" s="77">
        <v>640</v>
      </c>
      <c r="D21" s="77">
        <v>63040000</v>
      </c>
      <c r="E21" s="15">
        <v>2.4300000000000002</v>
      </c>
    </row>
    <row r="22" spans="1:5" x14ac:dyDescent="0.4">
      <c r="A22" s="72" t="s">
        <v>569</v>
      </c>
      <c r="B22" s="72" t="s">
        <v>570</v>
      </c>
      <c r="C22" s="77">
        <v>307</v>
      </c>
      <c r="D22" s="77">
        <v>61369300</v>
      </c>
      <c r="E22" s="15">
        <v>2.36</v>
      </c>
    </row>
    <row r="23" spans="1:5" x14ac:dyDescent="0.4">
      <c r="A23" s="72" t="s">
        <v>757</v>
      </c>
      <c r="B23" s="72" t="s">
        <v>758</v>
      </c>
      <c r="C23" s="76">
        <v>495</v>
      </c>
      <c r="D23" s="77">
        <v>58954500</v>
      </c>
      <c r="E23" s="15">
        <v>2.27</v>
      </c>
    </row>
    <row r="24" spans="1:5" x14ac:dyDescent="0.4">
      <c r="A24" s="72" t="s">
        <v>666</v>
      </c>
      <c r="B24" s="72" t="s">
        <v>667</v>
      </c>
      <c r="C24" s="76">
        <v>1394</v>
      </c>
      <c r="D24" s="77">
        <v>58687400</v>
      </c>
      <c r="E24" s="15">
        <v>2.2599999999999998</v>
      </c>
    </row>
    <row r="25" spans="1:5" x14ac:dyDescent="0.4">
      <c r="A25" s="72" t="s">
        <v>446</v>
      </c>
      <c r="B25" s="72" t="s">
        <v>447</v>
      </c>
      <c r="C25" s="77">
        <v>576</v>
      </c>
      <c r="D25" s="77">
        <v>51840000</v>
      </c>
      <c r="E25" s="15">
        <v>2</v>
      </c>
    </row>
    <row r="26" spans="1:5" x14ac:dyDescent="0.4">
      <c r="A26" s="72" t="s">
        <v>3930</v>
      </c>
      <c r="B26" s="72" t="s">
        <v>3931</v>
      </c>
      <c r="C26" s="77">
        <v>516</v>
      </c>
      <c r="D26" s="77">
        <v>46491600</v>
      </c>
      <c r="E26" s="15">
        <v>1.79</v>
      </c>
    </row>
    <row r="27" spans="1:5" x14ac:dyDescent="0.4">
      <c r="A27" s="72" t="s">
        <v>769</v>
      </c>
      <c r="B27" s="72" t="s">
        <v>770</v>
      </c>
      <c r="C27" s="77">
        <v>305</v>
      </c>
      <c r="D27" s="77">
        <v>36386500</v>
      </c>
      <c r="E27" s="15">
        <v>1.4</v>
      </c>
    </row>
    <row r="28" spans="1:5" x14ac:dyDescent="0.4">
      <c r="A28" s="72" t="s">
        <v>555</v>
      </c>
      <c r="B28" s="72" t="s">
        <v>556</v>
      </c>
      <c r="C28" s="77">
        <v>311</v>
      </c>
      <c r="D28" s="77">
        <v>33028200</v>
      </c>
      <c r="E28" s="15">
        <v>1.27</v>
      </c>
    </row>
    <row r="29" spans="1:5" x14ac:dyDescent="0.4">
      <c r="A29" s="72" t="s">
        <v>4013</v>
      </c>
      <c r="B29" s="72" t="s">
        <v>4014</v>
      </c>
      <c r="C29" s="77">
        <v>398</v>
      </c>
      <c r="D29" s="77">
        <v>12676300</v>
      </c>
      <c r="E29" s="15">
        <v>0.49</v>
      </c>
    </row>
    <row r="30" spans="1:5" x14ac:dyDescent="0.4">
      <c r="A30" s="72" t="s">
        <v>351</v>
      </c>
      <c r="B30" s="72" t="s">
        <v>352</v>
      </c>
      <c r="C30" s="77">
        <v>3</v>
      </c>
      <c r="D30" s="77">
        <v>607500</v>
      </c>
      <c r="E30" s="15">
        <v>0.02</v>
      </c>
    </row>
    <row r="31" spans="1:5" x14ac:dyDescent="0.4">
      <c r="A31" s="72" t="s">
        <v>719</v>
      </c>
      <c r="B31" s="72" t="s">
        <v>720</v>
      </c>
      <c r="C31" s="77">
        <v>21</v>
      </c>
      <c r="D31" s="77">
        <v>272790</v>
      </c>
      <c r="E31" s="15">
        <v>0.01</v>
      </c>
    </row>
    <row r="32" spans="1:5" x14ac:dyDescent="0.4">
      <c r="A32" s="72" t="s">
        <v>506</v>
      </c>
      <c r="B32" s="72" t="s">
        <v>507</v>
      </c>
      <c r="C32" s="77">
        <v>20</v>
      </c>
      <c r="D32" s="77">
        <v>259000</v>
      </c>
      <c r="E32" s="15">
        <v>0.01</v>
      </c>
    </row>
    <row r="33" spans="1:5" x14ac:dyDescent="0.4">
      <c r="A33" s="72" t="s">
        <v>4446</v>
      </c>
      <c r="B33" s="72" t="s">
        <v>4447</v>
      </c>
      <c r="C33" s="77">
        <v>9</v>
      </c>
      <c r="D33" s="77">
        <v>162810</v>
      </c>
      <c r="E33" s="15">
        <v>0.01</v>
      </c>
    </row>
    <row r="34" spans="1:5" x14ac:dyDescent="0.4">
      <c r="A34" s="72" t="s">
        <v>621</v>
      </c>
      <c r="B34" s="72" t="s">
        <v>622</v>
      </c>
      <c r="C34" s="77">
        <v>4</v>
      </c>
      <c r="D34" s="77">
        <v>158400</v>
      </c>
      <c r="E34" s="15">
        <v>0.01</v>
      </c>
    </row>
    <row r="35" spans="1:5" x14ac:dyDescent="0.4">
      <c r="A35" s="72"/>
      <c r="B35" s="72" t="s">
        <v>490</v>
      </c>
      <c r="C35" s="77">
        <v>19872068</v>
      </c>
      <c r="D35" s="77"/>
      <c r="E35" s="15"/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74" t="s">
        <v>523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583</v>
      </c>
      <c r="D11" s="75">
        <v>174317000</v>
      </c>
      <c r="E11" s="19">
        <v>23.74</v>
      </c>
      <c r="F11" s="17"/>
      <c r="G11" s="17"/>
    </row>
    <row r="12" spans="1:7" x14ac:dyDescent="0.4">
      <c r="A12" s="72" t="s">
        <v>13</v>
      </c>
      <c r="B12" s="73" t="s">
        <v>14</v>
      </c>
      <c r="C12" s="75">
        <v>69</v>
      </c>
      <c r="D12" s="75">
        <v>144969000</v>
      </c>
      <c r="E12" s="19">
        <v>19.739999999999998</v>
      </c>
      <c r="F12" s="17"/>
      <c r="G12" s="17"/>
    </row>
    <row r="13" spans="1:7" x14ac:dyDescent="0.4">
      <c r="A13" s="72" t="s">
        <v>488</v>
      </c>
      <c r="B13" s="73" t="s">
        <v>489</v>
      </c>
      <c r="C13" s="75">
        <v>381</v>
      </c>
      <c r="D13" s="75">
        <v>50787300</v>
      </c>
      <c r="E13" s="19">
        <v>6.92</v>
      </c>
      <c r="F13" s="17"/>
      <c r="G13" s="17"/>
    </row>
    <row r="14" spans="1:7" x14ac:dyDescent="0.4">
      <c r="A14" s="72" t="s">
        <v>453</v>
      </c>
      <c r="B14" s="73" t="s">
        <v>454</v>
      </c>
      <c r="C14" s="75">
        <v>27</v>
      </c>
      <c r="D14" s="75">
        <v>48735000</v>
      </c>
      <c r="E14" s="19">
        <v>6.64</v>
      </c>
      <c r="F14" s="17"/>
      <c r="G14" s="17"/>
    </row>
    <row r="15" spans="1:7" x14ac:dyDescent="0.4">
      <c r="A15" s="72" t="s">
        <v>355</v>
      </c>
      <c r="B15" s="73" t="s">
        <v>356</v>
      </c>
      <c r="C15" s="75">
        <v>270</v>
      </c>
      <c r="D15" s="75">
        <v>42336000</v>
      </c>
      <c r="E15" s="19">
        <v>5.77</v>
      </c>
      <c r="F15" s="17"/>
      <c r="G15" s="17"/>
    </row>
    <row r="16" spans="1:7" x14ac:dyDescent="0.4">
      <c r="A16" s="72" t="s">
        <v>446</v>
      </c>
      <c r="B16" s="73" t="s">
        <v>447</v>
      </c>
      <c r="C16" s="75">
        <v>290</v>
      </c>
      <c r="D16" s="75">
        <v>40368000</v>
      </c>
      <c r="E16" s="19">
        <v>5.5</v>
      </c>
      <c r="F16" s="17"/>
      <c r="G16" s="17"/>
    </row>
    <row r="17" spans="1:7" x14ac:dyDescent="0.4">
      <c r="A17" s="72" t="s">
        <v>188</v>
      </c>
      <c r="B17" s="72" t="s">
        <v>189</v>
      </c>
      <c r="C17" s="77">
        <v>30</v>
      </c>
      <c r="D17" s="77">
        <v>36840000</v>
      </c>
      <c r="E17" s="15">
        <v>5.0199999999999996</v>
      </c>
    </row>
    <row r="18" spans="1:7" x14ac:dyDescent="0.4">
      <c r="A18" s="72" t="s">
        <v>158</v>
      </c>
      <c r="B18" s="73" t="s">
        <v>159</v>
      </c>
      <c r="C18" s="75">
        <v>340</v>
      </c>
      <c r="D18" s="75">
        <v>33932000</v>
      </c>
      <c r="E18" s="19">
        <v>4.62</v>
      </c>
      <c r="F18" s="17"/>
      <c r="G18" s="17"/>
    </row>
    <row r="19" spans="1:7" x14ac:dyDescent="0.4">
      <c r="A19" s="72" t="s">
        <v>347</v>
      </c>
      <c r="B19" s="72" t="s">
        <v>348</v>
      </c>
      <c r="C19" s="76">
        <v>261</v>
      </c>
      <c r="D19" s="77">
        <v>32155200</v>
      </c>
      <c r="E19" s="15">
        <v>4.38</v>
      </c>
    </row>
    <row r="20" spans="1:7" x14ac:dyDescent="0.4">
      <c r="A20" s="72" t="s">
        <v>679</v>
      </c>
      <c r="B20" s="72" t="s">
        <v>680</v>
      </c>
      <c r="C20" s="76">
        <v>166</v>
      </c>
      <c r="D20" s="77">
        <v>25265200</v>
      </c>
      <c r="E20" s="15">
        <v>3.44</v>
      </c>
    </row>
    <row r="21" spans="1:7" x14ac:dyDescent="0.4">
      <c r="A21" s="72" t="s">
        <v>2823</v>
      </c>
      <c r="B21" s="72" t="s">
        <v>2824</v>
      </c>
      <c r="C21" s="77">
        <v>653</v>
      </c>
      <c r="D21" s="77">
        <v>23638600</v>
      </c>
      <c r="E21" s="15">
        <v>3.22</v>
      </c>
    </row>
    <row r="22" spans="1:7" x14ac:dyDescent="0.4">
      <c r="A22" s="72" t="s">
        <v>468</v>
      </c>
      <c r="B22" s="72" t="s">
        <v>469</v>
      </c>
      <c r="C22" s="76">
        <v>410</v>
      </c>
      <c r="D22" s="77">
        <v>22550000</v>
      </c>
      <c r="E22" s="15">
        <v>3.07</v>
      </c>
    </row>
    <row r="23" spans="1:7" x14ac:dyDescent="0.4">
      <c r="A23" s="72" t="s">
        <v>493</v>
      </c>
      <c r="B23" s="72" t="s">
        <v>494</v>
      </c>
      <c r="C23" s="76">
        <v>89</v>
      </c>
      <c r="D23" s="77">
        <v>21849500</v>
      </c>
      <c r="E23" s="15">
        <v>2.98</v>
      </c>
    </row>
    <row r="24" spans="1:7" x14ac:dyDescent="0.4">
      <c r="A24" s="72" t="s">
        <v>4509</v>
      </c>
      <c r="B24" s="72" t="s">
        <v>4510</v>
      </c>
      <c r="C24" s="76">
        <v>385</v>
      </c>
      <c r="D24" s="77">
        <v>18095000</v>
      </c>
      <c r="E24" s="15">
        <v>2.46</v>
      </c>
    </row>
    <row r="25" spans="1:7" x14ac:dyDescent="0.4">
      <c r="A25" s="72" t="s">
        <v>212</v>
      </c>
      <c r="B25" s="72" t="s">
        <v>213</v>
      </c>
      <c r="C25" s="77">
        <v>64</v>
      </c>
      <c r="D25" s="77">
        <v>9932800</v>
      </c>
      <c r="E25" s="15">
        <v>1.35</v>
      </c>
    </row>
    <row r="26" spans="1:7" x14ac:dyDescent="0.4">
      <c r="A26" s="72"/>
      <c r="B26" s="72" t="s">
        <v>10</v>
      </c>
      <c r="C26" s="77">
        <v>8480518</v>
      </c>
      <c r="D26" s="77">
        <v>8480518</v>
      </c>
      <c r="E26" s="15">
        <v>1.1499999999999999</v>
      </c>
    </row>
    <row r="27" spans="1:7" x14ac:dyDescent="0.4">
      <c r="C27" s="13"/>
      <c r="D27" s="13"/>
      <c r="E27" s="72"/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74" t="s">
        <v>523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561</v>
      </c>
      <c r="D11" s="77">
        <v>177837000</v>
      </c>
      <c r="E11" s="15">
        <v>23.01</v>
      </c>
    </row>
    <row r="12" spans="1:5" x14ac:dyDescent="0.4">
      <c r="A12" s="72" t="s">
        <v>13</v>
      </c>
      <c r="B12" s="72" t="s">
        <v>14</v>
      </c>
      <c r="C12" s="76">
        <v>69</v>
      </c>
      <c r="D12" s="77">
        <v>160977000</v>
      </c>
      <c r="E12" s="15">
        <v>20.83</v>
      </c>
    </row>
    <row r="13" spans="1:5" x14ac:dyDescent="0.4">
      <c r="A13" s="72" t="s">
        <v>453</v>
      </c>
      <c r="B13" s="72" t="s">
        <v>454</v>
      </c>
      <c r="C13" s="72">
        <v>31</v>
      </c>
      <c r="D13" s="77">
        <v>65937000</v>
      </c>
      <c r="E13" s="15">
        <v>8.5299999999999994</v>
      </c>
    </row>
    <row r="14" spans="1:5" x14ac:dyDescent="0.4">
      <c r="A14" s="72" t="s">
        <v>188</v>
      </c>
      <c r="B14" s="72" t="s">
        <v>189</v>
      </c>
      <c r="C14" s="77">
        <v>42</v>
      </c>
      <c r="D14" s="77">
        <v>51786000</v>
      </c>
      <c r="E14" s="15">
        <v>6.7</v>
      </c>
    </row>
    <row r="15" spans="1:5" x14ac:dyDescent="0.4">
      <c r="A15" s="72" t="s">
        <v>355</v>
      </c>
      <c r="B15" s="72" t="s">
        <v>356</v>
      </c>
      <c r="C15" s="76">
        <v>270</v>
      </c>
      <c r="D15" s="77">
        <v>51543000</v>
      </c>
      <c r="E15" s="15">
        <v>6.67</v>
      </c>
    </row>
    <row r="16" spans="1:5" x14ac:dyDescent="0.4">
      <c r="A16" s="72" t="s">
        <v>212</v>
      </c>
      <c r="B16" s="72" t="s">
        <v>213</v>
      </c>
      <c r="C16" s="76">
        <v>254</v>
      </c>
      <c r="D16" s="77">
        <v>47117000</v>
      </c>
      <c r="E16" s="15">
        <v>6.1</v>
      </c>
    </row>
    <row r="17" spans="1:5" x14ac:dyDescent="0.4">
      <c r="A17" s="72" t="s">
        <v>488</v>
      </c>
      <c r="B17" s="72" t="s">
        <v>489</v>
      </c>
      <c r="C17" s="76">
        <v>318</v>
      </c>
      <c r="D17" s="77">
        <v>37555800</v>
      </c>
      <c r="E17" s="15">
        <v>4.8600000000000003</v>
      </c>
    </row>
    <row r="18" spans="1:5" x14ac:dyDescent="0.4">
      <c r="A18" s="72" t="s">
        <v>347</v>
      </c>
      <c r="B18" s="72" t="s">
        <v>348</v>
      </c>
      <c r="C18" s="77">
        <v>261</v>
      </c>
      <c r="D18" s="77">
        <v>33721200</v>
      </c>
      <c r="E18" s="15">
        <v>4.3600000000000003</v>
      </c>
    </row>
    <row r="19" spans="1:5" x14ac:dyDescent="0.4">
      <c r="A19" s="72" t="s">
        <v>679</v>
      </c>
      <c r="B19" s="72" t="s">
        <v>680</v>
      </c>
      <c r="C19" s="77">
        <v>166</v>
      </c>
      <c r="D19" s="77">
        <v>26111800</v>
      </c>
      <c r="E19" s="15">
        <v>3.38</v>
      </c>
    </row>
    <row r="20" spans="1:5" x14ac:dyDescent="0.4">
      <c r="A20" s="72" t="s">
        <v>158</v>
      </c>
      <c r="B20" s="72" t="s">
        <v>159</v>
      </c>
      <c r="C20" s="77">
        <v>258</v>
      </c>
      <c r="D20" s="77">
        <v>25129200</v>
      </c>
      <c r="E20" s="15">
        <v>3.25</v>
      </c>
    </row>
    <row r="21" spans="1:5" x14ac:dyDescent="0.4">
      <c r="A21" s="72" t="s">
        <v>4509</v>
      </c>
      <c r="B21" s="72" t="s">
        <v>4510</v>
      </c>
      <c r="C21" s="77">
        <v>568</v>
      </c>
      <c r="D21" s="77">
        <v>23401600</v>
      </c>
      <c r="E21" s="15">
        <v>3.03</v>
      </c>
    </row>
    <row r="22" spans="1:5" x14ac:dyDescent="0.4">
      <c r="A22" s="72" t="s">
        <v>1176</v>
      </c>
      <c r="B22" s="72" t="s">
        <v>1177</v>
      </c>
      <c r="C22" s="77">
        <v>1551</v>
      </c>
      <c r="D22" s="77">
        <v>19356480</v>
      </c>
      <c r="E22" s="15">
        <v>2.5</v>
      </c>
    </row>
    <row r="23" spans="1:5" x14ac:dyDescent="0.4">
      <c r="A23" s="72" t="s">
        <v>493</v>
      </c>
      <c r="B23" s="72" t="s">
        <v>494</v>
      </c>
      <c r="C23" s="76">
        <v>89</v>
      </c>
      <c r="D23" s="77">
        <v>17800000</v>
      </c>
      <c r="E23" s="15">
        <v>2.2999999999999998</v>
      </c>
    </row>
    <row r="24" spans="1:5" x14ac:dyDescent="0.4">
      <c r="A24" s="72" t="s">
        <v>92</v>
      </c>
      <c r="B24" s="72" t="s">
        <v>93</v>
      </c>
      <c r="C24" s="76">
        <v>8</v>
      </c>
      <c r="D24" s="77">
        <v>15776000</v>
      </c>
      <c r="E24" s="15">
        <v>2.04</v>
      </c>
    </row>
    <row r="25" spans="1:5" x14ac:dyDescent="0.4">
      <c r="A25" s="72" t="s">
        <v>769</v>
      </c>
      <c r="B25" s="72" t="s">
        <v>770</v>
      </c>
      <c r="C25" s="77">
        <v>78</v>
      </c>
      <c r="D25" s="77">
        <v>9305400</v>
      </c>
      <c r="E25" s="15">
        <v>1.2</v>
      </c>
    </row>
    <row r="26" spans="1:5" x14ac:dyDescent="0.4">
      <c r="A26" s="72" t="s">
        <v>477</v>
      </c>
      <c r="B26" s="72" t="s">
        <v>478</v>
      </c>
      <c r="C26" s="77">
        <v>493</v>
      </c>
      <c r="D26" s="77">
        <v>6019530</v>
      </c>
      <c r="E26" s="15">
        <v>0.78</v>
      </c>
    </row>
    <row r="27" spans="1:5" x14ac:dyDescent="0.4">
      <c r="A27" s="72" t="s">
        <v>719</v>
      </c>
      <c r="B27" s="72" t="s">
        <v>720</v>
      </c>
      <c r="C27" s="77">
        <v>264</v>
      </c>
      <c r="D27" s="77">
        <v>3429360</v>
      </c>
      <c r="E27" s="15">
        <v>0.44</v>
      </c>
    </row>
    <row r="28" spans="1:5" x14ac:dyDescent="0.4">
      <c r="A28" s="72"/>
      <c r="B28" s="72" t="s">
        <v>10</v>
      </c>
      <c r="C28" s="77">
        <v>-5305370</v>
      </c>
      <c r="D28" s="77">
        <v>-5305370</v>
      </c>
      <c r="E28" s="15"/>
    </row>
    <row r="29" spans="1:5" x14ac:dyDescent="0.4">
      <c r="C29" s="13"/>
      <c r="D29" s="13"/>
      <c r="E29" s="72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749</v>
      </c>
      <c r="B8" s="6"/>
      <c r="C8" s="6"/>
      <c r="D8" s="6"/>
      <c r="E8" s="14"/>
    </row>
    <row r="9" spans="1:7" x14ac:dyDescent="0.4">
      <c r="A9" s="74" t="s">
        <v>750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241</v>
      </c>
      <c r="D11" s="75">
        <v>506341000</v>
      </c>
      <c r="E11" s="19">
        <v>18.8</v>
      </c>
      <c r="F11" s="17"/>
      <c r="G11" s="17"/>
    </row>
    <row r="12" spans="1:7" x14ac:dyDescent="0.4">
      <c r="A12" s="72" t="s">
        <v>80</v>
      </c>
      <c r="B12" s="73" t="s">
        <v>81</v>
      </c>
      <c r="C12" s="76">
        <v>1612</v>
      </c>
      <c r="D12" s="77">
        <v>481988000</v>
      </c>
      <c r="E12" s="15">
        <v>17.89</v>
      </c>
    </row>
    <row r="13" spans="1:7" x14ac:dyDescent="0.4">
      <c r="A13" s="72" t="s">
        <v>140</v>
      </c>
      <c r="B13" s="72" t="s">
        <v>141</v>
      </c>
      <c r="C13" s="77">
        <v>325</v>
      </c>
      <c r="D13" s="77">
        <v>194025000</v>
      </c>
      <c r="E13" s="15">
        <v>7.2</v>
      </c>
    </row>
    <row r="14" spans="1:7" x14ac:dyDescent="0.4">
      <c r="A14" s="72" t="s">
        <v>188</v>
      </c>
      <c r="B14" s="73" t="s">
        <v>189</v>
      </c>
      <c r="C14" s="75">
        <v>125</v>
      </c>
      <c r="D14" s="75">
        <v>153500000</v>
      </c>
      <c r="E14" s="19">
        <v>5.7</v>
      </c>
      <c r="F14" s="17"/>
      <c r="G14" s="17"/>
    </row>
    <row r="15" spans="1:7" x14ac:dyDescent="0.4">
      <c r="A15" s="72" t="s">
        <v>19</v>
      </c>
      <c r="B15" s="73" t="s">
        <v>20</v>
      </c>
      <c r="C15" s="76">
        <v>486</v>
      </c>
      <c r="D15" s="77">
        <v>111537000</v>
      </c>
      <c r="E15" s="15">
        <v>4.1399999999999997</v>
      </c>
    </row>
    <row r="16" spans="1:7" x14ac:dyDescent="0.4">
      <c r="A16" s="72" t="s">
        <v>73</v>
      </c>
      <c r="B16" s="72" t="s">
        <v>74</v>
      </c>
      <c r="C16" s="76">
        <v>98</v>
      </c>
      <c r="D16" s="77">
        <v>99372000</v>
      </c>
      <c r="E16" s="15">
        <v>3.69</v>
      </c>
    </row>
    <row r="17" spans="1:7" x14ac:dyDescent="0.4">
      <c r="A17" s="72" t="s">
        <v>127</v>
      </c>
      <c r="B17" s="73" t="s">
        <v>128</v>
      </c>
      <c r="C17" s="76">
        <v>567</v>
      </c>
      <c r="D17" s="77">
        <v>88452000</v>
      </c>
      <c r="E17" s="15">
        <v>3.28</v>
      </c>
    </row>
    <row r="18" spans="1:7" x14ac:dyDescent="0.4">
      <c r="A18" s="72" t="s">
        <v>172</v>
      </c>
      <c r="B18" s="72" t="s">
        <v>173</v>
      </c>
      <c r="C18" s="77">
        <v>138</v>
      </c>
      <c r="D18" s="77">
        <v>79488000</v>
      </c>
      <c r="E18" s="15">
        <v>2.95</v>
      </c>
    </row>
    <row r="19" spans="1:7" x14ac:dyDescent="0.4">
      <c r="A19" s="72" t="s">
        <v>15</v>
      </c>
      <c r="B19" s="73" t="s">
        <v>16</v>
      </c>
      <c r="C19" s="75">
        <v>74</v>
      </c>
      <c r="D19" s="75">
        <v>76442000</v>
      </c>
      <c r="E19" s="19">
        <v>2.84</v>
      </c>
      <c r="F19" s="17"/>
      <c r="G19" s="17"/>
    </row>
    <row r="20" spans="1:7" x14ac:dyDescent="0.4">
      <c r="A20" s="72" t="s">
        <v>122</v>
      </c>
      <c r="B20" s="72" t="s">
        <v>5173</v>
      </c>
      <c r="C20" s="77">
        <v>93</v>
      </c>
      <c r="D20" s="77">
        <v>71052000</v>
      </c>
      <c r="E20" s="15">
        <v>2.64</v>
      </c>
    </row>
    <row r="21" spans="1:7" x14ac:dyDescent="0.4">
      <c r="A21" s="72" t="s">
        <v>553</v>
      </c>
      <c r="B21" s="72" t="s">
        <v>554</v>
      </c>
      <c r="C21" s="77">
        <v>486</v>
      </c>
      <c r="D21" s="77">
        <v>68963400</v>
      </c>
      <c r="E21" s="15">
        <v>2.56</v>
      </c>
    </row>
    <row r="22" spans="1:7" x14ac:dyDescent="0.4">
      <c r="A22" s="72" t="s">
        <v>17</v>
      </c>
      <c r="B22" s="72" t="s">
        <v>18</v>
      </c>
      <c r="C22" s="77">
        <v>707</v>
      </c>
      <c r="D22" s="77">
        <v>62640200</v>
      </c>
      <c r="E22" s="15">
        <v>2.33</v>
      </c>
    </row>
    <row r="23" spans="1:7" x14ac:dyDescent="0.4">
      <c r="A23" s="72" t="s">
        <v>11</v>
      </c>
      <c r="B23" s="72" t="s">
        <v>12</v>
      </c>
      <c r="C23" s="76">
        <v>18</v>
      </c>
      <c r="D23" s="77">
        <v>58428000</v>
      </c>
      <c r="E23" s="15">
        <v>2.17</v>
      </c>
    </row>
    <row r="24" spans="1:7" x14ac:dyDescent="0.4">
      <c r="A24" s="72" t="s">
        <v>236</v>
      </c>
      <c r="B24" s="72" t="s">
        <v>237</v>
      </c>
      <c r="C24" s="76">
        <v>85</v>
      </c>
      <c r="D24" s="77">
        <v>51425000</v>
      </c>
      <c r="E24" s="15">
        <v>1.91</v>
      </c>
    </row>
    <row r="25" spans="1:7" x14ac:dyDescent="0.4">
      <c r="A25" s="72" t="s">
        <v>287</v>
      </c>
      <c r="B25" s="72" t="s">
        <v>288</v>
      </c>
      <c r="C25" s="77">
        <v>118</v>
      </c>
      <c r="D25" s="77">
        <v>45371000</v>
      </c>
      <c r="E25" s="15">
        <v>1.68</v>
      </c>
    </row>
    <row r="26" spans="1:7" x14ac:dyDescent="0.4">
      <c r="A26" s="72" t="s">
        <v>451</v>
      </c>
      <c r="B26" s="72" t="s">
        <v>452</v>
      </c>
      <c r="C26" s="77">
        <v>42</v>
      </c>
      <c r="D26" s="77">
        <v>45024000</v>
      </c>
      <c r="E26" s="15">
        <v>1.67</v>
      </c>
    </row>
    <row r="27" spans="1:7" x14ac:dyDescent="0.4">
      <c r="A27" s="72" t="s">
        <v>309</v>
      </c>
      <c r="B27" s="72" t="s">
        <v>310</v>
      </c>
      <c r="C27" s="77">
        <v>497</v>
      </c>
      <c r="D27" s="77">
        <v>44034200</v>
      </c>
      <c r="E27" s="15">
        <v>1.63</v>
      </c>
    </row>
    <row r="28" spans="1:7" x14ac:dyDescent="0.4">
      <c r="A28" s="72" t="s">
        <v>453</v>
      </c>
      <c r="B28" s="73" t="s">
        <v>454</v>
      </c>
      <c r="C28" s="75">
        <v>24</v>
      </c>
      <c r="D28" s="75">
        <v>43320000</v>
      </c>
      <c r="E28" s="19">
        <v>1.61</v>
      </c>
      <c r="F28" s="17"/>
      <c r="G28" s="17"/>
    </row>
    <row r="29" spans="1:7" x14ac:dyDescent="0.4">
      <c r="A29" s="72" t="s">
        <v>31</v>
      </c>
      <c r="B29" s="72" t="s">
        <v>32</v>
      </c>
      <c r="C29" s="77">
        <v>121</v>
      </c>
      <c r="D29" s="77">
        <v>41987000</v>
      </c>
      <c r="E29" s="15">
        <v>1.56</v>
      </c>
    </row>
    <row r="30" spans="1:7" x14ac:dyDescent="0.4">
      <c r="A30" s="72" t="s">
        <v>33</v>
      </c>
      <c r="B30" s="72" t="s">
        <v>34</v>
      </c>
      <c r="C30" s="77">
        <v>233</v>
      </c>
      <c r="D30" s="77">
        <v>38724600</v>
      </c>
      <c r="E30" s="15">
        <v>1.44</v>
      </c>
    </row>
    <row r="31" spans="1:7" x14ac:dyDescent="0.4">
      <c r="A31" s="72" t="s">
        <v>27</v>
      </c>
      <c r="B31" s="72" t="s">
        <v>28</v>
      </c>
      <c r="C31" s="77">
        <v>623</v>
      </c>
      <c r="D31" s="77">
        <v>38626000</v>
      </c>
      <c r="E31" s="15">
        <v>1.43</v>
      </c>
    </row>
    <row r="32" spans="1:7" x14ac:dyDescent="0.4">
      <c r="A32" s="72" t="s">
        <v>299</v>
      </c>
      <c r="B32" s="72" t="s">
        <v>300</v>
      </c>
      <c r="C32" s="77">
        <v>53</v>
      </c>
      <c r="D32" s="77">
        <v>26420500</v>
      </c>
      <c r="E32" s="15">
        <v>0.98</v>
      </c>
    </row>
    <row r="33" spans="1:7" x14ac:dyDescent="0.4">
      <c r="A33" s="72" t="s">
        <v>320</v>
      </c>
      <c r="B33" s="72" t="s">
        <v>321</v>
      </c>
      <c r="C33" s="77">
        <v>692</v>
      </c>
      <c r="D33" s="77">
        <v>25569400</v>
      </c>
      <c r="E33" s="15">
        <v>0.95</v>
      </c>
    </row>
    <row r="34" spans="1:7" x14ac:dyDescent="0.4">
      <c r="A34" s="72" t="s">
        <v>232</v>
      </c>
      <c r="B34" s="72" t="s">
        <v>233</v>
      </c>
      <c r="C34" s="77">
        <v>86</v>
      </c>
      <c r="D34" s="77">
        <v>24639000</v>
      </c>
      <c r="E34" s="15">
        <v>0.91</v>
      </c>
    </row>
    <row r="35" spans="1:7" x14ac:dyDescent="0.4">
      <c r="A35" s="72" t="s">
        <v>88</v>
      </c>
      <c r="B35" s="73" t="s">
        <v>89</v>
      </c>
      <c r="C35" s="75">
        <v>125</v>
      </c>
      <c r="D35" s="75">
        <v>23550000</v>
      </c>
      <c r="E35" s="19">
        <v>0.87</v>
      </c>
      <c r="F35" s="17"/>
      <c r="G35" s="17"/>
    </row>
    <row r="36" spans="1:7" x14ac:dyDescent="0.4">
      <c r="A36" s="72" t="s">
        <v>559</v>
      </c>
      <c r="B36" s="72" t="s">
        <v>560</v>
      </c>
      <c r="C36" s="77">
        <v>17</v>
      </c>
      <c r="D36" s="77">
        <v>21862000</v>
      </c>
      <c r="E36" s="15">
        <v>0.81</v>
      </c>
    </row>
    <row r="37" spans="1:7" x14ac:dyDescent="0.4">
      <c r="A37" s="72" t="s">
        <v>326</v>
      </c>
      <c r="B37" s="72" t="s">
        <v>327</v>
      </c>
      <c r="C37" s="77">
        <v>154</v>
      </c>
      <c r="D37" s="77">
        <v>19373200</v>
      </c>
      <c r="E37" s="15">
        <v>0.72</v>
      </c>
    </row>
    <row r="38" spans="1:7" x14ac:dyDescent="0.4">
      <c r="A38" s="72" t="s">
        <v>347</v>
      </c>
      <c r="B38" s="72" t="s">
        <v>348</v>
      </c>
      <c r="C38" s="77">
        <v>139</v>
      </c>
      <c r="D38" s="77">
        <v>17124800</v>
      </c>
      <c r="E38" s="15">
        <v>0.64</v>
      </c>
    </row>
    <row r="39" spans="1:7" x14ac:dyDescent="0.4">
      <c r="A39" s="72" t="s">
        <v>240</v>
      </c>
      <c r="B39" s="72" t="s">
        <v>241</v>
      </c>
      <c r="C39" s="72">
        <v>152</v>
      </c>
      <c r="D39" s="77">
        <v>16613600</v>
      </c>
      <c r="E39" s="15">
        <v>0.62</v>
      </c>
    </row>
    <row r="40" spans="1:7" x14ac:dyDescent="0.4">
      <c r="A40" s="72" t="s">
        <v>166</v>
      </c>
      <c r="B40" s="72" t="s">
        <v>167</v>
      </c>
      <c r="C40" s="72">
        <v>62</v>
      </c>
      <c r="D40" s="77">
        <v>15221000</v>
      </c>
      <c r="E40" s="15">
        <v>0.56999999999999995</v>
      </c>
    </row>
    <row r="41" spans="1:7" x14ac:dyDescent="0.4">
      <c r="A41" s="72" t="s">
        <v>47</v>
      </c>
      <c r="B41" s="72" t="s">
        <v>48</v>
      </c>
      <c r="C41" s="77">
        <v>435</v>
      </c>
      <c r="D41" s="77">
        <v>14877000</v>
      </c>
      <c r="E41" s="15">
        <v>0.55000000000000004</v>
      </c>
    </row>
    <row r="42" spans="1:7" x14ac:dyDescent="0.4">
      <c r="A42" s="72" t="s">
        <v>90</v>
      </c>
      <c r="B42" s="73" t="s">
        <v>91</v>
      </c>
      <c r="C42" s="73">
        <v>196</v>
      </c>
      <c r="D42" s="75">
        <v>11760000</v>
      </c>
      <c r="E42" s="19">
        <v>0.44</v>
      </c>
      <c r="F42" s="17"/>
      <c r="G42" s="17"/>
    </row>
    <row r="43" spans="1:7" x14ac:dyDescent="0.4">
      <c r="A43" s="72" t="s">
        <v>98</v>
      </c>
      <c r="B43" s="73" t="s">
        <v>99</v>
      </c>
      <c r="C43" s="75">
        <v>44</v>
      </c>
      <c r="D43" s="75">
        <v>9856000</v>
      </c>
      <c r="E43" s="19">
        <v>0.37</v>
      </c>
      <c r="F43" s="17"/>
      <c r="G43" s="17"/>
    </row>
    <row r="44" spans="1:7" x14ac:dyDescent="0.4">
      <c r="A44" s="72" t="s">
        <v>35</v>
      </c>
      <c r="B44" s="72" t="s">
        <v>36</v>
      </c>
      <c r="C44" s="77">
        <v>73</v>
      </c>
      <c r="D44" s="77">
        <v>9840400</v>
      </c>
      <c r="E44" s="15">
        <v>0.37</v>
      </c>
    </row>
    <row r="45" spans="1:7" x14ac:dyDescent="0.4">
      <c r="A45" s="72" t="s">
        <v>609</v>
      </c>
      <c r="B45" s="72" t="s">
        <v>610</v>
      </c>
      <c r="C45" s="77">
        <v>119</v>
      </c>
      <c r="D45" s="77">
        <v>8365700</v>
      </c>
      <c r="E45" s="15">
        <v>0.31</v>
      </c>
    </row>
    <row r="46" spans="1:7" x14ac:dyDescent="0.4">
      <c r="A46" s="72" t="s">
        <v>41</v>
      </c>
      <c r="B46" s="72" t="s">
        <v>42</v>
      </c>
      <c r="C46" s="77">
        <v>74</v>
      </c>
      <c r="D46" s="77">
        <v>6889400</v>
      </c>
      <c r="E46" s="15">
        <v>0.26</v>
      </c>
    </row>
    <row r="47" spans="1:7" x14ac:dyDescent="0.4">
      <c r="A47" s="72" t="s">
        <v>751</v>
      </c>
      <c r="B47" s="72" t="s">
        <v>752</v>
      </c>
      <c r="C47" s="77">
        <v>79</v>
      </c>
      <c r="D47" s="77">
        <v>6035600</v>
      </c>
      <c r="E47" s="15">
        <v>0.22</v>
      </c>
    </row>
    <row r="48" spans="1:7" x14ac:dyDescent="0.4">
      <c r="A48" s="72" t="s">
        <v>397</v>
      </c>
      <c r="B48" s="72" t="s">
        <v>398</v>
      </c>
      <c r="C48" s="77">
        <v>54</v>
      </c>
      <c r="D48" s="77">
        <v>5875200</v>
      </c>
      <c r="E48" s="15">
        <v>0.22</v>
      </c>
    </row>
    <row r="49" spans="1:5" x14ac:dyDescent="0.4">
      <c r="A49" s="72" t="s">
        <v>631</v>
      </c>
      <c r="B49" s="72" t="s">
        <v>632</v>
      </c>
      <c r="C49" s="77">
        <v>53</v>
      </c>
      <c r="D49" s="77">
        <v>5512000</v>
      </c>
      <c r="E49" s="15">
        <v>0.2</v>
      </c>
    </row>
    <row r="50" spans="1:5" x14ac:dyDescent="0.4">
      <c r="A50" s="72" t="s">
        <v>723</v>
      </c>
      <c r="B50" s="72" t="s">
        <v>724</v>
      </c>
      <c r="C50" s="77">
        <v>47</v>
      </c>
      <c r="D50" s="77">
        <v>5343900</v>
      </c>
      <c r="E50" s="15">
        <v>0.2</v>
      </c>
    </row>
    <row r="51" spans="1:5" x14ac:dyDescent="0.4">
      <c r="A51" s="72" t="s">
        <v>351</v>
      </c>
      <c r="B51" s="72" t="s">
        <v>352</v>
      </c>
      <c r="C51" s="77">
        <v>21</v>
      </c>
      <c r="D51" s="77">
        <v>4000500</v>
      </c>
      <c r="E51" s="15">
        <v>0.15</v>
      </c>
    </row>
    <row r="52" spans="1:5" x14ac:dyDescent="0.4">
      <c r="A52" s="72" t="s">
        <v>571</v>
      </c>
      <c r="B52" s="72" t="s">
        <v>572</v>
      </c>
      <c r="C52" s="77">
        <v>75</v>
      </c>
      <c r="D52" s="77">
        <v>3750000</v>
      </c>
      <c r="E52" s="15">
        <v>0.14000000000000001</v>
      </c>
    </row>
    <row r="53" spans="1:5" x14ac:dyDescent="0.4">
      <c r="A53" s="72" t="s">
        <v>53</v>
      </c>
      <c r="B53" s="72" t="s">
        <v>54</v>
      </c>
      <c r="C53" s="77">
        <v>9</v>
      </c>
      <c r="D53" s="77">
        <v>3699000</v>
      </c>
      <c r="E53" s="15">
        <v>0.14000000000000001</v>
      </c>
    </row>
    <row r="54" spans="1:5" x14ac:dyDescent="0.4">
      <c r="A54" s="72" t="s">
        <v>43</v>
      </c>
      <c r="B54" s="72" t="s">
        <v>44</v>
      </c>
      <c r="C54" s="77">
        <v>39</v>
      </c>
      <c r="D54" s="77">
        <v>3451500</v>
      </c>
      <c r="E54" s="15">
        <v>0.13</v>
      </c>
    </row>
    <row r="55" spans="1:5" x14ac:dyDescent="0.4">
      <c r="A55" s="72"/>
      <c r="B55" s="72" t="s">
        <v>10</v>
      </c>
      <c r="C55" s="77">
        <v>3068346</v>
      </c>
      <c r="D55" s="77">
        <v>3068346</v>
      </c>
      <c r="E55" s="15">
        <v>0.11</v>
      </c>
    </row>
    <row r="56" spans="1:5" x14ac:dyDescent="0.4">
      <c r="D56" s="13"/>
      <c r="E56" s="72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C82" s="13"/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749</v>
      </c>
      <c r="B8" s="6"/>
      <c r="C8" s="6"/>
      <c r="D8" s="6"/>
      <c r="E8" s="14"/>
    </row>
    <row r="9" spans="1:5" x14ac:dyDescent="0.4">
      <c r="A9" s="74" t="s">
        <v>750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241</v>
      </c>
      <c r="D11" s="77">
        <v>562253000</v>
      </c>
      <c r="E11" s="15">
        <v>18.64</v>
      </c>
    </row>
    <row r="12" spans="1:5" x14ac:dyDescent="0.4">
      <c r="A12" s="72" t="s">
        <v>80</v>
      </c>
      <c r="B12" s="72" t="s">
        <v>81</v>
      </c>
      <c r="C12" s="76">
        <v>1612</v>
      </c>
      <c r="D12" s="77">
        <v>511004000</v>
      </c>
      <c r="E12" s="15">
        <v>16.940000000000001</v>
      </c>
    </row>
    <row r="13" spans="1:5" x14ac:dyDescent="0.4">
      <c r="A13" s="72" t="s">
        <v>140</v>
      </c>
      <c r="B13" s="72" t="s">
        <v>141</v>
      </c>
      <c r="C13" s="77">
        <v>325</v>
      </c>
      <c r="D13" s="77">
        <v>234975000</v>
      </c>
      <c r="E13" s="15">
        <v>7.79</v>
      </c>
    </row>
    <row r="14" spans="1:5" x14ac:dyDescent="0.4">
      <c r="A14" s="72" t="s">
        <v>188</v>
      </c>
      <c r="B14" s="72" t="s">
        <v>189</v>
      </c>
      <c r="C14" s="77">
        <v>125</v>
      </c>
      <c r="D14" s="77">
        <v>154125000</v>
      </c>
      <c r="E14" s="15">
        <v>5.1100000000000003</v>
      </c>
    </row>
    <row r="15" spans="1:5" x14ac:dyDescent="0.4">
      <c r="A15" s="72" t="s">
        <v>19</v>
      </c>
      <c r="B15" s="72" t="s">
        <v>20</v>
      </c>
      <c r="C15" s="76">
        <v>486</v>
      </c>
      <c r="D15" s="77">
        <v>117369000</v>
      </c>
      <c r="E15" s="15">
        <v>3.89</v>
      </c>
    </row>
    <row r="16" spans="1:5" x14ac:dyDescent="0.4">
      <c r="A16" s="72" t="s">
        <v>73</v>
      </c>
      <c r="B16" s="72" t="s">
        <v>74</v>
      </c>
      <c r="C16" s="76">
        <v>98</v>
      </c>
      <c r="D16" s="77">
        <v>114954000</v>
      </c>
      <c r="E16" s="15">
        <v>3.81</v>
      </c>
    </row>
    <row r="17" spans="1:5" x14ac:dyDescent="0.4">
      <c r="A17" s="72" t="s">
        <v>172</v>
      </c>
      <c r="B17" s="72" t="s">
        <v>173</v>
      </c>
      <c r="C17" s="76">
        <v>138</v>
      </c>
      <c r="D17" s="77">
        <v>105984000</v>
      </c>
      <c r="E17" s="15">
        <v>3.51</v>
      </c>
    </row>
    <row r="18" spans="1:5" x14ac:dyDescent="0.4">
      <c r="A18" s="72" t="s">
        <v>127</v>
      </c>
      <c r="B18" s="72" t="s">
        <v>128</v>
      </c>
      <c r="C18" s="77">
        <v>567</v>
      </c>
      <c r="D18" s="77">
        <v>95936400</v>
      </c>
      <c r="E18" s="15">
        <v>3.18</v>
      </c>
    </row>
    <row r="19" spans="1:5" x14ac:dyDescent="0.4">
      <c r="A19" s="72" t="s">
        <v>553</v>
      </c>
      <c r="B19" s="72" t="s">
        <v>554</v>
      </c>
      <c r="C19" s="77">
        <v>486</v>
      </c>
      <c r="D19" s="77">
        <v>81793800</v>
      </c>
      <c r="E19" s="15">
        <v>2.71</v>
      </c>
    </row>
    <row r="20" spans="1:5" x14ac:dyDescent="0.4">
      <c r="A20" s="72" t="s">
        <v>15</v>
      </c>
      <c r="B20" s="72" t="s">
        <v>16</v>
      </c>
      <c r="C20" s="77">
        <v>74</v>
      </c>
      <c r="D20" s="77">
        <v>77922000</v>
      </c>
      <c r="E20" s="15">
        <v>2.58</v>
      </c>
    </row>
    <row r="21" spans="1:5" x14ac:dyDescent="0.4">
      <c r="A21" s="72" t="s">
        <v>17</v>
      </c>
      <c r="B21" s="72" t="s">
        <v>18</v>
      </c>
      <c r="C21" s="77">
        <v>707</v>
      </c>
      <c r="D21" s="77">
        <v>74659200</v>
      </c>
      <c r="E21" s="15">
        <v>2.48</v>
      </c>
    </row>
    <row r="22" spans="1:5" x14ac:dyDescent="0.4">
      <c r="A22" s="72" t="s">
        <v>122</v>
      </c>
      <c r="B22" s="72" t="s">
        <v>5173</v>
      </c>
      <c r="C22" s="77">
        <v>93</v>
      </c>
      <c r="D22" s="77">
        <v>74493000</v>
      </c>
      <c r="E22" s="15">
        <v>2.4700000000000002</v>
      </c>
    </row>
    <row r="23" spans="1:5" x14ac:dyDescent="0.4">
      <c r="A23" s="72" t="s">
        <v>11</v>
      </c>
      <c r="B23" s="72" t="s">
        <v>12</v>
      </c>
      <c r="C23" s="76">
        <v>18</v>
      </c>
      <c r="D23" s="77">
        <v>66330000</v>
      </c>
      <c r="E23" s="15">
        <v>2.2000000000000002</v>
      </c>
    </row>
    <row r="24" spans="1:5" x14ac:dyDescent="0.4">
      <c r="A24" s="72" t="s">
        <v>451</v>
      </c>
      <c r="B24" s="72" t="s">
        <v>452</v>
      </c>
      <c r="C24" s="76">
        <v>42</v>
      </c>
      <c r="D24" s="77">
        <v>61236000</v>
      </c>
      <c r="E24" s="15">
        <v>2.0299999999999998</v>
      </c>
    </row>
    <row r="25" spans="1:5" x14ac:dyDescent="0.4">
      <c r="A25" s="72" t="s">
        <v>236</v>
      </c>
      <c r="B25" s="72" t="s">
        <v>237</v>
      </c>
      <c r="C25" s="77">
        <v>85</v>
      </c>
      <c r="D25" s="77">
        <v>59670000</v>
      </c>
      <c r="E25" s="15">
        <v>1.98</v>
      </c>
    </row>
    <row r="26" spans="1:5" x14ac:dyDescent="0.4">
      <c r="A26" s="72" t="s">
        <v>287</v>
      </c>
      <c r="B26" s="72" t="s">
        <v>288</v>
      </c>
      <c r="C26" s="77">
        <v>118</v>
      </c>
      <c r="D26" s="77">
        <v>54044000</v>
      </c>
      <c r="E26" s="15">
        <v>1.79</v>
      </c>
    </row>
    <row r="27" spans="1:5" x14ac:dyDescent="0.4">
      <c r="A27" s="72" t="s">
        <v>309</v>
      </c>
      <c r="B27" s="72" t="s">
        <v>310</v>
      </c>
      <c r="C27" s="77">
        <v>497</v>
      </c>
      <c r="D27" s="77">
        <v>52185000</v>
      </c>
      <c r="E27" s="15">
        <v>1.73</v>
      </c>
    </row>
    <row r="28" spans="1:5" x14ac:dyDescent="0.4">
      <c r="A28" s="72" t="s">
        <v>453</v>
      </c>
      <c r="B28" s="72" t="s">
        <v>454</v>
      </c>
      <c r="C28" s="77">
        <v>24</v>
      </c>
      <c r="D28" s="77">
        <v>51048000</v>
      </c>
      <c r="E28" s="15">
        <v>1.69</v>
      </c>
    </row>
    <row r="29" spans="1:5" x14ac:dyDescent="0.4">
      <c r="A29" s="72" t="s">
        <v>27</v>
      </c>
      <c r="B29" s="72" t="s">
        <v>28</v>
      </c>
      <c r="C29" s="77">
        <v>623</v>
      </c>
      <c r="D29" s="77">
        <v>45416700</v>
      </c>
      <c r="E29" s="15">
        <v>1.51</v>
      </c>
    </row>
    <row r="30" spans="1:5" x14ac:dyDescent="0.4">
      <c r="A30" s="72" t="s">
        <v>31</v>
      </c>
      <c r="B30" s="72" t="s">
        <v>32</v>
      </c>
      <c r="C30" s="77">
        <v>121</v>
      </c>
      <c r="D30" s="77">
        <v>44649000</v>
      </c>
      <c r="E30" s="15">
        <v>1.48</v>
      </c>
    </row>
    <row r="31" spans="1:5" x14ac:dyDescent="0.4">
      <c r="A31" s="72" t="s">
        <v>33</v>
      </c>
      <c r="B31" s="72" t="s">
        <v>34</v>
      </c>
      <c r="C31" s="77">
        <v>222</v>
      </c>
      <c r="D31" s="77">
        <v>42823800</v>
      </c>
      <c r="E31" s="15">
        <v>1.42</v>
      </c>
    </row>
    <row r="32" spans="1:5" x14ac:dyDescent="0.4">
      <c r="A32" s="72" t="s">
        <v>299</v>
      </c>
      <c r="B32" s="72" t="s">
        <v>300</v>
      </c>
      <c r="C32" s="77">
        <v>53</v>
      </c>
      <c r="D32" s="77">
        <v>36464000</v>
      </c>
      <c r="E32" s="15">
        <v>1.21</v>
      </c>
    </row>
    <row r="33" spans="1:5" x14ac:dyDescent="0.4">
      <c r="A33" s="72" t="s">
        <v>320</v>
      </c>
      <c r="B33" s="72" t="s">
        <v>321</v>
      </c>
      <c r="C33" s="77">
        <v>692</v>
      </c>
      <c r="D33" s="77">
        <v>31451400</v>
      </c>
      <c r="E33" s="15">
        <v>1.04</v>
      </c>
    </row>
    <row r="34" spans="1:5" x14ac:dyDescent="0.4">
      <c r="A34" s="72" t="s">
        <v>232</v>
      </c>
      <c r="B34" s="72" t="s">
        <v>233</v>
      </c>
      <c r="C34" s="77">
        <v>86</v>
      </c>
      <c r="D34" s="77">
        <v>27993000</v>
      </c>
      <c r="E34" s="15">
        <v>0.93</v>
      </c>
    </row>
    <row r="35" spans="1:5" x14ac:dyDescent="0.4">
      <c r="A35" s="72" t="s">
        <v>326</v>
      </c>
      <c r="B35" s="72" t="s">
        <v>327</v>
      </c>
      <c r="C35" s="77">
        <v>154</v>
      </c>
      <c r="D35" s="77">
        <v>25918200</v>
      </c>
      <c r="E35" s="15">
        <v>0.86</v>
      </c>
    </row>
    <row r="36" spans="1:5" x14ac:dyDescent="0.4">
      <c r="A36" s="72" t="s">
        <v>88</v>
      </c>
      <c r="B36" s="72" t="s">
        <v>89</v>
      </c>
      <c r="C36" s="77">
        <v>125</v>
      </c>
      <c r="D36" s="77">
        <v>25062500</v>
      </c>
      <c r="E36" s="15">
        <v>0.83</v>
      </c>
    </row>
    <row r="37" spans="1:5" x14ac:dyDescent="0.4">
      <c r="A37" s="72" t="s">
        <v>559</v>
      </c>
      <c r="B37" s="72" t="s">
        <v>560</v>
      </c>
      <c r="C37" s="77">
        <v>17</v>
      </c>
      <c r="D37" s="77">
        <v>23171000</v>
      </c>
      <c r="E37" s="15">
        <v>0.77</v>
      </c>
    </row>
    <row r="38" spans="1:5" x14ac:dyDescent="0.4">
      <c r="A38" s="72" t="s">
        <v>347</v>
      </c>
      <c r="B38" s="72" t="s">
        <v>348</v>
      </c>
      <c r="C38" s="77">
        <v>139</v>
      </c>
      <c r="D38" s="77">
        <v>17958800</v>
      </c>
      <c r="E38" s="15">
        <v>0.6</v>
      </c>
    </row>
    <row r="39" spans="1:5" x14ac:dyDescent="0.4">
      <c r="A39" s="72" t="s">
        <v>166</v>
      </c>
      <c r="B39" s="72" t="s">
        <v>167</v>
      </c>
      <c r="C39" s="72">
        <v>62</v>
      </c>
      <c r="D39" s="77">
        <v>17205000</v>
      </c>
      <c r="E39" s="15">
        <v>0.56999999999999995</v>
      </c>
    </row>
    <row r="40" spans="1:5" x14ac:dyDescent="0.4">
      <c r="A40" s="72" t="s">
        <v>240</v>
      </c>
      <c r="B40" s="72" t="s">
        <v>241</v>
      </c>
      <c r="C40" s="72">
        <v>152</v>
      </c>
      <c r="D40" s="77">
        <v>16188000</v>
      </c>
      <c r="E40" s="15">
        <v>0.54</v>
      </c>
    </row>
    <row r="41" spans="1:5" x14ac:dyDescent="0.4">
      <c r="A41" s="72" t="s">
        <v>47</v>
      </c>
      <c r="B41" s="72" t="s">
        <v>48</v>
      </c>
      <c r="C41" s="72">
        <v>435</v>
      </c>
      <c r="D41" s="77">
        <v>14920500</v>
      </c>
      <c r="E41" s="15">
        <v>0.49</v>
      </c>
    </row>
    <row r="42" spans="1:5" x14ac:dyDescent="0.4">
      <c r="A42" s="72" t="s">
        <v>35</v>
      </c>
      <c r="B42" s="72" t="s">
        <v>36</v>
      </c>
      <c r="C42" s="72">
        <v>73</v>
      </c>
      <c r="D42" s="77">
        <v>11030300</v>
      </c>
      <c r="E42" s="15">
        <v>0.37</v>
      </c>
    </row>
    <row r="43" spans="1:5" x14ac:dyDescent="0.4">
      <c r="A43" s="72" t="s">
        <v>90</v>
      </c>
      <c r="B43" s="72" t="s">
        <v>91</v>
      </c>
      <c r="C43" s="77">
        <v>196</v>
      </c>
      <c r="D43" s="77">
        <v>10348800</v>
      </c>
      <c r="E43" s="15">
        <v>0.34</v>
      </c>
    </row>
    <row r="44" spans="1:5" x14ac:dyDescent="0.4">
      <c r="A44" s="72" t="s">
        <v>98</v>
      </c>
      <c r="B44" s="72" t="s">
        <v>99</v>
      </c>
      <c r="C44" s="77">
        <v>44</v>
      </c>
      <c r="D44" s="77">
        <v>10296000</v>
      </c>
      <c r="E44" s="15">
        <v>0.34</v>
      </c>
    </row>
    <row r="45" spans="1:5" x14ac:dyDescent="0.4">
      <c r="A45" s="72" t="s">
        <v>41</v>
      </c>
      <c r="B45" s="72" t="s">
        <v>42</v>
      </c>
      <c r="C45" s="77">
        <v>74</v>
      </c>
      <c r="D45" s="77">
        <v>8280600</v>
      </c>
      <c r="E45" s="15">
        <v>0.27</v>
      </c>
    </row>
    <row r="46" spans="1:5" x14ac:dyDescent="0.4">
      <c r="A46" s="72" t="s">
        <v>609</v>
      </c>
      <c r="B46" s="72" t="s">
        <v>610</v>
      </c>
      <c r="C46" s="77">
        <v>119</v>
      </c>
      <c r="D46" s="77">
        <v>7984900</v>
      </c>
      <c r="E46" s="15">
        <v>0.26</v>
      </c>
    </row>
    <row r="47" spans="1:5" x14ac:dyDescent="0.4">
      <c r="A47" s="72" t="s">
        <v>397</v>
      </c>
      <c r="B47" s="72" t="s">
        <v>398</v>
      </c>
      <c r="C47" s="77">
        <v>54</v>
      </c>
      <c r="D47" s="77">
        <v>7506000</v>
      </c>
      <c r="E47" s="15">
        <v>0.25</v>
      </c>
    </row>
    <row r="48" spans="1:5" x14ac:dyDescent="0.4">
      <c r="A48" s="72" t="s">
        <v>631</v>
      </c>
      <c r="B48" s="72" t="s">
        <v>632</v>
      </c>
      <c r="C48" s="77">
        <v>53</v>
      </c>
      <c r="D48" s="77">
        <v>7054300</v>
      </c>
      <c r="E48" s="15">
        <v>0.23</v>
      </c>
    </row>
    <row r="49" spans="1:5" x14ac:dyDescent="0.4">
      <c r="A49" s="72" t="s">
        <v>751</v>
      </c>
      <c r="B49" s="72" t="s">
        <v>752</v>
      </c>
      <c r="C49" s="72">
        <v>79</v>
      </c>
      <c r="D49" s="77">
        <v>6715000</v>
      </c>
      <c r="E49" s="15">
        <v>0.22</v>
      </c>
    </row>
    <row r="50" spans="1:5" x14ac:dyDescent="0.4">
      <c r="A50" s="72" t="s">
        <v>723</v>
      </c>
      <c r="B50" s="72" t="s">
        <v>724</v>
      </c>
      <c r="C50" s="77">
        <v>47</v>
      </c>
      <c r="D50" s="77">
        <v>6283900</v>
      </c>
      <c r="E50" s="15">
        <v>0.21</v>
      </c>
    </row>
    <row r="51" spans="1:5" x14ac:dyDescent="0.4">
      <c r="A51" s="72" t="s">
        <v>571</v>
      </c>
      <c r="B51" s="72" t="s">
        <v>572</v>
      </c>
      <c r="C51" s="77">
        <v>75</v>
      </c>
      <c r="D51" s="77">
        <v>4657500</v>
      </c>
      <c r="E51" s="15">
        <v>0.15</v>
      </c>
    </row>
    <row r="52" spans="1:5" x14ac:dyDescent="0.4">
      <c r="A52" s="72" t="s">
        <v>53</v>
      </c>
      <c r="B52" s="72" t="s">
        <v>54</v>
      </c>
      <c r="C52" s="77">
        <v>9</v>
      </c>
      <c r="D52" s="77">
        <v>4419000</v>
      </c>
      <c r="E52" s="15">
        <v>0.15</v>
      </c>
    </row>
    <row r="53" spans="1:5" x14ac:dyDescent="0.4">
      <c r="A53" s="72" t="s">
        <v>351</v>
      </c>
      <c r="B53" s="72" t="s">
        <v>352</v>
      </c>
      <c r="C53" s="77">
        <v>21</v>
      </c>
      <c r="D53" s="77">
        <v>4252500</v>
      </c>
      <c r="E53" s="15">
        <v>0.14000000000000001</v>
      </c>
    </row>
    <row r="54" spans="1:5" x14ac:dyDescent="0.4">
      <c r="A54" s="72" t="s">
        <v>43</v>
      </c>
      <c r="B54" s="72" t="s">
        <v>44</v>
      </c>
      <c r="C54" s="77">
        <v>39</v>
      </c>
      <c r="D54" s="77">
        <v>3498300</v>
      </c>
      <c r="E54" s="15">
        <v>0.12</v>
      </c>
    </row>
    <row r="55" spans="1:5" x14ac:dyDescent="0.4">
      <c r="A55" s="72"/>
      <c r="B55" s="72" t="s">
        <v>10</v>
      </c>
      <c r="C55" s="77">
        <v>4326522</v>
      </c>
      <c r="D55" s="77">
        <v>4326522</v>
      </c>
      <c r="E55" s="15">
        <v>0.14000000000000001</v>
      </c>
    </row>
    <row r="56" spans="1:5" x14ac:dyDescent="0.4">
      <c r="D56" s="13"/>
      <c r="E56" s="72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  <c r="E61" s="15"/>
    </row>
    <row r="62" spans="1:5" x14ac:dyDescent="0.4">
      <c r="C62" s="13"/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74" t="s">
        <v>524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129</v>
      </c>
      <c r="D11" s="75">
        <v>271029000</v>
      </c>
      <c r="E11" s="19">
        <v>22.28</v>
      </c>
      <c r="F11" s="17"/>
      <c r="G11" s="17"/>
    </row>
    <row r="12" spans="1:7" x14ac:dyDescent="0.4">
      <c r="A12" s="72" t="s">
        <v>458</v>
      </c>
      <c r="B12" s="73" t="s">
        <v>459</v>
      </c>
      <c r="C12" s="78">
        <v>1299</v>
      </c>
      <c r="D12" s="75">
        <v>251356500</v>
      </c>
      <c r="E12" s="19">
        <v>20.66</v>
      </c>
      <c r="F12" s="17"/>
      <c r="G12" s="17"/>
    </row>
    <row r="13" spans="1:7" x14ac:dyDescent="0.4">
      <c r="A13" s="72" t="s">
        <v>217</v>
      </c>
      <c r="B13" s="72" t="s">
        <v>218</v>
      </c>
      <c r="C13" s="77">
        <v>80</v>
      </c>
      <c r="D13" s="77">
        <v>51680000</v>
      </c>
      <c r="E13" s="15">
        <v>4.25</v>
      </c>
    </row>
    <row r="14" spans="1:7" x14ac:dyDescent="0.4">
      <c r="A14" s="72" t="s">
        <v>102</v>
      </c>
      <c r="B14" s="72" t="s">
        <v>103</v>
      </c>
      <c r="C14" s="77">
        <v>274</v>
      </c>
      <c r="D14" s="77">
        <v>41511000</v>
      </c>
      <c r="E14" s="15">
        <v>3.41</v>
      </c>
    </row>
    <row r="15" spans="1:7" x14ac:dyDescent="0.4">
      <c r="A15" s="72" t="s">
        <v>188</v>
      </c>
      <c r="B15" s="72" t="s">
        <v>189</v>
      </c>
      <c r="C15" s="76">
        <v>25</v>
      </c>
      <c r="D15" s="77">
        <v>30700000</v>
      </c>
      <c r="E15" s="15">
        <v>2.52</v>
      </c>
    </row>
    <row r="16" spans="1:7" x14ac:dyDescent="0.4">
      <c r="A16" s="72" t="s">
        <v>453</v>
      </c>
      <c r="B16" s="72" t="s">
        <v>454</v>
      </c>
      <c r="C16" s="76">
        <v>13</v>
      </c>
      <c r="D16" s="77">
        <v>23465000</v>
      </c>
      <c r="E16" s="15">
        <v>1.93</v>
      </c>
    </row>
    <row r="17" spans="1:7" x14ac:dyDescent="0.4">
      <c r="A17" s="72" t="s">
        <v>3742</v>
      </c>
      <c r="B17" s="73" t="s">
        <v>3743</v>
      </c>
      <c r="C17" s="78">
        <v>296</v>
      </c>
      <c r="D17" s="75">
        <v>22081600</v>
      </c>
      <c r="E17" s="19">
        <v>1.82</v>
      </c>
      <c r="F17" s="17"/>
      <c r="G17" s="17"/>
    </row>
    <row r="18" spans="1:7" x14ac:dyDescent="0.4">
      <c r="A18" s="72" t="s">
        <v>289</v>
      </c>
      <c r="B18" s="72" t="s">
        <v>290</v>
      </c>
      <c r="C18" s="77">
        <v>57</v>
      </c>
      <c r="D18" s="77">
        <v>21403500</v>
      </c>
      <c r="E18" s="15">
        <v>1.76</v>
      </c>
    </row>
    <row r="19" spans="1:7" x14ac:dyDescent="0.4">
      <c r="A19" s="72" t="s">
        <v>166</v>
      </c>
      <c r="B19" s="72" t="s">
        <v>167</v>
      </c>
      <c r="C19" s="77">
        <v>77</v>
      </c>
      <c r="D19" s="77">
        <v>18903500</v>
      </c>
      <c r="E19" s="15">
        <v>1.55</v>
      </c>
    </row>
    <row r="20" spans="1:7" x14ac:dyDescent="0.4">
      <c r="A20" s="72" t="s">
        <v>118</v>
      </c>
      <c r="B20" s="72" t="s">
        <v>119</v>
      </c>
      <c r="C20" s="77">
        <v>81</v>
      </c>
      <c r="D20" s="77">
        <v>18630000</v>
      </c>
      <c r="E20" s="15">
        <v>1.53</v>
      </c>
    </row>
    <row r="21" spans="1:7" x14ac:dyDescent="0.4">
      <c r="A21" s="72" t="s">
        <v>516</v>
      </c>
      <c r="B21" s="72" t="s">
        <v>517</v>
      </c>
      <c r="C21" s="77">
        <v>357</v>
      </c>
      <c r="D21" s="77">
        <v>17796450</v>
      </c>
      <c r="E21" s="15">
        <v>1.46</v>
      </c>
    </row>
    <row r="22" spans="1:7" x14ac:dyDescent="0.4">
      <c r="A22" s="72" t="s">
        <v>3049</v>
      </c>
      <c r="B22" s="73" t="s">
        <v>3050</v>
      </c>
      <c r="C22" s="75">
        <v>646</v>
      </c>
      <c r="D22" s="75">
        <v>16440700</v>
      </c>
      <c r="E22" s="19">
        <v>1.35</v>
      </c>
      <c r="F22" s="17"/>
      <c r="G22" s="17"/>
    </row>
    <row r="23" spans="1:7" x14ac:dyDescent="0.4">
      <c r="A23" s="72" t="s">
        <v>140</v>
      </c>
      <c r="B23" s="73" t="s">
        <v>141</v>
      </c>
      <c r="C23" s="78">
        <v>27</v>
      </c>
      <c r="D23" s="75">
        <v>16119000</v>
      </c>
      <c r="E23" s="19">
        <v>1.32</v>
      </c>
      <c r="F23" s="17"/>
      <c r="G23" s="17"/>
    </row>
    <row r="24" spans="1:7" x14ac:dyDescent="0.4">
      <c r="A24" s="72" t="s">
        <v>757</v>
      </c>
      <c r="B24" s="72" t="s">
        <v>758</v>
      </c>
      <c r="C24" s="76">
        <v>93</v>
      </c>
      <c r="D24" s="77">
        <v>15865800</v>
      </c>
      <c r="E24" s="15">
        <v>1.3</v>
      </c>
    </row>
    <row r="25" spans="1:7" x14ac:dyDescent="0.4">
      <c r="A25" s="72" t="s">
        <v>82</v>
      </c>
      <c r="B25" s="72" t="s">
        <v>83</v>
      </c>
      <c r="C25" s="77">
        <v>44</v>
      </c>
      <c r="D25" s="77">
        <v>15026000</v>
      </c>
      <c r="E25" s="15">
        <v>1.24</v>
      </c>
    </row>
    <row r="26" spans="1:7" x14ac:dyDescent="0.4">
      <c r="A26" s="72" t="s">
        <v>158</v>
      </c>
      <c r="B26" s="72" t="s">
        <v>159</v>
      </c>
      <c r="C26" s="77">
        <v>143</v>
      </c>
      <c r="D26" s="77">
        <v>14271400</v>
      </c>
      <c r="E26" s="15">
        <v>1.17</v>
      </c>
    </row>
    <row r="27" spans="1:7" x14ac:dyDescent="0.4">
      <c r="A27" s="72" t="s">
        <v>194</v>
      </c>
      <c r="B27" s="72" t="s">
        <v>195</v>
      </c>
      <c r="C27" s="77">
        <v>670</v>
      </c>
      <c r="D27" s="77">
        <v>13802000</v>
      </c>
      <c r="E27" s="15">
        <v>1.1299999999999999</v>
      </c>
    </row>
    <row r="28" spans="1:7" x14ac:dyDescent="0.4">
      <c r="A28" s="72" t="s">
        <v>135</v>
      </c>
      <c r="B28" s="72" t="s">
        <v>136</v>
      </c>
      <c r="C28" s="77">
        <v>33</v>
      </c>
      <c r="D28" s="77">
        <v>13530000</v>
      </c>
      <c r="E28" s="15">
        <v>1.1100000000000001</v>
      </c>
    </row>
    <row r="29" spans="1:7" x14ac:dyDescent="0.4">
      <c r="A29" s="72" t="s">
        <v>1350</v>
      </c>
      <c r="B29" s="72" t="s">
        <v>1351</v>
      </c>
      <c r="C29" s="77">
        <v>684</v>
      </c>
      <c r="D29" s="77">
        <v>13420080</v>
      </c>
      <c r="E29" s="15">
        <v>1.1000000000000001</v>
      </c>
    </row>
    <row r="30" spans="1:7" x14ac:dyDescent="0.4">
      <c r="A30" s="72" t="s">
        <v>142</v>
      </c>
      <c r="B30" s="72" t="s">
        <v>143</v>
      </c>
      <c r="C30" s="77">
        <v>77</v>
      </c>
      <c r="D30" s="77">
        <v>13321000</v>
      </c>
      <c r="E30" s="15">
        <v>1.0900000000000001</v>
      </c>
    </row>
    <row r="31" spans="1:7" x14ac:dyDescent="0.4">
      <c r="A31" s="72" t="s">
        <v>1112</v>
      </c>
      <c r="B31" s="72" t="s">
        <v>1113</v>
      </c>
      <c r="C31" s="77">
        <v>956</v>
      </c>
      <c r="D31" s="77">
        <v>12896440</v>
      </c>
      <c r="E31" s="15">
        <v>1.06</v>
      </c>
    </row>
    <row r="32" spans="1:7" x14ac:dyDescent="0.4">
      <c r="A32" s="72" t="s">
        <v>759</v>
      </c>
      <c r="B32" s="72" t="s">
        <v>760</v>
      </c>
      <c r="C32" s="77">
        <v>672</v>
      </c>
      <c r="D32" s="77">
        <v>12526080</v>
      </c>
      <c r="E32" s="15">
        <v>1.03</v>
      </c>
    </row>
    <row r="33" spans="1:5" x14ac:dyDescent="0.4">
      <c r="A33" s="72" t="s">
        <v>133</v>
      </c>
      <c r="B33" s="72" t="s">
        <v>134</v>
      </c>
      <c r="C33" s="77">
        <v>67</v>
      </c>
      <c r="D33" s="77">
        <v>12401700</v>
      </c>
      <c r="E33" s="15">
        <v>1.02</v>
      </c>
    </row>
    <row r="34" spans="1:5" x14ac:dyDescent="0.4">
      <c r="A34" s="72" t="s">
        <v>112</v>
      </c>
      <c r="B34" s="72" t="s">
        <v>113</v>
      </c>
      <c r="C34" s="77">
        <v>101</v>
      </c>
      <c r="D34" s="77">
        <v>11594800</v>
      </c>
      <c r="E34" s="15">
        <v>0.95</v>
      </c>
    </row>
    <row r="35" spans="1:5" x14ac:dyDescent="0.4">
      <c r="A35" s="72" t="s">
        <v>108</v>
      </c>
      <c r="B35" s="72" t="s">
        <v>109</v>
      </c>
      <c r="C35" s="77">
        <v>31</v>
      </c>
      <c r="D35" s="77">
        <v>11315000</v>
      </c>
      <c r="E35" s="15">
        <v>0.93</v>
      </c>
    </row>
    <row r="36" spans="1:5" x14ac:dyDescent="0.4">
      <c r="A36" s="72" t="s">
        <v>63</v>
      </c>
      <c r="B36" s="72" t="s">
        <v>64</v>
      </c>
      <c r="C36" s="77">
        <v>27</v>
      </c>
      <c r="D36" s="77">
        <v>11083500</v>
      </c>
      <c r="E36" s="15">
        <v>0.91</v>
      </c>
    </row>
    <row r="37" spans="1:5" x14ac:dyDescent="0.4">
      <c r="A37" s="72" t="s">
        <v>473</v>
      </c>
      <c r="B37" s="72" t="s">
        <v>474</v>
      </c>
      <c r="C37" s="77">
        <v>912</v>
      </c>
      <c r="D37" s="77">
        <v>10670400</v>
      </c>
      <c r="E37" s="15">
        <v>0.88</v>
      </c>
    </row>
    <row r="38" spans="1:5" x14ac:dyDescent="0.4">
      <c r="A38" s="72" t="s">
        <v>455</v>
      </c>
      <c r="B38" s="72" t="s">
        <v>456</v>
      </c>
      <c r="C38" s="77">
        <v>55</v>
      </c>
      <c r="D38" s="77">
        <v>10290500</v>
      </c>
      <c r="E38" s="15">
        <v>0.85</v>
      </c>
    </row>
    <row r="39" spans="1:5" x14ac:dyDescent="0.4">
      <c r="A39" s="72" t="s">
        <v>328</v>
      </c>
      <c r="B39" s="72" t="s">
        <v>329</v>
      </c>
      <c r="C39" s="77">
        <v>44</v>
      </c>
      <c r="D39" s="77">
        <v>8888000</v>
      </c>
      <c r="E39" s="15">
        <v>0.73</v>
      </c>
    </row>
    <row r="40" spans="1:5" x14ac:dyDescent="0.4">
      <c r="A40" s="72" t="s">
        <v>104</v>
      </c>
      <c r="B40" s="72" t="s">
        <v>105</v>
      </c>
      <c r="C40" s="77">
        <v>13</v>
      </c>
      <c r="D40" s="77">
        <v>8619000</v>
      </c>
      <c r="E40" s="15">
        <v>0.71</v>
      </c>
    </row>
    <row r="41" spans="1:5" x14ac:dyDescent="0.4">
      <c r="A41" s="72" t="s">
        <v>303</v>
      </c>
      <c r="B41" s="72" t="s">
        <v>304</v>
      </c>
      <c r="C41" s="77">
        <v>14</v>
      </c>
      <c r="D41" s="77">
        <v>8050000</v>
      </c>
      <c r="E41" s="15">
        <v>0.66</v>
      </c>
    </row>
    <row r="42" spans="1:5" x14ac:dyDescent="0.4">
      <c r="A42" s="72" t="s">
        <v>653</v>
      </c>
      <c r="B42" s="72" t="s">
        <v>654</v>
      </c>
      <c r="C42" s="77">
        <v>79</v>
      </c>
      <c r="D42" s="77">
        <v>7900000</v>
      </c>
      <c r="E42" s="15">
        <v>0.65</v>
      </c>
    </row>
    <row r="43" spans="1:5" x14ac:dyDescent="0.4">
      <c r="A43" s="72" t="s">
        <v>154</v>
      </c>
      <c r="B43" s="72" t="s">
        <v>155</v>
      </c>
      <c r="C43" s="77">
        <v>89</v>
      </c>
      <c r="D43" s="77">
        <v>7404800</v>
      </c>
      <c r="E43" s="15">
        <v>0.61</v>
      </c>
    </row>
    <row r="44" spans="1:5" x14ac:dyDescent="0.4">
      <c r="A44" s="72" t="s">
        <v>15</v>
      </c>
      <c r="B44" s="72" t="s">
        <v>16</v>
      </c>
      <c r="C44" s="77">
        <v>7</v>
      </c>
      <c r="D44" s="77">
        <v>7231000</v>
      </c>
      <c r="E44" s="15">
        <v>0.59</v>
      </c>
    </row>
    <row r="45" spans="1:5" x14ac:dyDescent="0.4">
      <c r="A45" s="72" t="s">
        <v>73</v>
      </c>
      <c r="B45" s="72" t="s">
        <v>74</v>
      </c>
      <c r="C45" s="77">
        <v>7</v>
      </c>
      <c r="D45" s="77">
        <v>7098000</v>
      </c>
      <c r="E45" s="15">
        <v>0.57999999999999996</v>
      </c>
    </row>
    <row r="46" spans="1:5" x14ac:dyDescent="0.4">
      <c r="A46" s="72" t="s">
        <v>78</v>
      </c>
      <c r="B46" s="72" t="s">
        <v>79</v>
      </c>
      <c r="C46" s="77">
        <v>6</v>
      </c>
      <c r="D46" s="77">
        <v>7056000</v>
      </c>
      <c r="E46" s="15">
        <v>0.57999999999999996</v>
      </c>
    </row>
    <row r="47" spans="1:5" x14ac:dyDescent="0.4">
      <c r="A47" s="72" t="s">
        <v>475</v>
      </c>
      <c r="B47" s="72" t="s">
        <v>476</v>
      </c>
      <c r="C47" s="77">
        <v>143</v>
      </c>
      <c r="D47" s="77">
        <v>6856850</v>
      </c>
      <c r="E47" s="15">
        <v>0.56000000000000005</v>
      </c>
    </row>
    <row r="48" spans="1:5" x14ac:dyDescent="0.4">
      <c r="A48" s="72" t="s">
        <v>53</v>
      </c>
      <c r="B48" s="72" t="s">
        <v>54</v>
      </c>
      <c r="C48" s="72">
        <v>16</v>
      </c>
      <c r="D48" s="77">
        <v>6576000</v>
      </c>
      <c r="E48" s="15">
        <v>0.54</v>
      </c>
    </row>
    <row r="49" spans="1:5" x14ac:dyDescent="0.4">
      <c r="A49" s="72" t="s">
        <v>11</v>
      </c>
      <c r="B49" s="72" t="s">
        <v>12</v>
      </c>
      <c r="C49" s="77">
        <v>2</v>
      </c>
      <c r="D49" s="77">
        <v>6492000</v>
      </c>
      <c r="E49" s="15">
        <v>0.53</v>
      </c>
    </row>
    <row r="50" spans="1:5" x14ac:dyDescent="0.4">
      <c r="A50" s="72" t="s">
        <v>316</v>
      </c>
      <c r="B50" s="72" t="s">
        <v>317</v>
      </c>
      <c r="C50" s="77">
        <v>89</v>
      </c>
      <c r="D50" s="77">
        <v>6381300</v>
      </c>
      <c r="E50" s="15">
        <v>0.52</v>
      </c>
    </row>
    <row r="51" spans="1:5" x14ac:dyDescent="0.4">
      <c r="A51" s="72" t="s">
        <v>1918</v>
      </c>
      <c r="B51" s="72" t="s">
        <v>1919</v>
      </c>
      <c r="C51" s="77">
        <v>420</v>
      </c>
      <c r="D51" s="77">
        <v>6337800</v>
      </c>
      <c r="E51" s="15">
        <v>0.52</v>
      </c>
    </row>
    <row r="52" spans="1:5" x14ac:dyDescent="0.4">
      <c r="A52" s="72" t="s">
        <v>146</v>
      </c>
      <c r="B52" s="72" t="s">
        <v>147</v>
      </c>
      <c r="C52" s="77">
        <v>27</v>
      </c>
      <c r="D52" s="77">
        <v>6291000</v>
      </c>
      <c r="E52" s="15">
        <v>0.52</v>
      </c>
    </row>
    <row r="53" spans="1:5" x14ac:dyDescent="0.4">
      <c r="A53" s="72" t="s">
        <v>416</v>
      </c>
      <c r="B53" s="72" t="s">
        <v>417</v>
      </c>
      <c r="C53" s="77">
        <v>204</v>
      </c>
      <c r="D53" s="77">
        <v>6160800</v>
      </c>
      <c r="E53" s="15">
        <v>0.51</v>
      </c>
    </row>
    <row r="54" spans="1:5" x14ac:dyDescent="0.4">
      <c r="A54" s="72" t="s">
        <v>1892</v>
      </c>
      <c r="B54" s="72" t="s">
        <v>1893</v>
      </c>
      <c r="C54" s="77">
        <v>195</v>
      </c>
      <c r="D54" s="77">
        <v>6132750</v>
      </c>
      <c r="E54" s="15">
        <v>0.5</v>
      </c>
    </row>
    <row r="55" spans="1:5" x14ac:dyDescent="0.4">
      <c r="A55" s="72" t="s">
        <v>729</v>
      </c>
      <c r="B55" s="72" t="s">
        <v>730</v>
      </c>
      <c r="C55" s="77">
        <v>4720</v>
      </c>
      <c r="D55" s="77">
        <v>5711200</v>
      </c>
      <c r="E55" s="15">
        <v>0.47</v>
      </c>
    </row>
    <row r="56" spans="1:5" x14ac:dyDescent="0.4">
      <c r="A56" s="72" t="s">
        <v>150</v>
      </c>
      <c r="B56" s="72" t="s">
        <v>151</v>
      </c>
      <c r="C56" s="77">
        <v>69</v>
      </c>
      <c r="D56" s="77">
        <v>5478600</v>
      </c>
      <c r="E56" s="15">
        <v>0.45</v>
      </c>
    </row>
    <row r="57" spans="1:5" x14ac:dyDescent="0.4">
      <c r="A57" s="72" t="s">
        <v>182</v>
      </c>
      <c r="B57" s="72" t="s">
        <v>183</v>
      </c>
      <c r="C57" s="72">
        <v>94</v>
      </c>
      <c r="D57" s="77">
        <v>5461400</v>
      </c>
      <c r="E57" s="15">
        <v>0.45</v>
      </c>
    </row>
    <row r="58" spans="1:5" x14ac:dyDescent="0.4">
      <c r="A58" s="72" t="s">
        <v>466</v>
      </c>
      <c r="B58" s="72" t="s">
        <v>467</v>
      </c>
      <c r="C58" s="72">
        <v>190</v>
      </c>
      <c r="D58" s="77">
        <v>5434000</v>
      </c>
      <c r="E58" s="15">
        <v>0.45</v>
      </c>
    </row>
    <row r="59" spans="1:5" x14ac:dyDescent="0.4">
      <c r="A59" s="72" t="s">
        <v>98</v>
      </c>
      <c r="B59" s="72" t="s">
        <v>99</v>
      </c>
      <c r="C59" s="72">
        <v>24</v>
      </c>
      <c r="D59" s="77">
        <v>5376000</v>
      </c>
      <c r="E59" s="15">
        <v>0.44</v>
      </c>
    </row>
    <row r="60" spans="1:5" x14ac:dyDescent="0.4">
      <c r="A60" s="72" t="s">
        <v>122</v>
      </c>
      <c r="B60" s="72" t="s">
        <v>5173</v>
      </c>
      <c r="C60" s="77">
        <v>7</v>
      </c>
      <c r="D60" s="77">
        <v>5348000</v>
      </c>
      <c r="E60" s="15">
        <v>0.44</v>
      </c>
    </row>
    <row r="61" spans="1:5" x14ac:dyDescent="0.4">
      <c r="A61" s="72" t="s">
        <v>92</v>
      </c>
      <c r="B61" s="72" t="s">
        <v>93</v>
      </c>
      <c r="C61" s="77">
        <v>3</v>
      </c>
      <c r="D61" s="77">
        <v>4863000</v>
      </c>
      <c r="E61" s="15">
        <v>0.4</v>
      </c>
    </row>
    <row r="62" spans="1:5" x14ac:dyDescent="0.4">
      <c r="A62" s="72" t="s">
        <v>639</v>
      </c>
      <c r="B62" s="72" t="s">
        <v>640</v>
      </c>
      <c r="C62" s="72">
        <v>98</v>
      </c>
      <c r="D62" s="77">
        <v>4302200</v>
      </c>
      <c r="E62" s="15">
        <v>0.35</v>
      </c>
    </row>
    <row r="63" spans="1:5" x14ac:dyDescent="0.4">
      <c r="A63" s="72" t="s">
        <v>148</v>
      </c>
      <c r="B63" s="72" t="s">
        <v>149</v>
      </c>
      <c r="C63" s="77">
        <v>11</v>
      </c>
      <c r="D63" s="77">
        <v>4108500</v>
      </c>
      <c r="E63" s="15">
        <v>0.34</v>
      </c>
    </row>
    <row r="64" spans="1:5" x14ac:dyDescent="0.4">
      <c r="A64" s="72" t="s">
        <v>106</v>
      </c>
      <c r="B64" s="72" t="s">
        <v>107</v>
      </c>
      <c r="C64" s="77">
        <v>37</v>
      </c>
      <c r="D64" s="77">
        <v>3922000</v>
      </c>
      <c r="E64" s="15">
        <v>0.32</v>
      </c>
    </row>
    <row r="65" spans="1:5" x14ac:dyDescent="0.4">
      <c r="A65" s="72" t="s">
        <v>168</v>
      </c>
      <c r="B65" s="72" t="s">
        <v>169</v>
      </c>
      <c r="C65" s="77">
        <v>245</v>
      </c>
      <c r="D65" s="77">
        <v>3822000</v>
      </c>
      <c r="E65" s="15">
        <v>0.31</v>
      </c>
    </row>
    <row r="66" spans="1:5" x14ac:dyDescent="0.4">
      <c r="A66" s="72" t="s">
        <v>123</v>
      </c>
      <c r="B66" s="72" t="s">
        <v>124</v>
      </c>
      <c r="C66" s="77">
        <v>145</v>
      </c>
      <c r="D66" s="77">
        <v>3770000</v>
      </c>
      <c r="E66" s="15">
        <v>0.31</v>
      </c>
    </row>
    <row r="67" spans="1:5" x14ac:dyDescent="0.4">
      <c r="A67" s="72" t="s">
        <v>174</v>
      </c>
      <c r="B67" s="72" t="s">
        <v>175</v>
      </c>
      <c r="C67" s="77">
        <v>25</v>
      </c>
      <c r="D67" s="77">
        <v>3500000</v>
      </c>
      <c r="E67" s="15">
        <v>0.28999999999999998</v>
      </c>
    </row>
    <row r="68" spans="1:5" x14ac:dyDescent="0.4">
      <c r="A68" s="72" t="s">
        <v>2043</v>
      </c>
      <c r="B68" s="72" t="s">
        <v>2044</v>
      </c>
      <c r="C68" s="72">
        <v>778</v>
      </c>
      <c r="D68" s="77">
        <v>3329840</v>
      </c>
      <c r="E68" s="15">
        <v>0.27</v>
      </c>
    </row>
    <row r="69" spans="1:5" x14ac:dyDescent="0.4">
      <c r="A69" s="72" t="s">
        <v>307</v>
      </c>
      <c r="B69" s="72" t="s">
        <v>308</v>
      </c>
      <c r="C69" s="72">
        <v>18</v>
      </c>
      <c r="D69" s="77">
        <v>3324600</v>
      </c>
      <c r="E69" s="15">
        <v>0.27</v>
      </c>
    </row>
    <row r="70" spans="1:5" x14ac:dyDescent="0.4">
      <c r="A70" s="72" t="s">
        <v>539</v>
      </c>
      <c r="B70" s="72" t="s">
        <v>540</v>
      </c>
      <c r="C70" s="72">
        <v>41</v>
      </c>
      <c r="D70" s="77">
        <v>3316900</v>
      </c>
      <c r="E70" s="15">
        <v>0.27</v>
      </c>
    </row>
    <row r="71" spans="1:5" x14ac:dyDescent="0.4">
      <c r="A71" s="72" t="s">
        <v>291</v>
      </c>
      <c r="B71" s="72" t="s">
        <v>292</v>
      </c>
      <c r="C71" s="72">
        <v>83</v>
      </c>
      <c r="D71" s="77">
        <v>3066850</v>
      </c>
      <c r="E71" s="15">
        <v>0.25</v>
      </c>
    </row>
    <row r="72" spans="1:5" x14ac:dyDescent="0.4">
      <c r="A72" s="72" t="s">
        <v>641</v>
      </c>
      <c r="B72" s="72" t="s">
        <v>642</v>
      </c>
      <c r="C72" s="72">
        <v>109</v>
      </c>
      <c r="D72" s="77">
        <v>3046550</v>
      </c>
      <c r="E72" s="15">
        <v>0.25</v>
      </c>
    </row>
    <row r="73" spans="1:5" x14ac:dyDescent="0.4">
      <c r="A73" s="72" t="s">
        <v>595</v>
      </c>
      <c r="B73" s="72" t="s">
        <v>596</v>
      </c>
      <c r="C73" s="72">
        <v>37</v>
      </c>
      <c r="D73" s="77">
        <v>2989600</v>
      </c>
      <c r="E73" s="15">
        <v>0.25</v>
      </c>
    </row>
    <row r="74" spans="1:5" x14ac:dyDescent="0.4">
      <c r="A74" s="72" t="s">
        <v>1317</v>
      </c>
      <c r="B74" s="72" t="s">
        <v>1318</v>
      </c>
      <c r="C74" s="72">
        <v>74</v>
      </c>
      <c r="D74" s="77">
        <v>2956300</v>
      </c>
      <c r="E74" s="15">
        <v>0.24</v>
      </c>
    </row>
    <row r="75" spans="1:5" x14ac:dyDescent="0.4">
      <c r="A75" s="72" t="s">
        <v>23</v>
      </c>
      <c r="B75" s="72" t="s">
        <v>24</v>
      </c>
      <c r="C75" s="72">
        <v>58</v>
      </c>
      <c r="D75" s="77">
        <v>2859400</v>
      </c>
      <c r="E75" s="15">
        <v>0.24</v>
      </c>
    </row>
    <row r="76" spans="1:5" x14ac:dyDescent="0.4">
      <c r="A76" s="72" t="s">
        <v>100</v>
      </c>
      <c r="B76" s="72" t="s">
        <v>101</v>
      </c>
      <c r="C76" s="72">
        <v>90</v>
      </c>
      <c r="D76" s="77">
        <v>2808000</v>
      </c>
      <c r="E76" s="15">
        <v>0.23</v>
      </c>
    </row>
    <row r="77" spans="1:5" x14ac:dyDescent="0.4">
      <c r="A77" s="72" t="s">
        <v>21</v>
      </c>
      <c r="B77" s="72" t="s">
        <v>22</v>
      </c>
      <c r="C77" s="72">
        <v>20</v>
      </c>
      <c r="D77" s="77">
        <v>2454000</v>
      </c>
      <c r="E77" s="15">
        <v>0.2</v>
      </c>
    </row>
    <row r="78" spans="1:5" x14ac:dyDescent="0.4">
      <c r="A78" s="72" t="s">
        <v>279</v>
      </c>
      <c r="B78" s="72" t="s">
        <v>280</v>
      </c>
      <c r="C78" s="77">
        <v>206</v>
      </c>
      <c r="D78" s="77">
        <v>2418440</v>
      </c>
      <c r="E78" s="15">
        <v>0.2</v>
      </c>
    </row>
    <row r="79" spans="1:5" x14ac:dyDescent="0.4">
      <c r="A79" s="72" t="s">
        <v>3300</v>
      </c>
      <c r="B79" s="72" t="s">
        <v>3301</v>
      </c>
      <c r="C79" s="77">
        <v>49</v>
      </c>
      <c r="D79" s="77">
        <v>2383850</v>
      </c>
      <c r="E79" s="15">
        <v>0.2</v>
      </c>
    </row>
    <row r="80" spans="1:5" x14ac:dyDescent="0.4">
      <c r="A80" s="72" t="s">
        <v>727</v>
      </c>
      <c r="B80" s="72" t="s">
        <v>728</v>
      </c>
      <c r="C80" s="77">
        <v>86</v>
      </c>
      <c r="D80" s="77">
        <v>2059700</v>
      </c>
      <c r="E80" s="15">
        <v>0.17</v>
      </c>
    </row>
    <row r="81" spans="1:5" x14ac:dyDescent="0.4">
      <c r="A81" s="72" t="s">
        <v>611</v>
      </c>
      <c r="B81" s="72" t="s">
        <v>612</v>
      </c>
      <c r="C81" s="72">
        <v>80</v>
      </c>
      <c r="D81" s="77">
        <v>1984000</v>
      </c>
      <c r="E81" s="15">
        <v>0.16</v>
      </c>
    </row>
    <row r="82" spans="1:5" x14ac:dyDescent="0.4">
      <c r="A82" s="72" t="s">
        <v>2588</v>
      </c>
      <c r="B82" s="72" t="s">
        <v>2589</v>
      </c>
      <c r="C82" s="77">
        <v>47</v>
      </c>
      <c r="D82" s="77">
        <v>1927000</v>
      </c>
      <c r="E82" s="15">
        <v>0.16</v>
      </c>
    </row>
    <row r="83" spans="1:5" x14ac:dyDescent="0.4">
      <c r="A83" s="72"/>
      <c r="B83" s="72" t="s">
        <v>10</v>
      </c>
      <c r="C83" s="77">
        <v>7921790</v>
      </c>
      <c r="D83" s="77">
        <v>7921790</v>
      </c>
      <c r="E83" s="15">
        <v>0.65</v>
      </c>
    </row>
    <row r="84" spans="1:5" x14ac:dyDescent="0.4">
      <c r="C84" s="13"/>
      <c r="D84" s="13"/>
    </row>
    <row r="85" spans="1:5" x14ac:dyDescent="0.4">
      <c r="C85" s="13"/>
      <c r="D85" s="13"/>
    </row>
    <row r="86" spans="1:5" x14ac:dyDescent="0.4">
      <c r="C86" s="13"/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74" t="s">
        <v>524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134</v>
      </c>
      <c r="D11" s="77">
        <v>312622000</v>
      </c>
      <c r="E11" s="15">
        <v>24.41</v>
      </c>
    </row>
    <row r="12" spans="1:5" x14ac:dyDescent="0.4">
      <c r="A12" s="72" t="s">
        <v>458</v>
      </c>
      <c r="B12" s="72" t="s">
        <v>459</v>
      </c>
      <c r="C12" s="76">
        <v>1459</v>
      </c>
      <c r="D12" s="77">
        <v>295447500</v>
      </c>
      <c r="E12" s="15">
        <v>23.07</v>
      </c>
    </row>
    <row r="13" spans="1:5" x14ac:dyDescent="0.4">
      <c r="A13" s="72" t="s">
        <v>217</v>
      </c>
      <c r="B13" s="72" t="s">
        <v>218</v>
      </c>
      <c r="C13" s="77">
        <v>57</v>
      </c>
      <c r="D13" s="77">
        <v>39672000</v>
      </c>
      <c r="E13" s="15">
        <v>3.1</v>
      </c>
    </row>
    <row r="14" spans="1:5" x14ac:dyDescent="0.4">
      <c r="A14" s="72" t="s">
        <v>453</v>
      </c>
      <c r="B14" s="72" t="s">
        <v>454</v>
      </c>
      <c r="C14" s="77">
        <v>14</v>
      </c>
      <c r="D14" s="77">
        <v>29778000</v>
      </c>
      <c r="E14" s="15">
        <v>2.3199999999999998</v>
      </c>
    </row>
    <row r="15" spans="1:5" x14ac:dyDescent="0.4">
      <c r="A15" s="72" t="s">
        <v>140</v>
      </c>
      <c r="B15" s="72" t="s">
        <v>141</v>
      </c>
      <c r="C15" s="76">
        <v>40</v>
      </c>
      <c r="D15" s="77">
        <v>28920000</v>
      </c>
      <c r="E15" s="15">
        <v>2.2599999999999998</v>
      </c>
    </row>
    <row r="16" spans="1:5" x14ac:dyDescent="0.4">
      <c r="A16" s="72" t="s">
        <v>188</v>
      </c>
      <c r="B16" s="72" t="s">
        <v>189</v>
      </c>
      <c r="C16" s="76">
        <v>20</v>
      </c>
      <c r="D16" s="77">
        <v>24660000</v>
      </c>
      <c r="E16" s="15">
        <v>1.93</v>
      </c>
    </row>
    <row r="17" spans="1:5" x14ac:dyDescent="0.4">
      <c r="A17" s="72" t="s">
        <v>289</v>
      </c>
      <c r="B17" s="72" t="s">
        <v>290</v>
      </c>
      <c r="C17" s="76">
        <v>57</v>
      </c>
      <c r="D17" s="77">
        <v>24111000</v>
      </c>
      <c r="E17" s="15">
        <v>1.88</v>
      </c>
    </row>
    <row r="18" spans="1:5" x14ac:dyDescent="0.4">
      <c r="A18" s="72" t="s">
        <v>102</v>
      </c>
      <c r="B18" s="72" t="s">
        <v>103</v>
      </c>
      <c r="C18" s="77">
        <v>142</v>
      </c>
      <c r="D18" s="77">
        <v>21385200</v>
      </c>
      <c r="E18" s="15">
        <v>1.67</v>
      </c>
    </row>
    <row r="19" spans="1:5" x14ac:dyDescent="0.4">
      <c r="A19" s="72" t="s">
        <v>516</v>
      </c>
      <c r="B19" s="72" t="s">
        <v>517</v>
      </c>
      <c r="C19" s="77">
        <v>357</v>
      </c>
      <c r="D19" s="77">
        <v>19777800</v>
      </c>
      <c r="E19" s="15">
        <v>1.54</v>
      </c>
    </row>
    <row r="20" spans="1:5" x14ac:dyDescent="0.4">
      <c r="A20" s="72" t="s">
        <v>118</v>
      </c>
      <c r="B20" s="72" t="s">
        <v>119</v>
      </c>
      <c r="C20" s="77">
        <v>81</v>
      </c>
      <c r="D20" s="77">
        <v>19237500</v>
      </c>
      <c r="E20" s="15">
        <v>1.5</v>
      </c>
    </row>
    <row r="21" spans="1:5" x14ac:dyDescent="0.4">
      <c r="A21" s="72" t="s">
        <v>1350</v>
      </c>
      <c r="B21" s="72" t="s">
        <v>1351</v>
      </c>
      <c r="C21" s="77">
        <v>834</v>
      </c>
      <c r="D21" s="77">
        <v>17972700</v>
      </c>
      <c r="E21" s="15">
        <v>1.4</v>
      </c>
    </row>
    <row r="22" spans="1:5" x14ac:dyDescent="0.4">
      <c r="A22" s="72" t="s">
        <v>3742</v>
      </c>
      <c r="B22" s="72" t="s">
        <v>3743</v>
      </c>
      <c r="C22" s="77">
        <v>257</v>
      </c>
      <c r="D22" s="77">
        <v>17578800</v>
      </c>
      <c r="E22" s="15">
        <v>1.37</v>
      </c>
    </row>
    <row r="23" spans="1:5" x14ac:dyDescent="0.4">
      <c r="A23" s="72" t="s">
        <v>759</v>
      </c>
      <c r="B23" s="72" t="s">
        <v>760</v>
      </c>
      <c r="C23" s="76">
        <v>825</v>
      </c>
      <c r="D23" s="77">
        <v>16582500</v>
      </c>
      <c r="E23" s="15">
        <v>1.29</v>
      </c>
    </row>
    <row r="24" spans="1:5" x14ac:dyDescent="0.4">
      <c r="A24" s="72" t="s">
        <v>133</v>
      </c>
      <c r="B24" s="72" t="s">
        <v>134</v>
      </c>
      <c r="C24" s="76">
        <v>89</v>
      </c>
      <c r="D24" s="77">
        <v>16438300</v>
      </c>
      <c r="E24" s="15">
        <v>1.28</v>
      </c>
    </row>
    <row r="25" spans="1:5" x14ac:dyDescent="0.4">
      <c r="A25" s="72" t="s">
        <v>82</v>
      </c>
      <c r="B25" s="72" t="s">
        <v>83</v>
      </c>
      <c r="C25" s="77">
        <v>44</v>
      </c>
      <c r="D25" s="77">
        <v>16302000</v>
      </c>
      <c r="E25" s="15">
        <v>1.27</v>
      </c>
    </row>
    <row r="26" spans="1:5" x14ac:dyDescent="0.4">
      <c r="A26" s="72" t="s">
        <v>303</v>
      </c>
      <c r="B26" s="72" t="s">
        <v>304</v>
      </c>
      <c r="C26" s="77">
        <v>23</v>
      </c>
      <c r="D26" s="77">
        <v>15548000</v>
      </c>
      <c r="E26" s="15">
        <v>1.21</v>
      </c>
    </row>
    <row r="27" spans="1:5" x14ac:dyDescent="0.4">
      <c r="A27" s="72" t="s">
        <v>166</v>
      </c>
      <c r="B27" s="72" t="s">
        <v>167</v>
      </c>
      <c r="C27" s="77">
        <v>54</v>
      </c>
      <c r="D27" s="77">
        <v>14985000</v>
      </c>
      <c r="E27" s="15">
        <v>1.17</v>
      </c>
    </row>
    <row r="28" spans="1:5" x14ac:dyDescent="0.4">
      <c r="A28" s="72" t="s">
        <v>135</v>
      </c>
      <c r="B28" s="72" t="s">
        <v>136</v>
      </c>
      <c r="C28" s="77">
        <v>33</v>
      </c>
      <c r="D28" s="77">
        <v>14272500</v>
      </c>
      <c r="E28" s="15">
        <v>1.1100000000000001</v>
      </c>
    </row>
    <row r="29" spans="1:5" x14ac:dyDescent="0.4">
      <c r="A29" s="72" t="s">
        <v>73</v>
      </c>
      <c r="B29" s="72" t="s">
        <v>74</v>
      </c>
      <c r="C29" s="77">
        <v>12</v>
      </c>
      <c r="D29" s="77">
        <v>14076000</v>
      </c>
      <c r="E29" s="15">
        <v>1.1000000000000001</v>
      </c>
    </row>
    <row r="30" spans="1:5" x14ac:dyDescent="0.4">
      <c r="A30" s="72" t="s">
        <v>3049</v>
      </c>
      <c r="B30" s="72" t="s">
        <v>3050</v>
      </c>
      <c r="C30" s="77">
        <v>428</v>
      </c>
      <c r="D30" s="77">
        <v>13118200</v>
      </c>
      <c r="E30" s="15">
        <v>1.02</v>
      </c>
    </row>
    <row r="31" spans="1:5" x14ac:dyDescent="0.4">
      <c r="A31" s="72" t="s">
        <v>1112</v>
      </c>
      <c r="B31" s="72" t="s">
        <v>1113</v>
      </c>
      <c r="C31" s="77">
        <v>956</v>
      </c>
      <c r="D31" s="77">
        <v>12284600</v>
      </c>
      <c r="E31" s="15">
        <v>0.96</v>
      </c>
    </row>
    <row r="32" spans="1:5" x14ac:dyDescent="0.4">
      <c r="A32" s="72" t="s">
        <v>108</v>
      </c>
      <c r="B32" s="72" t="s">
        <v>109</v>
      </c>
      <c r="C32" s="77">
        <v>31</v>
      </c>
      <c r="D32" s="77">
        <v>12043500</v>
      </c>
      <c r="E32" s="15">
        <v>0.94</v>
      </c>
    </row>
    <row r="33" spans="1:5" x14ac:dyDescent="0.4">
      <c r="A33" s="72" t="s">
        <v>757</v>
      </c>
      <c r="B33" s="72" t="s">
        <v>758</v>
      </c>
      <c r="C33" s="72">
        <v>101</v>
      </c>
      <c r="D33" s="77">
        <v>12029100</v>
      </c>
      <c r="E33" s="15">
        <v>0.94</v>
      </c>
    </row>
    <row r="34" spans="1:5" x14ac:dyDescent="0.4">
      <c r="A34" s="72" t="s">
        <v>11</v>
      </c>
      <c r="B34" s="72" t="s">
        <v>12</v>
      </c>
      <c r="C34" s="77">
        <v>3</v>
      </c>
      <c r="D34" s="77">
        <v>11055000</v>
      </c>
      <c r="E34" s="15">
        <v>0.86</v>
      </c>
    </row>
    <row r="35" spans="1:5" x14ac:dyDescent="0.4">
      <c r="A35" s="72" t="s">
        <v>78</v>
      </c>
      <c r="B35" s="72" t="s">
        <v>79</v>
      </c>
      <c r="C35" s="77">
        <v>8</v>
      </c>
      <c r="D35" s="77">
        <v>9640000</v>
      </c>
      <c r="E35" s="15">
        <v>0.75</v>
      </c>
    </row>
    <row r="36" spans="1:5" x14ac:dyDescent="0.4">
      <c r="A36" s="72" t="s">
        <v>1892</v>
      </c>
      <c r="B36" s="72" t="s">
        <v>1893</v>
      </c>
      <c r="C36" s="77">
        <v>275</v>
      </c>
      <c r="D36" s="77">
        <v>8772500</v>
      </c>
      <c r="E36" s="15">
        <v>0.68</v>
      </c>
    </row>
    <row r="37" spans="1:5" x14ac:dyDescent="0.4">
      <c r="A37" s="72" t="s">
        <v>17</v>
      </c>
      <c r="B37" s="72" t="s">
        <v>18</v>
      </c>
      <c r="C37" s="77">
        <v>76</v>
      </c>
      <c r="D37" s="77">
        <v>8025600</v>
      </c>
      <c r="E37" s="15">
        <v>0.63</v>
      </c>
    </row>
    <row r="38" spans="1:5" x14ac:dyDescent="0.4">
      <c r="A38" s="72" t="s">
        <v>653</v>
      </c>
      <c r="B38" s="72" t="s">
        <v>654</v>
      </c>
      <c r="C38" s="77">
        <v>79</v>
      </c>
      <c r="D38" s="77">
        <v>7947400</v>
      </c>
      <c r="E38" s="15">
        <v>0.62</v>
      </c>
    </row>
    <row r="39" spans="1:5" x14ac:dyDescent="0.4">
      <c r="A39" s="72" t="s">
        <v>92</v>
      </c>
      <c r="B39" s="72" t="s">
        <v>93</v>
      </c>
      <c r="C39" s="77">
        <v>4</v>
      </c>
      <c r="D39" s="77">
        <v>7888000</v>
      </c>
      <c r="E39" s="15">
        <v>0.62</v>
      </c>
    </row>
    <row r="40" spans="1:5" x14ac:dyDescent="0.4">
      <c r="A40" s="72" t="s">
        <v>112</v>
      </c>
      <c r="B40" s="72" t="s">
        <v>113</v>
      </c>
      <c r="C40" s="77">
        <v>67</v>
      </c>
      <c r="D40" s="77">
        <v>7711700</v>
      </c>
      <c r="E40" s="15">
        <v>0.6</v>
      </c>
    </row>
    <row r="41" spans="1:5" x14ac:dyDescent="0.4">
      <c r="A41" s="72" t="s">
        <v>168</v>
      </c>
      <c r="B41" s="72" t="s">
        <v>169</v>
      </c>
      <c r="C41" s="77">
        <v>498</v>
      </c>
      <c r="D41" s="77">
        <v>7484940</v>
      </c>
      <c r="E41" s="15">
        <v>0.57999999999999996</v>
      </c>
    </row>
    <row r="42" spans="1:5" x14ac:dyDescent="0.4">
      <c r="A42" s="72" t="s">
        <v>104</v>
      </c>
      <c r="B42" s="72" t="s">
        <v>105</v>
      </c>
      <c r="C42" s="77">
        <v>13</v>
      </c>
      <c r="D42" s="77">
        <v>7397000</v>
      </c>
      <c r="E42" s="15">
        <v>0.57999999999999996</v>
      </c>
    </row>
    <row r="43" spans="1:5" x14ac:dyDescent="0.4">
      <c r="A43" s="72" t="s">
        <v>15</v>
      </c>
      <c r="B43" s="72" t="s">
        <v>16</v>
      </c>
      <c r="C43" s="77">
        <v>7</v>
      </c>
      <c r="D43" s="77">
        <v>7371000</v>
      </c>
      <c r="E43" s="15">
        <v>0.57999999999999996</v>
      </c>
    </row>
    <row r="44" spans="1:5" x14ac:dyDescent="0.4">
      <c r="A44" s="72" t="s">
        <v>142</v>
      </c>
      <c r="B44" s="72" t="s">
        <v>143</v>
      </c>
      <c r="C44" s="77">
        <v>45</v>
      </c>
      <c r="D44" s="77">
        <v>7276500</v>
      </c>
      <c r="E44" s="15">
        <v>0.56999999999999995</v>
      </c>
    </row>
    <row r="45" spans="1:5" x14ac:dyDescent="0.4">
      <c r="A45" s="72" t="s">
        <v>146</v>
      </c>
      <c r="B45" s="72" t="s">
        <v>147</v>
      </c>
      <c r="C45" s="72">
        <v>27</v>
      </c>
      <c r="D45" s="77">
        <v>6952500</v>
      </c>
      <c r="E45" s="15">
        <v>0.54</v>
      </c>
    </row>
    <row r="46" spans="1:5" x14ac:dyDescent="0.4">
      <c r="A46" s="72" t="s">
        <v>309</v>
      </c>
      <c r="B46" s="72" t="s">
        <v>310</v>
      </c>
      <c r="C46" s="77">
        <v>66</v>
      </c>
      <c r="D46" s="77">
        <v>6930000</v>
      </c>
      <c r="E46" s="15">
        <v>0.54</v>
      </c>
    </row>
    <row r="47" spans="1:5" x14ac:dyDescent="0.4">
      <c r="A47" s="72" t="s">
        <v>194</v>
      </c>
      <c r="B47" s="72" t="s">
        <v>195</v>
      </c>
      <c r="C47" s="77">
        <v>341</v>
      </c>
      <c r="D47" s="77">
        <v>6802950</v>
      </c>
      <c r="E47" s="15">
        <v>0.53</v>
      </c>
    </row>
    <row r="48" spans="1:5" x14ac:dyDescent="0.4">
      <c r="A48" s="72" t="s">
        <v>1918</v>
      </c>
      <c r="B48" s="72" t="s">
        <v>1919</v>
      </c>
      <c r="C48" s="77">
        <v>420</v>
      </c>
      <c r="D48" s="77">
        <v>6573000</v>
      </c>
      <c r="E48" s="15">
        <v>0.51</v>
      </c>
    </row>
    <row r="49" spans="1:5" x14ac:dyDescent="0.4">
      <c r="A49" s="72" t="s">
        <v>328</v>
      </c>
      <c r="B49" s="72" t="s">
        <v>329</v>
      </c>
      <c r="C49" s="72">
        <v>44</v>
      </c>
      <c r="D49" s="77">
        <v>6498800</v>
      </c>
      <c r="E49" s="15">
        <v>0.51</v>
      </c>
    </row>
    <row r="50" spans="1:5" x14ac:dyDescent="0.4">
      <c r="A50" s="72" t="s">
        <v>316</v>
      </c>
      <c r="B50" s="72" t="s">
        <v>317</v>
      </c>
      <c r="C50" s="77">
        <v>89</v>
      </c>
      <c r="D50" s="77">
        <v>6452500</v>
      </c>
      <c r="E50" s="15">
        <v>0.5</v>
      </c>
    </row>
    <row r="51" spans="1:5" x14ac:dyDescent="0.4">
      <c r="A51" s="72" t="s">
        <v>455</v>
      </c>
      <c r="B51" s="72" t="s">
        <v>456</v>
      </c>
      <c r="C51" s="77">
        <v>55</v>
      </c>
      <c r="D51" s="77">
        <v>6039000</v>
      </c>
      <c r="E51" s="15">
        <v>0.47</v>
      </c>
    </row>
    <row r="52" spans="1:5" x14ac:dyDescent="0.4">
      <c r="A52" s="72" t="s">
        <v>174</v>
      </c>
      <c r="B52" s="72" t="s">
        <v>175</v>
      </c>
      <c r="C52" s="77">
        <v>42</v>
      </c>
      <c r="D52" s="77">
        <v>6010200</v>
      </c>
      <c r="E52" s="15">
        <v>0.47</v>
      </c>
    </row>
    <row r="53" spans="1:5" x14ac:dyDescent="0.4">
      <c r="A53" s="72" t="s">
        <v>182</v>
      </c>
      <c r="B53" s="72" t="s">
        <v>183</v>
      </c>
      <c r="C53" s="72">
        <v>94</v>
      </c>
      <c r="D53" s="77">
        <v>5997200</v>
      </c>
      <c r="E53" s="15">
        <v>0.47</v>
      </c>
    </row>
    <row r="54" spans="1:5" x14ac:dyDescent="0.4">
      <c r="A54" s="72" t="s">
        <v>1317</v>
      </c>
      <c r="B54" s="72" t="s">
        <v>1318</v>
      </c>
      <c r="C54" s="77">
        <v>131</v>
      </c>
      <c r="D54" s="77">
        <v>5849150</v>
      </c>
      <c r="E54" s="15">
        <v>0.46</v>
      </c>
    </row>
    <row r="55" spans="1:5" x14ac:dyDescent="0.4">
      <c r="A55" s="72" t="s">
        <v>466</v>
      </c>
      <c r="B55" s="72" t="s">
        <v>467</v>
      </c>
      <c r="C55" s="77">
        <v>190</v>
      </c>
      <c r="D55" s="77">
        <v>5814000</v>
      </c>
      <c r="E55" s="15">
        <v>0.45</v>
      </c>
    </row>
    <row r="56" spans="1:5" x14ac:dyDescent="0.4">
      <c r="A56" s="72" t="s">
        <v>729</v>
      </c>
      <c r="B56" s="72" t="s">
        <v>730</v>
      </c>
      <c r="C56" s="77">
        <v>4720</v>
      </c>
      <c r="D56" s="77">
        <v>5810320</v>
      </c>
      <c r="E56" s="15">
        <v>0.45</v>
      </c>
    </row>
    <row r="57" spans="1:5" x14ac:dyDescent="0.4">
      <c r="A57" s="72" t="s">
        <v>122</v>
      </c>
      <c r="B57" s="72" t="s">
        <v>5173</v>
      </c>
      <c r="C57" s="72">
        <v>7</v>
      </c>
      <c r="D57" s="77">
        <v>5607000</v>
      </c>
      <c r="E57" s="15">
        <v>0.44</v>
      </c>
    </row>
    <row r="58" spans="1:5" x14ac:dyDescent="0.4">
      <c r="A58" s="72" t="s">
        <v>150</v>
      </c>
      <c r="B58" s="72" t="s">
        <v>151</v>
      </c>
      <c r="C58" s="72">
        <v>69</v>
      </c>
      <c r="D58" s="77">
        <v>5437200</v>
      </c>
      <c r="E58" s="15">
        <v>0.42</v>
      </c>
    </row>
    <row r="59" spans="1:5" x14ac:dyDescent="0.4">
      <c r="A59" s="72" t="s">
        <v>53</v>
      </c>
      <c r="B59" s="72" t="s">
        <v>54</v>
      </c>
      <c r="C59" s="77">
        <v>10</v>
      </c>
      <c r="D59" s="77">
        <v>4910000</v>
      </c>
      <c r="E59" s="15">
        <v>0.38</v>
      </c>
    </row>
    <row r="60" spans="1:5" x14ac:dyDescent="0.4">
      <c r="A60" s="72" t="s">
        <v>148</v>
      </c>
      <c r="B60" s="72" t="s">
        <v>149</v>
      </c>
      <c r="C60" s="72">
        <v>11</v>
      </c>
      <c r="D60" s="77">
        <v>4906000</v>
      </c>
      <c r="E60" s="15">
        <v>0.38</v>
      </c>
    </row>
    <row r="61" spans="1:5" x14ac:dyDescent="0.4">
      <c r="A61" s="72" t="s">
        <v>63</v>
      </c>
      <c r="B61" s="72" t="s">
        <v>64</v>
      </c>
      <c r="C61" s="77">
        <v>12</v>
      </c>
      <c r="D61" s="77">
        <v>4746000</v>
      </c>
      <c r="E61" s="15">
        <v>0.37</v>
      </c>
    </row>
    <row r="62" spans="1:5" x14ac:dyDescent="0.4">
      <c r="A62" s="72" t="s">
        <v>307</v>
      </c>
      <c r="B62" s="72" t="s">
        <v>308</v>
      </c>
      <c r="C62" s="77">
        <v>18</v>
      </c>
      <c r="D62" s="77">
        <v>4419000</v>
      </c>
      <c r="E62" s="15">
        <v>0.35</v>
      </c>
    </row>
    <row r="63" spans="1:5" x14ac:dyDescent="0.4">
      <c r="A63" s="72" t="s">
        <v>473</v>
      </c>
      <c r="B63" s="72" t="s">
        <v>474</v>
      </c>
      <c r="C63" s="72">
        <v>351</v>
      </c>
      <c r="D63" s="77">
        <v>3903120</v>
      </c>
      <c r="E63" s="15">
        <v>0.3</v>
      </c>
    </row>
    <row r="64" spans="1:5" x14ac:dyDescent="0.4">
      <c r="A64" s="72" t="s">
        <v>324</v>
      </c>
      <c r="B64" s="72" t="s">
        <v>325</v>
      </c>
      <c r="C64" s="77">
        <v>11</v>
      </c>
      <c r="D64" s="77">
        <v>3844500</v>
      </c>
      <c r="E64" s="15">
        <v>0.3</v>
      </c>
    </row>
    <row r="65" spans="1:5" x14ac:dyDescent="0.4">
      <c r="A65" s="72" t="s">
        <v>106</v>
      </c>
      <c r="B65" s="72" t="s">
        <v>107</v>
      </c>
      <c r="C65" s="77">
        <v>37</v>
      </c>
      <c r="D65" s="77">
        <v>3807300</v>
      </c>
      <c r="E65" s="15">
        <v>0.3</v>
      </c>
    </row>
    <row r="66" spans="1:5" x14ac:dyDescent="0.4">
      <c r="A66" s="72" t="s">
        <v>639</v>
      </c>
      <c r="B66" s="72" t="s">
        <v>640</v>
      </c>
      <c r="C66" s="72">
        <v>98</v>
      </c>
      <c r="D66" s="77">
        <v>3670100</v>
      </c>
      <c r="E66" s="15">
        <v>0.28999999999999998</v>
      </c>
    </row>
    <row r="67" spans="1:5" x14ac:dyDescent="0.4">
      <c r="A67" s="72" t="s">
        <v>2043</v>
      </c>
      <c r="B67" s="72" t="s">
        <v>2044</v>
      </c>
      <c r="C67" s="77">
        <v>778</v>
      </c>
      <c r="D67" s="77">
        <v>3656600</v>
      </c>
      <c r="E67" s="15">
        <v>0.28999999999999998</v>
      </c>
    </row>
    <row r="68" spans="1:5" x14ac:dyDescent="0.4">
      <c r="A68" s="72" t="s">
        <v>539</v>
      </c>
      <c r="B68" s="72" t="s">
        <v>540</v>
      </c>
      <c r="C68" s="77">
        <v>41</v>
      </c>
      <c r="D68" s="77">
        <v>3653100</v>
      </c>
      <c r="E68" s="15">
        <v>0.28999999999999998</v>
      </c>
    </row>
    <row r="69" spans="1:5" x14ac:dyDescent="0.4">
      <c r="A69" s="72" t="s">
        <v>291</v>
      </c>
      <c r="B69" s="72" t="s">
        <v>292</v>
      </c>
      <c r="C69" s="72">
        <v>83</v>
      </c>
      <c r="D69" s="77">
        <v>3473550</v>
      </c>
      <c r="E69" s="15">
        <v>0.27</v>
      </c>
    </row>
    <row r="70" spans="1:5" x14ac:dyDescent="0.4">
      <c r="A70" s="72" t="s">
        <v>123</v>
      </c>
      <c r="B70" s="72" t="s">
        <v>124</v>
      </c>
      <c r="C70" s="72">
        <v>145</v>
      </c>
      <c r="D70" s="77">
        <v>3465500</v>
      </c>
      <c r="E70" s="15">
        <v>0.27</v>
      </c>
    </row>
    <row r="71" spans="1:5" x14ac:dyDescent="0.4">
      <c r="A71" s="72" t="s">
        <v>23</v>
      </c>
      <c r="B71" s="72" t="s">
        <v>24</v>
      </c>
      <c r="C71" s="72">
        <v>58</v>
      </c>
      <c r="D71" s="77">
        <v>2958000</v>
      </c>
      <c r="E71" s="15">
        <v>0.23</v>
      </c>
    </row>
    <row r="72" spans="1:5" x14ac:dyDescent="0.4">
      <c r="A72" s="72" t="s">
        <v>595</v>
      </c>
      <c r="B72" s="72" t="s">
        <v>596</v>
      </c>
      <c r="C72" s="72">
        <v>37</v>
      </c>
      <c r="D72" s="77">
        <v>2941500</v>
      </c>
      <c r="E72" s="15">
        <v>0.23</v>
      </c>
    </row>
    <row r="73" spans="1:5" x14ac:dyDescent="0.4">
      <c r="A73" s="72" t="s">
        <v>21</v>
      </c>
      <c r="B73" s="72" t="s">
        <v>22</v>
      </c>
      <c r="C73" s="72">
        <v>20</v>
      </c>
      <c r="D73" s="77">
        <v>2940000</v>
      </c>
      <c r="E73" s="15">
        <v>0.23</v>
      </c>
    </row>
    <row r="74" spans="1:5" x14ac:dyDescent="0.4">
      <c r="A74" s="72" t="s">
        <v>553</v>
      </c>
      <c r="B74" s="72" t="s">
        <v>554</v>
      </c>
      <c r="C74" s="72">
        <v>17</v>
      </c>
      <c r="D74" s="77">
        <v>2861100</v>
      </c>
      <c r="E74" s="15">
        <v>0.22</v>
      </c>
    </row>
    <row r="75" spans="1:5" x14ac:dyDescent="0.4">
      <c r="A75" s="72" t="s">
        <v>154</v>
      </c>
      <c r="B75" s="72" t="s">
        <v>155</v>
      </c>
      <c r="C75" s="72">
        <v>39</v>
      </c>
      <c r="D75" s="77">
        <v>2843100</v>
      </c>
      <c r="E75" s="15">
        <v>0.22</v>
      </c>
    </row>
    <row r="76" spans="1:5" x14ac:dyDescent="0.4">
      <c r="A76" s="72" t="s">
        <v>641</v>
      </c>
      <c r="B76" s="72" t="s">
        <v>642</v>
      </c>
      <c r="C76" s="72">
        <v>109</v>
      </c>
      <c r="D76" s="77">
        <v>2730450</v>
      </c>
      <c r="E76" s="15">
        <v>0.21</v>
      </c>
    </row>
    <row r="77" spans="1:5" x14ac:dyDescent="0.4">
      <c r="A77" s="72" t="s">
        <v>100</v>
      </c>
      <c r="B77" s="72" t="s">
        <v>101</v>
      </c>
      <c r="C77" s="72">
        <v>90</v>
      </c>
      <c r="D77" s="77">
        <v>2718000</v>
      </c>
      <c r="E77" s="15">
        <v>0.21</v>
      </c>
    </row>
    <row r="78" spans="1:5" x14ac:dyDescent="0.4">
      <c r="A78" s="72" t="s">
        <v>3300</v>
      </c>
      <c r="B78" s="72" t="s">
        <v>3301</v>
      </c>
      <c r="C78" s="77">
        <v>49</v>
      </c>
      <c r="D78" s="77">
        <v>2577400</v>
      </c>
      <c r="E78" s="15">
        <v>0.2</v>
      </c>
    </row>
    <row r="79" spans="1:5" x14ac:dyDescent="0.4">
      <c r="A79" s="72" t="s">
        <v>727</v>
      </c>
      <c r="B79" s="72" t="s">
        <v>728</v>
      </c>
      <c r="C79" s="77">
        <v>86</v>
      </c>
      <c r="D79" s="77">
        <v>2274700</v>
      </c>
      <c r="E79" s="15">
        <v>0.18</v>
      </c>
    </row>
    <row r="80" spans="1:5" x14ac:dyDescent="0.4">
      <c r="A80" s="72" t="s">
        <v>279</v>
      </c>
      <c r="B80" s="72" t="s">
        <v>280</v>
      </c>
      <c r="C80" s="77">
        <v>206</v>
      </c>
      <c r="D80" s="77">
        <v>2198020</v>
      </c>
      <c r="E80" s="15">
        <v>0.17</v>
      </c>
    </row>
    <row r="81" spans="1:5" x14ac:dyDescent="0.4">
      <c r="A81" s="72" t="s">
        <v>611</v>
      </c>
      <c r="B81" s="72" t="s">
        <v>612</v>
      </c>
      <c r="C81" s="72">
        <v>80</v>
      </c>
      <c r="D81" s="77">
        <v>2144000</v>
      </c>
      <c r="E81" s="15">
        <v>0.17</v>
      </c>
    </row>
    <row r="82" spans="1:5" x14ac:dyDescent="0.4">
      <c r="A82" s="72" t="s">
        <v>1699</v>
      </c>
      <c r="B82" s="72" t="s">
        <v>1700</v>
      </c>
      <c r="C82" s="77">
        <v>9</v>
      </c>
      <c r="D82" s="77">
        <v>2133000</v>
      </c>
      <c r="E82" s="15">
        <v>0.17</v>
      </c>
    </row>
    <row r="83" spans="1:5" x14ac:dyDescent="0.4">
      <c r="A83" s="72" t="s">
        <v>2588</v>
      </c>
      <c r="B83" s="72" t="s">
        <v>2589</v>
      </c>
      <c r="C83" s="77">
        <v>47</v>
      </c>
      <c r="D83" s="77">
        <v>2112650</v>
      </c>
      <c r="E83" s="15">
        <v>0.16</v>
      </c>
    </row>
    <row r="84" spans="1:5" x14ac:dyDescent="0.4">
      <c r="A84" s="72"/>
      <c r="B84" s="72" t="s">
        <v>10</v>
      </c>
      <c r="C84" s="77">
        <v>12726295</v>
      </c>
      <c r="D84" s="77">
        <v>12726295</v>
      </c>
      <c r="E84" s="15">
        <v>0.99</v>
      </c>
    </row>
    <row r="85" spans="1:5" x14ac:dyDescent="0.4">
      <c r="C85" s="13"/>
      <c r="D85" s="13"/>
      <c r="E85" s="72"/>
    </row>
    <row r="86" spans="1:5" x14ac:dyDescent="0.4">
      <c r="D86" s="13"/>
    </row>
    <row r="87" spans="1:5" x14ac:dyDescent="0.4">
      <c r="C87" s="13"/>
      <c r="D87" s="13"/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74" t="s">
        <v>657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51</v>
      </c>
      <c r="D11" s="75">
        <v>107151000</v>
      </c>
      <c r="E11" s="19">
        <v>16.09</v>
      </c>
      <c r="F11" s="17"/>
      <c r="G11" s="17"/>
    </row>
    <row r="12" spans="1:7" x14ac:dyDescent="0.4">
      <c r="A12" s="72" t="s">
        <v>80</v>
      </c>
      <c r="B12" s="73" t="s">
        <v>81</v>
      </c>
      <c r="C12" s="75">
        <v>305</v>
      </c>
      <c r="D12" s="75">
        <v>91195000</v>
      </c>
      <c r="E12" s="19">
        <v>13.69</v>
      </c>
      <c r="F12" s="17"/>
      <c r="G12" s="17"/>
    </row>
    <row r="13" spans="1:7" x14ac:dyDescent="0.4">
      <c r="A13" s="72" t="s">
        <v>453</v>
      </c>
      <c r="B13" s="73" t="s">
        <v>454</v>
      </c>
      <c r="C13" s="75">
        <v>16</v>
      </c>
      <c r="D13" s="75">
        <v>28880000</v>
      </c>
      <c r="E13" s="19">
        <v>4.34</v>
      </c>
      <c r="F13" s="17"/>
      <c r="G13" s="17"/>
    </row>
    <row r="14" spans="1:7" x14ac:dyDescent="0.4">
      <c r="A14" s="72" t="s">
        <v>118</v>
      </c>
      <c r="B14" s="73" t="s">
        <v>119</v>
      </c>
      <c r="C14" s="75">
        <v>120</v>
      </c>
      <c r="D14" s="75">
        <v>27600000</v>
      </c>
      <c r="E14" s="19">
        <v>4.1399999999999997</v>
      </c>
      <c r="F14" s="17"/>
      <c r="G14" s="17"/>
    </row>
    <row r="15" spans="1:7" x14ac:dyDescent="0.4">
      <c r="A15" s="72" t="s">
        <v>78</v>
      </c>
      <c r="B15" s="73" t="s">
        <v>79</v>
      </c>
      <c r="C15" s="75">
        <v>22</v>
      </c>
      <c r="D15" s="75">
        <v>25872000</v>
      </c>
      <c r="E15" s="19">
        <v>3.88</v>
      </c>
      <c r="F15" s="17"/>
      <c r="G15" s="17"/>
    </row>
    <row r="16" spans="1:7" x14ac:dyDescent="0.4">
      <c r="A16" s="72" t="s">
        <v>100</v>
      </c>
      <c r="B16" s="73" t="s">
        <v>101</v>
      </c>
      <c r="C16" s="75">
        <v>821</v>
      </c>
      <c r="D16" s="75">
        <v>25615200</v>
      </c>
      <c r="E16" s="19">
        <v>3.85</v>
      </c>
      <c r="F16" s="17"/>
      <c r="G16" s="17"/>
    </row>
    <row r="17" spans="1:7" x14ac:dyDescent="0.4">
      <c r="A17" s="72" t="s">
        <v>92</v>
      </c>
      <c r="B17" s="72" t="s">
        <v>93</v>
      </c>
      <c r="C17" s="77">
        <v>14</v>
      </c>
      <c r="D17" s="77">
        <v>22694000</v>
      </c>
      <c r="E17" s="15">
        <v>3.41</v>
      </c>
    </row>
    <row r="18" spans="1:7" x14ac:dyDescent="0.4">
      <c r="A18" s="72" t="s">
        <v>140</v>
      </c>
      <c r="B18" s="73" t="s">
        <v>141</v>
      </c>
      <c r="C18" s="75">
        <v>38</v>
      </c>
      <c r="D18" s="75">
        <v>22686000</v>
      </c>
      <c r="E18" s="19">
        <v>3.41</v>
      </c>
      <c r="F18" s="17"/>
      <c r="G18" s="17"/>
    </row>
    <row r="19" spans="1:7" x14ac:dyDescent="0.4">
      <c r="A19" s="72" t="s">
        <v>96</v>
      </c>
      <c r="B19" s="72" t="s">
        <v>97</v>
      </c>
      <c r="C19" s="76">
        <v>202</v>
      </c>
      <c r="D19" s="77">
        <v>22583600</v>
      </c>
      <c r="E19" s="15">
        <v>3.39</v>
      </c>
    </row>
    <row r="20" spans="1:7" x14ac:dyDescent="0.4">
      <c r="A20" s="72" t="s">
        <v>102</v>
      </c>
      <c r="B20" s="72" t="s">
        <v>103</v>
      </c>
      <c r="C20" s="76">
        <v>140</v>
      </c>
      <c r="D20" s="77">
        <v>21210000</v>
      </c>
      <c r="E20" s="15">
        <v>3.18</v>
      </c>
    </row>
    <row r="21" spans="1:7" x14ac:dyDescent="0.4">
      <c r="A21" s="72" t="s">
        <v>84</v>
      </c>
      <c r="B21" s="72" t="s">
        <v>85</v>
      </c>
      <c r="C21" s="77">
        <v>400</v>
      </c>
      <c r="D21" s="77">
        <v>20440000</v>
      </c>
      <c r="E21" s="15">
        <v>3.07</v>
      </c>
    </row>
    <row r="22" spans="1:7" x14ac:dyDescent="0.4">
      <c r="A22" s="72" t="s">
        <v>82</v>
      </c>
      <c r="B22" s="72" t="s">
        <v>83</v>
      </c>
      <c r="C22" s="76">
        <v>55</v>
      </c>
      <c r="D22" s="77">
        <v>18782500</v>
      </c>
      <c r="E22" s="15">
        <v>2.82</v>
      </c>
    </row>
    <row r="23" spans="1:7" x14ac:dyDescent="0.4">
      <c r="A23" s="72" t="s">
        <v>108</v>
      </c>
      <c r="B23" s="72" t="s">
        <v>109</v>
      </c>
      <c r="C23" s="76">
        <v>49</v>
      </c>
      <c r="D23" s="77">
        <v>17885000</v>
      </c>
      <c r="E23" s="15">
        <v>2.69</v>
      </c>
    </row>
    <row r="24" spans="1:7" x14ac:dyDescent="0.4">
      <c r="A24" s="72" t="s">
        <v>303</v>
      </c>
      <c r="B24" s="72" t="s">
        <v>304</v>
      </c>
      <c r="C24" s="76">
        <v>30</v>
      </c>
      <c r="D24" s="77">
        <v>17250000</v>
      </c>
      <c r="E24" s="15">
        <v>2.59</v>
      </c>
    </row>
    <row r="25" spans="1:7" x14ac:dyDescent="0.4">
      <c r="A25" s="72" t="s">
        <v>135</v>
      </c>
      <c r="B25" s="72" t="s">
        <v>136</v>
      </c>
      <c r="C25" s="77">
        <v>40</v>
      </c>
      <c r="D25" s="77">
        <v>16400000</v>
      </c>
      <c r="E25" s="15">
        <v>2.46</v>
      </c>
    </row>
    <row r="26" spans="1:7" x14ac:dyDescent="0.4">
      <c r="A26" s="72" t="s">
        <v>129</v>
      </c>
      <c r="B26" s="72" t="s">
        <v>130</v>
      </c>
      <c r="C26" s="77">
        <v>501</v>
      </c>
      <c r="D26" s="77">
        <v>15105150</v>
      </c>
      <c r="E26" s="15">
        <v>2.27</v>
      </c>
    </row>
    <row r="27" spans="1:7" x14ac:dyDescent="0.4">
      <c r="A27" s="72" t="s">
        <v>174</v>
      </c>
      <c r="B27" s="72" t="s">
        <v>175</v>
      </c>
      <c r="C27" s="77">
        <v>100</v>
      </c>
      <c r="D27" s="77">
        <v>14000000</v>
      </c>
      <c r="E27" s="15">
        <v>2.1</v>
      </c>
    </row>
    <row r="28" spans="1:7" x14ac:dyDescent="0.4">
      <c r="A28" s="72" t="s">
        <v>86</v>
      </c>
      <c r="B28" s="72" t="s">
        <v>87</v>
      </c>
      <c r="C28" s="77">
        <v>2199</v>
      </c>
      <c r="D28" s="77">
        <v>12050520</v>
      </c>
      <c r="E28" s="15">
        <v>1.81</v>
      </c>
    </row>
    <row r="29" spans="1:7" x14ac:dyDescent="0.4">
      <c r="A29" s="72" t="s">
        <v>106</v>
      </c>
      <c r="B29" s="72" t="s">
        <v>107</v>
      </c>
      <c r="C29" s="77">
        <v>110</v>
      </c>
      <c r="D29" s="77">
        <v>11660000</v>
      </c>
      <c r="E29" s="15">
        <v>1.75</v>
      </c>
    </row>
    <row r="30" spans="1:7" x14ac:dyDescent="0.4">
      <c r="A30" s="72" t="s">
        <v>112</v>
      </c>
      <c r="B30" s="72" t="s">
        <v>113</v>
      </c>
      <c r="C30" s="76">
        <v>100</v>
      </c>
      <c r="D30" s="77">
        <v>11480000</v>
      </c>
      <c r="E30" s="15">
        <v>1.72</v>
      </c>
    </row>
    <row r="31" spans="1:7" x14ac:dyDescent="0.4">
      <c r="A31" s="72" t="s">
        <v>125</v>
      </c>
      <c r="B31" s="72" t="s">
        <v>126</v>
      </c>
      <c r="C31" s="77">
        <v>647</v>
      </c>
      <c r="D31" s="77">
        <v>10882540</v>
      </c>
      <c r="E31" s="15">
        <v>1.63</v>
      </c>
    </row>
    <row r="32" spans="1:7" x14ac:dyDescent="0.4">
      <c r="A32" s="72" t="s">
        <v>1092</v>
      </c>
      <c r="B32" s="72" t="s">
        <v>1093</v>
      </c>
      <c r="C32" s="77">
        <v>2191</v>
      </c>
      <c r="D32" s="77">
        <v>10505845</v>
      </c>
      <c r="E32" s="15">
        <v>1.58</v>
      </c>
    </row>
    <row r="33" spans="1:5" x14ac:dyDescent="0.4">
      <c r="A33" s="72" t="s">
        <v>455</v>
      </c>
      <c r="B33" s="72" t="s">
        <v>456</v>
      </c>
      <c r="C33" s="77">
        <v>54</v>
      </c>
      <c r="D33" s="77">
        <v>10103400</v>
      </c>
      <c r="E33" s="15">
        <v>1.52</v>
      </c>
    </row>
    <row r="34" spans="1:5" x14ac:dyDescent="0.4">
      <c r="A34" s="72" t="s">
        <v>311</v>
      </c>
      <c r="B34" s="72" t="s">
        <v>312</v>
      </c>
      <c r="C34" s="77">
        <v>80</v>
      </c>
      <c r="D34" s="77">
        <v>9408000</v>
      </c>
      <c r="E34" s="15">
        <v>1.41</v>
      </c>
    </row>
    <row r="35" spans="1:5" x14ac:dyDescent="0.4">
      <c r="A35" s="72" t="s">
        <v>133</v>
      </c>
      <c r="B35" s="72" t="s">
        <v>134</v>
      </c>
      <c r="C35" s="77">
        <v>50</v>
      </c>
      <c r="D35" s="77">
        <v>9255000</v>
      </c>
      <c r="E35" s="15">
        <v>1.39</v>
      </c>
    </row>
    <row r="36" spans="1:5" x14ac:dyDescent="0.4">
      <c r="A36" s="72" t="s">
        <v>120</v>
      </c>
      <c r="B36" s="72" t="s">
        <v>121</v>
      </c>
      <c r="C36" s="77">
        <v>21</v>
      </c>
      <c r="D36" s="77">
        <v>7518000</v>
      </c>
      <c r="E36" s="15">
        <v>1.1299999999999999</v>
      </c>
    </row>
    <row r="37" spans="1:5" x14ac:dyDescent="0.4">
      <c r="A37" s="72" t="s">
        <v>131</v>
      </c>
      <c r="B37" s="72" t="s">
        <v>132</v>
      </c>
      <c r="C37" s="77">
        <v>343</v>
      </c>
      <c r="D37" s="77">
        <v>7185850</v>
      </c>
      <c r="E37" s="15">
        <v>1.08</v>
      </c>
    </row>
    <row r="38" spans="1:5" x14ac:dyDescent="0.4">
      <c r="A38" s="72" t="s">
        <v>148</v>
      </c>
      <c r="B38" s="72" t="s">
        <v>149</v>
      </c>
      <c r="C38" s="77">
        <v>19</v>
      </c>
      <c r="D38" s="77">
        <v>7096500</v>
      </c>
      <c r="E38" s="15">
        <v>1.07</v>
      </c>
    </row>
    <row r="39" spans="1:5" x14ac:dyDescent="0.4">
      <c r="A39" s="72" t="s">
        <v>110</v>
      </c>
      <c r="B39" s="72" t="s">
        <v>111</v>
      </c>
      <c r="C39" s="77">
        <v>29</v>
      </c>
      <c r="D39" s="77">
        <v>6829500</v>
      </c>
      <c r="E39" s="15">
        <v>1.03</v>
      </c>
    </row>
    <row r="40" spans="1:5" x14ac:dyDescent="0.4">
      <c r="A40" s="72" t="s">
        <v>90</v>
      </c>
      <c r="B40" s="72" t="s">
        <v>91</v>
      </c>
      <c r="C40" s="77">
        <v>99</v>
      </c>
      <c r="D40" s="77">
        <v>5940000</v>
      </c>
      <c r="E40" s="15">
        <v>0.89</v>
      </c>
    </row>
    <row r="41" spans="1:5" x14ac:dyDescent="0.4">
      <c r="A41" s="72" t="s">
        <v>114</v>
      </c>
      <c r="B41" s="72" t="s">
        <v>115</v>
      </c>
      <c r="C41" s="77">
        <v>60</v>
      </c>
      <c r="D41" s="77">
        <v>5814000</v>
      </c>
      <c r="E41" s="15">
        <v>0.87</v>
      </c>
    </row>
    <row r="42" spans="1:5" x14ac:dyDescent="0.4">
      <c r="A42" s="72" t="s">
        <v>172</v>
      </c>
      <c r="B42" s="72" t="s">
        <v>173</v>
      </c>
      <c r="C42" s="77">
        <v>10</v>
      </c>
      <c r="D42" s="77">
        <v>5760000</v>
      </c>
      <c r="E42" s="15">
        <v>0.86</v>
      </c>
    </row>
    <row r="43" spans="1:5" x14ac:dyDescent="0.4">
      <c r="A43" s="72" t="s">
        <v>142</v>
      </c>
      <c r="B43" s="72" t="s">
        <v>143</v>
      </c>
      <c r="C43" s="77">
        <v>30</v>
      </c>
      <c r="D43" s="77">
        <v>5190000</v>
      </c>
      <c r="E43" s="15">
        <v>0.78</v>
      </c>
    </row>
    <row r="44" spans="1:5" x14ac:dyDescent="0.4">
      <c r="A44" s="72" t="s">
        <v>653</v>
      </c>
      <c r="B44" s="72" t="s">
        <v>654</v>
      </c>
      <c r="C44" s="77">
        <v>50</v>
      </c>
      <c r="D44" s="77">
        <v>5000000</v>
      </c>
      <c r="E44" s="15">
        <v>0.75</v>
      </c>
    </row>
    <row r="45" spans="1:5" x14ac:dyDescent="0.4">
      <c r="A45" s="72"/>
      <c r="B45" s="72" t="s">
        <v>10</v>
      </c>
      <c r="C45" s="77">
        <v>9025606</v>
      </c>
      <c r="D45" s="77">
        <v>9025606</v>
      </c>
      <c r="E45" s="15">
        <v>1.36</v>
      </c>
    </row>
    <row r="46" spans="1:5" x14ac:dyDescent="0.4">
      <c r="C46" s="13"/>
      <c r="D46" s="13"/>
      <c r="E46" s="72"/>
    </row>
    <row r="47" spans="1:5" x14ac:dyDescent="0.4">
      <c r="D47" s="13"/>
      <c r="E47" s="72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74" t="s">
        <v>657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99</v>
      </c>
      <c r="D11" s="77">
        <v>230967000</v>
      </c>
      <c r="E11" s="15">
        <v>31.23</v>
      </c>
    </row>
    <row r="12" spans="1:5" x14ac:dyDescent="0.4">
      <c r="A12" s="72" t="s">
        <v>80</v>
      </c>
      <c r="B12" s="72" t="s">
        <v>81</v>
      </c>
      <c r="C12" s="76">
        <v>308</v>
      </c>
      <c r="D12" s="77">
        <v>97636000</v>
      </c>
      <c r="E12" s="15">
        <v>13.2</v>
      </c>
    </row>
    <row r="13" spans="1:5" x14ac:dyDescent="0.4">
      <c r="A13" s="72" t="s">
        <v>140</v>
      </c>
      <c r="B13" s="72" t="s">
        <v>141</v>
      </c>
      <c r="C13" s="72">
        <v>38</v>
      </c>
      <c r="D13" s="77">
        <v>27474000</v>
      </c>
      <c r="E13" s="15">
        <v>3.71</v>
      </c>
    </row>
    <row r="14" spans="1:5" x14ac:dyDescent="0.4">
      <c r="A14" s="72" t="s">
        <v>135</v>
      </c>
      <c r="B14" s="72" t="s">
        <v>136</v>
      </c>
      <c r="C14" s="72">
        <v>59</v>
      </c>
      <c r="D14" s="77">
        <v>25517500</v>
      </c>
      <c r="E14" s="15">
        <v>3.45</v>
      </c>
    </row>
    <row r="15" spans="1:5" x14ac:dyDescent="0.4">
      <c r="A15" s="72" t="s">
        <v>84</v>
      </c>
      <c r="B15" s="72" t="s">
        <v>85</v>
      </c>
      <c r="C15" s="76">
        <v>400</v>
      </c>
      <c r="D15" s="77">
        <v>24560000</v>
      </c>
      <c r="E15" s="15">
        <v>3.32</v>
      </c>
    </row>
    <row r="16" spans="1:5" x14ac:dyDescent="0.4">
      <c r="A16" s="72" t="s">
        <v>148</v>
      </c>
      <c r="B16" s="72" t="s">
        <v>149</v>
      </c>
      <c r="C16" s="76">
        <v>55</v>
      </c>
      <c r="D16" s="77">
        <v>24530000</v>
      </c>
      <c r="E16" s="15">
        <v>3.32</v>
      </c>
    </row>
    <row r="17" spans="1:5" x14ac:dyDescent="0.4">
      <c r="A17" s="72" t="s">
        <v>96</v>
      </c>
      <c r="B17" s="72" t="s">
        <v>97</v>
      </c>
      <c r="C17" s="76">
        <v>202</v>
      </c>
      <c r="D17" s="77">
        <v>24199600</v>
      </c>
      <c r="E17" s="15">
        <v>3.27</v>
      </c>
    </row>
    <row r="18" spans="1:5" x14ac:dyDescent="0.4">
      <c r="A18" s="72" t="s">
        <v>82</v>
      </c>
      <c r="B18" s="72" t="s">
        <v>83</v>
      </c>
      <c r="C18" s="77">
        <v>55</v>
      </c>
      <c r="D18" s="77">
        <v>20377500</v>
      </c>
      <c r="E18" s="15">
        <v>2.76</v>
      </c>
    </row>
    <row r="19" spans="1:5" x14ac:dyDescent="0.4">
      <c r="A19" s="72" t="s">
        <v>303</v>
      </c>
      <c r="B19" s="72" t="s">
        <v>304</v>
      </c>
      <c r="C19" s="77">
        <v>30</v>
      </c>
      <c r="D19" s="77">
        <v>20280000</v>
      </c>
      <c r="E19" s="15">
        <v>2.74</v>
      </c>
    </row>
    <row r="20" spans="1:5" x14ac:dyDescent="0.4">
      <c r="A20" s="72" t="s">
        <v>92</v>
      </c>
      <c r="B20" s="72" t="s">
        <v>93</v>
      </c>
      <c r="C20" s="77">
        <v>10</v>
      </c>
      <c r="D20" s="77">
        <v>19720000</v>
      </c>
      <c r="E20" s="15">
        <v>2.67</v>
      </c>
    </row>
    <row r="21" spans="1:5" x14ac:dyDescent="0.4">
      <c r="A21" s="72" t="s">
        <v>108</v>
      </c>
      <c r="B21" s="72" t="s">
        <v>109</v>
      </c>
      <c r="C21" s="77">
        <v>49</v>
      </c>
      <c r="D21" s="77">
        <v>19036500</v>
      </c>
      <c r="E21" s="15">
        <v>2.57</v>
      </c>
    </row>
    <row r="22" spans="1:5" x14ac:dyDescent="0.4">
      <c r="A22" s="72" t="s">
        <v>102</v>
      </c>
      <c r="B22" s="72" t="s">
        <v>103</v>
      </c>
      <c r="C22" s="77">
        <v>110</v>
      </c>
      <c r="D22" s="77">
        <v>16566000</v>
      </c>
      <c r="E22" s="15">
        <v>2.2400000000000002</v>
      </c>
    </row>
    <row r="23" spans="1:5" x14ac:dyDescent="0.4">
      <c r="A23" s="72" t="s">
        <v>86</v>
      </c>
      <c r="B23" s="72" t="s">
        <v>87</v>
      </c>
      <c r="C23" s="76">
        <v>2409</v>
      </c>
      <c r="D23" s="77">
        <v>14743080</v>
      </c>
      <c r="E23" s="15">
        <v>1.99</v>
      </c>
    </row>
    <row r="24" spans="1:5" x14ac:dyDescent="0.4">
      <c r="A24" s="72" t="s">
        <v>78</v>
      </c>
      <c r="B24" s="72" t="s">
        <v>79</v>
      </c>
      <c r="C24" s="76">
        <v>12</v>
      </c>
      <c r="D24" s="77">
        <v>14460000</v>
      </c>
      <c r="E24" s="15">
        <v>1.96</v>
      </c>
    </row>
    <row r="25" spans="1:5" x14ac:dyDescent="0.4">
      <c r="A25" s="72" t="s">
        <v>1092</v>
      </c>
      <c r="B25" s="72" t="s">
        <v>1093</v>
      </c>
      <c r="C25" s="77">
        <v>2541</v>
      </c>
      <c r="D25" s="77">
        <v>13162380</v>
      </c>
      <c r="E25" s="15">
        <v>1.78</v>
      </c>
    </row>
    <row r="26" spans="1:5" x14ac:dyDescent="0.4">
      <c r="A26" s="72" t="s">
        <v>106</v>
      </c>
      <c r="B26" s="72" t="s">
        <v>107</v>
      </c>
      <c r="C26" s="77">
        <v>110</v>
      </c>
      <c r="D26" s="77">
        <v>11319000</v>
      </c>
      <c r="E26" s="15">
        <v>1.53</v>
      </c>
    </row>
    <row r="27" spans="1:5" x14ac:dyDescent="0.4">
      <c r="A27" s="72" t="s">
        <v>125</v>
      </c>
      <c r="B27" s="72" t="s">
        <v>126</v>
      </c>
      <c r="C27" s="77">
        <v>647</v>
      </c>
      <c r="D27" s="77">
        <v>10882540</v>
      </c>
      <c r="E27" s="15">
        <v>1.47</v>
      </c>
    </row>
    <row r="28" spans="1:5" x14ac:dyDescent="0.4">
      <c r="A28" s="72" t="s">
        <v>311</v>
      </c>
      <c r="B28" s="72" t="s">
        <v>312</v>
      </c>
      <c r="C28" s="77">
        <v>80</v>
      </c>
      <c r="D28" s="77">
        <v>10696000</v>
      </c>
      <c r="E28" s="15">
        <v>1.45</v>
      </c>
    </row>
    <row r="29" spans="1:5" x14ac:dyDescent="0.4">
      <c r="A29" s="72" t="s">
        <v>133</v>
      </c>
      <c r="B29" s="72" t="s">
        <v>134</v>
      </c>
      <c r="C29" s="77">
        <v>50</v>
      </c>
      <c r="D29" s="77">
        <v>9235000</v>
      </c>
      <c r="E29" s="15">
        <v>1.25</v>
      </c>
    </row>
    <row r="30" spans="1:5" x14ac:dyDescent="0.4">
      <c r="A30" s="72" t="s">
        <v>120</v>
      </c>
      <c r="B30" s="72" t="s">
        <v>121</v>
      </c>
      <c r="C30" s="77">
        <v>21</v>
      </c>
      <c r="D30" s="77">
        <v>8893500</v>
      </c>
      <c r="E30" s="15">
        <v>1.2</v>
      </c>
    </row>
    <row r="31" spans="1:5" x14ac:dyDescent="0.4">
      <c r="A31" s="72" t="s">
        <v>110</v>
      </c>
      <c r="B31" s="72" t="s">
        <v>111</v>
      </c>
      <c r="C31" s="77">
        <v>29</v>
      </c>
      <c r="D31" s="77">
        <v>7888000</v>
      </c>
      <c r="E31" s="15">
        <v>1.07</v>
      </c>
    </row>
    <row r="32" spans="1:5" x14ac:dyDescent="0.4">
      <c r="A32" s="72" t="s">
        <v>100</v>
      </c>
      <c r="B32" s="72" t="s">
        <v>101</v>
      </c>
      <c r="C32" s="77">
        <v>250</v>
      </c>
      <c r="D32" s="77">
        <v>7550000</v>
      </c>
      <c r="E32" s="15">
        <v>1.02</v>
      </c>
    </row>
    <row r="33" spans="1:5" x14ac:dyDescent="0.4">
      <c r="A33" s="72" t="s">
        <v>129</v>
      </c>
      <c r="B33" s="72" t="s">
        <v>130</v>
      </c>
      <c r="C33" s="77">
        <v>246</v>
      </c>
      <c r="D33" s="77">
        <v>7306200</v>
      </c>
      <c r="E33" s="15">
        <v>0.99</v>
      </c>
    </row>
    <row r="34" spans="1:5" x14ac:dyDescent="0.4">
      <c r="A34" s="72" t="s">
        <v>131</v>
      </c>
      <c r="B34" s="72" t="s">
        <v>132</v>
      </c>
      <c r="C34" s="77">
        <v>343</v>
      </c>
      <c r="D34" s="77">
        <v>6928600</v>
      </c>
      <c r="E34" s="15">
        <v>0.94</v>
      </c>
    </row>
    <row r="35" spans="1:5" x14ac:dyDescent="0.4">
      <c r="A35" s="72" t="s">
        <v>112</v>
      </c>
      <c r="B35" s="72" t="s">
        <v>113</v>
      </c>
      <c r="C35" s="77">
        <v>60</v>
      </c>
      <c r="D35" s="77">
        <v>6906000</v>
      </c>
      <c r="E35" s="15">
        <v>0.93</v>
      </c>
    </row>
    <row r="36" spans="1:5" x14ac:dyDescent="0.4">
      <c r="A36" s="72" t="s">
        <v>118</v>
      </c>
      <c r="B36" s="72" t="s">
        <v>119</v>
      </c>
      <c r="C36" s="77">
        <v>29</v>
      </c>
      <c r="D36" s="77">
        <v>6887500</v>
      </c>
      <c r="E36" s="15">
        <v>0.93</v>
      </c>
    </row>
    <row r="37" spans="1:5" x14ac:dyDescent="0.4">
      <c r="A37" s="72" t="s">
        <v>114</v>
      </c>
      <c r="B37" s="72" t="s">
        <v>115</v>
      </c>
      <c r="C37" s="77">
        <v>60</v>
      </c>
      <c r="D37" s="77">
        <v>5616000</v>
      </c>
      <c r="E37" s="15">
        <v>0.76</v>
      </c>
    </row>
    <row r="38" spans="1:5" x14ac:dyDescent="0.4">
      <c r="A38" s="72" t="s">
        <v>90</v>
      </c>
      <c r="B38" s="72" t="s">
        <v>91</v>
      </c>
      <c r="C38" s="77">
        <v>99</v>
      </c>
      <c r="D38" s="77">
        <v>5227200</v>
      </c>
      <c r="E38" s="15">
        <v>0.71</v>
      </c>
    </row>
    <row r="39" spans="1:5" x14ac:dyDescent="0.4">
      <c r="A39" s="72" t="s">
        <v>653</v>
      </c>
      <c r="B39" s="72" t="s">
        <v>654</v>
      </c>
      <c r="C39" s="77">
        <v>50</v>
      </c>
      <c r="D39" s="77">
        <v>5030000</v>
      </c>
      <c r="E39" s="15">
        <v>0.68</v>
      </c>
    </row>
    <row r="40" spans="1:5" x14ac:dyDescent="0.4">
      <c r="A40" s="72" t="s">
        <v>142</v>
      </c>
      <c r="B40" s="72" t="s">
        <v>143</v>
      </c>
      <c r="C40" s="77">
        <v>30</v>
      </c>
      <c r="D40" s="77">
        <v>4851000</v>
      </c>
      <c r="E40" s="15">
        <v>0.66</v>
      </c>
    </row>
    <row r="41" spans="1:5" x14ac:dyDescent="0.4">
      <c r="A41" s="72" t="s">
        <v>3175</v>
      </c>
      <c r="B41" s="72" t="s">
        <v>3176</v>
      </c>
      <c r="C41" s="77">
        <v>24</v>
      </c>
      <c r="D41" s="77">
        <v>4848000</v>
      </c>
      <c r="E41" s="15">
        <v>0.66</v>
      </c>
    </row>
    <row r="42" spans="1:5" x14ac:dyDescent="0.4">
      <c r="A42" s="72" t="s">
        <v>123</v>
      </c>
      <c r="B42" s="72" t="s">
        <v>124</v>
      </c>
      <c r="C42" s="77">
        <v>201</v>
      </c>
      <c r="D42" s="77">
        <v>4803900</v>
      </c>
      <c r="E42" s="15">
        <v>0.65</v>
      </c>
    </row>
    <row r="43" spans="1:5" x14ac:dyDescent="0.4">
      <c r="A43" s="72"/>
      <c r="B43" s="72" t="s">
        <v>10</v>
      </c>
      <c r="C43" s="77">
        <v>21542083</v>
      </c>
      <c r="D43" s="77">
        <v>21542083</v>
      </c>
      <c r="E43" s="15">
        <v>2.91</v>
      </c>
    </row>
    <row r="44" spans="1:5" x14ac:dyDescent="0.4">
      <c r="C44" s="13"/>
      <c r="D44" s="13"/>
      <c r="E44" s="72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74" t="s">
        <v>525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434</v>
      </c>
      <c r="B11" s="73" t="s">
        <v>435</v>
      </c>
      <c r="C11" s="75">
        <v>2338</v>
      </c>
      <c r="D11" s="75">
        <v>174181000</v>
      </c>
      <c r="E11" s="19">
        <v>8</v>
      </c>
      <c r="F11" s="17"/>
      <c r="G11" s="17"/>
    </row>
    <row r="12" spans="1:7" x14ac:dyDescent="0.4">
      <c r="A12" s="72" t="s">
        <v>324</v>
      </c>
      <c r="B12" s="73" t="s">
        <v>325</v>
      </c>
      <c r="C12" s="76">
        <v>593</v>
      </c>
      <c r="D12" s="77">
        <v>168115500</v>
      </c>
      <c r="E12" s="15">
        <v>7.72</v>
      </c>
    </row>
    <row r="13" spans="1:7" x14ac:dyDescent="0.4">
      <c r="A13" s="72" t="s">
        <v>410</v>
      </c>
      <c r="B13" s="72" t="s">
        <v>411</v>
      </c>
      <c r="C13" s="77">
        <v>1020</v>
      </c>
      <c r="D13" s="77">
        <v>156060000</v>
      </c>
      <c r="E13" s="15">
        <v>7.17</v>
      </c>
    </row>
    <row r="14" spans="1:7" x14ac:dyDescent="0.4">
      <c r="A14" s="72" t="s">
        <v>299</v>
      </c>
      <c r="B14" s="73" t="s">
        <v>300</v>
      </c>
      <c r="C14" s="75">
        <v>300</v>
      </c>
      <c r="D14" s="75">
        <v>149550000</v>
      </c>
      <c r="E14" s="19">
        <v>6.87</v>
      </c>
      <c r="F14" s="17"/>
      <c r="G14" s="17"/>
    </row>
    <row r="15" spans="1:7" x14ac:dyDescent="0.4">
      <c r="A15" s="72" t="s">
        <v>19</v>
      </c>
      <c r="B15" s="73" t="s">
        <v>20</v>
      </c>
      <c r="C15" s="76">
        <v>536</v>
      </c>
      <c r="D15" s="77">
        <v>123012000</v>
      </c>
      <c r="E15" s="15">
        <v>5.65</v>
      </c>
    </row>
    <row r="16" spans="1:7" x14ac:dyDescent="0.4">
      <c r="A16" s="72" t="s">
        <v>392</v>
      </c>
      <c r="B16" s="72" t="s">
        <v>393</v>
      </c>
      <c r="C16" s="76">
        <v>546</v>
      </c>
      <c r="D16" s="77">
        <v>116298000</v>
      </c>
      <c r="E16" s="15">
        <v>5.34</v>
      </c>
    </row>
    <row r="17" spans="1:7" x14ac:dyDescent="0.4">
      <c r="A17" s="72" t="s">
        <v>11</v>
      </c>
      <c r="B17" s="73" t="s">
        <v>12</v>
      </c>
      <c r="C17" s="76">
        <v>32</v>
      </c>
      <c r="D17" s="77">
        <v>103872000</v>
      </c>
      <c r="E17" s="15">
        <v>4.7699999999999996</v>
      </c>
    </row>
    <row r="18" spans="1:7" x14ac:dyDescent="0.4">
      <c r="A18" s="72" t="s">
        <v>422</v>
      </c>
      <c r="B18" s="72" t="s">
        <v>423</v>
      </c>
      <c r="C18" s="77">
        <v>898</v>
      </c>
      <c r="D18" s="77">
        <v>93302200</v>
      </c>
      <c r="E18" s="15">
        <v>4.29</v>
      </c>
    </row>
    <row r="19" spans="1:7" x14ac:dyDescent="0.4">
      <c r="A19" s="72" t="s">
        <v>322</v>
      </c>
      <c r="B19" s="73" t="s">
        <v>323</v>
      </c>
      <c r="C19" s="75">
        <v>2034</v>
      </c>
      <c r="D19" s="75">
        <v>82478700</v>
      </c>
      <c r="E19" s="19">
        <v>3.79</v>
      </c>
      <c r="F19" s="17"/>
      <c r="G19" s="17"/>
    </row>
    <row r="20" spans="1:7" x14ac:dyDescent="0.4">
      <c r="A20" s="72" t="s">
        <v>376</v>
      </c>
      <c r="B20" s="72" t="s">
        <v>377</v>
      </c>
      <c r="C20" s="77">
        <v>5027</v>
      </c>
      <c r="D20" s="77">
        <v>76510940</v>
      </c>
      <c r="E20" s="15">
        <v>3.51</v>
      </c>
    </row>
    <row r="21" spans="1:7" x14ac:dyDescent="0.4">
      <c r="A21" s="72" t="s">
        <v>15</v>
      </c>
      <c r="B21" s="72" t="s">
        <v>16</v>
      </c>
      <c r="C21" s="77">
        <v>69</v>
      </c>
      <c r="D21" s="77">
        <v>71277000</v>
      </c>
      <c r="E21" s="15">
        <v>3.27</v>
      </c>
    </row>
    <row r="22" spans="1:7" x14ac:dyDescent="0.4">
      <c r="A22" s="72" t="s">
        <v>408</v>
      </c>
      <c r="B22" s="72" t="s">
        <v>409</v>
      </c>
      <c r="C22" s="77">
        <v>709</v>
      </c>
      <c r="D22" s="77">
        <v>55160200</v>
      </c>
      <c r="E22" s="15">
        <v>2.5299999999999998</v>
      </c>
    </row>
    <row r="23" spans="1:7" x14ac:dyDescent="0.4">
      <c r="A23" s="72" t="s">
        <v>307</v>
      </c>
      <c r="B23" s="72" t="s">
        <v>308</v>
      </c>
      <c r="C23" s="76">
        <v>275</v>
      </c>
      <c r="D23" s="77">
        <v>50792500</v>
      </c>
      <c r="E23" s="15">
        <v>2.33</v>
      </c>
    </row>
    <row r="24" spans="1:7" x14ac:dyDescent="0.4">
      <c r="A24" s="72" t="s">
        <v>27</v>
      </c>
      <c r="B24" s="72" t="s">
        <v>28</v>
      </c>
      <c r="C24" s="76">
        <v>808</v>
      </c>
      <c r="D24" s="77">
        <v>50096000</v>
      </c>
      <c r="E24" s="15">
        <v>2.2999999999999998</v>
      </c>
    </row>
    <row r="25" spans="1:7" x14ac:dyDescent="0.4">
      <c r="A25" s="72" t="s">
        <v>394</v>
      </c>
      <c r="B25" s="72" t="s">
        <v>395</v>
      </c>
      <c r="C25" s="77">
        <v>1123</v>
      </c>
      <c r="D25" s="77">
        <v>45537650</v>
      </c>
      <c r="E25" s="15">
        <v>2.09</v>
      </c>
    </row>
    <row r="26" spans="1:7" x14ac:dyDescent="0.4">
      <c r="A26" s="72" t="s">
        <v>326</v>
      </c>
      <c r="B26" s="72" t="s">
        <v>327</v>
      </c>
      <c r="C26" s="77">
        <v>315</v>
      </c>
      <c r="D26" s="77">
        <v>39627000</v>
      </c>
      <c r="E26" s="15">
        <v>1.82</v>
      </c>
    </row>
    <row r="27" spans="1:7" x14ac:dyDescent="0.4">
      <c r="A27" s="72" t="s">
        <v>390</v>
      </c>
      <c r="B27" s="72" t="s">
        <v>391</v>
      </c>
      <c r="C27" s="77">
        <v>1171</v>
      </c>
      <c r="D27" s="77">
        <v>38584450</v>
      </c>
      <c r="E27" s="15">
        <v>1.77</v>
      </c>
    </row>
    <row r="28" spans="1:7" x14ac:dyDescent="0.4">
      <c r="A28" s="72" t="s">
        <v>291</v>
      </c>
      <c r="B28" s="73" t="s">
        <v>292</v>
      </c>
      <c r="C28" s="75">
        <v>1010</v>
      </c>
      <c r="D28" s="75">
        <v>37319500</v>
      </c>
      <c r="E28" s="19">
        <v>1.71</v>
      </c>
      <c r="F28" s="17"/>
      <c r="G28" s="17"/>
    </row>
    <row r="29" spans="1:7" x14ac:dyDescent="0.4">
      <c r="A29" s="72" t="s">
        <v>148</v>
      </c>
      <c r="B29" s="72" t="s">
        <v>149</v>
      </c>
      <c r="C29" s="77">
        <v>86</v>
      </c>
      <c r="D29" s="77">
        <v>32121000</v>
      </c>
      <c r="E29" s="15">
        <v>1.48</v>
      </c>
    </row>
    <row r="30" spans="1:7" x14ac:dyDescent="0.4">
      <c r="A30" s="72" t="s">
        <v>2919</v>
      </c>
      <c r="B30" s="72" t="s">
        <v>2920</v>
      </c>
      <c r="C30" s="77">
        <v>620</v>
      </c>
      <c r="D30" s="77">
        <v>28396000</v>
      </c>
      <c r="E30" s="15">
        <v>1.3</v>
      </c>
    </row>
    <row r="31" spans="1:7" x14ac:dyDescent="0.4">
      <c r="A31" s="72" t="s">
        <v>412</v>
      </c>
      <c r="B31" s="72" t="s">
        <v>413</v>
      </c>
      <c r="C31" s="77">
        <v>1231</v>
      </c>
      <c r="D31" s="77">
        <v>27266650</v>
      </c>
      <c r="E31" s="15">
        <v>1.25</v>
      </c>
    </row>
    <row r="32" spans="1:7" x14ac:dyDescent="0.4">
      <c r="A32" s="72" t="s">
        <v>1265</v>
      </c>
      <c r="B32" s="72" t="s">
        <v>1266</v>
      </c>
      <c r="C32" s="77">
        <v>440</v>
      </c>
      <c r="D32" s="77">
        <v>26400000</v>
      </c>
      <c r="E32" s="15">
        <v>1.21</v>
      </c>
    </row>
    <row r="33" spans="1:7" x14ac:dyDescent="0.4">
      <c r="A33" s="72" t="s">
        <v>353</v>
      </c>
      <c r="B33" s="72" t="s">
        <v>354</v>
      </c>
      <c r="C33" s="77">
        <v>149</v>
      </c>
      <c r="D33" s="77">
        <v>24480700</v>
      </c>
      <c r="E33" s="15">
        <v>1.1200000000000001</v>
      </c>
    </row>
    <row r="34" spans="1:7" x14ac:dyDescent="0.4">
      <c r="A34" s="72" t="s">
        <v>414</v>
      </c>
      <c r="B34" s="72" t="s">
        <v>415</v>
      </c>
      <c r="C34" s="77">
        <v>2381</v>
      </c>
      <c r="D34" s="77">
        <v>23810000</v>
      </c>
      <c r="E34" s="15">
        <v>1.0900000000000001</v>
      </c>
    </row>
    <row r="35" spans="1:7" x14ac:dyDescent="0.4">
      <c r="A35" s="72" t="s">
        <v>545</v>
      </c>
      <c r="B35" s="73" t="s">
        <v>546</v>
      </c>
      <c r="C35" s="75">
        <v>568</v>
      </c>
      <c r="D35" s="75">
        <v>21442000</v>
      </c>
      <c r="E35" s="19">
        <v>0.98</v>
      </c>
      <c r="F35" s="17"/>
      <c r="G35" s="17"/>
    </row>
    <row r="36" spans="1:7" x14ac:dyDescent="0.4">
      <c r="A36" s="72" t="s">
        <v>416</v>
      </c>
      <c r="B36" s="72" t="s">
        <v>417</v>
      </c>
      <c r="C36" s="77">
        <v>690</v>
      </c>
      <c r="D36" s="77">
        <v>20838000</v>
      </c>
      <c r="E36" s="15">
        <v>0.96</v>
      </c>
    </row>
    <row r="37" spans="1:7" x14ac:dyDescent="0.4">
      <c r="A37" s="72" t="s">
        <v>223</v>
      </c>
      <c r="B37" s="72" t="s">
        <v>224</v>
      </c>
      <c r="C37" s="77">
        <v>588</v>
      </c>
      <c r="D37" s="77">
        <v>18492600</v>
      </c>
      <c r="E37" s="15">
        <v>0.85</v>
      </c>
    </row>
    <row r="38" spans="1:7" x14ac:dyDescent="0.4">
      <c r="A38" s="72" t="s">
        <v>3105</v>
      </c>
      <c r="B38" s="72" t="s">
        <v>3106</v>
      </c>
      <c r="C38" s="77">
        <v>1138</v>
      </c>
      <c r="D38" s="77">
        <v>17946260</v>
      </c>
      <c r="E38" s="15">
        <v>0.82</v>
      </c>
    </row>
    <row r="39" spans="1:7" x14ac:dyDescent="0.4">
      <c r="A39" s="72" t="s">
        <v>591</v>
      </c>
      <c r="B39" s="72" t="s">
        <v>592</v>
      </c>
      <c r="C39" s="77">
        <v>366</v>
      </c>
      <c r="D39" s="77">
        <v>16964100</v>
      </c>
      <c r="E39" s="15">
        <v>0.78</v>
      </c>
    </row>
    <row r="40" spans="1:7" x14ac:dyDescent="0.4">
      <c r="A40" s="72" t="s">
        <v>671</v>
      </c>
      <c r="B40" s="72" t="s">
        <v>672</v>
      </c>
      <c r="C40" s="77">
        <v>1033</v>
      </c>
      <c r="D40" s="77">
        <v>16218100</v>
      </c>
      <c r="E40" s="15">
        <v>0.74</v>
      </c>
    </row>
    <row r="41" spans="1:7" x14ac:dyDescent="0.4">
      <c r="A41" s="72" t="s">
        <v>4667</v>
      </c>
      <c r="B41" s="72" t="s">
        <v>4668</v>
      </c>
      <c r="C41" s="77">
        <v>291</v>
      </c>
      <c r="D41" s="77">
        <v>14870100</v>
      </c>
      <c r="E41" s="15">
        <v>0.68</v>
      </c>
    </row>
    <row r="42" spans="1:7" x14ac:dyDescent="0.4">
      <c r="A42" s="72" t="s">
        <v>3340</v>
      </c>
      <c r="B42" s="73" t="s">
        <v>3341</v>
      </c>
      <c r="C42" s="75">
        <v>1498</v>
      </c>
      <c r="D42" s="75">
        <v>14395780</v>
      </c>
      <c r="E42" s="19">
        <v>0.66</v>
      </c>
      <c r="F42" s="17"/>
      <c r="G42" s="17"/>
    </row>
    <row r="43" spans="1:7" x14ac:dyDescent="0.4">
      <c r="A43" s="72" t="s">
        <v>3062</v>
      </c>
      <c r="B43" s="73" t="s">
        <v>3063</v>
      </c>
      <c r="C43" s="75">
        <v>840</v>
      </c>
      <c r="D43" s="75">
        <v>14053200</v>
      </c>
      <c r="E43" s="19">
        <v>0.65</v>
      </c>
      <c r="F43" s="17"/>
      <c r="G43" s="17"/>
    </row>
    <row r="44" spans="1:7" x14ac:dyDescent="0.4">
      <c r="A44" s="72" t="s">
        <v>4780</v>
      </c>
      <c r="B44" s="72" t="s">
        <v>4781</v>
      </c>
      <c r="C44" s="77">
        <v>990</v>
      </c>
      <c r="D44" s="77">
        <v>13879800</v>
      </c>
      <c r="E44" s="15">
        <v>0.64</v>
      </c>
    </row>
    <row r="45" spans="1:7" x14ac:dyDescent="0.4">
      <c r="A45" s="72" t="s">
        <v>320</v>
      </c>
      <c r="B45" s="72" t="s">
        <v>321</v>
      </c>
      <c r="C45" s="77">
        <v>360</v>
      </c>
      <c r="D45" s="77">
        <v>13302000</v>
      </c>
      <c r="E45" s="15">
        <v>0.61</v>
      </c>
    </row>
    <row r="46" spans="1:7" x14ac:dyDescent="0.4">
      <c r="A46" s="72" t="s">
        <v>287</v>
      </c>
      <c r="B46" s="72" t="s">
        <v>288</v>
      </c>
      <c r="C46" s="77">
        <v>31</v>
      </c>
      <c r="D46" s="77">
        <v>11919500</v>
      </c>
      <c r="E46" s="15">
        <v>0.55000000000000004</v>
      </c>
    </row>
    <row r="47" spans="1:7" x14ac:dyDescent="0.4">
      <c r="A47" s="72" t="s">
        <v>332</v>
      </c>
      <c r="B47" s="72" t="s">
        <v>333</v>
      </c>
      <c r="C47" s="77">
        <v>224</v>
      </c>
      <c r="D47" s="77">
        <v>11804800</v>
      </c>
      <c r="E47" s="15">
        <v>0.54</v>
      </c>
    </row>
    <row r="48" spans="1:7" x14ac:dyDescent="0.4">
      <c r="A48" s="72" t="s">
        <v>733</v>
      </c>
      <c r="B48" s="72" t="s">
        <v>734</v>
      </c>
      <c r="C48" s="77">
        <v>148</v>
      </c>
      <c r="D48" s="77">
        <v>11514400</v>
      </c>
      <c r="E48" s="15">
        <v>0.53</v>
      </c>
    </row>
    <row r="49" spans="1:5" x14ac:dyDescent="0.4">
      <c r="A49" s="72" t="s">
        <v>4966</v>
      </c>
      <c r="B49" s="72" t="s">
        <v>4967</v>
      </c>
      <c r="C49" s="77">
        <v>429</v>
      </c>
      <c r="D49" s="77">
        <v>9695400</v>
      </c>
      <c r="E49" s="15">
        <v>0.45</v>
      </c>
    </row>
    <row r="50" spans="1:5" x14ac:dyDescent="0.4">
      <c r="A50" s="72" t="s">
        <v>401</v>
      </c>
      <c r="B50" s="72" t="s">
        <v>402</v>
      </c>
      <c r="C50" s="77">
        <v>229</v>
      </c>
      <c r="D50" s="77">
        <v>9606550</v>
      </c>
      <c r="E50" s="15">
        <v>0.44</v>
      </c>
    </row>
    <row r="51" spans="1:5" x14ac:dyDescent="0.4">
      <c r="A51" s="72" t="s">
        <v>4258</v>
      </c>
      <c r="B51" s="72" t="s">
        <v>4259</v>
      </c>
      <c r="C51" s="77">
        <v>218</v>
      </c>
      <c r="D51" s="77">
        <v>9341300</v>
      </c>
      <c r="E51" s="15">
        <v>0.43</v>
      </c>
    </row>
    <row r="52" spans="1:5" x14ac:dyDescent="0.4">
      <c r="A52" s="72" t="s">
        <v>340</v>
      </c>
      <c r="B52" s="72" t="s">
        <v>341</v>
      </c>
      <c r="C52" s="77">
        <v>402</v>
      </c>
      <c r="D52" s="77">
        <v>8220900</v>
      </c>
      <c r="E52" s="15">
        <v>0.38</v>
      </c>
    </row>
    <row r="53" spans="1:5" x14ac:dyDescent="0.4">
      <c r="A53" s="72" t="s">
        <v>589</v>
      </c>
      <c r="B53" s="72" t="s">
        <v>590</v>
      </c>
      <c r="C53" s="77">
        <v>1721</v>
      </c>
      <c r="D53" s="77">
        <v>8062885</v>
      </c>
      <c r="E53" s="15">
        <v>0.37</v>
      </c>
    </row>
    <row r="54" spans="1:5" x14ac:dyDescent="0.4">
      <c r="A54" s="72" t="s">
        <v>384</v>
      </c>
      <c r="B54" s="72" t="s">
        <v>385</v>
      </c>
      <c r="C54" s="77">
        <v>316</v>
      </c>
      <c r="D54" s="77">
        <v>6715000</v>
      </c>
      <c r="E54" s="15">
        <v>0.31</v>
      </c>
    </row>
    <row r="55" spans="1:5" x14ac:dyDescent="0.4">
      <c r="A55" s="72" t="s">
        <v>426</v>
      </c>
      <c r="B55" s="72" t="s">
        <v>427</v>
      </c>
      <c r="C55" s="77">
        <v>1471</v>
      </c>
      <c r="D55" s="77">
        <v>6362075</v>
      </c>
      <c r="E55" s="15">
        <v>0.28999999999999998</v>
      </c>
    </row>
    <row r="56" spans="1:5" x14ac:dyDescent="0.4">
      <c r="A56" s="72" t="s">
        <v>936</v>
      </c>
      <c r="B56" s="72" t="s">
        <v>937</v>
      </c>
      <c r="C56" s="77">
        <v>282</v>
      </c>
      <c r="D56" s="77">
        <v>6330900</v>
      </c>
      <c r="E56" s="15">
        <v>0.28999999999999998</v>
      </c>
    </row>
    <row r="57" spans="1:5" x14ac:dyDescent="0.4">
      <c r="A57" s="72" t="s">
        <v>477</v>
      </c>
      <c r="B57" s="72" t="s">
        <v>478</v>
      </c>
      <c r="C57" s="77">
        <v>629</v>
      </c>
      <c r="D57" s="77">
        <v>5849700</v>
      </c>
      <c r="E57" s="15">
        <v>0.27</v>
      </c>
    </row>
    <row r="58" spans="1:5" x14ac:dyDescent="0.4">
      <c r="A58" s="72" t="s">
        <v>493</v>
      </c>
      <c r="B58" s="72" t="s">
        <v>494</v>
      </c>
      <c r="C58" s="77">
        <v>20</v>
      </c>
      <c r="D58" s="77">
        <v>4910000</v>
      </c>
      <c r="E58" s="15">
        <v>0.23</v>
      </c>
    </row>
    <row r="59" spans="1:5" x14ac:dyDescent="0.4">
      <c r="A59" s="72" t="s">
        <v>386</v>
      </c>
      <c r="B59" s="72" t="s">
        <v>387</v>
      </c>
      <c r="C59" s="77">
        <v>62</v>
      </c>
      <c r="D59" s="77">
        <v>4371000</v>
      </c>
      <c r="E59" s="15">
        <v>0.2</v>
      </c>
    </row>
    <row r="60" spans="1:5" x14ac:dyDescent="0.4">
      <c r="A60" s="72" t="s">
        <v>428</v>
      </c>
      <c r="B60" s="72" t="s">
        <v>429</v>
      </c>
      <c r="C60" s="77">
        <v>3881</v>
      </c>
      <c r="D60" s="77">
        <v>3469614</v>
      </c>
      <c r="E60" s="15">
        <v>0.16</v>
      </c>
    </row>
    <row r="61" spans="1:5" x14ac:dyDescent="0.4">
      <c r="A61" s="72" t="s">
        <v>430</v>
      </c>
      <c r="B61" s="72" t="s">
        <v>431</v>
      </c>
      <c r="C61" s="77">
        <v>373</v>
      </c>
      <c r="D61" s="77">
        <v>3084710</v>
      </c>
      <c r="E61" s="15">
        <v>0.14000000000000001</v>
      </c>
    </row>
    <row r="62" spans="1:5" x14ac:dyDescent="0.4">
      <c r="A62" s="72" t="s">
        <v>140</v>
      </c>
      <c r="B62" s="72" t="s">
        <v>141</v>
      </c>
      <c r="C62" s="77">
        <v>5</v>
      </c>
      <c r="D62" s="77">
        <v>2985000</v>
      </c>
      <c r="E62" s="15">
        <v>0.14000000000000001</v>
      </c>
    </row>
    <row r="63" spans="1:5" x14ac:dyDescent="0.4">
      <c r="A63" s="72" t="s">
        <v>17</v>
      </c>
      <c r="B63" s="72" t="s">
        <v>18</v>
      </c>
      <c r="C63" s="77">
        <v>32</v>
      </c>
      <c r="D63" s="77">
        <v>2835200</v>
      </c>
      <c r="E63" s="15">
        <v>0.13</v>
      </c>
    </row>
    <row r="64" spans="1:5" x14ac:dyDescent="0.4">
      <c r="A64" s="72" t="s">
        <v>172</v>
      </c>
      <c r="B64" s="72" t="s">
        <v>173</v>
      </c>
      <c r="C64" s="77">
        <v>4</v>
      </c>
      <c r="D64" s="77">
        <v>2304000</v>
      </c>
      <c r="E64" s="15">
        <v>0.11</v>
      </c>
    </row>
    <row r="65" spans="1:5" x14ac:dyDescent="0.4">
      <c r="A65" s="72" t="s">
        <v>242</v>
      </c>
      <c r="B65" s="72" t="s">
        <v>243</v>
      </c>
      <c r="C65" s="72">
        <v>10</v>
      </c>
      <c r="D65" s="77">
        <v>2260000</v>
      </c>
      <c r="E65" s="15">
        <v>0.1</v>
      </c>
    </row>
    <row r="66" spans="1:5" x14ac:dyDescent="0.4">
      <c r="A66" s="72" t="s">
        <v>420</v>
      </c>
      <c r="B66" s="72" t="s">
        <v>421</v>
      </c>
      <c r="C66" s="77">
        <v>60</v>
      </c>
      <c r="D66" s="77">
        <v>2223000</v>
      </c>
      <c r="E66" s="15">
        <v>0.1</v>
      </c>
    </row>
    <row r="67" spans="1:5" x14ac:dyDescent="0.4">
      <c r="A67" s="72" t="s">
        <v>297</v>
      </c>
      <c r="B67" s="72" t="s">
        <v>298</v>
      </c>
      <c r="C67" s="77">
        <v>21</v>
      </c>
      <c r="D67" s="77">
        <v>2167200</v>
      </c>
      <c r="E67" s="15">
        <v>0.1</v>
      </c>
    </row>
    <row r="68" spans="1:5" x14ac:dyDescent="0.4">
      <c r="A68" s="72" t="s">
        <v>120</v>
      </c>
      <c r="B68" s="72" t="s">
        <v>121</v>
      </c>
      <c r="C68" s="72">
        <v>6</v>
      </c>
      <c r="D68" s="77">
        <v>2148000</v>
      </c>
      <c r="E68" s="15">
        <v>0.1</v>
      </c>
    </row>
    <row r="69" spans="1:5" x14ac:dyDescent="0.4">
      <c r="A69" s="72" t="s">
        <v>436</v>
      </c>
      <c r="B69" s="72" t="s">
        <v>437</v>
      </c>
      <c r="C69" s="72">
        <v>34</v>
      </c>
      <c r="D69" s="77">
        <v>1972000</v>
      </c>
      <c r="E69" s="15">
        <v>0.09</v>
      </c>
    </row>
    <row r="70" spans="1:5" x14ac:dyDescent="0.4">
      <c r="A70" s="72" t="s">
        <v>116</v>
      </c>
      <c r="B70" s="72" t="s">
        <v>117</v>
      </c>
      <c r="C70" s="72">
        <v>16</v>
      </c>
      <c r="D70" s="77">
        <v>1809600</v>
      </c>
      <c r="E70" s="15">
        <v>0.08</v>
      </c>
    </row>
    <row r="71" spans="1:5" x14ac:dyDescent="0.4">
      <c r="A71" s="72" t="s">
        <v>432</v>
      </c>
      <c r="B71" s="72" t="s">
        <v>433</v>
      </c>
      <c r="C71" s="72">
        <v>436</v>
      </c>
      <c r="D71" s="77">
        <v>1800680</v>
      </c>
      <c r="E71" s="15">
        <v>0.08</v>
      </c>
    </row>
    <row r="72" spans="1:5" x14ac:dyDescent="0.4">
      <c r="A72" s="72" t="s">
        <v>152</v>
      </c>
      <c r="B72" s="72" t="s">
        <v>153</v>
      </c>
      <c r="C72" s="72">
        <v>6</v>
      </c>
      <c r="D72" s="77">
        <v>1776000</v>
      </c>
      <c r="E72" s="15">
        <v>0.08</v>
      </c>
    </row>
    <row r="73" spans="1:5" x14ac:dyDescent="0.4">
      <c r="A73" s="72" t="s">
        <v>314</v>
      </c>
      <c r="B73" s="72" t="s">
        <v>315</v>
      </c>
      <c r="C73" s="72">
        <v>36</v>
      </c>
      <c r="D73" s="77">
        <v>1639800</v>
      </c>
      <c r="E73" s="15">
        <v>0.08</v>
      </c>
    </row>
    <row r="74" spans="1:5" x14ac:dyDescent="0.4">
      <c r="A74" s="72" t="s">
        <v>127</v>
      </c>
      <c r="B74" s="72" t="s">
        <v>128</v>
      </c>
      <c r="C74" s="72">
        <v>10</v>
      </c>
      <c r="D74" s="77">
        <v>1560000</v>
      </c>
      <c r="E74" s="15">
        <v>7.0000000000000007E-2</v>
      </c>
    </row>
    <row r="75" spans="1:5" x14ac:dyDescent="0.4">
      <c r="A75" s="72" t="s">
        <v>418</v>
      </c>
      <c r="B75" s="72" t="s">
        <v>419</v>
      </c>
      <c r="C75" s="72">
        <v>149</v>
      </c>
      <c r="D75" s="77">
        <v>1385700</v>
      </c>
      <c r="E75" s="15">
        <v>0.06</v>
      </c>
    </row>
    <row r="76" spans="1:5" x14ac:dyDescent="0.4">
      <c r="A76" s="72" t="s">
        <v>305</v>
      </c>
      <c r="B76" s="72" t="s">
        <v>306</v>
      </c>
      <c r="C76" s="77">
        <v>1</v>
      </c>
      <c r="D76" s="77">
        <v>1164000</v>
      </c>
      <c r="E76" s="15">
        <v>0.05</v>
      </c>
    </row>
    <row r="77" spans="1:5" x14ac:dyDescent="0.4">
      <c r="A77" s="72" t="s">
        <v>186</v>
      </c>
      <c r="B77" s="72" t="s">
        <v>187</v>
      </c>
      <c r="C77" s="77">
        <v>3</v>
      </c>
      <c r="D77" s="77">
        <v>949500</v>
      </c>
      <c r="E77" s="15">
        <v>0.04</v>
      </c>
    </row>
    <row r="78" spans="1:5" x14ac:dyDescent="0.4">
      <c r="A78" s="72" t="s">
        <v>344</v>
      </c>
      <c r="B78" s="72" t="s">
        <v>345</v>
      </c>
      <c r="C78" s="77">
        <v>7</v>
      </c>
      <c r="D78" s="77">
        <v>938000</v>
      </c>
      <c r="E78" s="15">
        <v>0.04</v>
      </c>
    </row>
    <row r="79" spans="1:5" x14ac:dyDescent="0.4">
      <c r="A79" s="72" t="s">
        <v>424</v>
      </c>
      <c r="B79" s="72" t="s">
        <v>425</v>
      </c>
      <c r="C79" s="77">
        <v>57</v>
      </c>
      <c r="D79" s="77">
        <v>848730</v>
      </c>
      <c r="E79" s="15">
        <v>0.04</v>
      </c>
    </row>
    <row r="80" spans="1:5" x14ac:dyDescent="0.4">
      <c r="A80" s="72" t="s">
        <v>438</v>
      </c>
      <c r="B80" s="72" t="s">
        <v>439</v>
      </c>
      <c r="C80" s="77">
        <v>6</v>
      </c>
      <c r="D80" s="77">
        <v>834000</v>
      </c>
      <c r="E80" s="15">
        <v>0.04</v>
      </c>
    </row>
    <row r="81" spans="1:5" x14ac:dyDescent="0.4">
      <c r="A81" s="72" t="s">
        <v>23</v>
      </c>
      <c r="B81" s="72" t="s">
        <v>24</v>
      </c>
      <c r="C81" s="77">
        <v>15</v>
      </c>
      <c r="D81" s="77">
        <v>739500</v>
      </c>
      <c r="E81" s="15">
        <v>0.03</v>
      </c>
    </row>
    <row r="82" spans="1:5" x14ac:dyDescent="0.4">
      <c r="A82" s="72" t="s">
        <v>21</v>
      </c>
      <c r="B82" s="72" t="s">
        <v>22</v>
      </c>
      <c r="C82" s="77">
        <v>6</v>
      </c>
      <c r="D82" s="77">
        <v>736200</v>
      </c>
      <c r="E82" s="15">
        <v>0.03</v>
      </c>
    </row>
    <row r="83" spans="1:5" x14ac:dyDescent="0.4">
      <c r="A83" s="72" t="s">
        <v>25</v>
      </c>
      <c r="B83" s="72" t="s">
        <v>26</v>
      </c>
      <c r="C83" s="72">
        <v>6</v>
      </c>
      <c r="D83" s="77">
        <v>698400</v>
      </c>
      <c r="E83" s="15">
        <v>0.03</v>
      </c>
    </row>
    <row r="84" spans="1:5" x14ac:dyDescent="0.4">
      <c r="A84" s="72" t="s">
        <v>440</v>
      </c>
      <c r="B84" s="72" t="s">
        <v>441</v>
      </c>
      <c r="C84" s="77">
        <v>145</v>
      </c>
      <c r="D84" s="77">
        <v>665550</v>
      </c>
      <c r="E84" s="15">
        <v>0.03</v>
      </c>
    </row>
    <row r="85" spans="1:5" x14ac:dyDescent="0.4">
      <c r="A85" s="72" t="s">
        <v>338</v>
      </c>
      <c r="B85" s="72" t="s">
        <v>339</v>
      </c>
      <c r="C85" s="77">
        <v>156</v>
      </c>
      <c r="D85" s="77">
        <v>659880</v>
      </c>
      <c r="E85" s="15">
        <v>0.03</v>
      </c>
    </row>
    <row r="86" spans="1:5" x14ac:dyDescent="0.4">
      <c r="A86" s="72" t="s">
        <v>442</v>
      </c>
      <c r="B86" s="72" t="s">
        <v>443</v>
      </c>
      <c r="C86" s="72">
        <v>37</v>
      </c>
      <c r="D86" s="77">
        <v>512450</v>
      </c>
      <c r="E86" s="15">
        <v>0.02</v>
      </c>
    </row>
    <row r="87" spans="1:5" x14ac:dyDescent="0.4">
      <c r="A87" s="72" t="s">
        <v>399</v>
      </c>
      <c r="B87" s="72" t="s">
        <v>400</v>
      </c>
      <c r="C87" s="77">
        <v>11</v>
      </c>
      <c r="D87" s="77">
        <v>471350</v>
      </c>
      <c r="E87" s="15">
        <v>0.02</v>
      </c>
    </row>
    <row r="88" spans="1:5" x14ac:dyDescent="0.4">
      <c r="A88" s="72" t="s">
        <v>94</v>
      </c>
      <c r="B88" s="72" t="s">
        <v>95</v>
      </c>
      <c r="C88" s="77">
        <v>13</v>
      </c>
      <c r="D88" s="77">
        <v>466700</v>
      </c>
      <c r="E88" s="15">
        <v>0.02</v>
      </c>
    </row>
    <row r="89" spans="1:5" x14ac:dyDescent="0.4">
      <c r="A89" s="72"/>
      <c r="B89" s="72" t="s">
        <v>10</v>
      </c>
      <c r="C89" s="77">
        <v>40849058</v>
      </c>
      <c r="D89" s="77">
        <v>40849058</v>
      </c>
      <c r="E89" s="15">
        <v>1.88</v>
      </c>
    </row>
    <row r="90" spans="1:5" x14ac:dyDescent="0.4">
      <c r="E90" s="72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74" t="s">
        <v>525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324</v>
      </c>
      <c r="B11" s="72" t="s">
        <v>325</v>
      </c>
      <c r="C11" s="77">
        <v>593</v>
      </c>
      <c r="D11" s="77">
        <v>207253500</v>
      </c>
      <c r="E11" s="15">
        <v>8.15</v>
      </c>
    </row>
    <row r="12" spans="1:5" x14ac:dyDescent="0.4">
      <c r="A12" s="72" t="s">
        <v>299</v>
      </c>
      <c r="B12" s="72" t="s">
        <v>300</v>
      </c>
      <c r="C12" s="76">
        <v>300</v>
      </c>
      <c r="D12" s="77">
        <v>206400000</v>
      </c>
      <c r="E12" s="15">
        <v>8.11</v>
      </c>
    </row>
    <row r="13" spans="1:5" x14ac:dyDescent="0.4">
      <c r="A13" s="72" t="s">
        <v>434</v>
      </c>
      <c r="B13" s="72" t="s">
        <v>435</v>
      </c>
      <c r="C13" s="77">
        <v>2338</v>
      </c>
      <c r="D13" s="77">
        <v>181428800</v>
      </c>
      <c r="E13" s="15">
        <v>7.13</v>
      </c>
    </row>
    <row r="14" spans="1:5" x14ac:dyDescent="0.4">
      <c r="A14" s="72" t="s">
        <v>410</v>
      </c>
      <c r="B14" s="72" t="s">
        <v>411</v>
      </c>
      <c r="C14" s="77">
        <v>1020</v>
      </c>
      <c r="D14" s="77">
        <v>178296000</v>
      </c>
      <c r="E14" s="15">
        <v>7.01</v>
      </c>
    </row>
    <row r="15" spans="1:5" x14ac:dyDescent="0.4">
      <c r="A15" s="72" t="s">
        <v>392</v>
      </c>
      <c r="B15" s="72" t="s">
        <v>393</v>
      </c>
      <c r="C15" s="76">
        <v>546</v>
      </c>
      <c r="D15" s="77">
        <v>134862000</v>
      </c>
      <c r="E15" s="15">
        <v>5.3</v>
      </c>
    </row>
    <row r="16" spans="1:5" x14ac:dyDescent="0.4">
      <c r="A16" s="72" t="s">
        <v>422</v>
      </c>
      <c r="B16" s="72" t="s">
        <v>423</v>
      </c>
      <c r="C16" s="76">
        <v>898</v>
      </c>
      <c r="D16" s="77">
        <v>133802000</v>
      </c>
      <c r="E16" s="15">
        <v>5.26</v>
      </c>
    </row>
    <row r="17" spans="1:5" x14ac:dyDescent="0.4">
      <c r="A17" s="72" t="s">
        <v>19</v>
      </c>
      <c r="B17" s="72" t="s">
        <v>20</v>
      </c>
      <c r="C17" s="76">
        <v>536</v>
      </c>
      <c r="D17" s="77">
        <v>129444000</v>
      </c>
      <c r="E17" s="15">
        <v>5.09</v>
      </c>
    </row>
    <row r="18" spans="1:5" x14ac:dyDescent="0.4">
      <c r="A18" s="72" t="s">
        <v>11</v>
      </c>
      <c r="B18" s="72" t="s">
        <v>12</v>
      </c>
      <c r="C18" s="77">
        <v>32</v>
      </c>
      <c r="D18" s="77">
        <v>117920000</v>
      </c>
      <c r="E18" s="15">
        <v>4.6399999999999997</v>
      </c>
    </row>
    <row r="19" spans="1:5" x14ac:dyDescent="0.4">
      <c r="A19" s="72" t="s">
        <v>322</v>
      </c>
      <c r="B19" s="72" t="s">
        <v>323</v>
      </c>
      <c r="C19" s="77">
        <v>2034</v>
      </c>
      <c r="D19" s="77">
        <v>96615000</v>
      </c>
      <c r="E19" s="15">
        <v>3.8</v>
      </c>
    </row>
    <row r="20" spans="1:5" x14ac:dyDescent="0.4">
      <c r="A20" s="72" t="s">
        <v>376</v>
      </c>
      <c r="B20" s="72" t="s">
        <v>377</v>
      </c>
      <c r="C20" s="77">
        <v>5027</v>
      </c>
      <c r="D20" s="77">
        <v>85509270</v>
      </c>
      <c r="E20" s="15">
        <v>3.36</v>
      </c>
    </row>
    <row r="21" spans="1:5" x14ac:dyDescent="0.4">
      <c r="A21" s="72" t="s">
        <v>15</v>
      </c>
      <c r="B21" s="72" t="s">
        <v>16</v>
      </c>
      <c r="C21" s="77">
        <v>69</v>
      </c>
      <c r="D21" s="77">
        <v>72657000</v>
      </c>
      <c r="E21" s="15">
        <v>2.86</v>
      </c>
    </row>
    <row r="22" spans="1:5" x14ac:dyDescent="0.4">
      <c r="A22" s="72" t="s">
        <v>307</v>
      </c>
      <c r="B22" s="72" t="s">
        <v>308</v>
      </c>
      <c r="C22" s="77">
        <v>275</v>
      </c>
      <c r="D22" s="77">
        <v>67512500</v>
      </c>
      <c r="E22" s="15">
        <v>2.65</v>
      </c>
    </row>
    <row r="23" spans="1:5" x14ac:dyDescent="0.4">
      <c r="A23" s="72" t="s">
        <v>408</v>
      </c>
      <c r="B23" s="72" t="s">
        <v>409</v>
      </c>
      <c r="C23" s="76">
        <v>709</v>
      </c>
      <c r="D23" s="77">
        <v>65866100</v>
      </c>
      <c r="E23" s="15">
        <v>2.59</v>
      </c>
    </row>
    <row r="24" spans="1:5" x14ac:dyDescent="0.4">
      <c r="A24" s="72" t="s">
        <v>27</v>
      </c>
      <c r="B24" s="72" t="s">
        <v>28</v>
      </c>
      <c r="C24" s="76">
        <v>808</v>
      </c>
      <c r="D24" s="77">
        <v>58903200</v>
      </c>
      <c r="E24" s="15">
        <v>2.3199999999999998</v>
      </c>
    </row>
    <row r="25" spans="1:5" x14ac:dyDescent="0.4">
      <c r="A25" s="72" t="s">
        <v>326</v>
      </c>
      <c r="B25" s="72" t="s">
        <v>327</v>
      </c>
      <c r="C25" s="77">
        <v>315</v>
      </c>
      <c r="D25" s="77">
        <v>53014500</v>
      </c>
      <c r="E25" s="15">
        <v>2.08</v>
      </c>
    </row>
    <row r="26" spans="1:5" x14ac:dyDescent="0.4">
      <c r="A26" s="72" t="s">
        <v>394</v>
      </c>
      <c r="B26" s="72" t="s">
        <v>395</v>
      </c>
      <c r="C26" s="77">
        <v>1123</v>
      </c>
      <c r="D26" s="77">
        <v>45032300</v>
      </c>
      <c r="E26" s="15">
        <v>1.77</v>
      </c>
    </row>
    <row r="27" spans="1:5" x14ac:dyDescent="0.4">
      <c r="A27" s="72" t="s">
        <v>390</v>
      </c>
      <c r="B27" s="72" t="s">
        <v>391</v>
      </c>
      <c r="C27" s="77">
        <v>1171</v>
      </c>
      <c r="D27" s="77">
        <v>44673650</v>
      </c>
      <c r="E27" s="15">
        <v>1.76</v>
      </c>
    </row>
    <row r="28" spans="1:5" x14ac:dyDescent="0.4">
      <c r="A28" s="72" t="s">
        <v>291</v>
      </c>
      <c r="B28" s="72" t="s">
        <v>292</v>
      </c>
      <c r="C28" s="77">
        <v>1010</v>
      </c>
      <c r="D28" s="77">
        <v>42268500</v>
      </c>
      <c r="E28" s="15">
        <v>1.66</v>
      </c>
    </row>
    <row r="29" spans="1:5" x14ac:dyDescent="0.4">
      <c r="A29" s="72" t="s">
        <v>148</v>
      </c>
      <c r="B29" s="72" t="s">
        <v>149</v>
      </c>
      <c r="C29" s="77">
        <v>86</v>
      </c>
      <c r="D29" s="77">
        <v>38356000</v>
      </c>
      <c r="E29" s="15">
        <v>1.51</v>
      </c>
    </row>
    <row r="30" spans="1:5" x14ac:dyDescent="0.4">
      <c r="A30" s="72" t="s">
        <v>2919</v>
      </c>
      <c r="B30" s="72" t="s">
        <v>2920</v>
      </c>
      <c r="C30" s="77">
        <v>620</v>
      </c>
      <c r="D30" s="77">
        <v>32612000</v>
      </c>
      <c r="E30" s="15">
        <v>1.28</v>
      </c>
    </row>
    <row r="31" spans="1:5" x14ac:dyDescent="0.4">
      <c r="A31" s="72" t="s">
        <v>353</v>
      </c>
      <c r="B31" s="72" t="s">
        <v>354</v>
      </c>
      <c r="C31" s="77">
        <v>149</v>
      </c>
      <c r="D31" s="77">
        <v>32333000</v>
      </c>
      <c r="E31" s="15">
        <v>1.27</v>
      </c>
    </row>
    <row r="32" spans="1:5" x14ac:dyDescent="0.4">
      <c r="A32" s="72" t="s">
        <v>1265</v>
      </c>
      <c r="B32" s="72" t="s">
        <v>1266</v>
      </c>
      <c r="C32" s="77">
        <v>440</v>
      </c>
      <c r="D32" s="77">
        <v>32032000</v>
      </c>
      <c r="E32" s="15">
        <v>1.26</v>
      </c>
    </row>
    <row r="33" spans="1:5" x14ac:dyDescent="0.4">
      <c r="A33" s="72" t="s">
        <v>414</v>
      </c>
      <c r="B33" s="72" t="s">
        <v>415</v>
      </c>
      <c r="C33" s="77">
        <v>2381</v>
      </c>
      <c r="D33" s="77">
        <v>28429140</v>
      </c>
      <c r="E33" s="15">
        <v>1.1200000000000001</v>
      </c>
    </row>
    <row r="34" spans="1:5" x14ac:dyDescent="0.4">
      <c r="A34" s="72" t="s">
        <v>412</v>
      </c>
      <c r="B34" s="72" t="s">
        <v>413</v>
      </c>
      <c r="C34" s="77">
        <v>1231</v>
      </c>
      <c r="D34" s="77">
        <v>25235500</v>
      </c>
      <c r="E34" s="15">
        <v>0.99</v>
      </c>
    </row>
    <row r="35" spans="1:5" x14ac:dyDescent="0.4">
      <c r="A35" s="72" t="s">
        <v>416</v>
      </c>
      <c r="B35" s="72" t="s">
        <v>417</v>
      </c>
      <c r="C35" s="77">
        <v>690</v>
      </c>
      <c r="D35" s="77">
        <v>25116000</v>
      </c>
      <c r="E35" s="15">
        <v>0.99</v>
      </c>
    </row>
    <row r="36" spans="1:5" x14ac:dyDescent="0.4">
      <c r="A36" s="72" t="s">
        <v>545</v>
      </c>
      <c r="B36" s="72" t="s">
        <v>546</v>
      </c>
      <c r="C36" s="77">
        <v>568</v>
      </c>
      <c r="D36" s="77">
        <v>22237200</v>
      </c>
      <c r="E36" s="15">
        <v>0.87</v>
      </c>
    </row>
    <row r="37" spans="1:5" x14ac:dyDescent="0.4">
      <c r="A37" s="72" t="s">
        <v>223</v>
      </c>
      <c r="B37" s="72" t="s">
        <v>224</v>
      </c>
      <c r="C37" s="77">
        <v>588</v>
      </c>
      <c r="D37" s="77">
        <v>21550200</v>
      </c>
      <c r="E37" s="15">
        <v>0.85</v>
      </c>
    </row>
    <row r="38" spans="1:5" x14ac:dyDescent="0.4">
      <c r="A38" s="72" t="s">
        <v>591</v>
      </c>
      <c r="B38" s="72" t="s">
        <v>592</v>
      </c>
      <c r="C38" s="77">
        <v>366</v>
      </c>
      <c r="D38" s="77">
        <v>19581000</v>
      </c>
      <c r="E38" s="15">
        <v>0.77</v>
      </c>
    </row>
    <row r="39" spans="1:5" x14ac:dyDescent="0.4">
      <c r="A39" s="72" t="s">
        <v>671</v>
      </c>
      <c r="B39" s="72" t="s">
        <v>672</v>
      </c>
      <c r="C39" s="77">
        <v>1033</v>
      </c>
      <c r="D39" s="77">
        <v>18996870</v>
      </c>
      <c r="E39" s="15">
        <v>0.75</v>
      </c>
    </row>
    <row r="40" spans="1:5" x14ac:dyDescent="0.4">
      <c r="A40" s="72" t="s">
        <v>4667</v>
      </c>
      <c r="B40" s="72" t="s">
        <v>4668</v>
      </c>
      <c r="C40" s="77">
        <v>291</v>
      </c>
      <c r="D40" s="77">
        <v>17751000</v>
      </c>
      <c r="E40" s="15">
        <v>0.7</v>
      </c>
    </row>
    <row r="41" spans="1:5" x14ac:dyDescent="0.4">
      <c r="A41" s="72" t="s">
        <v>3062</v>
      </c>
      <c r="B41" s="72" t="s">
        <v>3063</v>
      </c>
      <c r="C41" s="77">
        <v>840</v>
      </c>
      <c r="D41" s="77">
        <v>17640000</v>
      </c>
      <c r="E41" s="15">
        <v>0.69</v>
      </c>
    </row>
    <row r="42" spans="1:5" x14ac:dyDescent="0.4">
      <c r="A42" s="72" t="s">
        <v>3340</v>
      </c>
      <c r="B42" s="72" t="s">
        <v>3341</v>
      </c>
      <c r="C42" s="77">
        <v>1498</v>
      </c>
      <c r="D42" s="77">
        <v>16612820</v>
      </c>
      <c r="E42" s="15">
        <v>0.65</v>
      </c>
    </row>
    <row r="43" spans="1:5" x14ac:dyDescent="0.4">
      <c r="A43" s="72" t="s">
        <v>320</v>
      </c>
      <c r="B43" s="72" t="s">
        <v>321</v>
      </c>
      <c r="C43" s="77">
        <v>360</v>
      </c>
      <c r="D43" s="77">
        <v>16362000</v>
      </c>
      <c r="E43" s="15">
        <v>0.64</v>
      </c>
    </row>
    <row r="44" spans="1:5" x14ac:dyDescent="0.4">
      <c r="A44" s="72" t="s">
        <v>4780</v>
      </c>
      <c r="B44" s="72" t="s">
        <v>4781</v>
      </c>
      <c r="C44" s="77">
        <v>990</v>
      </c>
      <c r="D44" s="77">
        <v>15453900</v>
      </c>
      <c r="E44" s="15">
        <v>0.61</v>
      </c>
    </row>
    <row r="45" spans="1:5" x14ac:dyDescent="0.4">
      <c r="A45" s="72" t="s">
        <v>287</v>
      </c>
      <c r="B45" s="72" t="s">
        <v>288</v>
      </c>
      <c r="C45" s="77">
        <v>31</v>
      </c>
      <c r="D45" s="77">
        <v>14198000</v>
      </c>
      <c r="E45" s="15">
        <v>0.56000000000000005</v>
      </c>
    </row>
    <row r="46" spans="1:5" x14ac:dyDescent="0.4">
      <c r="A46" s="72" t="s">
        <v>332</v>
      </c>
      <c r="B46" s="72" t="s">
        <v>333</v>
      </c>
      <c r="C46" s="77">
        <v>224</v>
      </c>
      <c r="D46" s="77">
        <v>13932800</v>
      </c>
      <c r="E46" s="15">
        <v>0.55000000000000004</v>
      </c>
    </row>
    <row r="47" spans="1:5" x14ac:dyDescent="0.4">
      <c r="A47" s="72" t="s">
        <v>3105</v>
      </c>
      <c r="B47" s="72" t="s">
        <v>3106</v>
      </c>
      <c r="C47" s="77">
        <v>1138</v>
      </c>
      <c r="D47" s="77">
        <v>13052860</v>
      </c>
      <c r="E47" s="15">
        <v>0.51</v>
      </c>
    </row>
    <row r="48" spans="1:5" x14ac:dyDescent="0.4">
      <c r="A48" s="72" t="s">
        <v>401</v>
      </c>
      <c r="B48" s="72" t="s">
        <v>402</v>
      </c>
      <c r="C48" s="77">
        <v>229</v>
      </c>
      <c r="D48" s="77">
        <v>12091200</v>
      </c>
      <c r="E48" s="15">
        <v>0.48</v>
      </c>
    </row>
    <row r="49" spans="1:5" x14ac:dyDescent="0.4">
      <c r="A49" s="72" t="s">
        <v>4966</v>
      </c>
      <c r="B49" s="72" t="s">
        <v>4967</v>
      </c>
      <c r="C49" s="77">
        <v>429</v>
      </c>
      <c r="D49" s="77">
        <v>11990550</v>
      </c>
      <c r="E49" s="15">
        <v>0.47</v>
      </c>
    </row>
    <row r="50" spans="1:5" x14ac:dyDescent="0.4">
      <c r="A50" s="72" t="s">
        <v>733</v>
      </c>
      <c r="B50" s="72" t="s">
        <v>734</v>
      </c>
      <c r="C50" s="77">
        <v>148</v>
      </c>
      <c r="D50" s="77">
        <v>11795600</v>
      </c>
      <c r="E50" s="15">
        <v>0.46</v>
      </c>
    </row>
    <row r="51" spans="1:5" x14ac:dyDescent="0.4">
      <c r="A51" s="72" t="s">
        <v>589</v>
      </c>
      <c r="B51" s="72" t="s">
        <v>590</v>
      </c>
      <c r="C51" s="77">
        <v>1721</v>
      </c>
      <c r="D51" s="77">
        <v>11031610</v>
      </c>
      <c r="E51" s="15">
        <v>0.43</v>
      </c>
    </row>
    <row r="52" spans="1:5" x14ac:dyDescent="0.4">
      <c r="A52" s="72" t="s">
        <v>4258</v>
      </c>
      <c r="B52" s="72" t="s">
        <v>4259</v>
      </c>
      <c r="C52" s="77">
        <v>218</v>
      </c>
      <c r="D52" s="77">
        <v>10736500</v>
      </c>
      <c r="E52" s="15">
        <v>0.42</v>
      </c>
    </row>
    <row r="53" spans="1:5" x14ac:dyDescent="0.4">
      <c r="A53" s="72" t="s">
        <v>340</v>
      </c>
      <c r="B53" s="72" t="s">
        <v>341</v>
      </c>
      <c r="C53" s="77">
        <v>402</v>
      </c>
      <c r="D53" s="77">
        <v>10532400</v>
      </c>
      <c r="E53" s="15">
        <v>0.41</v>
      </c>
    </row>
    <row r="54" spans="1:5" x14ac:dyDescent="0.4">
      <c r="A54" s="72" t="s">
        <v>477</v>
      </c>
      <c r="B54" s="72" t="s">
        <v>478</v>
      </c>
      <c r="C54" s="77">
        <v>629</v>
      </c>
      <c r="D54" s="77">
        <v>7680090</v>
      </c>
      <c r="E54" s="15">
        <v>0.3</v>
      </c>
    </row>
    <row r="55" spans="1:5" x14ac:dyDescent="0.4">
      <c r="A55" s="72" t="s">
        <v>426</v>
      </c>
      <c r="B55" s="72" t="s">
        <v>427</v>
      </c>
      <c r="C55" s="77">
        <v>1471</v>
      </c>
      <c r="D55" s="77">
        <v>7546230</v>
      </c>
      <c r="E55" s="15">
        <v>0.3</v>
      </c>
    </row>
    <row r="56" spans="1:5" x14ac:dyDescent="0.4">
      <c r="A56" s="72" t="s">
        <v>384</v>
      </c>
      <c r="B56" s="72" t="s">
        <v>385</v>
      </c>
      <c r="C56" s="77">
        <v>316</v>
      </c>
      <c r="D56" s="77">
        <v>7173200</v>
      </c>
      <c r="E56" s="15">
        <v>0.28000000000000003</v>
      </c>
    </row>
    <row r="57" spans="1:5" x14ac:dyDescent="0.4">
      <c r="A57" s="72" t="s">
        <v>936</v>
      </c>
      <c r="B57" s="72" t="s">
        <v>937</v>
      </c>
      <c r="C57" s="77">
        <v>282</v>
      </c>
      <c r="D57" s="77">
        <v>6965400</v>
      </c>
      <c r="E57" s="15">
        <v>0.27</v>
      </c>
    </row>
    <row r="58" spans="1:5" x14ac:dyDescent="0.4">
      <c r="A58" s="72" t="s">
        <v>386</v>
      </c>
      <c r="B58" s="72" t="s">
        <v>387</v>
      </c>
      <c r="C58" s="77">
        <v>62</v>
      </c>
      <c r="D58" s="77">
        <v>5666800</v>
      </c>
      <c r="E58" s="15">
        <v>0.22</v>
      </c>
    </row>
    <row r="59" spans="1:5" x14ac:dyDescent="0.4">
      <c r="A59" s="72" t="s">
        <v>430</v>
      </c>
      <c r="B59" s="72" t="s">
        <v>431</v>
      </c>
      <c r="C59" s="77">
        <v>373</v>
      </c>
      <c r="D59" s="77">
        <v>4047050</v>
      </c>
      <c r="E59" s="15">
        <v>0.16</v>
      </c>
    </row>
    <row r="60" spans="1:5" x14ac:dyDescent="0.4">
      <c r="A60" s="72" t="s">
        <v>493</v>
      </c>
      <c r="B60" s="72" t="s">
        <v>494</v>
      </c>
      <c r="C60" s="77">
        <v>20</v>
      </c>
      <c r="D60" s="77">
        <v>4000000</v>
      </c>
      <c r="E60" s="15">
        <v>0.16</v>
      </c>
    </row>
    <row r="61" spans="1:5" x14ac:dyDescent="0.4">
      <c r="A61" s="72" t="s">
        <v>428</v>
      </c>
      <c r="B61" s="72" t="s">
        <v>429</v>
      </c>
      <c r="C61" s="77">
        <v>3881</v>
      </c>
      <c r="D61" s="77">
        <v>3931453</v>
      </c>
      <c r="E61" s="15">
        <v>0.15</v>
      </c>
    </row>
    <row r="62" spans="1:5" x14ac:dyDescent="0.4">
      <c r="A62" s="72" t="s">
        <v>140</v>
      </c>
      <c r="B62" s="72" t="s">
        <v>141</v>
      </c>
      <c r="C62" s="77">
        <v>5</v>
      </c>
      <c r="D62" s="77">
        <v>3615000</v>
      </c>
      <c r="E62" s="15">
        <v>0.14000000000000001</v>
      </c>
    </row>
    <row r="63" spans="1:5" x14ac:dyDescent="0.4">
      <c r="A63" s="72" t="s">
        <v>17</v>
      </c>
      <c r="B63" s="72" t="s">
        <v>18</v>
      </c>
      <c r="C63" s="72">
        <v>32</v>
      </c>
      <c r="D63" s="77">
        <v>3379200</v>
      </c>
      <c r="E63" s="15">
        <v>0.13</v>
      </c>
    </row>
    <row r="64" spans="1:5" x14ac:dyDescent="0.4">
      <c r="A64" s="72" t="s">
        <v>172</v>
      </c>
      <c r="B64" s="72" t="s">
        <v>173</v>
      </c>
      <c r="C64" s="77">
        <v>4</v>
      </c>
      <c r="D64" s="77">
        <v>3072000</v>
      </c>
      <c r="E64" s="15">
        <v>0.12</v>
      </c>
    </row>
    <row r="65" spans="1:5" x14ac:dyDescent="0.4">
      <c r="A65" s="72" t="s">
        <v>242</v>
      </c>
      <c r="B65" s="72" t="s">
        <v>243</v>
      </c>
      <c r="C65" s="77">
        <v>10</v>
      </c>
      <c r="D65" s="77">
        <v>2930000</v>
      </c>
      <c r="E65" s="15">
        <v>0.12</v>
      </c>
    </row>
    <row r="66" spans="1:5" x14ac:dyDescent="0.4">
      <c r="A66" s="72" t="s">
        <v>120</v>
      </c>
      <c r="B66" s="72" t="s">
        <v>121</v>
      </c>
      <c r="C66" s="72">
        <v>6</v>
      </c>
      <c r="D66" s="77">
        <v>2541000</v>
      </c>
      <c r="E66" s="15">
        <v>0.1</v>
      </c>
    </row>
    <row r="67" spans="1:5" x14ac:dyDescent="0.4">
      <c r="A67" s="72" t="s">
        <v>297</v>
      </c>
      <c r="B67" s="72" t="s">
        <v>298</v>
      </c>
      <c r="C67" s="77">
        <v>21</v>
      </c>
      <c r="D67" s="77">
        <v>2503200</v>
      </c>
      <c r="E67" s="15">
        <v>0.1</v>
      </c>
    </row>
    <row r="68" spans="1:5" x14ac:dyDescent="0.4">
      <c r="A68" s="72" t="s">
        <v>436</v>
      </c>
      <c r="B68" s="72" t="s">
        <v>437</v>
      </c>
      <c r="C68" s="77">
        <v>34</v>
      </c>
      <c r="D68" s="77">
        <v>2349400</v>
      </c>
      <c r="E68" s="15">
        <v>0.09</v>
      </c>
    </row>
    <row r="69" spans="1:5" x14ac:dyDescent="0.4">
      <c r="A69" s="72" t="s">
        <v>420</v>
      </c>
      <c r="B69" s="72" t="s">
        <v>421</v>
      </c>
      <c r="C69" s="72">
        <v>60</v>
      </c>
      <c r="D69" s="77">
        <v>2331000</v>
      </c>
      <c r="E69" s="15">
        <v>0.09</v>
      </c>
    </row>
    <row r="70" spans="1:5" x14ac:dyDescent="0.4">
      <c r="A70" s="72" t="s">
        <v>432</v>
      </c>
      <c r="B70" s="72" t="s">
        <v>433</v>
      </c>
      <c r="C70" s="72">
        <v>436</v>
      </c>
      <c r="D70" s="77">
        <v>2068820</v>
      </c>
      <c r="E70" s="15">
        <v>0.08</v>
      </c>
    </row>
    <row r="71" spans="1:5" x14ac:dyDescent="0.4">
      <c r="A71" s="72" t="s">
        <v>314</v>
      </c>
      <c r="B71" s="72" t="s">
        <v>315</v>
      </c>
      <c r="C71" s="72">
        <v>36</v>
      </c>
      <c r="D71" s="77">
        <v>1904400</v>
      </c>
      <c r="E71" s="15">
        <v>7.0000000000000007E-2</v>
      </c>
    </row>
    <row r="72" spans="1:5" x14ac:dyDescent="0.4">
      <c r="A72" s="72" t="s">
        <v>418</v>
      </c>
      <c r="B72" s="72" t="s">
        <v>419</v>
      </c>
      <c r="C72" s="72">
        <v>149</v>
      </c>
      <c r="D72" s="77">
        <v>1758200</v>
      </c>
      <c r="E72" s="15">
        <v>7.0000000000000007E-2</v>
      </c>
    </row>
    <row r="73" spans="1:5" x14ac:dyDescent="0.4">
      <c r="A73" s="72" t="s">
        <v>116</v>
      </c>
      <c r="B73" s="72" t="s">
        <v>117</v>
      </c>
      <c r="C73" s="72">
        <v>16</v>
      </c>
      <c r="D73" s="77">
        <v>1718400</v>
      </c>
      <c r="E73" s="15">
        <v>7.0000000000000007E-2</v>
      </c>
    </row>
    <row r="74" spans="1:5" x14ac:dyDescent="0.4">
      <c r="A74" s="72" t="s">
        <v>127</v>
      </c>
      <c r="B74" s="72" t="s">
        <v>128</v>
      </c>
      <c r="C74" s="72">
        <v>10</v>
      </c>
      <c r="D74" s="77">
        <v>1692000</v>
      </c>
      <c r="E74" s="15">
        <v>7.0000000000000007E-2</v>
      </c>
    </row>
    <row r="75" spans="1:5" x14ac:dyDescent="0.4">
      <c r="A75" s="72" t="s">
        <v>152</v>
      </c>
      <c r="B75" s="72" t="s">
        <v>153</v>
      </c>
      <c r="C75" s="72">
        <v>6</v>
      </c>
      <c r="D75" s="77">
        <v>1620000</v>
      </c>
      <c r="E75" s="15">
        <v>0.06</v>
      </c>
    </row>
    <row r="76" spans="1:5" x14ac:dyDescent="0.4">
      <c r="A76" s="72" t="s">
        <v>305</v>
      </c>
      <c r="B76" s="72" t="s">
        <v>306</v>
      </c>
      <c r="C76" s="77">
        <v>1</v>
      </c>
      <c r="D76" s="77">
        <v>1373000</v>
      </c>
      <c r="E76" s="15">
        <v>0.05</v>
      </c>
    </row>
    <row r="77" spans="1:5" x14ac:dyDescent="0.4">
      <c r="A77" s="72" t="s">
        <v>186</v>
      </c>
      <c r="B77" s="72" t="s">
        <v>187</v>
      </c>
      <c r="C77" s="77">
        <v>3</v>
      </c>
      <c r="D77" s="77">
        <v>1101000</v>
      </c>
      <c r="E77" s="15">
        <v>0.04</v>
      </c>
    </row>
    <row r="78" spans="1:5" x14ac:dyDescent="0.4">
      <c r="A78" s="72" t="s">
        <v>344</v>
      </c>
      <c r="B78" s="72" t="s">
        <v>345</v>
      </c>
      <c r="C78" s="77">
        <v>7</v>
      </c>
      <c r="D78" s="77">
        <v>1072400</v>
      </c>
      <c r="E78" s="15">
        <v>0.04</v>
      </c>
    </row>
    <row r="79" spans="1:5" x14ac:dyDescent="0.4">
      <c r="A79" s="72" t="s">
        <v>21</v>
      </c>
      <c r="B79" s="72" t="s">
        <v>22</v>
      </c>
      <c r="C79" s="72">
        <v>6</v>
      </c>
      <c r="D79" s="77">
        <v>882000</v>
      </c>
      <c r="E79" s="15">
        <v>0.03</v>
      </c>
    </row>
    <row r="80" spans="1:5" x14ac:dyDescent="0.4">
      <c r="A80" s="72" t="s">
        <v>338</v>
      </c>
      <c r="B80" s="72" t="s">
        <v>339</v>
      </c>
      <c r="C80" s="77">
        <v>156</v>
      </c>
      <c r="D80" s="77">
        <v>878280</v>
      </c>
      <c r="E80" s="15">
        <v>0.03</v>
      </c>
    </row>
    <row r="81" spans="1:5" x14ac:dyDescent="0.4">
      <c r="A81" s="72" t="s">
        <v>438</v>
      </c>
      <c r="B81" s="72" t="s">
        <v>439</v>
      </c>
      <c r="C81" s="77">
        <v>6</v>
      </c>
      <c r="D81" s="77">
        <v>853200</v>
      </c>
      <c r="E81" s="15">
        <v>0.03</v>
      </c>
    </row>
    <row r="82" spans="1:5" x14ac:dyDescent="0.4">
      <c r="A82" s="72" t="s">
        <v>424</v>
      </c>
      <c r="B82" s="72" t="s">
        <v>425</v>
      </c>
      <c r="C82" s="72">
        <v>57</v>
      </c>
      <c r="D82" s="77">
        <v>851010</v>
      </c>
      <c r="E82" s="15">
        <v>0.03</v>
      </c>
    </row>
    <row r="83" spans="1:5" x14ac:dyDescent="0.4">
      <c r="A83" s="72" t="s">
        <v>25</v>
      </c>
      <c r="B83" s="72" t="s">
        <v>26</v>
      </c>
      <c r="C83" s="72">
        <v>6</v>
      </c>
      <c r="D83" s="77">
        <v>805800</v>
      </c>
      <c r="E83" s="15">
        <v>0.03</v>
      </c>
    </row>
    <row r="84" spans="1:5" x14ac:dyDescent="0.4">
      <c r="A84" s="72" t="s">
        <v>23</v>
      </c>
      <c r="B84" s="72" t="s">
        <v>24</v>
      </c>
      <c r="C84" s="77">
        <v>15</v>
      </c>
      <c r="D84" s="77">
        <v>765000</v>
      </c>
      <c r="E84" s="15">
        <v>0.03</v>
      </c>
    </row>
    <row r="85" spans="1:5" x14ac:dyDescent="0.4">
      <c r="A85" s="72" t="s">
        <v>440</v>
      </c>
      <c r="B85" s="72" t="s">
        <v>441</v>
      </c>
      <c r="C85" s="72">
        <v>145</v>
      </c>
      <c r="D85" s="77">
        <v>722825</v>
      </c>
      <c r="E85" s="15">
        <v>0.03</v>
      </c>
    </row>
    <row r="86" spans="1:5" x14ac:dyDescent="0.4">
      <c r="A86" s="72" t="s">
        <v>399</v>
      </c>
      <c r="B86" s="72" t="s">
        <v>400</v>
      </c>
      <c r="C86" s="72">
        <v>11</v>
      </c>
      <c r="D86" s="77">
        <v>574200</v>
      </c>
      <c r="E86" s="15">
        <v>0.02</v>
      </c>
    </row>
    <row r="87" spans="1:5" x14ac:dyDescent="0.4">
      <c r="A87" s="72" t="s">
        <v>442</v>
      </c>
      <c r="B87" s="72" t="s">
        <v>443</v>
      </c>
      <c r="C87" s="72">
        <v>37</v>
      </c>
      <c r="D87" s="77">
        <v>544270</v>
      </c>
      <c r="E87" s="15">
        <v>0.02</v>
      </c>
    </row>
    <row r="88" spans="1:5" x14ac:dyDescent="0.4">
      <c r="A88" s="72" t="s">
        <v>94</v>
      </c>
      <c r="B88" s="72" t="s">
        <v>95</v>
      </c>
      <c r="C88" s="77">
        <v>13</v>
      </c>
      <c r="D88" s="77">
        <v>505700</v>
      </c>
      <c r="E88" s="15">
        <v>0.02</v>
      </c>
    </row>
    <row r="89" spans="1:5" x14ac:dyDescent="0.4">
      <c r="A89" s="72"/>
      <c r="B89" s="72" t="s">
        <v>10</v>
      </c>
      <c r="C89" s="77">
        <v>41169750</v>
      </c>
      <c r="D89" s="77">
        <v>41169750</v>
      </c>
      <c r="E89" s="15">
        <v>1.62</v>
      </c>
    </row>
    <row r="90" spans="1:5" x14ac:dyDescent="0.4">
      <c r="E90" s="72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74" t="s">
        <v>658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211</v>
      </c>
      <c r="D11" s="75">
        <v>443311000</v>
      </c>
      <c r="E11" s="19">
        <v>15.61</v>
      </c>
      <c r="F11" s="17"/>
      <c r="G11" s="17"/>
    </row>
    <row r="12" spans="1:7" x14ac:dyDescent="0.4">
      <c r="A12" s="72" t="s">
        <v>80</v>
      </c>
      <c r="B12" s="73" t="s">
        <v>81</v>
      </c>
      <c r="C12" s="78">
        <v>1186</v>
      </c>
      <c r="D12" s="75">
        <v>354614000</v>
      </c>
      <c r="E12" s="19">
        <v>12.48</v>
      </c>
      <c r="F12" s="17"/>
      <c r="G12" s="17"/>
    </row>
    <row r="13" spans="1:7" x14ac:dyDescent="0.4">
      <c r="A13" s="72" t="s">
        <v>291</v>
      </c>
      <c r="B13" s="72" t="s">
        <v>292</v>
      </c>
      <c r="C13" s="77">
        <v>5997</v>
      </c>
      <c r="D13" s="77">
        <v>221589150</v>
      </c>
      <c r="E13" s="15">
        <v>7.8</v>
      </c>
    </row>
    <row r="14" spans="1:7" x14ac:dyDescent="0.4">
      <c r="A14" s="72" t="s">
        <v>453</v>
      </c>
      <c r="B14" s="72" t="s">
        <v>454</v>
      </c>
      <c r="C14" s="77">
        <v>118</v>
      </c>
      <c r="D14" s="77">
        <v>212990000</v>
      </c>
      <c r="E14" s="15">
        <v>7.5</v>
      </c>
    </row>
    <row r="15" spans="1:7" x14ac:dyDescent="0.4">
      <c r="A15" s="72" t="s">
        <v>299</v>
      </c>
      <c r="B15" s="72" t="s">
        <v>300</v>
      </c>
      <c r="C15" s="76">
        <v>390</v>
      </c>
      <c r="D15" s="77">
        <v>194415000</v>
      </c>
      <c r="E15" s="15">
        <v>6.84</v>
      </c>
    </row>
    <row r="16" spans="1:7" x14ac:dyDescent="0.4">
      <c r="A16" s="72" t="s">
        <v>140</v>
      </c>
      <c r="B16" s="72" t="s">
        <v>141</v>
      </c>
      <c r="C16" s="76">
        <v>280</v>
      </c>
      <c r="D16" s="77">
        <v>167160000</v>
      </c>
      <c r="E16" s="15">
        <v>5.88</v>
      </c>
    </row>
    <row r="17" spans="1:7" x14ac:dyDescent="0.4">
      <c r="A17" s="72" t="s">
        <v>311</v>
      </c>
      <c r="B17" s="73" t="s">
        <v>312</v>
      </c>
      <c r="C17" s="78">
        <v>1199</v>
      </c>
      <c r="D17" s="75">
        <v>141002400</v>
      </c>
      <c r="E17" s="19">
        <v>4.96</v>
      </c>
      <c r="F17" s="17"/>
      <c r="G17" s="17"/>
    </row>
    <row r="18" spans="1:7" x14ac:dyDescent="0.4">
      <c r="A18" s="72" t="s">
        <v>737</v>
      </c>
      <c r="B18" s="72" t="s">
        <v>738</v>
      </c>
      <c r="C18" s="77">
        <v>1000</v>
      </c>
      <c r="D18" s="77">
        <v>117100000</v>
      </c>
      <c r="E18" s="15">
        <v>4.12</v>
      </c>
    </row>
    <row r="19" spans="1:7" x14ac:dyDescent="0.4">
      <c r="A19" s="72" t="s">
        <v>162</v>
      </c>
      <c r="B19" s="72" t="s">
        <v>163</v>
      </c>
      <c r="C19" s="77">
        <v>1747</v>
      </c>
      <c r="D19" s="77">
        <v>96783800</v>
      </c>
      <c r="E19" s="15">
        <v>3.41</v>
      </c>
    </row>
    <row r="20" spans="1:7" x14ac:dyDescent="0.4">
      <c r="A20" s="72" t="s">
        <v>127</v>
      </c>
      <c r="B20" s="72" t="s">
        <v>128</v>
      </c>
      <c r="C20" s="77">
        <v>600</v>
      </c>
      <c r="D20" s="77">
        <v>93600000</v>
      </c>
      <c r="E20" s="15">
        <v>3.3</v>
      </c>
    </row>
    <row r="21" spans="1:7" x14ac:dyDescent="0.4">
      <c r="A21" s="72" t="s">
        <v>172</v>
      </c>
      <c r="B21" s="72" t="s">
        <v>173</v>
      </c>
      <c r="C21" s="77">
        <v>150</v>
      </c>
      <c r="D21" s="77">
        <v>86400000</v>
      </c>
      <c r="E21" s="15">
        <v>3.04</v>
      </c>
    </row>
    <row r="22" spans="1:7" x14ac:dyDescent="0.4">
      <c r="A22" s="72" t="s">
        <v>135</v>
      </c>
      <c r="B22" s="73" t="s">
        <v>136</v>
      </c>
      <c r="C22" s="75">
        <v>200</v>
      </c>
      <c r="D22" s="75">
        <v>82000000</v>
      </c>
      <c r="E22" s="19">
        <v>2.89</v>
      </c>
      <c r="F22" s="17"/>
      <c r="G22" s="17"/>
    </row>
    <row r="23" spans="1:7" x14ac:dyDescent="0.4">
      <c r="A23" s="72" t="s">
        <v>19</v>
      </c>
      <c r="B23" s="73" t="s">
        <v>20</v>
      </c>
      <c r="C23" s="78">
        <v>340</v>
      </c>
      <c r="D23" s="75">
        <v>78030000</v>
      </c>
      <c r="E23" s="19">
        <v>2.75</v>
      </c>
      <c r="F23" s="17"/>
      <c r="G23" s="17"/>
    </row>
    <row r="24" spans="1:7" x14ac:dyDescent="0.4">
      <c r="A24" s="72" t="s">
        <v>289</v>
      </c>
      <c r="B24" s="72" t="s">
        <v>290</v>
      </c>
      <c r="C24" s="76">
        <v>193</v>
      </c>
      <c r="D24" s="77">
        <v>72471500</v>
      </c>
      <c r="E24" s="15">
        <v>2.5499999999999998</v>
      </c>
    </row>
    <row r="25" spans="1:7" x14ac:dyDescent="0.4">
      <c r="A25" s="72" t="s">
        <v>180</v>
      </c>
      <c r="B25" s="72" t="s">
        <v>181</v>
      </c>
      <c r="C25" s="77">
        <v>470</v>
      </c>
      <c r="D25" s="77">
        <v>66270000</v>
      </c>
      <c r="E25" s="15">
        <v>2.33</v>
      </c>
    </row>
    <row r="26" spans="1:7" x14ac:dyDescent="0.4">
      <c r="A26" s="72" t="s">
        <v>422</v>
      </c>
      <c r="B26" s="72" t="s">
        <v>423</v>
      </c>
      <c r="C26" s="77">
        <v>602</v>
      </c>
      <c r="D26" s="77">
        <v>62547800</v>
      </c>
      <c r="E26" s="15">
        <v>2.2000000000000002</v>
      </c>
    </row>
    <row r="27" spans="1:7" x14ac:dyDescent="0.4">
      <c r="A27" s="72" t="s">
        <v>303</v>
      </c>
      <c r="B27" s="72" t="s">
        <v>304</v>
      </c>
      <c r="C27" s="77">
        <v>95</v>
      </c>
      <c r="D27" s="77">
        <v>54625000</v>
      </c>
      <c r="E27" s="15">
        <v>1.92</v>
      </c>
    </row>
    <row r="28" spans="1:7" x14ac:dyDescent="0.4">
      <c r="A28" s="72" t="s">
        <v>148</v>
      </c>
      <c r="B28" s="72" t="s">
        <v>149</v>
      </c>
      <c r="C28" s="77">
        <v>130</v>
      </c>
      <c r="D28" s="77">
        <v>48555000</v>
      </c>
      <c r="E28" s="15">
        <v>1.71</v>
      </c>
    </row>
    <row r="29" spans="1:7" x14ac:dyDescent="0.4">
      <c r="A29" s="72" t="s">
        <v>386</v>
      </c>
      <c r="B29" s="72" t="s">
        <v>387</v>
      </c>
      <c r="C29" s="77">
        <v>650</v>
      </c>
      <c r="D29" s="77">
        <v>45825000</v>
      </c>
      <c r="E29" s="15">
        <v>1.61</v>
      </c>
    </row>
    <row r="30" spans="1:7" x14ac:dyDescent="0.4">
      <c r="A30" s="72" t="s">
        <v>297</v>
      </c>
      <c r="B30" s="72" t="s">
        <v>298</v>
      </c>
      <c r="C30" s="77">
        <v>400</v>
      </c>
      <c r="D30" s="77">
        <v>41280000</v>
      </c>
      <c r="E30" s="15">
        <v>1.45</v>
      </c>
    </row>
    <row r="31" spans="1:7" x14ac:dyDescent="0.4">
      <c r="A31" s="72" t="s">
        <v>92</v>
      </c>
      <c r="B31" s="72" t="s">
        <v>93</v>
      </c>
      <c r="C31" s="77">
        <v>23</v>
      </c>
      <c r="D31" s="77">
        <v>37283000</v>
      </c>
      <c r="E31" s="15">
        <v>1.31</v>
      </c>
    </row>
    <row r="32" spans="1:7" x14ac:dyDescent="0.4">
      <c r="A32" s="72" t="s">
        <v>322</v>
      </c>
      <c r="B32" s="72" t="s">
        <v>323</v>
      </c>
      <c r="C32" s="77">
        <v>821</v>
      </c>
      <c r="D32" s="77">
        <v>33291550</v>
      </c>
      <c r="E32" s="15">
        <v>1.17</v>
      </c>
    </row>
    <row r="33" spans="1:5" x14ac:dyDescent="0.4">
      <c r="A33" s="72" t="s">
        <v>120</v>
      </c>
      <c r="B33" s="72" t="s">
        <v>121</v>
      </c>
      <c r="C33" s="77">
        <v>92</v>
      </c>
      <c r="D33" s="77">
        <v>32936000</v>
      </c>
      <c r="E33" s="15">
        <v>1.1599999999999999</v>
      </c>
    </row>
    <row r="34" spans="1:5" x14ac:dyDescent="0.4">
      <c r="A34" s="72" t="s">
        <v>376</v>
      </c>
      <c r="B34" s="72" t="s">
        <v>377</v>
      </c>
      <c r="C34" s="77">
        <v>2150</v>
      </c>
      <c r="D34" s="77">
        <v>32723000</v>
      </c>
      <c r="E34" s="15">
        <v>1.1499999999999999</v>
      </c>
    </row>
    <row r="35" spans="1:5" x14ac:dyDescent="0.4">
      <c r="A35" s="72"/>
      <c r="B35" s="72" t="s">
        <v>10</v>
      </c>
      <c r="C35" s="77">
        <v>23718828</v>
      </c>
      <c r="D35" s="77">
        <v>23718828</v>
      </c>
      <c r="E35" s="15">
        <v>0.84</v>
      </c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74" t="s">
        <v>658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228</v>
      </c>
      <c r="D11" s="77">
        <v>531924000</v>
      </c>
      <c r="E11" s="15">
        <v>16.059999999999999</v>
      </c>
    </row>
    <row r="12" spans="1:5" x14ac:dyDescent="0.4">
      <c r="A12" s="72" t="s">
        <v>80</v>
      </c>
      <c r="B12" s="72" t="s">
        <v>81</v>
      </c>
      <c r="C12" s="76">
        <v>1187</v>
      </c>
      <c r="D12" s="77">
        <v>376279000</v>
      </c>
      <c r="E12" s="15">
        <v>11.36</v>
      </c>
    </row>
    <row r="13" spans="1:5" x14ac:dyDescent="0.4">
      <c r="A13" s="72" t="s">
        <v>299</v>
      </c>
      <c r="B13" s="72" t="s">
        <v>300</v>
      </c>
      <c r="C13" s="77">
        <v>420</v>
      </c>
      <c r="D13" s="77">
        <v>288960000</v>
      </c>
      <c r="E13" s="15">
        <v>8.7200000000000006</v>
      </c>
    </row>
    <row r="14" spans="1:5" x14ac:dyDescent="0.4">
      <c r="A14" s="72" t="s">
        <v>453</v>
      </c>
      <c r="B14" s="72" t="s">
        <v>454</v>
      </c>
      <c r="C14" s="77">
        <v>130</v>
      </c>
      <c r="D14" s="77">
        <v>276510000</v>
      </c>
      <c r="E14" s="15">
        <v>8.35</v>
      </c>
    </row>
    <row r="15" spans="1:5" x14ac:dyDescent="0.4">
      <c r="A15" s="72" t="s">
        <v>140</v>
      </c>
      <c r="B15" s="72" t="s">
        <v>141</v>
      </c>
      <c r="C15" s="76">
        <v>380</v>
      </c>
      <c r="D15" s="77">
        <v>274740000</v>
      </c>
      <c r="E15" s="15">
        <v>8.3000000000000007</v>
      </c>
    </row>
    <row r="16" spans="1:5" x14ac:dyDescent="0.4">
      <c r="A16" s="72" t="s">
        <v>291</v>
      </c>
      <c r="B16" s="72" t="s">
        <v>292</v>
      </c>
      <c r="C16" s="76">
        <v>4550</v>
      </c>
      <c r="D16" s="77">
        <v>190417500</v>
      </c>
      <c r="E16" s="15">
        <v>5.75</v>
      </c>
    </row>
    <row r="17" spans="1:5" x14ac:dyDescent="0.4">
      <c r="A17" s="72" t="s">
        <v>311</v>
      </c>
      <c r="B17" s="72" t="s">
        <v>312</v>
      </c>
      <c r="C17" s="76">
        <v>1199</v>
      </c>
      <c r="D17" s="77">
        <v>160306300</v>
      </c>
      <c r="E17" s="15">
        <v>4.84</v>
      </c>
    </row>
    <row r="18" spans="1:5" x14ac:dyDescent="0.4">
      <c r="A18" s="72" t="s">
        <v>172</v>
      </c>
      <c r="B18" s="72" t="s">
        <v>173</v>
      </c>
      <c r="C18" s="77">
        <v>170</v>
      </c>
      <c r="D18" s="77">
        <v>130560000</v>
      </c>
      <c r="E18" s="15">
        <v>3.94</v>
      </c>
    </row>
    <row r="19" spans="1:5" x14ac:dyDescent="0.4">
      <c r="A19" s="72" t="s">
        <v>422</v>
      </c>
      <c r="B19" s="72" t="s">
        <v>423</v>
      </c>
      <c r="C19" s="77">
        <v>850</v>
      </c>
      <c r="D19" s="77">
        <v>126650000</v>
      </c>
      <c r="E19" s="15">
        <v>3.82</v>
      </c>
    </row>
    <row r="20" spans="1:5" x14ac:dyDescent="0.4">
      <c r="A20" s="72" t="s">
        <v>127</v>
      </c>
      <c r="B20" s="72" t="s">
        <v>128</v>
      </c>
      <c r="C20" s="77">
        <v>600</v>
      </c>
      <c r="D20" s="77">
        <v>101520000</v>
      </c>
      <c r="E20" s="15">
        <v>3.07</v>
      </c>
    </row>
    <row r="21" spans="1:5" x14ac:dyDescent="0.4">
      <c r="A21" s="72" t="s">
        <v>326</v>
      </c>
      <c r="B21" s="72" t="s">
        <v>327</v>
      </c>
      <c r="C21" s="77">
        <v>599</v>
      </c>
      <c r="D21" s="77">
        <v>100811700</v>
      </c>
      <c r="E21" s="15">
        <v>3.04</v>
      </c>
    </row>
    <row r="22" spans="1:5" x14ac:dyDescent="0.4">
      <c r="A22" s="72" t="s">
        <v>162</v>
      </c>
      <c r="B22" s="72" t="s">
        <v>163</v>
      </c>
      <c r="C22" s="77">
        <v>1750</v>
      </c>
      <c r="D22" s="77">
        <v>95725000</v>
      </c>
      <c r="E22" s="15">
        <v>2.89</v>
      </c>
    </row>
    <row r="23" spans="1:5" x14ac:dyDescent="0.4">
      <c r="A23" s="72" t="s">
        <v>217</v>
      </c>
      <c r="B23" s="72" t="s">
        <v>218</v>
      </c>
      <c r="C23" s="76">
        <v>137</v>
      </c>
      <c r="D23" s="77">
        <v>95352000</v>
      </c>
      <c r="E23" s="15">
        <v>2.88</v>
      </c>
    </row>
    <row r="24" spans="1:5" x14ac:dyDescent="0.4">
      <c r="A24" s="72" t="s">
        <v>19</v>
      </c>
      <c r="B24" s="72" t="s">
        <v>20</v>
      </c>
      <c r="C24" s="76">
        <v>340</v>
      </c>
      <c r="D24" s="77">
        <v>82110000</v>
      </c>
      <c r="E24" s="15">
        <v>2.48</v>
      </c>
    </row>
    <row r="25" spans="1:5" x14ac:dyDescent="0.4">
      <c r="A25" s="72" t="s">
        <v>289</v>
      </c>
      <c r="B25" s="72" t="s">
        <v>290</v>
      </c>
      <c r="C25" s="77">
        <v>193</v>
      </c>
      <c r="D25" s="77">
        <v>81639000</v>
      </c>
      <c r="E25" s="15">
        <v>2.46</v>
      </c>
    </row>
    <row r="26" spans="1:5" x14ac:dyDescent="0.4">
      <c r="A26" s="72" t="s">
        <v>316</v>
      </c>
      <c r="B26" s="72" t="s">
        <v>317</v>
      </c>
      <c r="C26" s="77">
        <v>900</v>
      </c>
      <c r="D26" s="77">
        <v>65250000</v>
      </c>
      <c r="E26" s="15">
        <v>1.97</v>
      </c>
    </row>
    <row r="27" spans="1:5" x14ac:dyDescent="0.4">
      <c r="A27" s="72" t="s">
        <v>303</v>
      </c>
      <c r="B27" s="72" t="s">
        <v>304</v>
      </c>
      <c r="C27" s="77">
        <v>95</v>
      </c>
      <c r="D27" s="77">
        <v>64220000</v>
      </c>
      <c r="E27" s="15">
        <v>1.94</v>
      </c>
    </row>
    <row r="28" spans="1:5" x14ac:dyDescent="0.4">
      <c r="A28" s="72" t="s">
        <v>737</v>
      </c>
      <c r="B28" s="72" t="s">
        <v>738</v>
      </c>
      <c r="C28" s="77">
        <v>401</v>
      </c>
      <c r="D28" s="77">
        <v>61393100</v>
      </c>
      <c r="E28" s="15">
        <v>1.85</v>
      </c>
    </row>
    <row r="29" spans="1:5" x14ac:dyDescent="0.4">
      <c r="A29" s="72" t="s">
        <v>148</v>
      </c>
      <c r="B29" s="72" t="s">
        <v>149</v>
      </c>
      <c r="C29" s="77">
        <v>130</v>
      </c>
      <c r="D29" s="77">
        <v>57980000</v>
      </c>
      <c r="E29" s="15">
        <v>1.75</v>
      </c>
    </row>
    <row r="30" spans="1:5" x14ac:dyDescent="0.4">
      <c r="A30" s="72" t="s">
        <v>135</v>
      </c>
      <c r="B30" s="72" t="s">
        <v>136</v>
      </c>
      <c r="C30" s="77">
        <v>120</v>
      </c>
      <c r="D30" s="77">
        <v>51900000</v>
      </c>
      <c r="E30" s="15">
        <v>1.57</v>
      </c>
    </row>
    <row r="31" spans="1:5" x14ac:dyDescent="0.4">
      <c r="A31" s="72" t="s">
        <v>120</v>
      </c>
      <c r="B31" s="72" t="s">
        <v>121</v>
      </c>
      <c r="C31" s="77">
        <v>92</v>
      </c>
      <c r="D31" s="77">
        <v>38962000</v>
      </c>
      <c r="E31" s="15">
        <v>1.18</v>
      </c>
    </row>
    <row r="32" spans="1:5" x14ac:dyDescent="0.4">
      <c r="A32" s="72" t="s">
        <v>322</v>
      </c>
      <c r="B32" s="72" t="s">
        <v>323</v>
      </c>
      <c r="C32" s="77">
        <v>779</v>
      </c>
      <c r="D32" s="77">
        <v>37002500</v>
      </c>
      <c r="E32" s="15">
        <v>1.1200000000000001</v>
      </c>
    </row>
    <row r="33" spans="1:5" x14ac:dyDescent="0.4">
      <c r="A33" s="72"/>
      <c r="B33" s="72" t="s">
        <v>10</v>
      </c>
      <c r="C33" s="77">
        <v>21800328</v>
      </c>
      <c r="D33" s="77">
        <v>21800328</v>
      </c>
      <c r="E33" s="15">
        <v>0.66</v>
      </c>
    </row>
    <row r="34" spans="1:5" x14ac:dyDescent="0.4">
      <c r="C34" s="13"/>
      <c r="D34" s="13"/>
      <c r="E34" s="72"/>
    </row>
    <row r="35" spans="1:5" x14ac:dyDescent="0.4">
      <c r="C35" s="13"/>
      <c r="D35" s="1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4" t="s">
        <v>526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299</v>
      </c>
      <c r="B11" s="73" t="s">
        <v>300</v>
      </c>
      <c r="C11" s="75">
        <v>41</v>
      </c>
      <c r="D11" s="75">
        <v>20438500</v>
      </c>
      <c r="E11" s="19">
        <v>12.84</v>
      </c>
      <c r="F11" s="17"/>
      <c r="G11" s="17"/>
    </row>
    <row r="12" spans="1:7" x14ac:dyDescent="0.4">
      <c r="A12" s="72" t="s">
        <v>120</v>
      </c>
      <c r="B12" s="73" t="s">
        <v>121</v>
      </c>
      <c r="C12" s="75">
        <v>44</v>
      </c>
      <c r="D12" s="75">
        <v>15752000</v>
      </c>
      <c r="E12" s="19">
        <v>9.89</v>
      </c>
      <c r="F12" s="17"/>
      <c r="G12" s="17"/>
    </row>
    <row r="13" spans="1:7" x14ac:dyDescent="0.4">
      <c r="A13" s="72" t="s">
        <v>287</v>
      </c>
      <c r="B13" s="73" t="s">
        <v>288</v>
      </c>
      <c r="C13" s="75">
        <v>40</v>
      </c>
      <c r="D13" s="75">
        <v>15380000</v>
      </c>
      <c r="E13" s="19">
        <v>9.66</v>
      </c>
      <c r="F13" s="17"/>
      <c r="G13" s="17"/>
    </row>
    <row r="14" spans="1:7" x14ac:dyDescent="0.4">
      <c r="A14" s="72" t="s">
        <v>326</v>
      </c>
      <c r="B14" s="73" t="s">
        <v>327</v>
      </c>
      <c r="C14" s="75">
        <v>107</v>
      </c>
      <c r="D14" s="75">
        <v>13460600</v>
      </c>
      <c r="E14" s="19">
        <v>8.4499999999999993</v>
      </c>
      <c r="F14" s="17"/>
      <c r="G14" s="17"/>
    </row>
    <row r="15" spans="1:7" x14ac:dyDescent="0.4">
      <c r="A15" s="72" t="s">
        <v>737</v>
      </c>
      <c r="B15" s="73" t="s">
        <v>738</v>
      </c>
      <c r="C15" s="73">
        <v>107</v>
      </c>
      <c r="D15" s="75">
        <v>12529700</v>
      </c>
      <c r="E15" s="19">
        <v>7.87</v>
      </c>
      <c r="F15" s="17"/>
      <c r="G15" s="17"/>
    </row>
    <row r="16" spans="1:7" x14ac:dyDescent="0.4">
      <c r="A16" s="72" t="s">
        <v>353</v>
      </c>
      <c r="B16" s="73" t="s">
        <v>354</v>
      </c>
      <c r="C16" s="75">
        <v>76</v>
      </c>
      <c r="D16" s="75">
        <v>12486800</v>
      </c>
      <c r="E16" s="19">
        <v>7.84</v>
      </c>
      <c r="F16" s="17"/>
      <c r="G16" s="17"/>
    </row>
    <row r="17" spans="1:7" x14ac:dyDescent="0.4">
      <c r="A17" s="72" t="s">
        <v>307</v>
      </c>
      <c r="B17" s="72" t="s">
        <v>308</v>
      </c>
      <c r="C17" s="77">
        <v>66</v>
      </c>
      <c r="D17" s="77">
        <v>12190200</v>
      </c>
      <c r="E17" s="15">
        <v>7.66</v>
      </c>
    </row>
    <row r="18" spans="1:7" x14ac:dyDescent="0.4">
      <c r="A18" s="72" t="s">
        <v>397</v>
      </c>
      <c r="B18" s="73" t="s">
        <v>398</v>
      </c>
      <c r="C18" s="75">
        <v>99</v>
      </c>
      <c r="D18" s="75">
        <v>10771200</v>
      </c>
      <c r="E18" s="19">
        <v>6.77</v>
      </c>
      <c r="F18" s="17"/>
      <c r="G18" s="17"/>
    </row>
    <row r="19" spans="1:7" x14ac:dyDescent="0.4">
      <c r="A19" s="72" t="s">
        <v>388</v>
      </c>
      <c r="B19" s="72" t="s">
        <v>389</v>
      </c>
      <c r="C19" s="76">
        <v>200</v>
      </c>
      <c r="D19" s="77">
        <v>9590000</v>
      </c>
      <c r="E19" s="15">
        <v>6.02</v>
      </c>
    </row>
    <row r="20" spans="1:7" x14ac:dyDescent="0.4">
      <c r="A20" s="72" t="s">
        <v>318</v>
      </c>
      <c r="B20" s="72" t="s">
        <v>319</v>
      </c>
      <c r="C20" s="76">
        <v>66</v>
      </c>
      <c r="D20" s="77">
        <v>9240000</v>
      </c>
      <c r="E20" s="15">
        <v>5.8</v>
      </c>
    </row>
    <row r="21" spans="1:7" x14ac:dyDescent="0.4">
      <c r="A21" s="72" t="s">
        <v>332</v>
      </c>
      <c r="B21" s="72" t="s">
        <v>333</v>
      </c>
      <c r="C21" s="77">
        <v>123</v>
      </c>
      <c r="D21" s="77">
        <v>6482100</v>
      </c>
      <c r="E21" s="15">
        <v>4.07</v>
      </c>
    </row>
    <row r="22" spans="1:7" x14ac:dyDescent="0.4">
      <c r="A22" s="72" t="s">
        <v>359</v>
      </c>
      <c r="B22" s="72" t="s">
        <v>360</v>
      </c>
      <c r="C22" s="76">
        <v>13</v>
      </c>
      <c r="D22" s="77">
        <v>4615000</v>
      </c>
      <c r="E22" s="15">
        <v>2.9</v>
      </c>
    </row>
    <row r="23" spans="1:7" x14ac:dyDescent="0.4">
      <c r="A23" s="72" t="s">
        <v>148</v>
      </c>
      <c r="B23" s="72" t="s">
        <v>149</v>
      </c>
      <c r="C23" s="76">
        <v>12</v>
      </c>
      <c r="D23" s="77">
        <v>4482000</v>
      </c>
      <c r="E23" s="15">
        <v>2.82</v>
      </c>
    </row>
    <row r="24" spans="1:7" x14ac:dyDescent="0.4">
      <c r="A24" s="72" t="s">
        <v>297</v>
      </c>
      <c r="B24" s="72" t="s">
        <v>298</v>
      </c>
      <c r="C24" s="76">
        <v>38</v>
      </c>
      <c r="D24" s="77">
        <v>3921600</v>
      </c>
      <c r="E24" s="15">
        <v>2.46</v>
      </c>
    </row>
    <row r="25" spans="1:7" x14ac:dyDescent="0.4">
      <c r="A25" s="72" t="s">
        <v>671</v>
      </c>
      <c r="B25" s="72" t="s">
        <v>672</v>
      </c>
      <c r="C25" s="77">
        <v>159</v>
      </c>
      <c r="D25" s="77">
        <v>2496300</v>
      </c>
      <c r="E25" s="15">
        <v>1.57</v>
      </c>
    </row>
    <row r="26" spans="1:7" x14ac:dyDescent="0.4">
      <c r="A26" s="72" t="s">
        <v>4667</v>
      </c>
      <c r="B26" s="72" t="s">
        <v>4668</v>
      </c>
      <c r="C26" s="77">
        <v>43</v>
      </c>
      <c r="D26" s="77">
        <v>2197300</v>
      </c>
      <c r="E26" s="15">
        <v>1.38</v>
      </c>
    </row>
    <row r="27" spans="1:7" x14ac:dyDescent="0.4">
      <c r="A27" s="72" t="s">
        <v>152</v>
      </c>
      <c r="B27" s="72" t="s">
        <v>153</v>
      </c>
      <c r="C27" s="77">
        <v>6</v>
      </c>
      <c r="D27" s="77">
        <v>1776000</v>
      </c>
      <c r="E27" s="15">
        <v>1.1200000000000001</v>
      </c>
    </row>
    <row r="28" spans="1:7" x14ac:dyDescent="0.4">
      <c r="A28" s="72" t="s">
        <v>401</v>
      </c>
      <c r="B28" s="72" t="s">
        <v>402</v>
      </c>
      <c r="C28" s="77">
        <v>31</v>
      </c>
      <c r="D28" s="77">
        <v>1300450</v>
      </c>
      <c r="E28" s="15">
        <v>0.82</v>
      </c>
    </row>
    <row r="29" spans="1:7" x14ac:dyDescent="0.4">
      <c r="A29" s="72"/>
      <c r="B29" s="72" t="s">
        <v>10</v>
      </c>
      <c r="C29" s="77">
        <v>106180</v>
      </c>
      <c r="D29" s="77">
        <v>106180</v>
      </c>
      <c r="E29" s="15">
        <v>7.0000000000000007E-2</v>
      </c>
    </row>
    <row r="30" spans="1:7" x14ac:dyDescent="0.4">
      <c r="C30" s="31"/>
      <c r="D30" s="13"/>
      <c r="E30" s="72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4" t="s">
        <v>526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299</v>
      </c>
      <c r="B11" s="72" t="s">
        <v>300</v>
      </c>
      <c r="C11" s="77">
        <v>41</v>
      </c>
      <c r="D11" s="77">
        <v>28208000</v>
      </c>
      <c r="E11" s="15">
        <v>14.18</v>
      </c>
    </row>
    <row r="12" spans="1:5" x14ac:dyDescent="0.4">
      <c r="A12" s="72" t="s">
        <v>353</v>
      </c>
      <c r="B12" s="72" t="s">
        <v>354</v>
      </c>
      <c r="C12" s="76">
        <v>88</v>
      </c>
      <c r="D12" s="77">
        <v>19096000</v>
      </c>
      <c r="E12" s="15">
        <v>9.6</v>
      </c>
    </row>
    <row r="13" spans="1:5" x14ac:dyDescent="0.4">
      <c r="A13" s="72" t="s">
        <v>120</v>
      </c>
      <c r="B13" s="72" t="s">
        <v>121</v>
      </c>
      <c r="C13" s="72">
        <v>44</v>
      </c>
      <c r="D13" s="77">
        <v>18634000</v>
      </c>
      <c r="E13" s="15">
        <v>9.3699999999999992</v>
      </c>
    </row>
    <row r="14" spans="1:5" x14ac:dyDescent="0.4">
      <c r="A14" s="72" t="s">
        <v>287</v>
      </c>
      <c r="B14" s="72" t="s">
        <v>288</v>
      </c>
      <c r="C14" s="72">
        <v>40</v>
      </c>
      <c r="D14" s="77">
        <v>18320000</v>
      </c>
      <c r="E14" s="15">
        <v>9.2100000000000009</v>
      </c>
    </row>
    <row r="15" spans="1:5" x14ac:dyDescent="0.4">
      <c r="A15" s="72" t="s">
        <v>326</v>
      </c>
      <c r="B15" s="72" t="s">
        <v>327</v>
      </c>
      <c r="C15" s="76">
        <v>107</v>
      </c>
      <c r="D15" s="77">
        <v>18008100</v>
      </c>
      <c r="E15" s="15">
        <v>9.0500000000000007</v>
      </c>
    </row>
    <row r="16" spans="1:5" x14ac:dyDescent="0.4">
      <c r="A16" s="72" t="s">
        <v>397</v>
      </c>
      <c r="B16" s="72" t="s">
        <v>398</v>
      </c>
      <c r="C16" s="76">
        <v>119</v>
      </c>
      <c r="D16" s="77">
        <v>16541000</v>
      </c>
      <c r="E16" s="15">
        <v>8.32</v>
      </c>
    </row>
    <row r="17" spans="1:5" x14ac:dyDescent="0.4">
      <c r="A17" s="72" t="s">
        <v>307</v>
      </c>
      <c r="B17" s="72" t="s">
        <v>308</v>
      </c>
      <c r="C17" s="76">
        <v>66</v>
      </c>
      <c r="D17" s="77">
        <v>16203000</v>
      </c>
      <c r="E17" s="15">
        <v>8.15</v>
      </c>
    </row>
    <row r="18" spans="1:5" x14ac:dyDescent="0.4">
      <c r="A18" s="72" t="s">
        <v>737</v>
      </c>
      <c r="B18" s="72" t="s">
        <v>738</v>
      </c>
      <c r="C18" s="77">
        <v>86</v>
      </c>
      <c r="D18" s="77">
        <v>13166600</v>
      </c>
      <c r="E18" s="15">
        <v>6.62</v>
      </c>
    </row>
    <row r="19" spans="1:5" x14ac:dyDescent="0.4">
      <c r="A19" s="72" t="s">
        <v>388</v>
      </c>
      <c r="B19" s="72" t="s">
        <v>389</v>
      </c>
      <c r="C19" s="77">
        <v>200</v>
      </c>
      <c r="D19" s="77">
        <v>11220000</v>
      </c>
      <c r="E19" s="15">
        <v>5.64</v>
      </c>
    </row>
    <row r="20" spans="1:5" x14ac:dyDescent="0.4">
      <c r="A20" s="72" t="s">
        <v>332</v>
      </c>
      <c r="B20" s="72" t="s">
        <v>333</v>
      </c>
      <c r="C20" s="72">
        <v>123</v>
      </c>
      <c r="D20" s="77">
        <v>7650600</v>
      </c>
      <c r="E20" s="15">
        <v>3.85</v>
      </c>
    </row>
    <row r="21" spans="1:5" x14ac:dyDescent="0.4">
      <c r="A21" s="72" t="s">
        <v>671</v>
      </c>
      <c r="B21" s="72" t="s">
        <v>672</v>
      </c>
      <c r="C21" s="77">
        <v>319</v>
      </c>
      <c r="D21" s="77">
        <v>5866410</v>
      </c>
      <c r="E21" s="15">
        <v>2.95</v>
      </c>
    </row>
    <row r="22" spans="1:5" x14ac:dyDescent="0.4">
      <c r="A22" s="72" t="s">
        <v>318</v>
      </c>
      <c r="B22" s="72" t="s">
        <v>319</v>
      </c>
      <c r="C22" s="77">
        <v>42</v>
      </c>
      <c r="D22" s="77">
        <v>5850600</v>
      </c>
      <c r="E22" s="15">
        <v>2.94</v>
      </c>
    </row>
    <row r="23" spans="1:5" x14ac:dyDescent="0.4">
      <c r="A23" s="72" t="s">
        <v>297</v>
      </c>
      <c r="B23" s="72" t="s">
        <v>298</v>
      </c>
      <c r="C23" s="76">
        <v>48</v>
      </c>
      <c r="D23" s="77">
        <v>5721600</v>
      </c>
      <c r="E23" s="15">
        <v>2.88</v>
      </c>
    </row>
    <row r="24" spans="1:5" x14ac:dyDescent="0.4">
      <c r="A24" s="72" t="s">
        <v>359</v>
      </c>
      <c r="B24" s="72" t="s">
        <v>360</v>
      </c>
      <c r="C24" s="76">
        <v>13</v>
      </c>
      <c r="D24" s="77">
        <v>4972500</v>
      </c>
      <c r="E24" s="15">
        <v>2.5</v>
      </c>
    </row>
    <row r="25" spans="1:5" x14ac:dyDescent="0.4">
      <c r="A25" s="72" t="s">
        <v>148</v>
      </c>
      <c r="B25" s="72" t="s">
        <v>149</v>
      </c>
      <c r="C25" s="77">
        <v>8</v>
      </c>
      <c r="D25" s="77">
        <v>3568000</v>
      </c>
      <c r="E25" s="15">
        <v>1.79</v>
      </c>
    </row>
    <row r="26" spans="1:5" x14ac:dyDescent="0.4">
      <c r="A26" s="72" t="s">
        <v>4667</v>
      </c>
      <c r="B26" s="72" t="s">
        <v>4668</v>
      </c>
      <c r="C26" s="77">
        <v>43</v>
      </c>
      <c r="D26" s="77">
        <v>2623000</v>
      </c>
      <c r="E26" s="15">
        <v>1.32</v>
      </c>
    </row>
    <row r="27" spans="1:5" x14ac:dyDescent="0.4">
      <c r="A27" s="72" t="s">
        <v>401</v>
      </c>
      <c r="B27" s="72" t="s">
        <v>402</v>
      </c>
      <c r="C27" s="77">
        <v>31</v>
      </c>
      <c r="D27" s="77">
        <v>1636800</v>
      </c>
      <c r="E27" s="15">
        <v>0.82</v>
      </c>
    </row>
    <row r="28" spans="1:5" x14ac:dyDescent="0.4">
      <c r="A28" s="72" t="s">
        <v>152</v>
      </c>
      <c r="B28" s="72" t="s">
        <v>153</v>
      </c>
      <c r="C28" s="77">
        <v>6</v>
      </c>
      <c r="D28" s="77">
        <v>1620000</v>
      </c>
      <c r="E28" s="15">
        <v>0.81</v>
      </c>
    </row>
    <row r="29" spans="1:5" x14ac:dyDescent="0.4">
      <c r="A29" s="72"/>
      <c r="B29" s="72" t="s">
        <v>10</v>
      </c>
      <c r="C29" s="77">
        <v>-392142</v>
      </c>
      <c r="D29" s="77">
        <v>-392142</v>
      </c>
      <c r="E29" s="15"/>
    </row>
    <row r="30" spans="1:5" x14ac:dyDescent="0.4">
      <c r="C30" s="13"/>
      <c r="D30" s="13"/>
      <c r="E30" s="72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4" t="s">
        <v>659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299</v>
      </c>
      <c r="B11" s="73" t="s">
        <v>300</v>
      </c>
      <c r="C11" s="75">
        <v>249</v>
      </c>
      <c r="D11" s="75">
        <v>124126500</v>
      </c>
      <c r="E11" s="19">
        <v>9.19</v>
      </c>
      <c r="F11" s="17"/>
      <c r="G11" s="17"/>
    </row>
    <row r="12" spans="1:7" x14ac:dyDescent="0.4">
      <c r="A12" s="72" t="s">
        <v>287</v>
      </c>
      <c r="B12" s="73" t="s">
        <v>288</v>
      </c>
      <c r="C12" s="76">
        <v>297</v>
      </c>
      <c r="D12" s="77">
        <v>114196500</v>
      </c>
      <c r="E12" s="15">
        <v>8.4600000000000009</v>
      </c>
    </row>
    <row r="13" spans="1:7" x14ac:dyDescent="0.4">
      <c r="A13" s="72" t="s">
        <v>98</v>
      </c>
      <c r="B13" s="72" t="s">
        <v>99</v>
      </c>
      <c r="C13" s="77">
        <v>499</v>
      </c>
      <c r="D13" s="77">
        <v>111776000</v>
      </c>
      <c r="E13" s="15">
        <v>8.2799999999999994</v>
      </c>
    </row>
    <row r="14" spans="1:7" x14ac:dyDescent="0.4">
      <c r="A14" s="72" t="s">
        <v>120</v>
      </c>
      <c r="B14" s="73" t="s">
        <v>121</v>
      </c>
      <c r="C14" s="75">
        <v>269</v>
      </c>
      <c r="D14" s="75">
        <v>96302000</v>
      </c>
      <c r="E14" s="19">
        <v>7.13</v>
      </c>
      <c r="F14" s="17"/>
      <c r="G14" s="17"/>
    </row>
    <row r="15" spans="1:7" x14ac:dyDescent="0.4">
      <c r="A15" s="72" t="s">
        <v>13</v>
      </c>
      <c r="B15" s="73" t="s">
        <v>14</v>
      </c>
      <c r="C15" s="76">
        <v>45</v>
      </c>
      <c r="D15" s="77">
        <v>94545000</v>
      </c>
      <c r="E15" s="15">
        <v>7</v>
      </c>
    </row>
    <row r="16" spans="1:7" x14ac:dyDescent="0.4">
      <c r="A16" s="72" t="s">
        <v>488</v>
      </c>
      <c r="B16" s="72" t="s">
        <v>489</v>
      </c>
      <c r="C16" s="76">
        <v>599</v>
      </c>
      <c r="D16" s="77">
        <v>79846700</v>
      </c>
      <c r="E16" s="15">
        <v>5.91</v>
      </c>
    </row>
    <row r="17" spans="1:7" x14ac:dyDescent="0.4">
      <c r="A17" s="72" t="s">
        <v>313</v>
      </c>
      <c r="B17" s="73" t="s">
        <v>5175</v>
      </c>
      <c r="C17" s="76">
        <v>250</v>
      </c>
      <c r="D17" s="77">
        <v>65000000</v>
      </c>
      <c r="E17" s="15">
        <v>4.8099999999999996</v>
      </c>
    </row>
    <row r="18" spans="1:7" x14ac:dyDescent="0.4">
      <c r="A18" s="72" t="s">
        <v>217</v>
      </c>
      <c r="B18" s="72" t="s">
        <v>218</v>
      </c>
      <c r="C18" s="77">
        <v>100</v>
      </c>
      <c r="D18" s="77">
        <v>64600000</v>
      </c>
      <c r="E18" s="15">
        <v>4.78</v>
      </c>
    </row>
    <row r="19" spans="1:7" x14ac:dyDescent="0.4">
      <c r="A19" s="72" t="s">
        <v>31</v>
      </c>
      <c r="B19" s="73" t="s">
        <v>32</v>
      </c>
      <c r="C19" s="75">
        <v>180</v>
      </c>
      <c r="D19" s="75">
        <v>62460000</v>
      </c>
      <c r="E19" s="19">
        <v>4.63</v>
      </c>
      <c r="F19" s="17"/>
      <c r="G19" s="17"/>
    </row>
    <row r="20" spans="1:7" x14ac:dyDescent="0.4">
      <c r="A20" s="72" t="s">
        <v>232</v>
      </c>
      <c r="B20" s="72" t="s">
        <v>233</v>
      </c>
      <c r="C20" s="77">
        <v>200</v>
      </c>
      <c r="D20" s="77">
        <v>57300000</v>
      </c>
      <c r="E20" s="15">
        <v>4.24</v>
      </c>
    </row>
    <row r="21" spans="1:7" x14ac:dyDescent="0.4">
      <c r="A21" s="72" t="s">
        <v>146</v>
      </c>
      <c r="B21" s="72" t="s">
        <v>147</v>
      </c>
      <c r="C21" s="77">
        <v>220</v>
      </c>
      <c r="D21" s="77">
        <v>51260000</v>
      </c>
      <c r="E21" s="15">
        <v>3.8</v>
      </c>
    </row>
    <row r="22" spans="1:7" x14ac:dyDescent="0.4">
      <c r="A22" s="72" t="s">
        <v>451</v>
      </c>
      <c r="B22" s="72" t="s">
        <v>452</v>
      </c>
      <c r="C22" s="77">
        <v>40</v>
      </c>
      <c r="D22" s="77">
        <v>42880000</v>
      </c>
      <c r="E22" s="15">
        <v>3.18</v>
      </c>
    </row>
    <row r="23" spans="1:7" x14ac:dyDescent="0.4">
      <c r="A23" s="72" t="s">
        <v>972</v>
      </c>
      <c r="B23" s="72" t="s">
        <v>973</v>
      </c>
      <c r="C23" s="76">
        <v>300</v>
      </c>
      <c r="D23" s="77">
        <v>39990000</v>
      </c>
      <c r="E23" s="15">
        <v>2.96</v>
      </c>
    </row>
    <row r="24" spans="1:7" x14ac:dyDescent="0.4">
      <c r="A24" s="72" t="s">
        <v>643</v>
      </c>
      <c r="B24" s="72" t="s">
        <v>644</v>
      </c>
      <c r="C24" s="76">
        <v>250</v>
      </c>
      <c r="D24" s="77">
        <v>36900000</v>
      </c>
      <c r="E24" s="15">
        <v>2.73</v>
      </c>
    </row>
    <row r="25" spans="1:7" x14ac:dyDescent="0.4">
      <c r="A25" s="72" t="s">
        <v>493</v>
      </c>
      <c r="B25" s="72" t="s">
        <v>494</v>
      </c>
      <c r="C25" s="77">
        <v>150</v>
      </c>
      <c r="D25" s="77">
        <v>36825000</v>
      </c>
      <c r="E25" s="15">
        <v>2.73</v>
      </c>
    </row>
    <row r="26" spans="1:7" x14ac:dyDescent="0.4">
      <c r="A26" s="72" t="s">
        <v>769</v>
      </c>
      <c r="B26" s="72" t="s">
        <v>770</v>
      </c>
      <c r="C26" s="77">
        <v>249</v>
      </c>
      <c r="D26" s="77">
        <v>34660800</v>
      </c>
      <c r="E26" s="15">
        <v>2.57</v>
      </c>
    </row>
    <row r="27" spans="1:7" x14ac:dyDescent="0.4">
      <c r="A27" s="72" t="s">
        <v>721</v>
      </c>
      <c r="B27" s="72" t="s">
        <v>722</v>
      </c>
      <c r="C27" s="77">
        <v>349</v>
      </c>
      <c r="D27" s="77">
        <v>34655700</v>
      </c>
      <c r="E27" s="15">
        <v>2.57</v>
      </c>
    </row>
    <row r="28" spans="1:7" x14ac:dyDescent="0.4">
      <c r="A28" s="72" t="s">
        <v>605</v>
      </c>
      <c r="B28" s="73" t="s">
        <v>606</v>
      </c>
      <c r="C28" s="75">
        <v>2003</v>
      </c>
      <c r="D28" s="75">
        <v>30145150</v>
      </c>
      <c r="E28" s="19">
        <v>2.23</v>
      </c>
      <c r="F28" s="17"/>
      <c r="G28" s="17"/>
    </row>
    <row r="29" spans="1:7" x14ac:dyDescent="0.4">
      <c r="A29" s="72" t="s">
        <v>434</v>
      </c>
      <c r="B29" s="72" t="s">
        <v>435</v>
      </c>
      <c r="C29" s="77">
        <v>398</v>
      </c>
      <c r="D29" s="77">
        <v>29651000</v>
      </c>
      <c r="E29" s="15">
        <v>2.2000000000000002</v>
      </c>
    </row>
    <row r="30" spans="1:7" x14ac:dyDescent="0.4">
      <c r="A30" s="72" t="s">
        <v>761</v>
      </c>
      <c r="B30" s="72" t="s">
        <v>762</v>
      </c>
      <c r="C30" s="77">
        <v>192</v>
      </c>
      <c r="D30" s="77">
        <v>18624000</v>
      </c>
      <c r="E30" s="15">
        <v>1.38</v>
      </c>
    </row>
    <row r="31" spans="1:7" x14ac:dyDescent="0.4">
      <c r="A31" s="72" t="s">
        <v>252</v>
      </c>
      <c r="B31" s="72" t="s">
        <v>253</v>
      </c>
      <c r="C31" s="77">
        <v>200</v>
      </c>
      <c r="D31" s="77">
        <v>18280000</v>
      </c>
      <c r="E31" s="15">
        <v>1.35</v>
      </c>
    </row>
    <row r="32" spans="1:7" x14ac:dyDescent="0.4">
      <c r="A32" s="72" t="s">
        <v>737</v>
      </c>
      <c r="B32" s="72" t="s">
        <v>738</v>
      </c>
      <c r="C32" s="77">
        <v>149</v>
      </c>
      <c r="D32" s="77">
        <v>17447900</v>
      </c>
      <c r="E32" s="15">
        <v>1.29</v>
      </c>
    </row>
    <row r="33" spans="1:7" x14ac:dyDescent="0.4">
      <c r="A33" s="72" t="s">
        <v>4625</v>
      </c>
      <c r="B33" s="72" t="s">
        <v>4626</v>
      </c>
      <c r="C33" s="77">
        <v>149</v>
      </c>
      <c r="D33" s="77">
        <v>15808900</v>
      </c>
      <c r="E33" s="15">
        <v>1.17</v>
      </c>
    </row>
    <row r="34" spans="1:7" x14ac:dyDescent="0.4">
      <c r="A34" s="72" t="s">
        <v>355</v>
      </c>
      <c r="B34" s="72" t="s">
        <v>356</v>
      </c>
      <c r="C34" s="77">
        <v>99</v>
      </c>
      <c r="D34" s="77">
        <v>15523200</v>
      </c>
      <c r="E34" s="15">
        <v>1.1499999999999999</v>
      </c>
    </row>
    <row r="35" spans="1:7" x14ac:dyDescent="0.4">
      <c r="A35" s="72" t="s">
        <v>4499</v>
      </c>
      <c r="B35" s="73" t="s">
        <v>4500</v>
      </c>
      <c r="C35" s="75">
        <v>199</v>
      </c>
      <c r="D35" s="75">
        <v>12935000</v>
      </c>
      <c r="E35" s="19">
        <v>0.96</v>
      </c>
      <c r="F35" s="17"/>
      <c r="G35" s="17"/>
    </row>
    <row r="36" spans="1:7" x14ac:dyDescent="0.4">
      <c r="A36" s="72" t="s">
        <v>603</v>
      </c>
      <c r="B36" s="72" t="s">
        <v>604</v>
      </c>
      <c r="C36" s="77">
        <v>300</v>
      </c>
      <c r="D36" s="77">
        <v>12630000</v>
      </c>
      <c r="E36" s="15">
        <v>0.94</v>
      </c>
    </row>
    <row r="37" spans="1:7" x14ac:dyDescent="0.4">
      <c r="A37" s="72" t="s">
        <v>631</v>
      </c>
      <c r="B37" s="72" t="s">
        <v>632</v>
      </c>
      <c r="C37" s="77">
        <v>100</v>
      </c>
      <c r="D37" s="77">
        <v>10400000</v>
      </c>
      <c r="E37" s="15">
        <v>0.77</v>
      </c>
    </row>
    <row r="38" spans="1:7" x14ac:dyDescent="0.4">
      <c r="A38" s="72" t="s">
        <v>723</v>
      </c>
      <c r="B38" s="72" t="s">
        <v>724</v>
      </c>
      <c r="C38" s="77">
        <v>43</v>
      </c>
      <c r="D38" s="77">
        <v>4889100</v>
      </c>
      <c r="E38" s="15">
        <v>0.36</v>
      </c>
    </row>
    <row r="39" spans="1:7" x14ac:dyDescent="0.4">
      <c r="A39" s="72" t="s">
        <v>3049</v>
      </c>
      <c r="B39" s="72" t="s">
        <v>3050</v>
      </c>
      <c r="C39" s="77">
        <v>150</v>
      </c>
      <c r="D39" s="77">
        <v>3817500</v>
      </c>
      <c r="E39" s="15">
        <v>0.28000000000000003</v>
      </c>
    </row>
    <row r="40" spans="1:7" x14ac:dyDescent="0.4">
      <c r="A40" s="72"/>
      <c r="B40" s="72" t="s">
        <v>10</v>
      </c>
      <c r="C40" s="77">
        <v>12923664</v>
      </c>
      <c r="D40" s="77">
        <v>12923664</v>
      </c>
      <c r="E40" s="15">
        <v>0.96</v>
      </c>
    </row>
    <row r="41" spans="1:7" x14ac:dyDescent="0.4">
      <c r="C41" s="13"/>
      <c r="D41" s="13"/>
      <c r="E41" s="72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4" t="s">
        <v>659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299</v>
      </c>
      <c r="B11" s="72" t="s">
        <v>300</v>
      </c>
      <c r="C11" s="77">
        <v>250</v>
      </c>
      <c r="D11" s="77">
        <v>172000000</v>
      </c>
      <c r="E11" s="15">
        <v>11.23</v>
      </c>
    </row>
    <row r="12" spans="1:5" x14ac:dyDescent="0.4">
      <c r="A12" s="72" t="s">
        <v>287</v>
      </c>
      <c r="B12" s="72" t="s">
        <v>288</v>
      </c>
      <c r="C12" s="76">
        <v>250</v>
      </c>
      <c r="D12" s="77">
        <v>114500000</v>
      </c>
      <c r="E12" s="15">
        <v>7.48</v>
      </c>
    </row>
    <row r="13" spans="1:5" x14ac:dyDescent="0.4">
      <c r="A13" s="72" t="s">
        <v>120</v>
      </c>
      <c r="B13" s="72" t="s">
        <v>121</v>
      </c>
      <c r="C13" s="77">
        <v>269</v>
      </c>
      <c r="D13" s="77">
        <v>113921500</v>
      </c>
      <c r="E13" s="15">
        <v>7.44</v>
      </c>
    </row>
    <row r="14" spans="1:5" x14ac:dyDescent="0.4">
      <c r="A14" s="72" t="s">
        <v>434</v>
      </c>
      <c r="B14" s="72" t="s">
        <v>435</v>
      </c>
      <c r="C14" s="77">
        <v>1374</v>
      </c>
      <c r="D14" s="77">
        <v>106622400</v>
      </c>
      <c r="E14" s="15">
        <v>6.96</v>
      </c>
    </row>
    <row r="15" spans="1:5" x14ac:dyDescent="0.4">
      <c r="A15" s="72" t="s">
        <v>13</v>
      </c>
      <c r="B15" s="72" t="s">
        <v>14</v>
      </c>
      <c r="C15" s="76">
        <v>45</v>
      </c>
      <c r="D15" s="77">
        <v>104985000</v>
      </c>
      <c r="E15" s="15">
        <v>6.85</v>
      </c>
    </row>
    <row r="16" spans="1:5" x14ac:dyDescent="0.4">
      <c r="A16" s="72" t="s">
        <v>31</v>
      </c>
      <c r="B16" s="72" t="s">
        <v>32</v>
      </c>
      <c r="C16" s="76">
        <v>249</v>
      </c>
      <c r="D16" s="77">
        <v>91881000</v>
      </c>
      <c r="E16" s="15">
        <v>6</v>
      </c>
    </row>
    <row r="17" spans="1:5" x14ac:dyDescent="0.4">
      <c r="A17" s="72" t="s">
        <v>721</v>
      </c>
      <c r="B17" s="72" t="s">
        <v>722</v>
      </c>
      <c r="C17" s="76">
        <v>700</v>
      </c>
      <c r="D17" s="77">
        <v>78470000</v>
      </c>
      <c r="E17" s="15">
        <v>5.12</v>
      </c>
    </row>
    <row r="18" spans="1:5" x14ac:dyDescent="0.4">
      <c r="A18" s="72" t="s">
        <v>603</v>
      </c>
      <c r="B18" s="72" t="s">
        <v>604</v>
      </c>
      <c r="C18" s="77">
        <v>1500</v>
      </c>
      <c r="D18" s="77">
        <v>73500000</v>
      </c>
      <c r="E18" s="15">
        <v>4.8</v>
      </c>
    </row>
    <row r="19" spans="1:5" x14ac:dyDescent="0.4">
      <c r="A19" s="72" t="s">
        <v>313</v>
      </c>
      <c r="B19" s="72" t="s">
        <v>5175</v>
      </c>
      <c r="C19" s="77">
        <v>250</v>
      </c>
      <c r="D19" s="77">
        <v>72375000</v>
      </c>
      <c r="E19" s="15">
        <v>4.7300000000000004</v>
      </c>
    </row>
    <row r="20" spans="1:5" x14ac:dyDescent="0.4">
      <c r="A20" s="72" t="s">
        <v>232</v>
      </c>
      <c r="B20" s="72" t="s">
        <v>233</v>
      </c>
      <c r="C20" s="77">
        <v>219</v>
      </c>
      <c r="D20" s="77">
        <v>71284500</v>
      </c>
      <c r="E20" s="15">
        <v>4.6500000000000004</v>
      </c>
    </row>
    <row r="21" spans="1:5" x14ac:dyDescent="0.4">
      <c r="A21" s="72" t="s">
        <v>146</v>
      </c>
      <c r="B21" s="72" t="s">
        <v>147</v>
      </c>
      <c r="C21" s="77">
        <v>250</v>
      </c>
      <c r="D21" s="77">
        <v>64375000</v>
      </c>
      <c r="E21" s="15">
        <v>4.2</v>
      </c>
    </row>
    <row r="22" spans="1:5" x14ac:dyDescent="0.4">
      <c r="A22" s="72" t="s">
        <v>493</v>
      </c>
      <c r="B22" s="72" t="s">
        <v>494</v>
      </c>
      <c r="C22" s="77">
        <v>300</v>
      </c>
      <c r="D22" s="77">
        <v>60000000</v>
      </c>
      <c r="E22" s="15">
        <v>3.92</v>
      </c>
    </row>
    <row r="23" spans="1:5" x14ac:dyDescent="0.4">
      <c r="A23" s="72" t="s">
        <v>631</v>
      </c>
      <c r="B23" s="72" t="s">
        <v>632</v>
      </c>
      <c r="C23" s="76">
        <v>400</v>
      </c>
      <c r="D23" s="77">
        <v>53240000</v>
      </c>
      <c r="E23" s="15">
        <v>3.48</v>
      </c>
    </row>
    <row r="24" spans="1:5" x14ac:dyDescent="0.4">
      <c r="A24" s="72" t="s">
        <v>488</v>
      </c>
      <c r="B24" s="72" t="s">
        <v>489</v>
      </c>
      <c r="C24" s="76">
        <v>449</v>
      </c>
      <c r="D24" s="77">
        <v>53026900</v>
      </c>
      <c r="E24" s="15">
        <v>3.46</v>
      </c>
    </row>
    <row r="25" spans="1:5" x14ac:dyDescent="0.4">
      <c r="A25" s="72" t="s">
        <v>252</v>
      </c>
      <c r="B25" s="72" t="s">
        <v>253</v>
      </c>
      <c r="C25" s="77">
        <v>350</v>
      </c>
      <c r="D25" s="77">
        <v>40810000</v>
      </c>
      <c r="E25" s="15">
        <v>2.66</v>
      </c>
    </row>
    <row r="26" spans="1:5" x14ac:dyDescent="0.4">
      <c r="A26" s="72" t="s">
        <v>605</v>
      </c>
      <c r="B26" s="72" t="s">
        <v>606</v>
      </c>
      <c r="C26" s="77">
        <v>2610</v>
      </c>
      <c r="D26" s="77">
        <v>40141800</v>
      </c>
      <c r="E26" s="15">
        <v>2.62</v>
      </c>
    </row>
    <row r="27" spans="1:5" x14ac:dyDescent="0.4">
      <c r="A27" s="72" t="s">
        <v>737</v>
      </c>
      <c r="B27" s="72" t="s">
        <v>738</v>
      </c>
      <c r="C27" s="77">
        <v>250</v>
      </c>
      <c r="D27" s="77">
        <v>38275000</v>
      </c>
      <c r="E27" s="15">
        <v>2.5</v>
      </c>
    </row>
    <row r="28" spans="1:5" x14ac:dyDescent="0.4">
      <c r="A28" s="72" t="s">
        <v>723</v>
      </c>
      <c r="B28" s="72" t="s">
        <v>724</v>
      </c>
      <c r="C28" s="77">
        <v>280</v>
      </c>
      <c r="D28" s="77">
        <v>37436000</v>
      </c>
      <c r="E28" s="15">
        <v>2.44</v>
      </c>
    </row>
    <row r="29" spans="1:5" x14ac:dyDescent="0.4">
      <c r="A29" s="72" t="s">
        <v>593</v>
      </c>
      <c r="B29" s="72" t="s">
        <v>594</v>
      </c>
      <c r="C29" s="77">
        <v>801</v>
      </c>
      <c r="D29" s="77">
        <v>31198950</v>
      </c>
      <c r="E29" s="15">
        <v>2.04</v>
      </c>
    </row>
    <row r="30" spans="1:5" x14ac:dyDescent="0.4">
      <c r="A30" s="72" t="s">
        <v>643</v>
      </c>
      <c r="B30" s="72" t="s">
        <v>644</v>
      </c>
      <c r="C30" s="77">
        <v>199</v>
      </c>
      <c r="D30" s="77">
        <v>28138600</v>
      </c>
      <c r="E30" s="15">
        <v>1.84</v>
      </c>
    </row>
    <row r="31" spans="1:5" x14ac:dyDescent="0.4">
      <c r="A31" s="72" t="s">
        <v>769</v>
      </c>
      <c r="B31" s="72" t="s">
        <v>770</v>
      </c>
      <c r="C31" s="77">
        <v>200</v>
      </c>
      <c r="D31" s="77">
        <v>23860000</v>
      </c>
      <c r="E31" s="15">
        <v>1.56</v>
      </c>
    </row>
    <row r="32" spans="1:5" x14ac:dyDescent="0.4">
      <c r="A32" s="72" t="s">
        <v>4625</v>
      </c>
      <c r="B32" s="72" t="s">
        <v>4626</v>
      </c>
      <c r="C32" s="77">
        <v>205</v>
      </c>
      <c r="D32" s="77">
        <v>23124000</v>
      </c>
      <c r="E32" s="15">
        <v>1.51</v>
      </c>
    </row>
    <row r="33" spans="1:5" x14ac:dyDescent="0.4">
      <c r="A33" s="72" t="s">
        <v>761</v>
      </c>
      <c r="B33" s="72" t="s">
        <v>762</v>
      </c>
      <c r="C33" s="77">
        <v>192</v>
      </c>
      <c r="D33" s="77">
        <v>18777600</v>
      </c>
      <c r="E33" s="15">
        <v>1.23</v>
      </c>
    </row>
    <row r="34" spans="1:5" x14ac:dyDescent="0.4">
      <c r="A34" s="72" t="s">
        <v>3049</v>
      </c>
      <c r="B34" s="72" t="s">
        <v>3050</v>
      </c>
      <c r="C34" s="77">
        <v>317</v>
      </c>
      <c r="D34" s="77">
        <v>9716050</v>
      </c>
      <c r="E34" s="15">
        <v>0.63</v>
      </c>
    </row>
    <row r="35" spans="1:5" x14ac:dyDescent="0.4">
      <c r="A35" s="72"/>
      <c r="B35" s="72" t="s">
        <v>10</v>
      </c>
      <c r="C35" s="77">
        <v>9908185</v>
      </c>
      <c r="D35" s="77">
        <v>9908185</v>
      </c>
      <c r="E35" s="15">
        <v>0.65</v>
      </c>
    </row>
    <row r="36" spans="1:5" x14ac:dyDescent="0.4">
      <c r="C36" s="13"/>
      <c r="D36" s="13"/>
      <c r="E36" s="72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74" t="s">
        <v>527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330</v>
      </c>
      <c r="B11" s="73" t="s">
        <v>331</v>
      </c>
      <c r="C11" s="75">
        <v>68</v>
      </c>
      <c r="D11" s="75">
        <v>48552000</v>
      </c>
      <c r="E11" s="19">
        <v>9.1</v>
      </c>
      <c r="F11" s="17"/>
      <c r="G11" s="17"/>
    </row>
    <row r="12" spans="1:7" x14ac:dyDescent="0.4">
      <c r="A12" s="72" t="s">
        <v>78</v>
      </c>
      <c r="B12" s="73" t="s">
        <v>79</v>
      </c>
      <c r="C12" s="78">
        <v>41</v>
      </c>
      <c r="D12" s="75">
        <v>48216000</v>
      </c>
      <c r="E12" s="19">
        <v>9.0399999999999991</v>
      </c>
      <c r="F12" s="17"/>
      <c r="G12" s="17"/>
    </row>
    <row r="13" spans="1:7" x14ac:dyDescent="0.4">
      <c r="A13" s="72" t="s">
        <v>283</v>
      </c>
      <c r="B13" s="72" t="s">
        <v>284</v>
      </c>
      <c r="C13" s="77">
        <v>842</v>
      </c>
      <c r="D13" s="77">
        <v>46899400</v>
      </c>
      <c r="E13" s="15">
        <v>8.7899999999999991</v>
      </c>
    </row>
    <row r="14" spans="1:7" x14ac:dyDescent="0.4">
      <c r="A14" s="72" t="s">
        <v>271</v>
      </c>
      <c r="B14" s="72" t="s">
        <v>272</v>
      </c>
      <c r="C14" s="77">
        <v>865</v>
      </c>
      <c r="D14" s="77">
        <v>43942000</v>
      </c>
      <c r="E14" s="15">
        <v>8.24</v>
      </c>
    </row>
    <row r="15" spans="1:7" x14ac:dyDescent="0.4">
      <c r="A15" s="72" t="s">
        <v>279</v>
      </c>
      <c r="B15" s="72" t="s">
        <v>280</v>
      </c>
      <c r="C15" s="76">
        <v>3641</v>
      </c>
      <c r="D15" s="77">
        <v>42745340</v>
      </c>
      <c r="E15" s="15">
        <v>8.01</v>
      </c>
    </row>
    <row r="16" spans="1:7" x14ac:dyDescent="0.4">
      <c r="A16" s="72" t="s">
        <v>63</v>
      </c>
      <c r="B16" s="72" t="s">
        <v>64</v>
      </c>
      <c r="C16" s="76">
        <v>104</v>
      </c>
      <c r="D16" s="77">
        <v>42692000</v>
      </c>
      <c r="E16" s="15">
        <v>8</v>
      </c>
    </row>
    <row r="17" spans="1:7" x14ac:dyDescent="0.4">
      <c r="A17" s="72" t="s">
        <v>328</v>
      </c>
      <c r="B17" s="73" t="s">
        <v>329</v>
      </c>
      <c r="C17" s="78">
        <v>210</v>
      </c>
      <c r="D17" s="75">
        <v>42420000</v>
      </c>
      <c r="E17" s="19">
        <v>7.95</v>
      </c>
      <c r="F17" s="17"/>
      <c r="G17" s="17"/>
    </row>
    <row r="18" spans="1:7" x14ac:dyDescent="0.4">
      <c r="A18" s="72" t="s">
        <v>404</v>
      </c>
      <c r="B18" s="72" t="s">
        <v>405</v>
      </c>
      <c r="C18" s="77">
        <v>742</v>
      </c>
      <c r="D18" s="77">
        <v>37545200</v>
      </c>
      <c r="E18" s="15">
        <v>7.04</v>
      </c>
    </row>
    <row r="19" spans="1:7" x14ac:dyDescent="0.4">
      <c r="A19" s="72" t="s">
        <v>703</v>
      </c>
      <c r="B19" s="72" t="s">
        <v>704</v>
      </c>
      <c r="C19" s="77">
        <v>3455</v>
      </c>
      <c r="D19" s="77">
        <v>35482850</v>
      </c>
      <c r="E19" s="15">
        <v>6.65</v>
      </c>
    </row>
    <row r="20" spans="1:7" x14ac:dyDescent="0.4">
      <c r="A20" s="72" t="s">
        <v>210</v>
      </c>
      <c r="B20" s="72" t="s">
        <v>211</v>
      </c>
      <c r="C20" s="77">
        <v>1338</v>
      </c>
      <c r="D20" s="77">
        <v>31777500</v>
      </c>
      <c r="E20" s="15">
        <v>5.96</v>
      </c>
    </row>
    <row r="21" spans="1:7" x14ac:dyDescent="0.4">
      <c r="A21" s="72" t="s">
        <v>227</v>
      </c>
      <c r="B21" s="72" t="s">
        <v>228</v>
      </c>
      <c r="C21" s="77">
        <v>247</v>
      </c>
      <c r="D21" s="77">
        <v>27614600</v>
      </c>
      <c r="E21" s="15">
        <v>5.18</v>
      </c>
    </row>
    <row r="22" spans="1:7" x14ac:dyDescent="0.4">
      <c r="A22" s="72" t="s">
        <v>281</v>
      </c>
      <c r="B22" s="73" t="s">
        <v>282</v>
      </c>
      <c r="C22" s="75">
        <v>1729</v>
      </c>
      <c r="D22" s="75">
        <v>25520040</v>
      </c>
      <c r="E22" s="19">
        <v>4.78</v>
      </c>
      <c r="F22" s="17"/>
      <c r="G22" s="17"/>
    </row>
    <row r="23" spans="1:7" x14ac:dyDescent="0.4">
      <c r="A23" s="72" t="s">
        <v>595</v>
      </c>
      <c r="B23" s="73" t="s">
        <v>596</v>
      </c>
      <c r="C23" s="78">
        <v>210</v>
      </c>
      <c r="D23" s="75">
        <v>16968000</v>
      </c>
      <c r="E23" s="19">
        <v>3.18</v>
      </c>
      <c r="F23" s="17"/>
      <c r="G23" s="17"/>
    </row>
    <row r="24" spans="1:7" x14ac:dyDescent="0.4">
      <c r="A24" s="72" t="s">
        <v>154</v>
      </c>
      <c r="B24" s="72" t="s">
        <v>155</v>
      </c>
      <c r="C24" s="76">
        <v>195</v>
      </c>
      <c r="D24" s="77">
        <v>16224000</v>
      </c>
      <c r="E24" s="15">
        <v>3.04</v>
      </c>
    </row>
    <row r="25" spans="1:7" x14ac:dyDescent="0.4">
      <c r="A25" s="72" t="s">
        <v>273</v>
      </c>
      <c r="B25" s="72" t="s">
        <v>274</v>
      </c>
      <c r="C25" s="77">
        <v>166</v>
      </c>
      <c r="D25" s="77">
        <v>14740800</v>
      </c>
      <c r="E25" s="15">
        <v>2.76</v>
      </c>
    </row>
    <row r="26" spans="1:7" x14ac:dyDescent="0.4">
      <c r="A26" s="72" t="s">
        <v>551</v>
      </c>
      <c r="B26" s="72" t="s">
        <v>552</v>
      </c>
      <c r="C26" s="77">
        <v>218</v>
      </c>
      <c r="D26" s="77">
        <v>7717200</v>
      </c>
      <c r="E26" s="15">
        <v>1.45</v>
      </c>
    </row>
    <row r="27" spans="1:7" x14ac:dyDescent="0.4">
      <c r="A27" s="72"/>
      <c r="B27" s="72" t="s">
        <v>10</v>
      </c>
      <c r="C27" s="77">
        <v>4388699</v>
      </c>
      <c r="D27" s="77">
        <v>4388699</v>
      </c>
      <c r="E27" s="15">
        <v>0.82</v>
      </c>
    </row>
    <row r="28" spans="1:7" x14ac:dyDescent="0.4">
      <c r="C28" s="13"/>
      <c r="D28" s="13"/>
      <c r="E28" s="72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74" t="s">
        <v>527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78</v>
      </c>
      <c r="B11" s="72" t="s">
        <v>79</v>
      </c>
      <c r="C11" s="77">
        <v>41</v>
      </c>
      <c r="D11" s="77">
        <v>49405000</v>
      </c>
      <c r="E11" s="15">
        <v>9.84</v>
      </c>
    </row>
    <row r="12" spans="1:5" x14ac:dyDescent="0.4">
      <c r="A12" s="72" t="s">
        <v>283</v>
      </c>
      <c r="B12" s="72" t="s">
        <v>284</v>
      </c>
      <c r="C12" s="76">
        <v>842</v>
      </c>
      <c r="D12" s="77">
        <v>46394200</v>
      </c>
      <c r="E12" s="15">
        <v>9.24</v>
      </c>
    </row>
    <row r="13" spans="1:5" x14ac:dyDescent="0.4">
      <c r="A13" s="72" t="s">
        <v>63</v>
      </c>
      <c r="B13" s="72" t="s">
        <v>64</v>
      </c>
      <c r="C13" s="77">
        <v>104</v>
      </c>
      <c r="D13" s="77">
        <v>41132000</v>
      </c>
      <c r="E13" s="15">
        <v>8.19</v>
      </c>
    </row>
    <row r="14" spans="1:5" x14ac:dyDescent="0.4">
      <c r="A14" s="72" t="s">
        <v>404</v>
      </c>
      <c r="B14" s="72" t="s">
        <v>405</v>
      </c>
      <c r="C14" s="77">
        <v>742</v>
      </c>
      <c r="D14" s="77">
        <v>40068000</v>
      </c>
      <c r="E14" s="15">
        <v>7.98</v>
      </c>
    </row>
    <row r="15" spans="1:5" x14ac:dyDescent="0.4">
      <c r="A15" s="72" t="s">
        <v>703</v>
      </c>
      <c r="B15" s="72" t="s">
        <v>704</v>
      </c>
      <c r="C15" s="76">
        <v>3455</v>
      </c>
      <c r="D15" s="77">
        <v>38972400</v>
      </c>
      <c r="E15" s="15">
        <v>7.76</v>
      </c>
    </row>
    <row r="16" spans="1:5" x14ac:dyDescent="0.4">
      <c r="A16" s="72" t="s">
        <v>279</v>
      </c>
      <c r="B16" s="72" t="s">
        <v>280</v>
      </c>
      <c r="C16" s="76">
        <v>3641</v>
      </c>
      <c r="D16" s="77">
        <v>38849470</v>
      </c>
      <c r="E16" s="15">
        <v>7.74</v>
      </c>
    </row>
    <row r="17" spans="1:5" x14ac:dyDescent="0.4">
      <c r="A17" s="72" t="s">
        <v>271</v>
      </c>
      <c r="B17" s="72" t="s">
        <v>272</v>
      </c>
      <c r="C17" s="76">
        <v>865</v>
      </c>
      <c r="D17" s="77">
        <v>37627500</v>
      </c>
      <c r="E17" s="15">
        <v>7.49</v>
      </c>
    </row>
    <row r="18" spans="1:5" x14ac:dyDescent="0.4">
      <c r="A18" s="72" t="s">
        <v>330</v>
      </c>
      <c r="B18" s="72" t="s">
        <v>331</v>
      </c>
      <c r="C18" s="77">
        <v>68</v>
      </c>
      <c r="D18" s="77">
        <v>35020000</v>
      </c>
      <c r="E18" s="15">
        <v>6.97</v>
      </c>
    </row>
    <row r="19" spans="1:5" x14ac:dyDescent="0.4">
      <c r="A19" s="72" t="s">
        <v>210</v>
      </c>
      <c r="B19" s="72" t="s">
        <v>211</v>
      </c>
      <c r="C19" s="77">
        <v>1338</v>
      </c>
      <c r="D19" s="77">
        <v>34185900</v>
      </c>
      <c r="E19" s="15">
        <v>6.81</v>
      </c>
    </row>
    <row r="20" spans="1:5" x14ac:dyDescent="0.4">
      <c r="A20" s="72" t="s">
        <v>328</v>
      </c>
      <c r="B20" s="72" t="s">
        <v>329</v>
      </c>
      <c r="C20" s="77">
        <v>210</v>
      </c>
      <c r="D20" s="77">
        <v>31017000</v>
      </c>
      <c r="E20" s="15">
        <v>6.18</v>
      </c>
    </row>
    <row r="21" spans="1:5" x14ac:dyDescent="0.4">
      <c r="A21" s="72" t="s">
        <v>227</v>
      </c>
      <c r="B21" s="72" t="s">
        <v>228</v>
      </c>
      <c r="C21" s="77">
        <v>247</v>
      </c>
      <c r="D21" s="77">
        <v>28429700</v>
      </c>
      <c r="E21" s="15">
        <v>5.66</v>
      </c>
    </row>
    <row r="22" spans="1:5" x14ac:dyDescent="0.4">
      <c r="A22" s="72" t="s">
        <v>281</v>
      </c>
      <c r="B22" s="72" t="s">
        <v>282</v>
      </c>
      <c r="C22" s="77">
        <v>1729</v>
      </c>
      <c r="D22" s="77">
        <v>24378900</v>
      </c>
      <c r="E22" s="15">
        <v>4.8499999999999996</v>
      </c>
    </row>
    <row r="23" spans="1:5" x14ac:dyDescent="0.4">
      <c r="A23" s="72" t="s">
        <v>595</v>
      </c>
      <c r="B23" s="72" t="s">
        <v>596</v>
      </c>
      <c r="C23" s="76">
        <v>210</v>
      </c>
      <c r="D23" s="77">
        <v>16695000</v>
      </c>
      <c r="E23" s="15">
        <v>3.32</v>
      </c>
    </row>
    <row r="24" spans="1:5" x14ac:dyDescent="0.4">
      <c r="A24" s="72" t="s">
        <v>154</v>
      </c>
      <c r="B24" s="72" t="s">
        <v>155</v>
      </c>
      <c r="C24" s="76">
        <v>195</v>
      </c>
      <c r="D24" s="77">
        <v>14215500</v>
      </c>
      <c r="E24" s="15">
        <v>2.83</v>
      </c>
    </row>
    <row r="25" spans="1:5" x14ac:dyDescent="0.4">
      <c r="A25" s="72" t="s">
        <v>273</v>
      </c>
      <c r="B25" s="72" t="s">
        <v>274</v>
      </c>
      <c r="C25" s="77">
        <v>166</v>
      </c>
      <c r="D25" s="77">
        <v>13230200</v>
      </c>
      <c r="E25" s="15">
        <v>2.63</v>
      </c>
    </row>
    <row r="26" spans="1:5" x14ac:dyDescent="0.4">
      <c r="A26" s="72" t="s">
        <v>551</v>
      </c>
      <c r="B26" s="72" t="s">
        <v>552</v>
      </c>
      <c r="C26" s="77">
        <v>218</v>
      </c>
      <c r="D26" s="77">
        <v>7880700</v>
      </c>
      <c r="E26" s="15">
        <v>1.57</v>
      </c>
    </row>
    <row r="27" spans="1:5" x14ac:dyDescent="0.4">
      <c r="A27" s="72"/>
      <c r="B27" s="72" t="s">
        <v>10</v>
      </c>
      <c r="C27" s="77">
        <v>4708743</v>
      </c>
      <c r="D27" s="77">
        <v>4708743</v>
      </c>
      <c r="E27" s="15">
        <v>0.94</v>
      </c>
    </row>
    <row r="28" spans="1:5" x14ac:dyDescent="0.4">
      <c r="C28" s="13"/>
      <c r="D28" s="13"/>
      <c r="E28" s="72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4" t="s">
        <v>528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115</v>
      </c>
      <c r="D11" s="75">
        <v>241615000</v>
      </c>
      <c r="E11" s="19">
        <v>13.53</v>
      </c>
      <c r="F11" s="17"/>
      <c r="G11" s="17"/>
    </row>
    <row r="12" spans="1:7" x14ac:dyDescent="0.4">
      <c r="A12" s="72" t="s">
        <v>757</v>
      </c>
      <c r="B12" s="73" t="s">
        <v>758</v>
      </c>
      <c r="C12" s="75">
        <v>943</v>
      </c>
      <c r="D12" s="75">
        <v>160875800</v>
      </c>
      <c r="E12" s="19">
        <v>9.01</v>
      </c>
      <c r="F12" s="17"/>
      <c r="G12" s="17"/>
    </row>
    <row r="13" spans="1:7" x14ac:dyDescent="0.4">
      <c r="A13" s="72" t="s">
        <v>471</v>
      </c>
      <c r="B13" s="73" t="s">
        <v>472</v>
      </c>
      <c r="C13" s="75">
        <v>600</v>
      </c>
      <c r="D13" s="75">
        <v>89880000</v>
      </c>
      <c r="E13" s="19">
        <v>5.03</v>
      </c>
      <c r="F13" s="17"/>
      <c r="G13" s="17"/>
    </row>
    <row r="14" spans="1:7" x14ac:dyDescent="0.4">
      <c r="A14" s="72" t="s">
        <v>769</v>
      </c>
      <c r="B14" s="73" t="s">
        <v>770</v>
      </c>
      <c r="C14" s="75">
        <v>594</v>
      </c>
      <c r="D14" s="75">
        <v>82684800</v>
      </c>
      <c r="E14" s="19">
        <v>4.63</v>
      </c>
      <c r="F14" s="17"/>
      <c r="G14" s="17"/>
    </row>
    <row r="15" spans="1:7" x14ac:dyDescent="0.4">
      <c r="A15" s="72" t="s">
        <v>299</v>
      </c>
      <c r="B15" s="73" t="s">
        <v>300</v>
      </c>
      <c r="C15" s="75">
        <v>148</v>
      </c>
      <c r="D15" s="75">
        <v>73778000</v>
      </c>
      <c r="E15" s="19">
        <v>4.13</v>
      </c>
      <c r="F15" s="17"/>
      <c r="G15" s="17"/>
    </row>
    <row r="16" spans="1:7" x14ac:dyDescent="0.4">
      <c r="A16" s="72" t="s">
        <v>80</v>
      </c>
      <c r="B16" s="73" t="s">
        <v>81</v>
      </c>
      <c r="C16" s="75">
        <v>233</v>
      </c>
      <c r="D16" s="75">
        <v>69667000</v>
      </c>
      <c r="E16" s="19">
        <v>3.9</v>
      </c>
      <c r="F16" s="17"/>
      <c r="G16" s="17"/>
    </row>
    <row r="17" spans="1:7" x14ac:dyDescent="0.4">
      <c r="A17" s="72" t="s">
        <v>98</v>
      </c>
      <c r="B17" s="72" t="s">
        <v>99</v>
      </c>
      <c r="C17" s="77">
        <v>297</v>
      </c>
      <c r="D17" s="77">
        <v>66528000</v>
      </c>
      <c r="E17" s="15">
        <v>3.73</v>
      </c>
    </row>
    <row r="18" spans="1:7" x14ac:dyDescent="0.4">
      <c r="A18" s="72" t="s">
        <v>4625</v>
      </c>
      <c r="B18" s="73" t="s">
        <v>4626</v>
      </c>
      <c r="C18" s="75">
        <v>623</v>
      </c>
      <c r="D18" s="75">
        <v>66100300</v>
      </c>
      <c r="E18" s="19">
        <v>3.7</v>
      </c>
      <c r="F18" s="17"/>
      <c r="G18" s="17"/>
    </row>
    <row r="19" spans="1:7" x14ac:dyDescent="0.4">
      <c r="A19" s="72" t="s">
        <v>453</v>
      </c>
      <c r="B19" s="72" t="s">
        <v>454</v>
      </c>
      <c r="C19" s="76">
        <v>36</v>
      </c>
      <c r="D19" s="77">
        <v>64980000</v>
      </c>
      <c r="E19" s="15">
        <v>3.64</v>
      </c>
    </row>
    <row r="20" spans="1:7" x14ac:dyDescent="0.4">
      <c r="A20" s="72" t="s">
        <v>493</v>
      </c>
      <c r="B20" s="72" t="s">
        <v>494</v>
      </c>
      <c r="C20" s="76">
        <v>263</v>
      </c>
      <c r="D20" s="77">
        <v>64566500</v>
      </c>
      <c r="E20" s="15">
        <v>3.62</v>
      </c>
    </row>
    <row r="21" spans="1:7" x14ac:dyDescent="0.4">
      <c r="A21" s="72" t="s">
        <v>386</v>
      </c>
      <c r="B21" s="72" t="s">
        <v>387</v>
      </c>
      <c r="C21" s="77">
        <v>856</v>
      </c>
      <c r="D21" s="77">
        <v>60348000</v>
      </c>
      <c r="E21" s="15">
        <v>3.38</v>
      </c>
    </row>
    <row r="22" spans="1:7" x14ac:dyDescent="0.4">
      <c r="A22" s="72" t="s">
        <v>653</v>
      </c>
      <c r="B22" s="72" t="s">
        <v>654</v>
      </c>
      <c r="C22" s="76">
        <v>535</v>
      </c>
      <c r="D22" s="77">
        <v>53500000</v>
      </c>
      <c r="E22" s="15">
        <v>3</v>
      </c>
    </row>
    <row r="23" spans="1:7" x14ac:dyDescent="0.4">
      <c r="A23" s="72" t="s">
        <v>19</v>
      </c>
      <c r="B23" s="72" t="s">
        <v>20</v>
      </c>
      <c r="C23" s="76">
        <v>231</v>
      </c>
      <c r="D23" s="77">
        <v>53014500</v>
      </c>
      <c r="E23" s="15">
        <v>2.97</v>
      </c>
    </row>
    <row r="24" spans="1:7" x14ac:dyDescent="0.4">
      <c r="A24" s="72" t="s">
        <v>2001</v>
      </c>
      <c r="B24" s="72" t="s">
        <v>2002</v>
      </c>
      <c r="C24" s="76">
        <v>1650</v>
      </c>
      <c r="D24" s="77">
        <v>52057500</v>
      </c>
      <c r="E24" s="15">
        <v>2.92</v>
      </c>
    </row>
    <row r="25" spans="1:7" x14ac:dyDescent="0.4">
      <c r="A25" s="72" t="s">
        <v>15</v>
      </c>
      <c r="B25" s="72" t="s">
        <v>16</v>
      </c>
      <c r="C25" s="77">
        <v>49</v>
      </c>
      <c r="D25" s="77">
        <v>50617000</v>
      </c>
      <c r="E25" s="15">
        <v>2.84</v>
      </c>
    </row>
    <row r="26" spans="1:7" x14ac:dyDescent="0.4">
      <c r="A26" s="72" t="s">
        <v>539</v>
      </c>
      <c r="B26" s="72" t="s">
        <v>540</v>
      </c>
      <c r="C26" s="77">
        <v>611</v>
      </c>
      <c r="D26" s="77">
        <v>49429900</v>
      </c>
      <c r="E26" s="15">
        <v>2.77</v>
      </c>
    </row>
    <row r="27" spans="1:7" x14ac:dyDescent="0.4">
      <c r="A27" s="72" t="s">
        <v>488</v>
      </c>
      <c r="B27" s="72" t="s">
        <v>489</v>
      </c>
      <c r="C27" s="77">
        <v>363</v>
      </c>
      <c r="D27" s="77">
        <v>48387900</v>
      </c>
      <c r="E27" s="15">
        <v>2.71</v>
      </c>
    </row>
    <row r="28" spans="1:7" x14ac:dyDescent="0.4">
      <c r="A28" s="72" t="s">
        <v>468</v>
      </c>
      <c r="B28" s="72" t="s">
        <v>469</v>
      </c>
      <c r="C28" s="77">
        <v>789</v>
      </c>
      <c r="D28" s="77">
        <v>43395000</v>
      </c>
      <c r="E28" s="15">
        <v>2.4300000000000002</v>
      </c>
    </row>
    <row r="29" spans="1:7" x14ac:dyDescent="0.4">
      <c r="A29" s="72" t="s">
        <v>475</v>
      </c>
      <c r="B29" s="72" t="s">
        <v>476</v>
      </c>
      <c r="C29" s="77">
        <v>820</v>
      </c>
      <c r="D29" s="77">
        <v>39319000</v>
      </c>
      <c r="E29" s="15">
        <v>2.2000000000000002</v>
      </c>
    </row>
    <row r="30" spans="1:7" x14ac:dyDescent="0.4">
      <c r="A30" s="72" t="s">
        <v>320</v>
      </c>
      <c r="B30" s="72" t="s">
        <v>321</v>
      </c>
      <c r="C30" s="76">
        <v>1055</v>
      </c>
      <c r="D30" s="77">
        <v>38982250</v>
      </c>
      <c r="E30" s="15">
        <v>2.1800000000000002</v>
      </c>
    </row>
    <row r="31" spans="1:7" x14ac:dyDescent="0.4">
      <c r="A31" s="72" t="s">
        <v>557</v>
      </c>
      <c r="B31" s="72" t="s">
        <v>558</v>
      </c>
      <c r="C31" s="77">
        <v>1426</v>
      </c>
      <c r="D31" s="77">
        <v>38359400</v>
      </c>
      <c r="E31" s="15">
        <v>2.15</v>
      </c>
    </row>
    <row r="32" spans="1:7" x14ac:dyDescent="0.4">
      <c r="A32" s="72" t="s">
        <v>479</v>
      </c>
      <c r="B32" s="72" t="s">
        <v>480</v>
      </c>
      <c r="C32" s="77">
        <v>283</v>
      </c>
      <c r="D32" s="77">
        <v>37893700</v>
      </c>
      <c r="E32" s="15">
        <v>2.12</v>
      </c>
    </row>
    <row r="33" spans="1:5" x14ac:dyDescent="0.4">
      <c r="A33" s="72" t="s">
        <v>392</v>
      </c>
      <c r="B33" s="72" t="s">
        <v>393</v>
      </c>
      <c r="C33" s="77">
        <v>165</v>
      </c>
      <c r="D33" s="77">
        <v>35145000</v>
      </c>
      <c r="E33" s="15">
        <v>1.97</v>
      </c>
    </row>
    <row r="34" spans="1:5" x14ac:dyDescent="0.4">
      <c r="A34" s="72" t="s">
        <v>451</v>
      </c>
      <c r="B34" s="72" t="s">
        <v>452</v>
      </c>
      <c r="C34" s="77">
        <v>32</v>
      </c>
      <c r="D34" s="77">
        <v>34304000</v>
      </c>
      <c r="E34" s="15">
        <v>1.92</v>
      </c>
    </row>
    <row r="35" spans="1:5" x14ac:dyDescent="0.4">
      <c r="A35" s="72" t="s">
        <v>217</v>
      </c>
      <c r="B35" s="72" t="s">
        <v>218</v>
      </c>
      <c r="C35" s="77">
        <v>53</v>
      </c>
      <c r="D35" s="77">
        <v>34238000</v>
      </c>
      <c r="E35" s="15">
        <v>1.92</v>
      </c>
    </row>
    <row r="36" spans="1:5" x14ac:dyDescent="0.4">
      <c r="A36" s="72" t="s">
        <v>287</v>
      </c>
      <c r="B36" s="72" t="s">
        <v>288</v>
      </c>
      <c r="C36" s="77">
        <v>85</v>
      </c>
      <c r="D36" s="77">
        <v>32682500</v>
      </c>
      <c r="E36" s="15">
        <v>1.83</v>
      </c>
    </row>
    <row r="37" spans="1:5" x14ac:dyDescent="0.4">
      <c r="A37" s="72" t="s">
        <v>21</v>
      </c>
      <c r="B37" s="72" t="s">
        <v>22</v>
      </c>
      <c r="C37" s="77">
        <v>248</v>
      </c>
      <c r="D37" s="77">
        <v>30429600</v>
      </c>
      <c r="E37" s="15">
        <v>1.7</v>
      </c>
    </row>
    <row r="38" spans="1:5" x14ac:dyDescent="0.4">
      <c r="A38" s="72" t="s">
        <v>238</v>
      </c>
      <c r="B38" s="72" t="s">
        <v>239</v>
      </c>
      <c r="C38" s="77">
        <v>130</v>
      </c>
      <c r="D38" s="77">
        <v>29835000</v>
      </c>
      <c r="E38" s="15">
        <v>1.67</v>
      </c>
    </row>
    <row r="39" spans="1:5" x14ac:dyDescent="0.4">
      <c r="A39" s="72" t="s">
        <v>349</v>
      </c>
      <c r="B39" s="72" t="s">
        <v>350</v>
      </c>
      <c r="C39" s="77">
        <v>26</v>
      </c>
      <c r="D39" s="77">
        <v>13104000</v>
      </c>
      <c r="E39" s="15">
        <v>0.73</v>
      </c>
    </row>
    <row r="40" spans="1:5" x14ac:dyDescent="0.4">
      <c r="A40" s="72" t="s">
        <v>17</v>
      </c>
      <c r="B40" s="72" t="s">
        <v>18</v>
      </c>
      <c r="C40" s="77">
        <v>110</v>
      </c>
      <c r="D40" s="77">
        <v>9746000</v>
      </c>
      <c r="E40" s="15">
        <v>0.55000000000000004</v>
      </c>
    </row>
    <row r="41" spans="1:5" x14ac:dyDescent="0.4">
      <c r="A41" s="72" t="s">
        <v>4852</v>
      </c>
      <c r="B41" s="72" t="s">
        <v>4853</v>
      </c>
      <c r="C41" s="77">
        <v>468</v>
      </c>
      <c r="D41" s="77">
        <v>7108920</v>
      </c>
      <c r="E41" s="15">
        <v>0.4</v>
      </c>
    </row>
    <row r="42" spans="1:5" x14ac:dyDescent="0.4">
      <c r="A42" s="72" t="s">
        <v>47</v>
      </c>
      <c r="B42" s="72" t="s">
        <v>48</v>
      </c>
      <c r="C42" s="77">
        <v>102</v>
      </c>
      <c r="D42" s="77">
        <v>3488400</v>
      </c>
      <c r="E42" s="15">
        <v>0.2</v>
      </c>
    </row>
    <row r="43" spans="1:5" x14ac:dyDescent="0.4">
      <c r="A43" s="72"/>
      <c r="B43" s="72" t="s">
        <v>10</v>
      </c>
      <c r="C43" s="77">
        <v>9158044</v>
      </c>
      <c r="D43" s="77">
        <v>9158044</v>
      </c>
      <c r="E43" s="15">
        <v>0.51</v>
      </c>
    </row>
    <row r="44" spans="1:5" x14ac:dyDescent="0.4">
      <c r="C44" s="13"/>
      <c r="D44" s="13"/>
      <c r="E44" s="72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4" t="s">
        <v>528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123</v>
      </c>
      <c r="D11" s="77">
        <v>286959000</v>
      </c>
      <c r="E11" s="15">
        <v>14.99</v>
      </c>
    </row>
    <row r="12" spans="1:5" x14ac:dyDescent="0.4">
      <c r="A12" s="72" t="s">
        <v>451</v>
      </c>
      <c r="B12" s="72" t="s">
        <v>452</v>
      </c>
      <c r="C12" s="76">
        <v>112</v>
      </c>
      <c r="D12" s="77">
        <v>163296000</v>
      </c>
      <c r="E12" s="15">
        <v>8.5299999999999994</v>
      </c>
    </row>
    <row r="13" spans="1:5" x14ac:dyDescent="0.4">
      <c r="A13" s="72" t="s">
        <v>80</v>
      </c>
      <c r="B13" s="72" t="s">
        <v>81</v>
      </c>
      <c r="C13" s="77">
        <v>370</v>
      </c>
      <c r="D13" s="77">
        <v>117290000</v>
      </c>
      <c r="E13" s="15">
        <v>6.13</v>
      </c>
    </row>
    <row r="14" spans="1:5" x14ac:dyDescent="0.4">
      <c r="A14" s="72" t="s">
        <v>757</v>
      </c>
      <c r="B14" s="72" t="s">
        <v>758</v>
      </c>
      <c r="C14" s="77">
        <v>943</v>
      </c>
      <c r="D14" s="77">
        <v>112311300</v>
      </c>
      <c r="E14" s="15">
        <v>5.87</v>
      </c>
    </row>
    <row r="15" spans="1:5" x14ac:dyDescent="0.4">
      <c r="A15" s="72" t="s">
        <v>299</v>
      </c>
      <c r="B15" s="72" t="s">
        <v>300</v>
      </c>
      <c r="C15" s="76">
        <v>163</v>
      </c>
      <c r="D15" s="77">
        <v>112144000</v>
      </c>
      <c r="E15" s="15">
        <v>5.86</v>
      </c>
    </row>
    <row r="16" spans="1:5" x14ac:dyDescent="0.4">
      <c r="A16" s="72" t="s">
        <v>493</v>
      </c>
      <c r="B16" s="72" t="s">
        <v>494</v>
      </c>
      <c r="C16" s="76">
        <v>425</v>
      </c>
      <c r="D16" s="77">
        <v>85000000</v>
      </c>
      <c r="E16" s="15">
        <v>4.4400000000000004</v>
      </c>
    </row>
    <row r="17" spans="1:5" x14ac:dyDescent="0.4">
      <c r="A17" s="72" t="s">
        <v>386</v>
      </c>
      <c r="B17" s="72" t="s">
        <v>387</v>
      </c>
      <c r="C17" s="76">
        <v>863</v>
      </c>
      <c r="D17" s="77">
        <v>78878200</v>
      </c>
      <c r="E17" s="15">
        <v>4.12</v>
      </c>
    </row>
    <row r="18" spans="1:5" x14ac:dyDescent="0.4">
      <c r="A18" s="72" t="s">
        <v>769</v>
      </c>
      <c r="B18" s="72" t="s">
        <v>770</v>
      </c>
      <c r="C18" s="77">
        <v>594</v>
      </c>
      <c r="D18" s="77">
        <v>70864200</v>
      </c>
      <c r="E18" s="15">
        <v>3.7</v>
      </c>
    </row>
    <row r="19" spans="1:5" x14ac:dyDescent="0.4">
      <c r="A19" s="72" t="s">
        <v>4625</v>
      </c>
      <c r="B19" s="72" t="s">
        <v>4626</v>
      </c>
      <c r="C19" s="77">
        <v>623</v>
      </c>
      <c r="D19" s="77">
        <v>70274400</v>
      </c>
      <c r="E19" s="15">
        <v>3.67</v>
      </c>
    </row>
    <row r="20" spans="1:5" x14ac:dyDescent="0.4">
      <c r="A20" s="72" t="s">
        <v>679</v>
      </c>
      <c r="B20" s="72" t="s">
        <v>680</v>
      </c>
      <c r="C20" s="77">
        <v>440</v>
      </c>
      <c r="D20" s="77">
        <v>69212000</v>
      </c>
      <c r="E20" s="15">
        <v>3.62</v>
      </c>
    </row>
    <row r="21" spans="1:5" x14ac:dyDescent="0.4">
      <c r="A21" s="72" t="s">
        <v>19</v>
      </c>
      <c r="B21" s="72" t="s">
        <v>20</v>
      </c>
      <c r="C21" s="77">
        <v>246</v>
      </c>
      <c r="D21" s="77">
        <v>59409000</v>
      </c>
      <c r="E21" s="15">
        <v>3.1</v>
      </c>
    </row>
    <row r="22" spans="1:5" x14ac:dyDescent="0.4">
      <c r="A22" s="72" t="s">
        <v>2001</v>
      </c>
      <c r="B22" s="72" t="s">
        <v>2002</v>
      </c>
      <c r="C22" s="77">
        <v>1650</v>
      </c>
      <c r="D22" s="77">
        <v>56017500</v>
      </c>
      <c r="E22" s="15">
        <v>2.93</v>
      </c>
    </row>
    <row r="23" spans="1:5" x14ac:dyDescent="0.4">
      <c r="A23" s="72" t="s">
        <v>539</v>
      </c>
      <c r="B23" s="72" t="s">
        <v>540</v>
      </c>
      <c r="C23" s="76">
        <v>611</v>
      </c>
      <c r="D23" s="77">
        <v>54440100</v>
      </c>
      <c r="E23" s="15">
        <v>2.84</v>
      </c>
    </row>
    <row r="24" spans="1:5" x14ac:dyDescent="0.4">
      <c r="A24" s="72" t="s">
        <v>471</v>
      </c>
      <c r="B24" s="72" t="s">
        <v>472</v>
      </c>
      <c r="C24" s="76">
        <v>530</v>
      </c>
      <c r="D24" s="77">
        <v>52205000</v>
      </c>
      <c r="E24" s="15">
        <v>2.73</v>
      </c>
    </row>
    <row r="25" spans="1:5" x14ac:dyDescent="0.4">
      <c r="A25" s="72" t="s">
        <v>320</v>
      </c>
      <c r="B25" s="72" t="s">
        <v>321</v>
      </c>
      <c r="C25" s="77">
        <v>1144</v>
      </c>
      <c r="D25" s="77">
        <v>51994800</v>
      </c>
      <c r="E25" s="15">
        <v>2.72</v>
      </c>
    </row>
    <row r="26" spans="1:5" x14ac:dyDescent="0.4">
      <c r="A26" s="72" t="s">
        <v>15</v>
      </c>
      <c r="B26" s="72" t="s">
        <v>16</v>
      </c>
      <c r="C26" s="77">
        <v>49</v>
      </c>
      <c r="D26" s="77">
        <v>51597000</v>
      </c>
      <c r="E26" s="15">
        <v>2.7</v>
      </c>
    </row>
    <row r="27" spans="1:5" x14ac:dyDescent="0.4">
      <c r="A27" s="72" t="s">
        <v>557</v>
      </c>
      <c r="B27" s="72" t="s">
        <v>558</v>
      </c>
      <c r="C27" s="77">
        <v>1426</v>
      </c>
      <c r="D27" s="77">
        <v>44990300</v>
      </c>
      <c r="E27" s="15">
        <v>2.35</v>
      </c>
    </row>
    <row r="28" spans="1:5" x14ac:dyDescent="0.4">
      <c r="A28" s="72" t="s">
        <v>488</v>
      </c>
      <c r="B28" s="72" t="s">
        <v>489</v>
      </c>
      <c r="C28" s="72">
        <v>363</v>
      </c>
      <c r="D28" s="77">
        <v>42870300</v>
      </c>
      <c r="E28" s="15">
        <v>2.2400000000000002</v>
      </c>
    </row>
    <row r="29" spans="1:5" x14ac:dyDescent="0.4">
      <c r="A29" s="72" t="s">
        <v>392</v>
      </c>
      <c r="B29" s="72" t="s">
        <v>393</v>
      </c>
      <c r="C29" s="77">
        <v>165</v>
      </c>
      <c r="D29" s="77">
        <v>40755000</v>
      </c>
      <c r="E29" s="15">
        <v>2.13</v>
      </c>
    </row>
    <row r="30" spans="1:5" x14ac:dyDescent="0.4">
      <c r="A30" s="72" t="s">
        <v>287</v>
      </c>
      <c r="B30" s="72" t="s">
        <v>288</v>
      </c>
      <c r="C30" s="77">
        <v>85</v>
      </c>
      <c r="D30" s="77">
        <v>38930000</v>
      </c>
      <c r="E30" s="15">
        <v>2.0299999999999998</v>
      </c>
    </row>
    <row r="31" spans="1:5" x14ac:dyDescent="0.4">
      <c r="A31" s="72" t="s">
        <v>238</v>
      </c>
      <c r="B31" s="72" t="s">
        <v>239</v>
      </c>
      <c r="C31" s="77">
        <v>130</v>
      </c>
      <c r="D31" s="77">
        <v>38870000</v>
      </c>
      <c r="E31" s="15">
        <v>2.0299999999999998</v>
      </c>
    </row>
    <row r="32" spans="1:5" x14ac:dyDescent="0.4">
      <c r="A32" s="72" t="s">
        <v>468</v>
      </c>
      <c r="B32" s="72" t="s">
        <v>469</v>
      </c>
      <c r="C32" s="77">
        <v>789</v>
      </c>
      <c r="D32" s="77">
        <v>38384850</v>
      </c>
      <c r="E32" s="15">
        <v>2.0099999999999998</v>
      </c>
    </row>
    <row r="33" spans="1:5" x14ac:dyDescent="0.4">
      <c r="A33" s="72" t="s">
        <v>217</v>
      </c>
      <c r="B33" s="72" t="s">
        <v>218</v>
      </c>
      <c r="C33" s="77">
        <v>53</v>
      </c>
      <c r="D33" s="77">
        <v>36888000</v>
      </c>
      <c r="E33" s="15">
        <v>1.93</v>
      </c>
    </row>
    <row r="34" spans="1:5" x14ac:dyDescent="0.4">
      <c r="A34" s="72" t="s">
        <v>21</v>
      </c>
      <c r="B34" s="72" t="s">
        <v>22</v>
      </c>
      <c r="C34" s="77">
        <v>248</v>
      </c>
      <c r="D34" s="77">
        <v>36456000</v>
      </c>
      <c r="E34" s="15">
        <v>1.9</v>
      </c>
    </row>
    <row r="35" spans="1:5" x14ac:dyDescent="0.4">
      <c r="A35" s="72" t="s">
        <v>347</v>
      </c>
      <c r="B35" s="72" t="s">
        <v>348</v>
      </c>
      <c r="C35" s="77">
        <v>265</v>
      </c>
      <c r="D35" s="77">
        <v>34238000</v>
      </c>
      <c r="E35" s="15">
        <v>1.79</v>
      </c>
    </row>
    <row r="36" spans="1:5" x14ac:dyDescent="0.4">
      <c r="A36" s="72" t="s">
        <v>589</v>
      </c>
      <c r="B36" s="72" t="s">
        <v>590</v>
      </c>
      <c r="C36" s="77">
        <v>3021</v>
      </c>
      <c r="D36" s="77">
        <v>19364610</v>
      </c>
      <c r="E36" s="15">
        <v>1.01</v>
      </c>
    </row>
    <row r="37" spans="1:5" x14ac:dyDescent="0.4">
      <c r="A37" s="72" t="s">
        <v>349</v>
      </c>
      <c r="B37" s="72" t="s">
        <v>350</v>
      </c>
      <c r="C37" s="77">
        <v>26</v>
      </c>
      <c r="D37" s="77">
        <v>11908000</v>
      </c>
      <c r="E37" s="15">
        <v>0.62</v>
      </c>
    </row>
    <row r="38" spans="1:5" x14ac:dyDescent="0.4">
      <c r="A38" s="72" t="s">
        <v>17</v>
      </c>
      <c r="B38" s="72" t="s">
        <v>18</v>
      </c>
      <c r="C38" s="77">
        <v>110</v>
      </c>
      <c r="D38" s="77">
        <v>11616000</v>
      </c>
      <c r="E38" s="15">
        <v>0.61</v>
      </c>
    </row>
    <row r="39" spans="1:5" x14ac:dyDescent="0.4">
      <c r="A39" s="72" t="s">
        <v>4852</v>
      </c>
      <c r="B39" s="72" t="s">
        <v>4853</v>
      </c>
      <c r="C39" s="77">
        <v>468</v>
      </c>
      <c r="D39" s="77">
        <v>8218080</v>
      </c>
      <c r="E39" s="15">
        <v>0.43</v>
      </c>
    </row>
    <row r="40" spans="1:5" x14ac:dyDescent="0.4">
      <c r="A40" s="72" t="s">
        <v>5100</v>
      </c>
      <c r="B40" s="72" t="s">
        <v>5101</v>
      </c>
      <c r="C40" s="77">
        <v>130</v>
      </c>
      <c r="D40" s="77">
        <v>5005000</v>
      </c>
      <c r="E40" s="15">
        <v>0.26</v>
      </c>
    </row>
    <row r="41" spans="1:5" x14ac:dyDescent="0.4">
      <c r="A41" s="72" t="s">
        <v>334</v>
      </c>
      <c r="B41" s="72" t="s">
        <v>335</v>
      </c>
      <c r="C41" s="77">
        <v>113</v>
      </c>
      <c r="D41" s="77">
        <v>3666850</v>
      </c>
      <c r="E41" s="15">
        <v>0.19</v>
      </c>
    </row>
    <row r="42" spans="1:5" x14ac:dyDescent="0.4">
      <c r="A42" s="72" t="s">
        <v>47</v>
      </c>
      <c r="B42" s="72" t="s">
        <v>48</v>
      </c>
      <c r="C42" s="77">
        <v>102</v>
      </c>
      <c r="D42" s="77">
        <v>3498600</v>
      </c>
      <c r="E42" s="15">
        <v>0.18</v>
      </c>
    </row>
    <row r="43" spans="1:5" x14ac:dyDescent="0.4">
      <c r="A43" s="72"/>
      <c r="B43" s="72" t="s">
        <v>10</v>
      </c>
      <c r="C43" s="77">
        <v>6594268</v>
      </c>
      <c r="D43" s="77">
        <v>6594268</v>
      </c>
      <c r="E43" s="15">
        <v>0.34</v>
      </c>
    </row>
    <row r="44" spans="1:5" x14ac:dyDescent="0.4">
      <c r="C44" s="13"/>
      <c r="D44" s="13"/>
      <c r="E44" s="72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4" t="s">
        <v>660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330</v>
      </c>
      <c r="D11" s="75">
        <v>693330000</v>
      </c>
      <c r="E11" s="19">
        <v>23.5</v>
      </c>
      <c r="F11" s="17"/>
      <c r="G11" s="17"/>
    </row>
    <row r="12" spans="1:7" x14ac:dyDescent="0.4">
      <c r="A12" s="72" t="s">
        <v>80</v>
      </c>
      <c r="B12" s="73" t="s">
        <v>81</v>
      </c>
      <c r="C12" s="76">
        <v>1894</v>
      </c>
      <c r="D12" s="77">
        <v>566306000</v>
      </c>
      <c r="E12" s="15">
        <v>19.2</v>
      </c>
    </row>
    <row r="13" spans="1:7" x14ac:dyDescent="0.4">
      <c r="A13" s="72" t="s">
        <v>453</v>
      </c>
      <c r="B13" s="72" t="s">
        <v>454</v>
      </c>
      <c r="C13" s="77">
        <v>116</v>
      </c>
      <c r="D13" s="77">
        <v>209380000</v>
      </c>
      <c r="E13" s="15">
        <v>7.1</v>
      </c>
    </row>
    <row r="14" spans="1:7" x14ac:dyDescent="0.4">
      <c r="A14" s="72" t="s">
        <v>63</v>
      </c>
      <c r="B14" s="73" t="s">
        <v>64</v>
      </c>
      <c r="C14" s="75">
        <v>309</v>
      </c>
      <c r="D14" s="75">
        <v>126844500</v>
      </c>
      <c r="E14" s="19">
        <v>4.3</v>
      </c>
      <c r="F14" s="17"/>
      <c r="G14" s="17"/>
    </row>
    <row r="15" spans="1:7" x14ac:dyDescent="0.4">
      <c r="A15" s="72" t="s">
        <v>188</v>
      </c>
      <c r="B15" s="73" t="s">
        <v>189</v>
      </c>
      <c r="C15" s="76">
        <v>93</v>
      </c>
      <c r="D15" s="77">
        <v>114204000</v>
      </c>
      <c r="E15" s="15">
        <v>3.87</v>
      </c>
    </row>
    <row r="16" spans="1:7" x14ac:dyDescent="0.4">
      <c r="A16" s="72" t="s">
        <v>78</v>
      </c>
      <c r="B16" s="72" t="s">
        <v>79</v>
      </c>
      <c r="C16" s="76">
        <v>85</v>
      </c>
      <c r="D16" s="77">
        <v>99960000</v>
      </c>
      <c r="E16" s="15">
        <v>3.39</v>
      </c>
    </row>
    <row r="17" spans="1:7" x14ac:dyDescent="0.4">
      <c r="A17" s="72" t="s">
        <v>299</v>
      </c>
      <c r="B17" s="73" t="s">
        <v>300</v>
      </c>
      <c r="C17" s="76">
        <v>200</v>
      </c>
      <c r="D17" s="77">
        <v>99700000</v>
      </c>
      <c r="E17" s="15">
        <v>3.38</v>
      </c>
    </row>
    <row r="18" spans="1:7" x14ac:dyDescent="0.4">
      <c r="A18" s="72" t="s">
        <v>287</v>
      </c>
      <c r="B18" s="72" t="s">
        <v>288</v>
      </c>
      <c r="C18" s="77">
        <v>232</v>
      </c>
      <c r="D18" s="77">
        <v>89204000</v>
      </c>
      <c r="E18" s="15">
        <v>3.02</v>
      </c>
    </row>
    <row r="19" spans="1:7" x14ac:dyDescent="0.4">
      <c r="A19" s="72" t="s">
        <v>140</v>
      </c>
      <c r="B19" s="73" t="s">
        <v>141</v>
      </c>
      <c r="C19" s="75">
        <v>144</v>
      </c>
      <c r="D19" s="75">
        <v>85968000</v>
      </c>
      <c r="E19" s="19">
        <v>2.91</v>
      </c>
      <c r="F19" s="17"/>
      <c r="G19" s="17"/>
    </row>
    <row r="20" spans="1:7" x14ac:dyDescent="0.4">
      <c r="A20" s="72" t="s">
        <v>92</v>
      </c>
      <c r="B20" s="72" t="s">
        <v>93</v>
      </c>
      <c r="C20" s="77">
        <v>53</v>
      </c>
      <c r="D20" s="77">
        <v>85913000</v>
      </c>
      <c r="E20" s="15">
        <v>2.91</v>
      </c>
    </row>
    <row r="21" spans="1:7" x14ac:dyDescent="0.4">
      <c r="A21" s="72" t="s">
        <v>11</v>
      </c>
      <c r="B21" s="72" t="s">
        <v>12</v>
      </c>
      <c r="C21" s="77">
        <v>25</v>
      </c>
      <c r="D21" s="77">
        <v>81150000</v>
      </c>
      <c r="E21" s="15">
        <v>2.75</v>
      </c>
    </row>
    <row r="22" spans="1:7" x14ac:dyDescent="0.4">
      <c r="A22" s="72" t="s">
        <v>102</v>
      </c>
      <c r="B22" s="72" t="s">
        <v>103</v>
      </c>
      <c r="C22" s="77">
        <v>478</v>
      </c>
      <c r="D22" s="77">
        <v>72417000</v>
      </c>
      <c r="E22" s="15">
        <v>2.4500000000000002</v>
      </c>
    </row>
    <row r="23" spans="1:7" x14ac:dyDescent="0.4">
      <c r="A23" s="72" t="s">
        <v>330</v>
      </c>
      <c r="B23" s="72" t="s">
        <v>331</v>
      </c>
      <c r="C23" s="76">
        <v>100</v>
      </c>
      <c r="D23" s="77">
        <v>71400000</v>
      </c>
      <c r="E23" s="15">
        <v>2.42</v>
      </c>
    </row>
    <row r="24" spans="1:7" x14ac:dyDescent="0.4">
      <c r="A24" s="72" t="s">
        <v>104</v>
      </c>
      <c r="B24" s="72" t="s">
        <v>105</v>
      </c>
      <c r="C24" s="76">
        <v>100</v>
      </c>
      <c r="D24" s="77">
        <v>66300000</v>
      </c>
      <c r="E24" s="15">
        <v>2.25</v>
      </c>
    </row>
    <row r="25" spans="1:7" x14ac:dyDescent="0.4">
      <c r="A25" s="72" t="s">
        <v>172</v>
      </c>
      <c r="B25" s="72" t="s">
        <v>173</v>
      </c>
      <c r="C25" s="77">
        <v>102</v>
      </c>
      <c r="D25" s="77">
        <v>58752000</v>
      </c>
      <c r="E25" s="15">
        <v>1.99</v>
      </c>
    </row>
    <row r="26" spans="1:7" x14ac:dyDescent="0.4">
      <c r="A26" s="72" t="s">
        <v>303</v>
      </c>
      <c r="B26" s="72" t="s">
        <v>304</v>
      </c>
      <c r="C26" s="77">
        <v>91</v>
      </c>
      <c r="D26" s="77">
        <v>52325000</v>
      </c>
      <c r="E26" s="15">
        <v>1.77</v>
      </c>
    </row>
    <row r="27" spans="1:7" x14ac:dyDescent="0.4">
      <c r="A27" s="72" t="s">
        <v>122</v>
      </c>
      <c r="B27" s="72" t="s">
        <v>5173</v>
      </c>
      <c r="C27" s="77">
        <v>53</v>
      </c>
      <c r="D27" s="77">
        <v>40492000</v>
      </c>
      <c r="E27" s="15">
        <v>1.37</v>
      </c>
    </row>
    <row r="28" spans="1:7" x14ac:dyDescent="0.4">
      <c r="A28" s="72" t="s">
        <v>217</v>
      </c>
      <c r="B28" s="73" t="s">
        <v>218</v>
      </c>
      <c r="C28" s="75">
        <v>61</v>
      </c>
      <c r="D28" s="75">
        <v>39406000</v>
      </c>
      <c r="E28" s="19">
        <v>1.34</v>
      </c>
      <c r="F28" s="17"/>
      <c r="G28" s="17"/>
    </row>
    <row r="29" spans="1:7" x14ac:dyDescent="0.4">
      <c r="A29" s="72" t="s">
        <v>455</v>
      </c>
      <c r="B29" s="72" t="s">
        <v>456</v>
      </c>
      <c r="C29" s="77">
        <v>208</v>
      </c>
      <c r="D29" s="77">
        <v>38916800</v>
      </c>
      <c r="E29" s="15">
        <v>1.32</v>
      </c>
    </row>
    <row r="30" spans="1:7" x14ac:dyDescent="0.4">
      <c r="A30" s="72" t="s">
        <v>135</v>
      </c>
      <c r="B30" s="72" t="s">
        <v>136</v>
      </c>
      <c r="C30" s="77">
        <v>88</v>
      </c>
      <c r="D30" s="77">
        <v>36080000</v>
      </c>
      <c r="E30" s="15">
        <v>1.22</v>
      </c>
    </row>
    <row r="31" spans="1:7" x14ac:dyDescent="0.4">
      <c r="A31" s="72" t="s">
        <v>120</v>
      </c>
      <c r="B31" s="72" t="s">
        <v>121</v>
      </c>
      <c r="C31" s="77">
        <v>100</v>
      </c>
      <c r="D31" s="77">
        <v>35800000</v>
      </c>
      <c r="E31" s="15">
        <v>1.21</v>
      </c>
    </row>
    <row r="32" spans="1:7" x14ac:dyDescent="0.4">
      <c r="A32" s="72" t="s">
        <v>653</v>
      </c>
      <c r="B32" s="72" t="s">
        <v>654</v>
      </c>
      <c r="C32" s="77">
        <v>351</v>
      </c>
      <c r="D32" s="77">
        <v>35100000</v>
      </c>
      <c r="E32" s="15">
        <v>1.19</v>
      </c>
    </row>
    <row r="33" spans="1:7" x14ac:dyDescent="0.4">
      <c r="A33" s="72" t="s">
        <v>37</v>
      </c>
      <c r="B33" s="72" t="s">
        <v>38</v>
      </c>
      <c r="C33" s="77">
        <v>350</v>
      </c>
      <c r="D33" s="77">
        <v>33040000</v>
      </c>
      <c r="E33" s="15">
        <v>1.1200000000000001</v>
      </c>
    </row>
    <row r="34" spans="1:7" x14ac:dyDescent="0.4">
      <c r="A34" s="72" t="s">
        <v>148</v>
      </c>
      <c r="B34" s="72" t="s">
        <v>149</v>
      </c>
      <c r="C34" s="77">
        <v>80</v>
      </c>
      <c r="D34" s="77">
        <v>29880000</v>
      </c>
      <c r="E34" s="15">
        <v>1.01</v>
      </c>
    </row>
    <row r="35" spans="1:7" x14ac:dyDescent="0.4">
      <c r="A35" s="72" t="s">
        <v>451</v>
      </c>
      <c r="B35" s="73" t="s">
        <v>452</v>
      </c>
      <c r="C35" s="75">
        <v>22</v>
      </c>
      <c r="D35" s="75">
        <v>23584000</v>
      </c>
      <c r="E35" s="19">
        <v>0.8</v>
      </c>
      <c r="F35" s="17"/>
      <c r="G35" s="17"/>
    </row>
    <row r="36" spans="1:7" x14ac:dyDescent="0.4">
      <c r="A36" s="72" t="s">
        <v>242</v>
      </c>
      <c r="B36" s="72" t="s">
        <v>243</v>
      </c>
      <c r="C36" s="77">
        <v>87</v>
      </c>
      <c r="D36" s="77">
        <v>19662000</v>
      </c>
      <c r="E36" s="15">
        <v>0.67</v>
      </c>
    </row>
    <row r="37" spans="1:7" x14ac:dyDescent="0.4">
      <c r="A37" s="72" t="s">
        <v>133</v>
      </c>
      <c r="B37" s="72" t="s">
        <v>134</v>
      </c>
      <c r="C37" s="77">
        <v>100</v>
      </c>
      <c r="D37" s="77">
        <v>18510000</v>
      </c>
      <c r="E37" s="15">
        <v>0.63</v>
      </c>
    </row>
    <row r="38" spans="1:7" x14ac:dyDescent="0.4">
      <c r="A38" s="72" t="s">
        <v>326</v>
      </c>
      <c r="B38" s="72" t="s">
        <v>327</v>
      </c>
      <c r="C38" s="77">
        <v>90</v>
      </c>
      <c r="D38" s="77">
        <v>11322000</v>
      </c>
      <c r="E38" s="15">
        <v>0.38</v>
      </c>
    </row>
    <row r="39" spans="1:7" x14ac:dyDescent="0.4">
      <c r="A39" s="72"/>
      <c r="B39" s="72" t="s">
        <v>10</v>
      </c>
      <c r="C39" s="77">
        <v>15100005</v>
      </c>
      <c r="D39" s="77">
        <v>15100005</v>
      </c>
      <c r="E39" s="15">
        <v>0.51</v>
      </c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4" t="s">
        <v>660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395</v>
      </c>
      <c r="D11" s="77">
        <v>921535000</v>
      </c>
      <c r="E11" s="15">
        <v>27.75</v>
      </c>
    </row>
    <row r="12" spans="1:5" x14ac:dyDescent="0.4">
      <c r="A12" s="72" t="s">
        <v>80</v>
      </c>
      <c r="B12" s="72" t="s">
        <v>81</v>
      </c>
      <c r="C12" s="76">
        <v>1993</v>
      </c>
      <c r="D12" s="77">
        <v>631781000</v>
      </c>
      <c r="E12" s="15">
        <v>19.02</v>
      </c>
    </row>
    <row r="13" spans="1:5" x14ac:dyDescent="0.4">
      <c r="A13" s="72" t="s">
        <v>453</v>
      </c>
      <c r="B13" s="72" t="s">
        <v>454</v>
      </c>
      <c r="C13" s="77">
        <v>116</v>
      </c>
      <c r="D13" s="77">
        <v>246732000</v>
      </c>
      <c r="E13" s="15">
        <v>7.43</v>
      </c>
    </row>
    <row r="14" spans="1:5" x14ac:dyDescent="0.4">
      <c r="A14" s="72" t="s">
        <v>140</v>
      </c>
      <c r="B14" s="72" t="s">
        <v>141</v>
      </c>
      <c r="C14" s="77">
        <v>198</v>
      </c>
      <c r="D14" s="77">
        <v>143154000</v>
      </c>
      <c r="E14" s="15">
        <v>4.3099999999999996</v>
      </c>
    </row>
    <row r="15" spans="1:5" x14ac:dyDescent="0.4">
      <c r="A15" s="72" t="s">
        <v>299</v>
      </c>
      <c r="B15" s="72" t="s">
        <v>300</v>
      </c>
      <c r="C15" s="76">
        <v>200</v>
      </c>
      <c r="D15" s="77">
        <v>137600000</v>
      </c>
      <c r="E15" s="15">
        <v>4.1399999999999997</v>
      </c>
    </row>
    <row r="16" spans="1:5" x14ac:dyDescent="0.4">
      <c r="A16" s="72" t="s">
        <v>63</v>
      </c>
      <c r="B16" s="72" t="s">
        <v>64</v>
      </c>
      <c r="C16" s="76">
        <v>310</v>
      </c>
      <c r="D16" s="77">
        <v>122605000</v>
      </c>
      <c r="E16" s="15">
        <v>3.69</v>
      </c>
    </row>
    <row r="17" spans="1:5" x14ac:dyDescent="0.4">
      <c r="A17" s="72" t="s">
        <v>188</v>
      </c>
      <c r="B17" s="72" t="s">
        <v>189</v>
      </c>
      <c r="C17" s="76">
        <v>93</v>
      </c>
      <c r="D17" s="77">
        <v>114669000</v>
      </c>
      <c r="E17" s="15">
        <v>3.45</v>
      </c>
    </row>
    <row r="18" spans="1:5" x14ac:dyDescent="0.4">
      <c r="A18" s="72" t="s">
        <v>11</v>
      </c>
      <c r="B18" s="72" t="s">
        <v>12</v>
      </c>
      <c r="C18" s="77">
        <v>25</v>
      </c>
      <c r="D18" s="77">
        <v>92125000</v>
      </c>
      <c r="E18" s="15">
        <v>2.77</v>
      </c>
    </row>
    <row r="19" spans="1:5" x14ac:dyDescent="0.4">
      <c r="A19" s="72" t="s">
        <v>148</v>
      </c>
      <c r="B19" s="72" t="s">
        <v>149</v>
      </c>
      <c r="C19" s="77">
        <v>180</v>
      </c>
      <c r="D19" s="77">
        <v>80280000</v>
      </c>
      <c r="E19" s="15">
        <v>2.42</v>
      </c>
    </row>
    <row r="20" spans="1:5" x14ac:dyDescent="0.4">
      <c r="A20" s="72" t="s">
        <v>172</v>
      </c>
      <c r="B20" s="72" t="s">
        <v>173</v>
      </c>
      <c r="C20" s="77">
        <v>102</v>
      </c>
      <c r="D20" s="77">
        <v>78336000</v>
      </c>
      <c r="E20" s="15">
        <v>2.36</v>
      </c>
    </row>
    <row r="21" spans="1:5" x14ac:dyDescent="0.4">
      <c r="A21" s="72" t="s">
        <v>287</v>
      </c>
      <c r="B21" s="72" t="s">
        <v>288</v>
      </c>
      <c r="C21" s="77">
        <v>160</v>
      </c>
      <c r="D21" s="77">
        <v>73280000</v>
      </c>
      <c r="E21" s="15">
        <v>2.21</v>
      </c>
    </row>
    <row r="22" spans="1:5" x14ac:dyDescent="0.4">
      <c r="A22" s="72" t="s">
        <v>135</v>
      </c>
      <c r="B22" s="72" t="s">
        <v>136</v>
      </c>
      <c r="C22" s="77">
        <v>151</v>
      </c>
      <c r="D22" s="77">
        <v>65307500</v>
      </c>
      <c r="E22" s="15">
        <v>1.97</v>
      </c>
    </row>
    <row r="23" spans="1:5" x14ac:dyDescent="0.4">
      <c r="A23" s="72" t="s">
        <v>324</v>
      </c>
      <c r="B23" s="72" t="s">
        <v>325</v>
      </c>
      <c r="C23" s="76">
        <v>182</v>
      </c>
      <c r="D23" s="77">
        <v>63609000</v>
      </c>
      <c r="E23" s="15">
        <v>1.92</v>
      </c>
    </row>
    <row r="24" spans="1:5" x14ac:dyDescent="0.4">
      <c r="A24" s="72" t="s">
        <v>451</v>
      </c>
      <c r="B24" s="72" t="s">
        <v>452</v>
      </c>
      <c r="C24" s="76">
        <v>43</v>
      </c>
      <c r="D24" s="77">
        <v>62694000</v>
      </c>
      <c r="E24" s="15">
        <v>1.89</v>
      </c>
    </row>
    <row r="25" spans="1:5" x14ac:dyDescent="0.4">
      <c r="A25" s="72" t="s">
        <v>303</v>
      </c>
      <c r="B25" s="72" t="s">
        <v>304</v>
      </c>
      <c r="C25" s="77">
        <v>91</v>
      </c>
      <c r="D25" s="77">
        <v>61516000</v>
      </c>
      <c r="E25" s="15">
        <v>1.85</v>
      </c>
    </row>
    <row r="26" spans="1:5" x14ac:dyDescent="0.4">
      <c r="A26" s="72" t="s">
        <v>78</v>
      </c>
      <c r="B26" s="72" t="s">
        <v>79</v>
      </c>
      <c r="C26" s="77">
        <v>50</v>
      </c>
      <c r="D26" s="77">
        <v>60250000</v>
      </c>
      <c r="E26" s="15">
        <v>1.81</v>
      </c>
    </row>
    <row r="27" spans="1:5" x14ac:dyDescent="0.4">
      <c r="A27" s="72" t="s">
        <v>92</v>
      </c>
      <c r="B27" s="72" t="s">
        <v>93</v>
      </c>
      <c r="C27" s="77">
        <v>30</v>
      </c>
      <c r="D27" s="77">
        <v>59160000</v>
      </c>
      <c r="E27" s="15">
        <v>1.78</v>
      </c>
    </row>
    <row r="28" spans="1:5" x14ac:dyDescent="0.4">
      <c r="A28" s="72" t="s">
        <v>104</v>
      </c>
      <c r="B28" s="72" t="s">
        <v>105</v>
      </c>
      <c r="C28" s="77">
        <v>100</v>
      </c>
      <c r="D28" s="77">
        <v>56900000</v>
      </c>
      <c r="E28" s="15">
        <v>1.71</v>
      </c>
    </row>
    <row r="29" spans="1:5" x14ac:dyDescent="0.4">
      <c r="A29" s="72" t="s">
        <v>217</v>
      </c>
      <c r="B29" s="72" t="s">
        <v>218</v>
      </c>
      <c r="C29" s="77">
        <v>61</v>
      </c>
      <c r="D29" s="77">
        <v>42456000</v>
      </c>
      <c r="E29" s="15">
        <v>1.28</v>
      </c>
    </row>
    <row r="30" spans="1:5" x14ac:dyDescent="0.4">
      <c r="A30" s="72" t="s">
        <v>120</v>
      </c>
      <c r="B30" s="72" t="s">
        <v>121</v>
      </c>
      <c r="C30" s="77">
        <v>100</v>
      </c>
      <c r="D30" s="77">
        <v>42350000</v>
      </c>
      <c r="E30" s="15">
        <v>1.28</v>
      </c>
    </row>
    <row r="31" spans="1:5" x14ac:dyDescent="0.4">
      <c r="A31" s="72" t="s">
        <v>96</v>
      </c>
      <c r="B31" s="72" t="s">
        <v>97</v>
      </c>
      <c r="C31" s="77">
        <v>303</v>
      </c>
      <c r="D31" s="77">
        <v>36299400</v>
      </c>
      <c r="E31" s="15">
        <v>1.0900000000000001</v>
      </c>
    </row>
    <row r="32" spans="1:5" x14ac:dyDescent="0.4">
      <c r="A32" s="72" t="s">
        <v>326</v>
      </c>
      <c r="B32" s="72" t="s">
        <v>327</v>
      </c>
      <c r="C32" s="77">
        <v>194</v>
      </c>
      <c r="D32" s="77">
        <v>32650200</v>
      </c>
      <c r="E32" s="15">
        <v>0.98</v>
      </c>
    </row>
    <row r="33" spans="1:5" x14ac:dyDescent="0.4">
      <c r="A33" s="72" t="s">
        <v>182</v>
      </c>
      <c r="B33" s="72" t="s">
        <v>183</v>
      </c>
      <c r="C33" s="77">
        <v>505</v>
      </c>
      <c r="D33" s="77">
        <v>32219000</v>
      </c>
      <c r="E33" s="15">
        <v>0.97</v>
      </c>
    </row>
    <row r="34" spans="1:5" x14ac:dyDescent="0.4">
      <c r="A34" s="72" t="s">
        <v>653</v>
      </c>
      <c r="B34" s="72" t="s">
        <v>654</v>
      </c>
      <c r="C34" s="77">
        <v>252</v>
      </c>
      <c r="D34" s="77">
        <v>25351200</v>
      </c>
      <c r="E34" s="15">
        <v>0.76</v>
      </c>
    </row>
    <row r="35" spans="1:5" x14ac:dyDescent="0.4">
      <c r="A35" s="72" t="s">
        <v>73</v>
      </c>
      <c r="B35" s="72" t="s">
        <v>74</v>
      </c>
      <c r="C35" s="77">
        <v>20</v>
      </c>
      <c r="D35" s="77">
        <v>23460000</v>
      </c>
      <c r="E35" s="15">
        <v>0.71</v>
      </c>
    </row>
    <row r="36" spans="1:5" x14ac:dyDescent="0.4">
      <c r="A36" s="72"/>
      <c r="B36" s="72" t="s">
        <v>10</v>
      </c>
      <c r="C36" s="77">
        <v>15043917</v>
      </c>
      <c r="D36" s="77">
        <v>15043917</v>
      </c>
      <c r="E36" s="15">
        <v>0.45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4" t="s">
        <v>529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217</v>
      </c>
      <c r="B11" s="73" t="s">
        <v>218</v>
      </c>
      <c r="C11" s="75">
        <v>254</v>
      </c>
      <c r="D11" s="75">
        <v>164084000</v>
      </c>
      <c r="E11" s="19">
        <v>10.23</v>
      </c>
      <c r="F11" s="17"/>
      <c r="G11" s="17"/>
    </row>
    <row r="12" spans="1:7" x14ac:dyDescent="0.4">
      <c r="A12" s="72" t="s">
        <v>138</v>
      </c>
      <c r="B12" s="73" t="s">
        <v>139</v>
      </c>
      <c r="C12" s="78">
        <v>5527</v>
      </c>
      <c r="D12" s="75">
        <v>139833100</v>
      </c>
      <c r="E12" s="19">
        <v>8.7100000000000009</v>
      </c>
      <c r="F12" s="17"/>
      <c r="G12" s="17"/>
    </row>
    <row r="13" spans="1:7" x14ac:dyDescent="0.4">
      <c r="A13" s="72" t="s">
        <v>301</v>
      </c>
      <c r="B13" s="72" t="s">
        <v>302</v>
      </c>
      <c r="C13" s="77">
        <v>1273</v>
      </c>
      <c r="D13" s="77">
        <v>133028500</v>
      </c>
      <c r="E13" s="15">
        <v>8.2899999999999991</v>
      </c>
    </row>
    <row r="14" spans="1:7" x14ac:dyDescent="0.4">
      <c r="A14" s="72" t="s">
        <v>293</v>
      </c>
      <c r="B14" s="72" t="s">
        <v>294</v>
      </c>
      <c r="C14" s="77">
        <v>541</v>
      </c>
      <c r="D14" s="77">
        <v>132815500</v>
      </c>
      <c r="E14" s="15">
        <v>8.2799999999999994</v>
      </c>
    </row>
    <row r="15" spans="1:7" x14ac:dyDescent="0.4">
      <c r="A15" s="72" t="s">
        <v>289</v>
      </c>
      <c r="B15" s="72" t="s">
        <v>290</v>
      </c>
      <c r="C15" s="76">
        <v>325</v>
      </c>
      <c r="D15" s="77">
        <v>122037500</v>
      </c>
      <c r="E15" s="15">
        <v>7.61</v>
      </c>
    </row>
    <row r="16" spans="1:7" x14ac:dyDescent="0.4">
      <c r="A16" s="72" t="s">
        <v>366</v>
      </c>
      <c r="B16" s="72" t="s">
        <v>367</v>
      </c>
      <c r="C16" s="76">
        <v>2279</v>
      </c>
      <c r="D16" s="77">
        <v>114177900</v>
      </c>
      <c r="E16" s="15">
        <v>7.12</v>
      </c>
    </row>
    <row r="17" spans="1:7" x14ac:dyDescent="0.4">
      <c r="A17" s="72" t="s">
        <v>219</v>
      </c>
      <c r="B17" s="73" t="s">
        <v>220</v>
      </c>
      <c r="C17" s="78">
        <v>3333</v>
      </c>
      <c r="D17" s="75">
        <v>104156250</v>
      </c>
      <c r="E17" s="19">
        <v>6.49</v>
      </c>
      <c r="F17" s="17"/>
      <c r="G17" s="17"/>
    </row>
    <row r="18" spans="1:7" x14ac:dyDescent="0.4">
      <c r="A18" s="72" t="s">
        <v>166</v>
      </c>
      <c r="B18" s="72" t="s">
        <v>167</v>
      </c>
      <c r="C18" s="77">
        <v>403</v>
      </c>
      <c r="D18" s="77">
        <v>98936500</v>
      </c>
      <c r="E18" s="15">
        <v>6.17</v>
      </c>
    </row>
    <row r="19" spans="1:7" x14ac:dyDescent="0.4">
      <c r="A19" s="72" t="s">
        <v>364</v>
      </c>
      <c r="B19" s="72" t="s">
        <v>365</v>
      </c>
      <c r="C19" s="77">
        <v>1463</v>
      </c>
      <c r="D19" s="77">
        <v>91144900</v>
      </c>
      <c r="E19" s="15">
        <v>5.68</v>
      </c>
    </row>
    <row r="20" spans="1:7" x14ac:dyDescent="0.4">
      <c r="A20" s="72" t="s">
        <v>4912</v>
      </c>
      <c r="B20" s="72" t="s">
        <v>4913</v>
      </c>
      <c r="C20" s="77">
        <v>1094</v>
      </c>
      <c r="D20" s="77">
        <v>65640000</v>
      </c>
      <c r="E20" s="15">
        <v>4.09</v>
      </c>
    </row>
    <row r="21" spans="1:7" x14ac:dyDescent="0.4">
      <c r="A21" s="72" t="s">
        <v>303</v>
      </c>
      <c r="B21" s="72" t="s">
        <v>304</v>
      </c>
      <c r="C21" s="77">
        <v>113</v>
      </c>
      <c r="D21" s="77">
        <v>64975000</v>
      </c>
      <c r="E21" s="15">
        <v>4.05</v>
      </c>
    </row>
    <row r="22" spans="1:7" x14ac:dyDescent="0.4">
      <c r="A22" s="72" t="s">
        <v>368</v>
      </c>
      <c r="B22" s="73" t="s">
        <v>369</v>
      </c>
      <c r="C22" s="75">
        <v>3562</v>
      </c>
      <c r="D22" s="75">
        <v>64650300</v>
      </c>
      <c r="E22" s="19">
        <v>4.03</v>
      </c>
      <c r="F22" s="17"/>
      <c r="G22" s="17"/>
    </row>
    <row r="23" spans="1:7" x14ac:dyDescent="0.4">
      <c r="A23" s="72" t="s">
        <v>336</v>
      </c>
      <c r="B23" s="73" t="s">
        <v>337</v>
      </c>
      <c r="C23" s="78">
        <v>12613</v>
      </c>
      <c r="D23" s="75">
        <v>63001935</v>
      </c>
      <c r="E23" s="19">
        <v>3.93</v>
      </c>
      <c r="F23" s="17"/>
      <c r="G23" s="17"/>
    </row>
    <row r="24" spans="1:7" x14ac:dyDescent="0.4">
      <c r="A24" s="72" t="s">
        <v>372</v>
      </c>
      <c r="B24" s="72" t="s">
        <v>373</v>
      </c>
      <c r="C24" s="76">
        <v>1511</v>
      </c>
      <c r="D24" s="77">
        <v>47823150</v>
      </c>
      <c r="E24" s="15">
        <v>2.98</v>
      </c>
    </row>
    <row r="25" spans="1:7" x14ac:dyDescent="0.4">
      <c r="A25" s="72" t="s">
        <v>160</v>
      </c>
      <c r="B25" s="72" t="s">
        <v>161</v>
      </c>
      <c r="C25" s="77">
        <v>2507</v>
      </c>
      <c r="D25" s="77">
        <v>47256950</v>
      </c>
      <c r="E25" s="15">
        <v>2.95</v>
      </c>
    </row>
    <row r="26" spans="1:7" x14ac:dyDescent="0.4">
      <c r="A26" s="72" t="s">
        <v>309</v>
      </c>
      <c r="B26" s="72" t="s">
        <v>310</v>
      </c>
      <c r="C26" s="77">
        <v>514</v>
      </c>
      <c r="D26" s="77">
        <v>45540400</v>
      </c>
      <c r="E26" s="15">
        <v>2.84</v>
      </c>
    </row>
    <row r="27" spans="1:7" x14ac:dyDescent="0.4">
      <c r="A27" s="72" t="s">
        <v>502</v>
      </c>
      <c r="B27" s="72" t="s">
        <v>503</v>
      </c>
      <c r="C27" s="77">
        <v>987</v>
      </c>
      <c r="D27" s="77">
        <v>20529600</v>
      </c>
      <c r="E27" s="15">
        <v>1.28</v>
      </c>
    </row>
    <row r="28" spans="1:7" x14ac:dyDescent="0.4">
      <c r="A28" s="72" t="s">
        <v>374</v>
      </c>
      <c r="B28" s="72" t="s">
        <v>375</v>
      </c>
      <c r="C28" s="77">
        <v>7991</v>
      </c>
      <c r="D28" s="77">
        <v>15550486</v>
      </c>
      <c r="E28" s="15">
        <v>0.97</v>
      </c>
    </row>
    <row r="29" spans="1:7" x14ac:dyDescent="0.4">
      <c r="A29" s="72" t="s">
        <v>316</v>
      </c>
      <c r="B29" s="72" t="s">
        <v>317</v>
      </c>
      <c r="C29" s="77">
        <v>201</v>
      </c>
      <c r="D29" s="77">
        <v>14411700</v>
      </c>
      <c r="E29" s="15">
        <v>0.9</v>
      </c>
    </row>
    <row r="30" spans="1:7" x14ac:dyDescent="0.4">
      <c r="A30" s="72" t="s">
        <v>376</v>
      </c>
      <c r="B30" s="72" t="s">
        <v>377</v>
      </c>
      <c r="C30" s="77">
        <v>917</v>
      </c>
      <c r="D30" s="77">
        <v>13956740</v>
      </c>
      <c r="E30" s="15">
        <v>0.87</v>
      </c>
    </row>
    <row r="31" spans="1:7" x14ac:dyDescent="0.4">
      <c r="A31" s="72" t="s">
        <v>370</v>
      </c>
      <c r="B31" s="72" t="s">
        <v>371</v>
      </c>
      <c r="C31" s="77">
        <v>486</v>
      </c>
      <c r="D31" s="77">
        <v>13559400</v>
      </c>
      <c r="E31" s="15">
        <v>0.85</v>
      </c>
    </row>
    <row r="32" spans="1:7" x14ac:dyDescent="0.4">
      <c r="A32" s="72" t="s">
        <v>116</v>
      </c>
      <c r="B32" s="72" t="s">
        <v>117</v>
      </c>
      <c r="C32" s="77">
        <v>110</v>
      </c>
      <c r="D32" s="77">
        <v>12441000</v>
      </c>
      <c r="E32" s="15">
        <v>0.78</v>
      </c>
    </row>
    <row r="33" spans="1:5" x14ac:dyDescent="0.4">
      <c r="A33" s="72" t="s">
        <v>378</v>
      </c>
      <c r="B33" s="72" t="s">
        <v>379</v>
      </c>
      <c r="C33" s="72">
        <v>570</v>
      </c>
      <c r="D33" s="77">
        <v>5477700</v>
      </c>
      <c r="E33" s="15">
        <v>0.34</v>
      </c>
    </row>
    <row r="34" spans="1:5" x14ac:dyDescent="0.4">
      <c r="A34" s="72" t="s">
        <v>342</v>
      </c>
      <c r="B34" s="72" t="s">
        <v>343</v>
      </c>
      <c r="C34" s="77">
        <v>62</v>
      </c>
      <c r="D34" s="77">
        <v>3028700</v>
      </c>
      <c r="E34" s="15">
        <v>0.19</v>
      </c>
    </row>
    <row r="35" spans="1:5" x14ac:dyDescent="0.4">
      <c r="A35" s="72"/>
      <c r="B35" s="72" t="s">
        <v>10</v>
      </c>
      <c r="C35" s="77">
        <v>6568182</v>
      </c>
      <c r="D35" s="77">
        <v>6568182</v>
      </c>
      <c r="E35" s="15">
        <v>0.41</v>
      </c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4" t="s">
        <v>529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217</v>
      </c>
      <c r="B11" s="72" t="s">
        <v>218</v>
      </c>
      <c r="C11" s="77">
        <v>259</v>
      </c>
      <c r="D11" s="77">
        <v>180264000</v>
      </c>
      <c r="E11" s="15">
        <v>10.11</v>
      </c>
    </row>
    <row r="12" spans="1:5" x14ac:dyDescent="0.4">
      <c r="A12" s="72" t="s">
        <v>301</v>
      </c>
      <c r="B12" s="72" t="s">
        <v>302</v>
      </c>
      <c r="C12" s="76">
        <v>1273</v>
      </c>
      <c r="D12" s="77">
        <v>156960900</v>
      </c>
      <c r="E12" s="15">
        <v>8.81</v>
      </c>
    </row>
    <row r="13" spans="1:5" x14ac:dyDescent="0.4">
      <c r="A13" s="72" t="s">
        <v>138</v>
      </c>
      <c r="B13" s="72" t="s">
        <v>139</v>
      </c>
      <c r="C13" s="77">
        <v>5527</v>
      </c>
      <c r="D13" s="77">
        <v>154479650</v>
      </c>
      <c r="E13" s="15">
        <v>8.67</v>
      </c>
    </row>
    <row r="14" spans="1:5" x14ac:dyDescent="0.4">
      <c r="A14" s="72" t="s">
        <v>166</v>
      </c>
      <c r="B14" s="72" t="s">
        <v>167</v>
      </c>
      <c r="C14" s="77">
        <v>531</v>
      </c>
      <c r="D14" s="77">
        <v>147352500</v>
      </c>
      <c r="E14" s="15">
        <v>8.27</v>
      </c>
    </row>
    <row r="15" spans="1:5" x14ac:dyDescent="0.4">
      <c r="A15" s="72" t="s">
        <v>366</v>
      </c>
      <c r="B15" s="72" t="s">
        <v>367</v>
      </c>
      <c r="C15" s="76">
        <v>2279</v>
      </c>
      <c r="D15" s="77">
        <v>146311800</v>
      </c>
      <c r="E15" s="15">
        <v>8.2100000000000009</v>
      </c>
    </row>
    <row r="16" spans="1:5" x14ac:dyDescent="0.4">
      <c r="A16" s="72" t="s">
        <v>289</v>
      </c>
      <c r="B16" s="72" t="s">
        <v>290</v>
      </c>
      <c r="C16" s="76">
        <v>317</v>
      </c>
      <c r="D16" s="77">
        <v>134091000</v>
      </c>
      <c r="E16" s="15">
        <v>7.52</v>
      </c>
    </row>
    <row r="17" spans="1:5" x14ac:dyDescent="0.4">
      <c r="A17" s="72" t="s">
        <v>219</v>
      </c>
      <c r="B17" s="72" t="s">
        <v>220</v>
      </c>
      <c r="C17" s="76">
        <v>3333</v>
      </c>
      <c r="D17" s="77">
        <v>107489250</v>
      </c>
      <c r="E17" s="15">
        <v>6.03</v>
      </c>
    </row>
    <row r="18" spans="1:5" x14ac:dyDescent="0.4">
      <c r="A18" s="72" t="s">
        <v>364</v>
      </c>
      <c r="B18" s="72" t="s">
        <v>365</v>
      </c>
      <c r="C18" s="77">
        <v>1463</v>
      </c>
      <c r="D18" s="77">
        <v>104019300</v>
      </c>
      <c r="E18" s="15">
        <v>5.84</v>
      </c>
    </row>
    <row r="19" spans="1:5" x14ac:dyDescent="0.4">
      <c r="A19" s="72" t="s">
        <v>293</v>
      </c>
      <c r="B19" s="72" t="s">
        <v>294</v>
      </c>
      <c r="C19" s="77">
        <v>431</v>
      </c>
      <c r="D19" s="77">
        <v>96544000</v>
      </c>
      <c r="E19" s="15">
        <v>5.42</v>
      </c>
    </row>
    <row r="20" spans="1:5" x14ac:dyDescent="0.4">
      <c r="A20" s="72" t="s">
        <v>303</v>
      </c>
      <c r="B20" s="72" t="s">
        <v>304</v>
      </c>
      <c r="C20" s="77">
        <v>113</v>
      </c>
      <c r="D20" s="77">
        <v>76388000</v>
      </c>
      <c r="E20" s="15">
        <v>4.29</v>
      </c>
    </row>
    <row r="21" spans="1:5" x14ac:dyDescent="0.4">
      <c r="A21" s="72" t="s">
        <v>368</v>
      </c>
      <c r="B21" s="72" t="s">
        <v>369</v>
      </c>
      <c r="C21" s="77">
        <v>3562</v>
      </c>
      <c r="D21" s="77">
        <v>73021000</v>
      </c>
      <c r="E21" s="15">
        <v>4.0999999999999996</v>
      </c>
    </row>
    <row r="22" spans="1:5" x14ac:dyDescent="0.4">
      <c r="A22" s="72" t="s">
        <v>336</v>
      </c>
      <c r="B22" s="72" t="s">
        <v>337</v>
      </c>
      <c r="C22" s="77">
        <v>12613</v>
      </c>
      <c r="D22" s="77">
        <v>69245370</v>
      </c>
      <c r="E22" s="15">
        <v>3.88</v>
      </c>
    </row>
    <row r="23" spans="1:5" x14ac:dyDescent="0.4">
      <c r="A23" s="72" t="s">
        <v>372</v>
      </c>
      <c r="B23" s="72" t="s">
        <v>373</v>
      </c>
      <c r="C23" s="76">
        <v>1511</v>
      </c>
      <c r="D23" s="77">
        <v>61044400</v>
      </c>
      <c r="E23" s="15">
        <v>3.42</v>
      </c>
    </row>
    <row r="24" spans="1:5" x14ac:dyDescent="0.4">
      <c r="A24" s="72" t="s">
        <v>4912</v>
      </c>
      <c r="B24" s="72" t="s">
        <v>4913</v>
      </c>
      <c r="C24" s="76">
        <v>952</v>
      </c>
      <c r="D24" s="77">
        <v>60166400</v>
      </c>
      <c r="E24" s="15">
        <v>3.38</v>
      </c>
    </row>
    <row r="25" spans="1:5" x14ac:dyDescent="0.4">
      <c r="A25" s="72" t="s">
        <v>309</v>
      </c>
      <c r="B25" s="72" t="s">
        <v>310</v>
      </c>
      <c r="C25" s="77">
        <v>514</v>
      </c>
      <c r="D25" s="77">
        <v>53970000</v>
      </c>
      <c r="E25" s="15">
        <v>3.03</v>
      </c>
    </row>
    <row r="26" spans="1:5" x14ac:dyDescent="0.4">
      <c r="A26" s="72" t="s">
        <v>160</v>
      </c>
      <c r="B26" s="72" t="s">
        <v>161</v>
      </c>
      <c r="C26" s="77">
        <v>2507</v>
      </c>
      <c r="D26" s="77">
        <v>49036920</v>
      </c>
      <c r="E26" s="15">
        <v>2.75</v>
      </c>
    </row>
    <row r="27" spans="1:5" x14ac:dyDescent="0.4">
      <c r="A27" s="72" t="s">
        <v>502</v>
      </c>
      <c r="B27" s="72" t="s">
        <v>503</v>
      </c>
      <c r="C27" s="77">
        <v>987</v>
      </c>
      <c r="D27" s="77">
        <v>20282850</v>
      </c>
      <c r="E27" s="15">
        <v>1.1399999999999999</v>
      </c>
    </row>
    <row r="28" spans="1:5" x14ac:dyDescent="0.4">
      <c r="A28" s="72" t="s">
        <v>374</v>
      </c>
      <c r="B28" s="72" t="s">
        <v>375</v>
      </c>
      <c r="C28" s="77">
        <v>7991</v>
      </c>
      <c r="D28" s="77">
        <v>17979750</v>
      </c>
      <c r="E28" s="15">
        <v>1.01</v>
      </c>
    </row>
    <row r="29" spans="1:5" x14ac:dyDescent="0.4">
      <c r="A29" s="72" t="s">
        <v>376</v>
      </c>
      <c r="B29" s="72" t="s">
        <v>377</v>
      </c>
      <c r="C29" s="77">
        <v>917</v>
      </c>
      <c r="D29" s="77">
        <v>15598170</v>
      </c>
      <c r="E29" s="15">
        <v>0.88</v>
      </c>
    </row>
    <row r="30" spans="1:5" x14ac:dyDescent="0.4">
      <c r="A30" s="72" t="s">
        <v>370</v>
      </c>
      <c r="B30" s="72" t="s">
        <v>371</v>
      </c>
      <c r="C30" s="77">
        <v>486</v>
      </c>
      <c r="D30" s="77">
        <v>14968800</v>
      </c>
      <c r="E30" s="15">
        <v>0.84</v>
      </c>
    </row>
    <row r="31" spans="1:5" x14ac:dyDescent="0.4">
      <c r="A31" s="72" t="s">
        <v>316</v>
      </c>
      <c r="B31" s="72" t="s">
        <v>317</v>
      </c>
      <c r="C31" s="77">
        <v>201</v>
      </c>
      <c r="D31" s="77">
        <v>14572500</v>
      </c>
      <c r="E31" s="15">
        <v>0.82</v>
      </c>
    </row>
    <row r="32" spans="1:5" x14ac:dyDescent="0.4">
      <c r="A32" s="72" t="s">
        <v>116</v>
      </c>
      <c r="B32" s="72" t="s">
        <v>117</v>
      </c>
      <c r="C32" s="77">
        <v>110</v>
      </c>
      <c r="D32" s="77">
        <v>11814000</v>
      </c>
      <c r="E32" s="15">
        <v>0.66</v>
      </c>
    </row>
    <row r="33" spans="1:5" x14ac:dyDescent="0.4">
      <c r="A33" s="72" t="s">
        <v>378</v>
      </c>
      <c r="B33" s="72" t="s">
        <v>379</v>
      </c>
      <c r="C33" s="72">
        <v>570</v>
      </c>
      <c r="D33" s="77">
        <v>5648700</v>
      </c>
      <c r="E33" s="15">
        <v>0.32</v>
      </c>
    </row>
    <row r="34" spans="1:5" x14ac:dyDescent="0.4">
      <c r="A34" s="72" t="s">
        <v>342</v>
      </c>
      <c r="B34" s="72" t="s">
        <v>343</v>
      </c>
      <c r="C34" s="77">
        <v>62</v>
      </c>
      <c r="D34" s="77">
        <v>3267400</v>
      </c>
      <c r="E34" s="15">
        <v>0.18</v>
      </c>
    </row>
    <row r="35" spans="1:5" x14ac:dyDescent="0.4">
      <c r="A35" s="72"/>
      <c r="B35" s="72" t="s">
        <v>10</v>
      </c>
      <c r="C35" s="77">
        <v>8079105</v>
      </c>
      <c r="D35" s="77">
        <v>8079105</v>
      </c>
      <c r="E35" s="15">
        <v>0.45</v>
      </c>
    </row>
    <row r="36" spans="1:5" x14ac:dyDescent="0.4">
      <c r="C36" s="13"/>
      <c r="D36" s="13"/>
      <c r="E36" s="72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4" t="s">
        <v>530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345</v>
      </c>
      <c r="D11" s="75">
        <v>103155000</v>
      </c>
      <c r="E11" s="19">
        <v>23.68</v>
      </c>
      <c r="F11" s="17"/>
      <c r="G11" s="17"/>
    </row>
    <row r="12" spans="1:7" x14ac:dyDescent="0.4">
      <c r="A12" s="72" t="s">
        <v>13</v>
      </c>
      <c r="B12" s="73" t="s">
        <v>14</v>
      </c>
      <c r="C12" s="75">
        <v>39</v>
      </c>
      <c r="D12" s="75">
        <v>81939000</v>
      </c>
      <c r="E12" s="19">
        <v>18.809999999999999</v>
      </c>
      <c r="F12" s="17"/>
      <c r="G12" s="17"/>
    </row>
    <row r="13" spans="1:7" x14ac:dyDescent="0.4">
      <c r="A13" s="72" t="s">
        <v>453</v>
      </c>
      <c r="B13" s="73" t="s">
        <v>454</v>
      </c>
      <c r="C13" s="75">
        <v>32</v>
      </c>
      <c r="D13" s="75">
        <v>57760000</v>
      </c>
      <c r="E13" s="19">
        <v>13.26</v>
      </c>
      <c r="F13" s="17"/>
      <c r="G13" s="17"/>
    </row>
    <row r="14" spans="1:7" x14ac:dyDescent="0.4">
      <c r="A14" s="72" t="s">
        <v>355</v>
      </c>
      <c r="B14" s="73" t="s">
        <v>356</v>
      </c>
      <c r="C14" s="75">
        <v>120</v>
      </c>
      <c r="D14" s="75">
        <v>18816000</v>
      </c>
      <c r="E14" s="19">
        <v>4.32</v>
      </c>
      <c r="F14" s="17"/>
      <c r="G14" s="17"/>
    </row>
    <row r="15" spans="1:7" x14ac:dyDescent="0.4">
      <c r="A15" s="72" t="s">
        <v>471</v>
      </c>
      <c r="B15" s="73" t="s">
        <v>472</v>
      </c>
      <c r="C15" s="73">
        <v>101</v>
      </c>
      <c r="D15" s="75">
        <v>15129800</v>
      </c>
      <c r="E15" s="19">
        <v>3.47</v>
      </c>
      <c r="F15" s="17"/>
      <c r="G15" s="17"/>
    </row>
    <row r="16" spans="1:7" x14ac:dyDescent="0.4">
      <c r="A16" s="72" t="s">
        <v>299</v>
      </c>
      <c r="B16" s="73" t="s">
        <v>300</v>
      </c>
      <c r="C16" s="75">
        <v>27</v>
      </c>
      <c r="D16" s="75">
        <v>13459500</v>
      </c>
      <c r="E16" s="19">
        <v>3.09</v>
      </c>
      <c r="F16" s="17"/>
      <c r="G16" s="17"/>
    </row>
    <row r="17" spans="1:7" x14ac:dyDescent="0.4">
      <c r="A17" s="72" t="s">
        <v>769</v>
      </c>
      <c r="B17" s="72" t="s">
        <v>770</v>
      </c>
      <c r="C17" s="77">
        <v>95</v>
      </c>
      <c r="D17" s="77">
        <v>13224000</v>
      </c>
      <c r="E17" s="15">
        <v>3.04</v>
      </c>
    </row>
    <row r="18" spans="1:7" x14ac:dyDescent="0.4">
      <c r="A18" s="72" t="s">
        <v>484</v>
      </c>
      <c r="B18" s="73" t="s">
        <v>485</v>
      </c>
      <c r="C18" s="75">
        <v>140</v>
      </c>
      <c r="D18" s="75">
        <v>11914000</v>
      </c>
      <c r="E18" s="19">
        <v>2.73</v>
      </c>
      <c r="F18" s="17"/>
      <c r="G18" s="17"/>
    </row>
    <row r="19" spans="1:7" x14ac:dyDescent="0.4">
      <c r="A19" s="72" t="s">
        <v>679</v>
      </c>
      <c r="B19" s="72" t="s">
        <v>680</v>
      </c>
      <c r="C19" s="76">
        <v>75</v>
      </c>
      <c r="D19" s="77">
        <v>11415000</v>
      </c>
      <c r="E19" s="15">
        <v>2.62</v>
      </c>
    </row>
    <row r="20" spans="1:7" x14ac:dyDescent="0.4">
      <c r="A20" s="72" t="s">
        <v>757</v>
      </c>
      <c r="B20" s="72" t="s">
        <v>758</v>
      </c>
      <c r="C20" s="76">
        <v>66</v>
      </c>
      <c r="D20" s="77">
        <v>11259600</v>
      </c>
      <c r="E20" s="15">
        <v>2.58</v>
      </c>
    </row>
    <row r="21" spans="1:7" x14ac:dyDescent="0.4">
      <c r="A21" s="72" t="s">
        <v>721</v>
      </c>
      <c r="B21" s="72" t="s">
        <v>722</v>
      </c>
      <c r="C21" s="77">
        <v>106</v>
      </c>
      <c r="D21" s="77">
        <v>10525800</v>
      </c>
      <c r="E21" s="15">
        <v>2.42</v>
      </c>
    </row>
    <row r="22" spans="1:7" x14ac:dyDescent="0.4">
      <c r="A22" s="72" t="s">
        <v>643</v>
      </c>
      <c r="B22" s="72" t="s">
        <v>644</v>
      </c>
      <c r="C22" s="76">
        <v>70</v>
      </c>
      <c r="D22" s="77">
        <v>10332000</v>
      </c>
      <c r="E22" s="15">
        <v>2.37</v>
      </c>
    </row>
    <row r="23" spans="1:7" x14ac:dyDescent="0.4">
      <c r="A23" s="72" t="s">
        <v>45</v>
      </c>
      <c r="B23" s="72" t="s">
        <v>46</v>
      </c>
      <c r="C23" s="76">
        <v>67</v>
      </c>
      <c r="D23" s="77">
        <v>8328100</v>
      </c>
      <c r="E23" s="15">
        <v>1.91</v>
      </c>
    </row>
    <row r="24" spans="1:7" x14ac:dyDescent="0.4">
      <c r="A24" s="72" t="s">
        <v>633</v>
      </c>
      <c r="B24" s="72" t="s">
        <v>634</v>
      </c>
      <c r="C24" s="76">
        <v>258</v>
      </c>
      <c r="D24" s="77">
        <v>7636800</v>
      </c>
      <c r="E24" s="15">
        <v>1.75</v>
      </c>
    </row>
    <row r="25" spans="1:7" x14ac:dyDescent="0.4">
      <c r="A25" s="72" t="s">
        <v>479</v>
      </c>
      <c r="B25" s="72" t="s">
        <v>480</v>
      </c>
      <c r="C25" s="77">
        <v>51</v>
      </c>
      <c r="D25" s="77">
        <v>6828900</v>
      </c>
      <c r="E25" s="15">
        <v>1.57</v>
      </c>
    </row>
    <row r="26" spans="1:7" x14ac:dyDescent="0.4">
      <c r="A26" s="72" t="s">
        <v>1973</v>
      </c>
      <c r="B26" s="72" t="s">
        <v>1974</v>
      </c>
      <c r="C26" s="77">
        <v>234</v>
      </c>
      <c r="D26" s="77">
        <v>6552000</v>
      </c>
      <c r="E26" s="15">
        <v>1.5</v>
      </c>
    </row>
    <row r="27" spans="1:7" x14ac:dyDescent="0.4">
      <c r="A27" s="72" t="s">
        <v>569</v>
      </c>
      <c r="B27" s="72" t="s">
        <v>570</v>
      </c>
      <c r="C27" s="77">
        <v>25</v>
      </c>
      <c r="D27" s="77">
        <v>6500000</v>
      </c>
      <c r="E27" s="15">
        <v>1.49</v>
      </c>
    </row>
    <row r="28" spans="1:7" x14ac:dyDescent="0.4">
      <c r="A28" s="72" t="s">
        <v>92</v>
      </c>
      <c r="B28" s="72" t="s">
        <v>93</v>
      </c>
      <c r="C28" s="77">
        <v>4</v>
      </c>
      <c r="D28" s="77">
        <v>6484000</v>
      </c>
      <c r="E28" s="15">
        <v>1.49</v>
      </c>
    </row>
    <row r="29" spans="1:7" x14ac:dyDescent="0.4">
      <c r="A29" s="72" t="s">
        <v>575</v>
      </c>
      <c r="B29" s="72" t="s">
        <v>576</v>
      </c>
      <c r="C29" s="77">
        <v>105</v>
      </c>
      <c r="D29" s="77">
        <v>6300000</v>
      </c>
      <c r="E29" s="15">
        <v>1.45</v>
      </c>
    </row>
    <row r="30" spans="1:7" x14ac:dyDescent="0.4">
      <c r="A30" s="72" t="s">
        <v>347</v>
      </c>
      <c r="B30" s="72" t="s">
        <v>348</v>
      </c>
      <c r="C30" s="76">
        <v>41</v>
      </c>
      <c r="D30" s="77">
        <v>5051200</v>
      </c>
      <c r="E30" s="15">
        <v>1.1599999999999999</v>
      </c>
    </row>
    <row r="31" spans="1:7" x14ac:dyDescent="0.4">
      <c r="A31" s="72" t="s">
        <v>188</v>
      </c>
      <c r="B31" s="72" t="s">
        <v>189</v>
      </c>
      <c r="C31" s="77">
        <v>4</v>
      </c>
      <c r="D31" s="77">
        <v>4912000</v>
      </c>
      <c r="E31" s="15">
        <v>1.1299999999999999</v>
      </c>
    </row>
    <row r="32" spans="1:7" x14ac:dyDescent="0.4">
      <c r="A32" s="72" t="s">
        <v>495</v>
      </c>
      <c r="B32" s="72" t="s">
        <v>496</v>
      </c>
      <c r="C32" s="77">
        <v>17</v>
      </c>
      <c r="D32" s="77">
        <v>4717500</v>
      </c>
      <c r="E32" s="15">
        <v>1.08</v>
      </c>
    </row>
    <row r="33" spans="1:5" x14ac:dyDescent="0.4">
      <c r="A33" s="72" t="s">
        <v>2001</v>
      </c>
      <c r="B33" s="72" t="s">
        <v>2002</v>
      </c>
      <c r="C33" s="77">
        <v>140</v>
      </c>
      <c r="D33" s="77">
        <v>4417000</v>
      </c>
      <c r="E33" s="15">
        <v>1.01</v>
      </c>
    </row>
    <row r="34" spans="1:5" x14ac:dyDescent="0.4">
      <c r="A34" s="72" t="s">
        <v>4788</v>
      </c>
      <c r="B34" s="72" t="s">
        <v>4789</v>
      </c>
      <c r="C34" s="72">
        <v>335</v>
      </c>
      <c r="D34" s="77">
        <v>4221000</v>
      </c>
      <c r="E34" s="15">
        <v>0.97</v>
      </c>
    </row>
    <row r="35" spans="1:5" x14ac:dyDescent="0.4">
      <c r="A35" s="72" t="s">
        <v>212</v>
      </c>
      <c r="B35" s="72" t="s">
        <v>213</v>
      </c>
      <c r="C35" s="77">
        <v>26</v>
      </c>
      <c r="D35" s="77">
        <v>4035200</v>
      </c>
      <c r="E35" s="15">
        <v>0.93</v>
      </c>
    </row>
    <row r="36" spans="1:5" x14ac:dyDescent="0.4">
      <c r="A36" s="72"/>
      <c r="B36" s="72" t="s">
        <v>10</v>
      </c>
      <c r="C36" s="77">
        <v>766113</v>
      </c>
      <c r="D36" s="77">
        <v>766113</v>
      </c>
      <c r="E36" s="15">
        <v>0.18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4" t="s">
        <v>530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338</v>
      </c>
      <c r="D11" s="77">
        <v>107146000</v>
      </c>
      <c r="E11" s="15">
        <v>22.95</v>
      </c>
    </row>
    <row r="12" spans="1:5" x14ac:dyDescent="0.4">
      <c r="A12" s="72" t="s">
        <v>453</v>
      </c>
      <c r="B12" s="72" t="s">
        <v>454</v>
      </c>
      <c r="C12" s="76">
        <v>34</v>
      </c>
      <c r="D12" s="77">
        <v>72318000</v>
      </c>
      <c r="E12" s="15">
        <v>15.49</v>
      </c>
    </row>
    <row r="13" spans="1:5" x14ac:dyDescent="0.4">
      <c r="A13" s="72" t="s">
        <v>13</v>
      </c>
      <c r="B13" s="72" t="s">
        <v>14</v>
      </c>
      <c r="C13" s="72">
        <v>30</v>
      </c>
      <c r="D13" s="77">
        <v>69990000</v>
      </c>
      <c r="E13" s="15">
        <v>14.99</v>
      </c>
    </row>
    <row r="14" spans="1:5" x14ac:dyDescent="0.4">
      <c r="A14" s="72" t="s">
        <v>188</v>
      </c>
      <c r="B14" s="72" t="s">
        <v>189</v>
      </c>
      <c r="C14" s="72">
        <v>29</v>
      </c>
      <c r="D14" s="77">
        <v>35757000</v>
      </c>
      <c r="E14" s="15">
        <v>7.66</v>
      </c>
    </row>
    <row r="15" spans="1:5" x14ac:dyDescent="0.4">
      <c r="A15" s="72" t="s">
        <v>355</v>
      </c>
      <c r="B15" s="72" t="s">
        <v>356</v>
      </c>
      <c r="C15" s="76">
        <v>120</v>
      </c>
      <c r="D15" s="77">
        <v>22908000</v>
      </c>
      <c r="E15" s="15">
        <v>4.91</v>
      </c>
    </row>
    <row r="16" spans="1:5" x14ac:dyDescent="0.4">
      <c r="A16" s="72" t="s">
        <v>45</v>
      </c>
      <c r="B16" s="72" t="s">
        <v>46</v>
      </c>
      <c r="C16" s="76">
        <v>125</v>
      </c>
      <c r="D16" s="77">
        <v>21887500</v>
      </c>
      <c r="E16" s="15">
        <v>4.6900000000000004</v>
      </c>
    </row>
    <row r="17" spans="1:5" x14ac:dyDescent="0.4">
      <c r="A17" s="72" t="s">
        <v>299</v>
      </c>
      <c r="B17" s="72" t="s">
        <v>300</v>
      </c>
      <c r="C17" s="76">
        <v>27</v>
      </c>
      <c r="D17" s="77">
        <v>18576000</v>
      </c>
      <c r="E17" s="15">
        <v>3.98</v>
      </c>
    </row>
    <row r="18" spans="1:5" x14ac:dyDescent="0.4">
      <c r="A18" s="72" t="s">
        <v>721</v>
      </c>
      <c r="B18" s="72" t="s">
        <v>722</v>
      </c>
      <c r="C18" s="77">
        <v>117</v>
      </c>
      <c r="D18" s="77">
        <v>13115700</v>
      </c>
      <c r="E18" s="15">
        <v>2.81</v>
      </c>
    </row>
    <row r="19" spans="1:5" x14ac:dyDescent="0.4">
      <c r="A19" s="72" t="s">
        <v>643</v>
      </c>
      <c r="B19" s="72" t="s">
        <v>644</v>
      </c>
      <c r="C19" s="77">
        <v>77</v>
      </c>
      <c r="D19" s="77">
        <v>10887800</v>
      </c>
      <c r="E19" s="15">
        <v>2.33</v>
      </c>
    </row>
    <row r="20" spans="1:5" x14ac:dyDescent="0.4">
      <c r="A20" s="72" t="s">
        <v>679</v>
      </c>
      <c r="B20" s="72" t="s">
        <v>680</v>
      </c>
      <c r="C20" s="72">
        <v>68</v>
      </c>
      <c r="D20" s="77">
        <v>10696400</v>
      </c>
      <c r="E20" s="15">
        <v>2.29</v>
      </c>
    </row>
    <row r="21" spans="1:5" x14ac:dyDescent="0.4">
      <c r="A21" s="72" t="s">
        <v>471</v>
      </c>
      <c r="B21" s="72" t="s">
        <v>472</v>
      </c>
      <c r="C21" s="77">
        <v>107</v>
      </c>
      <c r="D21" s="77">
        <v>10539500</v>
      </c>
      <c r="E21" s="15">
        <v>2.2599999999999998</v>
      </c>
    </row>
    <row r="22" spans="1:5" x14ac:dyDescent="0.4">
      <c r="A22" s="72" t="s">
        <v>633</v>
      </c>
      <c r="B22" s="72" t="s">
        <v>634</v>
      </c>
      <c r="C22" s="77">
        <v>258</v>
      </c>
      <c r="D22" s="77">
        <v>8152800</v>
      </c>
      <c r="E22" s="15">
        <v>1.75</v>
      </c>
    </row>
    <row r="23" spans="1:5" x14ac:dyDescent="0.4">
      <c r="A23" s="72" t="s">
        <v>92</v>
      </c>
      <c r="B23" s="72" t="s">
        <v>93</v>
      </c>
      <c r="C23" s="76">
        <v>4</v>
      </c>
      <c r="D23" s="77">
        <v>7888000</v>
      </c>
      <c r="E23" s="15">
        <v>1.69</v>
      </c>
    </row>
    <row r="24" spans="1:5" x14ac:dyDescent="0.4">
      <c r="A24" s="72" t="s">
        <v>484</v>
      </c>
      <c r="B24" s="72" t="s">
        <v>485</v>
      </c>
      <c r="C24" s="76">
        <v>115</v>
      </c>
      <c r="D24" s="77">
        <v>6773500</v>
      </c>
      <c r="E24" s="15">
        <v>1.45</v>
      </c>
    </row>
    <row r="25" spans="1:5" x14ac:dyDescent="0.4">
      <c r="A25" s="72" t="s">
        <v>347</v>
      </c>
      <c r="B25" s="72" t="s">
        <v>348</v>
      </c>
      <c r="C25" s="77">
        <v>45</v>
      </c>
      <c r="D25" s="77">
        <v>5814000</v>
      </c>
      <c r="E25" s="15">
        <v>1.25</v>
      </c>
    </row>
    <row r="26" spans="1:5" x14ac:dyDescent="0.4">
      <c r="A26" s="72" t="s">
        <v>575</v>
      </c>
      <c r="B26" s="72" t="s">
        <v>576</v>
      </c>
      <c r="C26" s="72">
        <v>105</v>
      </c>
      <c r="D26" s="77">
        <v>5649000</v>
      </c>
      <c r="E26" s="15">
        <v>1.21</v>
      </c>
    </row>
    <row r="27" spans="1:5" x14ac:dyDescent="0.4">
      <c r="A27" s="72" t="s">
        <v>1973</v>
      </c>
      <c r="B27" s="72" t="s">
        <v>1974</v>
      </c>
      <c r="C27" s="77">
        <v>234</v>
      </c>
      <c r="D27" s="77">
        <v>5031000</v>
      </c>
      <c r="E27" s="15">
        <v>1.08</v>
      </c>
    </row>
    <row r="28" spans="1:5" x14ac:dyDescent="0.4">
      <c r="A28" s="72" t="s">
        <v>569</v>
      </c>
      <c r="B28" s="72" t="s">
        <v>570</v>
      </c>
      <c r="C28" s="72">
        <v>25</v>
      </c>
      <c r="D28" s="77">
        <v>4997500</v>
      </c>
      <c r="E28" s="15">
        <v>1.07</v>
      </c>
    </row>
    <row r="29" spans="1:5" x14ac:dyDescent="0.4">
      <c r="A29" s="72" t="s">
        <v>757</v>
      </c>
      <c r="B29" s="72" t="s">
        <v>758</v>
      </c>
      <c r="C29" s="77">
        <v>37</v>
      </c>
      <c r="D29" s="77">
        <v>4406700</v>
      </c>
      <c r="E29" s="15">
        <v>0.94</v>
      </c>
    </row>
    <row r="30" spans="1:5" x14ac:dyDescent="0.4">
      <c r="A30" s="72" t="s">
        <v>4788</v>
      </c>
      <c r="B30" s="72" t="s">
        <v>4789</v>
      </c>
      <c r="C30" s="77">
        <v>257</v>
      </c>
      <c r="D30" s="77">
        <v>4106860</v>
      </c>
      <c r="E30" s="15">
        <v>0.88</v>
      </c>
    </row>
    <row r="31" spans="1:5" x14ac:dyDescent="0.4">
      <c r="A31" s="72" t="s">
        <v>212</v>
      </c>
      <c r="B31" s="72" t="s">
        <v>213</v>
      </c>
      <c r="C31" s="77">
        <v>22</v>
      </c>
      <c r="D31" s="77">
        <v>4081000</v>
      </c>
      <c r="E31" s="15">
        <v>0.87</v>
      </c>
    </row>
    <row r="32" spans="1:5" x14ac:dyDescent="0.4">
      <c r="A32" s="72" t="s">
        <v>495</v>
      </c>
      <c r="B32" s="72" t="s">
        <v>496</v>
      </c>
      <c r="C32" s="77">
        <v>15</v>
      </c>
      <c r="D32" s="77">
        <v>3975000</v>
      </c>
      <c r="E32" s="15">
        <v>0.85</v>
      </c>
    </row>
    <row r="33" spans="1:5" x14ac:dyDescent="0.4">
      <c r="A33" s="72" t="s">
        <v>2001</v>
      </c>
      <c r="B33" s="72" t="s">
        <v>2002</v>
      </c>
      <c r="C33" s="77">
        <v>116</v>
      </c>
      <c r="D33" s="77">
        <v>3938200</v>
      </c>
      <c r="E33" s="15">
        <v>0.84</v>
      </c>
    </row>
    <row r="34" spans="1:5" x14ac:dyDescent="0.4">
      <c r="A34" s="72" t="s">
        <v>3394</v>
      </c>
      <c r="B34" s="72" t="s">
        <v>3395</v>
      </c>
      <c r="C34" s="77">
        <v>57</v>
      </c>
      <c r="D34" s="77">
        <v>3807600</v>
      </c>
      <c r="E34" s="15">
        <v>0.82</v>
      </c>
    </row>
    <row r="35" spans="1:5" x14ac:dyDescent="0.4">
      <c r="A35" s="72" t="s">
        <v>4131</v>
      </c>
      <c r="B35" s="72" t="s">
        <v>4132</v>
      </c>
      <c r="C35" s="77">
        <v>104</v>
      </c>
      <c r="D35" s="77">
        <v>2724800</v>
      </c>
      <c r="E35" s="15">
        <v>0.57999999999999996</v>
      </c>
    </row>
    <row r="36" spans="1:5" x14ac:dyDescent="0.4">
      <c r="A36" s="72"/>
      <c r="B36" s="72" t="s">
        <v>10</v>
      </c>
      <c r="C36" s="77">
        <v>1690900</v>
      </c>
      <c r="D36" s="77">
        <v>1690900</v>
      </c>
      <c r="E36" s="15">
        <v>0.36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4" t="s">
        <v>531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77</v>
      </c>
      <c r="D11" s="75">
        <v>161777000</v>
      </c>
      <c r="E11" s="19">
        <v>16.12</v>
      </c>
      <c r="F11" s="17"/>
      <c r="G11" s="17"/>
    </row>
    <row r="12" spans="1:7" x14ac:dyDescent="0.4">
      <c r="A12" s="72" t="s">
        <v>80</v>
      </c>
      <c r="B12" s="73" t="s">
        <v>81</v>
      </c>
      <c r="C12" s="76">
        <v>331</v>
      </c>
      <c r="D12" s="77">
        <v>98969000</v>
      </c>
      <c r="E12" s="15">
        <v>9.86</v>
      </c>
    </row>
    <row r="13" spans="1:7" x14ac:dyDescent="0.4">
      <c r="A13" s="72" t="s">
        <v>761</v>
      </c>
      <c r="B13" s="72" t="s">
        <v>762</v>
      </c>
      <c r="C13" s="77">
        <v>958</v>
      </c>
      <c r="D13" s="77">
        <v>92926000</v>
      </c>
      <c r="E13" s="15">
        <v>9.26</v>
      </c>
    </row>
    <row r="14" spans="1:7" x14ac:dyDescent="0.4">
      <c r="A14" s="72" t="s">
        <v>453</v>
      </c>
      <c r="B14" s="73" t="s">
        <v>454</v>
      </c>
      <c r="C14" s="75">
        <v>38</v>
      </c>
      <c r="D14" s="75">
        <v>68590000</v>
      </c>
      <c r="E14" s="19">
        <v>6.84</v>
      </c>
      <c r="F14" s="17"/>
      <c r="G14" s="17"/>
    </row>
    <row r="15" spans="1:7" x14ac:dyDescent="0.4">
      <c r="A15" s="72" t="s">
        <v>122</v>
      </c>
      <c r="B15" s="73" t="s">
        <v>5173</v>
      </c>
      <c r="C15" s="76">
        <v>63</v>
      </c>
      <c r="D15" s="77">
        <v>48132000</v>
      </c>
      <c r="E15" s="15">
        <v>4.8</v>
      </c>
    </row>
    <row r="16" spans="1:7" x14ac:dyDescent="0.4">
      <c r="A16" s="72" t="s">
        <v>217</v>
      </c>
      <c r="B16" s="72" t="s">
        <v>218</v>
      </c>
      <c r="C16" s="76">
        <v>59</v>
      </c>
      <c r="D16" s="77">
        <v>38114000</v>
      </c>
      <c r="E16" s="15">
        <v>3.8</v>
      </c>
    </row>
    <row r="17" spans="1:7" x14ac:dyDescent="0.4">
      <c r="A17" s="72" t="s">
        <v>609</v>
      </c>
      <c r="B17" s="73" t="s">
        <v>610</v>
      </c>
      <c r="C17" s="76">
        <v>526</v>
      </c>
      <c r="D17" s="77">
        <v>36977800</v>
      </c>
      <c r="E17" s="15">
        <v>3.69</v>
      </c>
    </row>
    <row r="18" spans="1:7" x14ac:dyDescent="0.4">
      <c r="A18" s="72" t="s">
        <v>392</v>
      </c>
      <c r="B18" s="72" t="s">
        <v>393</v>
      </c>
      <c r="C18" s="77">
        <v>156</v>
      </c>
      <c r="D18" s="77">
        <v>33228000</v>
      </c>
      <c r="E18" s="15">
        <v>3.31</v>
      </c>
    </row>
    <row r="19" spans="1:7" x14ac:dyDescent="0.4">
      <c r="A19" s="72" t="s">
        <v>140</v>
      </c>
      <c r="B19" s="73" t="s">
        <v>141</v>
      </c>
      <c r="C19" s="75">
        <v>54</v>
      </c>
      <c r="D19" s="75">
        <v>32238000</v>
      </c>
      <c r="E19" s="19">
        <v>3.21</v>
      </c>
      <c r="F19" s="17"/>
      <c r="G19" s="17"/>
    </row>
    <row r="20" spans="1:7" x14ac:dyDescent="0.4">
      <c r="A20" s="72" t="s">
        <v>19</v>
      </c>
      <c r="B20" s="72" t="s">
        <v>20</v>
      </c>
      <c r="C20" s="77">
        <v>139</v>
      </c>
      <c r="D20" s="77">
        <v>31900500</v>
      </c>
      <c r="E20" s="15">
        <v>3.18</v>
      </c>
    </row>
    <row r="21" spans="1:7" x14ac:dyDescent="0.4">
      <c r="A21" s="72" t="s">
        <v>309</v>
      </c>
      <c r="B21" s="72" t="s">
        <v>310</v>
      </c>
      <c r="C21" s="77">
        <v>359</v>
      </c>
      <c r="D21" s="77">
        <v>31807400</v>
      </c>
      <c r="E21" s="15">
        <v>3.17</v>
      </c>
    </row>
    <row r="22" spans="1:7" x14ac:dyDescent="0.4">
      <c r="A22" s="72" t="s">
        <v>242</v>
      </c>
      <c r="B22" s="72" t="s">
        <v>243</v>
      </c>
      <c r="C22" s="77">
        <v>129</v>
      </c>
      <c r="D22" s="77">
        <v>29154000</v>
      </c>
      <c r="E22" s="15">
        <v>2.91</v>
      </c>
    </row>
    <row r="23" spans="1:7" x14ac:dyDescent="0.4">
      <c r="A23" s="72" t="s">
        <v>63</v>
      </c>
      <c r="B23" s="72" t="s">
        <v>64</v>
      </c>
      <c r="C23" s="76">
        <v>69</v>
      </c>
      <c r="D23" s="77">
        <v>28324500</v>
      </c>
      <c r="E23" s="15">
        <v>2.82</v>
      </c>
    </row>
    <row r="24" spans="1:7" x14ac:dyDescent="0.4">
      <c r="A24" s="72" t="s">
        <v>289</v>
      </c>
      <c r="B24" s="72" t="s">
        <v>290</v>
      </c>
      <c r="C24" s="76">
        <v>65</v>
      </c>
      <c r="D24" s="77">
        <v>24407500</v>
      </c>
      <c r="E24" s="15">
        <v>2.4300000000000002</v>
      </c>
    </row>
    <row r="25" spans="1:7" x14ac:dyDescent="0.4">
      <c r="A25" s="72" t="s">
        <v>11</v>
      </c>
      <c r="B25" s="72" t="s">
        <v>12</v>
      </c>
      <c r="C25" s="77">
        <v>7</v>
      </c>
      <c r="D25" s="77">
        <v>22722000</v>
      </c>
      <c r="E25" s="15">
        <v>2.2599999999999998</v>
      </c>
    </row>
    <row r="26" spans="1:7" x14ac:dyDescent="0.4">
      <c r="A26" s="72" t="s">
        <v>347</v>
      </c>
      <c r="B26" s="72" t="s">
        <v>348</v>
      </c>
      <c r="C26" s="72">
        <v>183</v>
      </c>
      <c r="D26" s="77">
        <v>22545600</v>
      </c>
      <c r="E26" s="15">
        <v>2.25</v>
      </c>
    </row>
    <row r="27" spans="1:7" x14ac:dyDescent="0.4">
      <c r="A27" s="72" t="s">
        <v>301</v>
      </c>
      <c r="B27" s="72" t="s">
        <v>302</v>
      </c>
      <c r="C27" s="77">
        <v>211</v>
      </c>
      <c r="D27" s="77">
        <v>22049500</v>
      </c>
      <c r="E27" s="15">
        <v>2.2000000000000002</v>
      </c>
    </row>
    <row r="28" spans="1:7" x14ac:dyDescent="0.4">
      <c r="A28" s="72" t="s">
        <v>553</v>
      </c>
      <c r="B28" s="73" t="s">
        <v>554</v>
      </c>
      <c r="C28" s="75">
        <v>139</v>
      </c>
      <c r="D28" s="75">
        <v>19724100</v>
      </c>
      <c r="E28" s="19">
        <v>1.97</v>
      </c>
      <c r="F28" s="17"/>
      <c r="G28" s="17"/>
    </row>
    <row r="29" spans="1:7" x14ac:dyDescent="0.4">
      <c r="A29" s="72" t="s">
        <v>299</v>
      </c>
      <c r="B29" s="72" t="s">
        <v>300</v>
      </c>
      <c r="C29" s="77">
        <v>39</v>
      </c>
      <c r="D29" s="77">
        <v>19441500</v>
      </c>
      <c r="E29" s="15">
        <v>1.94</v>
      </c>
    </row>
    <row r="30" spans="1:7" x14ac:dyDescent="0.4">
      <c r="A30" s="72" t="s">
        <v>326</v>
      </c>
      <c r="B30" s="72" t="s">
        <v>327</v>
      </c>
      <c r="C30" s="77">
        <v>154</v>
      </c>
      <c r="D30" s="77">
        <v>19373200</v>
      </c>
      <c r="E30" s="15">
        <v>1.93</v>
      </c>
    </row>
    <row r="31" spans="1:7" x14ac:dyDescent="0.4">
      <c r="A31" s="72" t="s">
        <v>15</v>
      </c>
      <c r="B31" s="72" t="s">
        <v>16</v>
      </c>
      <c r="C31" s="77">
        <v>16</v>
      </c>
      <c r="D31" s="77">
        <v>16528000</v>
      </c>
      <c r="E31" s="15">
        <v>1.65</v>
      </c>
    </row>
    <row r="32" spans="1:7" x14ac:dyDescent="0.4">
      <c r="A32" s="72" t="s">
        <v>78</v>
      </c>
      <c r="B32" s="72" t="s">
        <v>79</v>
      </c>
      <c r="C32" s="77">
        <v>14</v>
      </c>
      <c r="D32" s="77">
        <v>16464000</v>
      </c>
      <c r="E32" s="15">
        <v>1.64</v>
      </c>
    </row>
    <row r="33" spans="1:7" x14ac:dyDescent="0.4">
      <c r="A33" s="72" t="s">
        <v>351</v>
      </c>
      <c r="B33" s="72" t="s">
        <v>352</v>
      </c>
      <c r="C33" s="77">
        <v>85</v>
      </c>
      <c r="D33" s="77">
        <v>16192500</v>
      </c>
      <c r="E33" s="15">
        <v>1.61</v>
      </c>
    </row>
    <row r="34" spans="1:7" x14ac:dyDescent="0.4">
      <c r="A34" s="72" t="s">
        <v>229</v>
      </c>
      <c r="B34" s="72" t="s">
        <v>230</v>
      </c>
      <c r="C34" s="77">
        <v>67</v>
      </c>
      <c r="D34" s="77">
        <v>14606000</v>
      </c>
      <c r="E34" s="15">
        <v>1.46</v>
      </c>
    </row>
    <row r="35" spans="1:7" x14ac:dyDescent="0.4">
      <c r="A35" s="72" t="s">
        <v>172</v>
      </c>
      <c r="B35" s="73" t="s">
        <v>173</v>
      </c>
      <c r="C35" s="75">
        <v>21</v>
      </c>
      <c r="D35" s="75">
        <v>12096000</v>
      </c>
      <c r="E35" s="19">
        <v>1.21</v>
      </c>
      <c r="F35" s="17"/>
      <c r="G35" s="17"/>
    </row>
    <row r="36" spans="1:7" x14ac:dyDescent="0.4">
      <c r="A36" s="72" t="s">
        <v>2246</v>
      </c>
      <c r="B36" s="72" t="s">
        <v>2247</v>
      </c>
      <c r="C36" s="77">
        <v>231</v>
      </c>
      <c r="D36" s="77">
        <v>10522050</v>
      </c>
      <c r="E36" s="15">
        <v>1.05</v>
      </c>
    </row>
    <row r="37" spans="1:7" x14ac:dyDescent="0.4">
      <c r="A37" s="72" t="s">
        <v>397</v>
      </c>
      <c r="B37" s="72" t="s">
        <v>398</v>
      </c>
      <c r="C37" s="77">
        <v>86</v>
      </c>
      <c r="D37" s="77">
        <v>9356800</v>
      </c>
      <c r="E37" s="15">
        <v>0.93</v>
      </c>
    </row>
    <row r="38" spans="1:7" x14ac:dyDescent="0.4">
      <c r="A38" s="72" t="s">
        <v>73</v>
      </c>
      <c r="B38" s="72" t="s">
        <v>74</v>
      </c>
      <c r="C38" s="77">
        <v>7</v>
      </c>
      <c r="D38" s="77">
        <v>7098000</v>
      </c>
      <c r="E38" s="15">
        <v>0.71</v>
      </c>
    </row>
    <row r="39" spans="1:7" x14ac:dyDescent="0.4">
      <c r="A39" s="72" t="s">
        <v>158</v>
      </c>
      <c r="B39" s="72" t="s">
        <v>159</v>
      </c>
      <c r="C39" s="72">
        <v>40</v>
      </c>
      <c r="D39" s="77">
        <v>3992000</v>
      </c>
      <c r="E39" s="15">
        <v>0.4</v>
      </c>
    </row>
    <row r="40" spans="1:7" x14ac:dyDescent="0.4">
      <c r="A40" s="72" t="s">
        <v>49</v>
      </c>
      <c r="B40" s="72" t="s">
        <v>50</v>
      </c>
      <c r="C40" s="72">
        <v>29</v>
      </c>
      <c r="D40" s="77">
        <v>3572800</v>
      </c>
      <c r="E40" s="15">
        <v>0.36</v>
      </c>
    </row>
    <row r="41" spans="1:7" x14ac:dyDescent="0.4">
      <c r="A41" s="72" t="s">
        <v>559</v>
      </c>
      <c r="B41" s="72" t="s">
        <v>560</v>
      </c>
      <c r="C41" s="77">
        <v>2</v>
      </c>
      <c r="D41" s="77">
        <v>2572000</v>
      </c>
      <c r="E41" s="15">
        <v>0.26</v>
      </c>
    </row>
    <row r="42" spans="1:7" x14ac:dyDescent="0.4">
      <c r="A42" s="72" t="s">
        <v>41</v>
      </c>
      <c r="B42" s="73" t="s">
        <v>42</v>
      </c>
      <c r="C42" s="75">
        <v>27</v>
      </c>
      <c r="D42" s="75">
        <v>2513700</v>
      </c>
      <c r="E42" s="19">
        <v>0.25</v>
      </c>
      <c r="F42" s="17"/>
      <c r="G42" s="17"/>
    </row>
    <row r="43" spans="1:7" x14ac:dyDescent="0.4">
      <c r="A43" s="72" t="s">
        <v>232</v>
      </c>
      <c r="B43" s="73" t="s">
        <v>233</v>
      </c>
      <c r="C43" s="75">
        <v>3</v>
      </c>
      <c r="D43" s="75">
        <v>859500</v>
      </c>
      <c r="E43" s="19">
        <v>0.09</v>
      </c>
      <c r="F43" s="17"/>
      <c r="G43" s="17"/>
    </row>
    <row r="44" spans="1:7" x14ac:dyDescent="0.4">
      <c r="A44" s="72" t="s">
        <v>1619</v>
      </c>
      <c r="B44" s="72" t="s">
        <v>1620</v>
      </c>
      <c r="C44" s="77">
        <v>59</v>
      </c>
      <c r="D44" s="77">
        <v>389990</v>
      </c>
      <c r="E44" s="15">
        <v>0.04</v>
      </c>
    </row>
    <row r="45" spans="1:7" x14ac:dyDescent="0.4">
      <c r="A45" s="72"/>
      <c r="B45" s="72" t="s">
        <v>10</v>
      </c>
      <c r="C45" s="77">
        <v>4121983</v>
      </c>
      <c r="D45" s="77">
        <v>4121983</v>
      </c>
      <c r="E45" s="15">
        <v>0.41</v>
      </c>
    </row>
    <row r="46" spans="1:7" x14ac:dyDescent="0.4">
      <c r="C46" s="13"/>
      <c r="D46" s="13"/>
      <c r="E46" s="72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4" t="s">
        <v>531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74</v>
      </c>
      <c r="D11" s="77">
        <v>172642000</v>
      </c>
      <c r="E11" s="15">
        <v>15.57</v>
      </c>
    </row>
    <row r="12" spans="1:5" x14ac:dyDescent="0.4">
      <c r="A12" s="72" t="s">
        <v>80</v>
      </c>
      <c r="B12" s="72" t="s">
        <v>81</v>
      </c>
      <c r="C12" s="76">
        <v>331</v>
      </c>
      <c r="D12" s="77">
        <v>104927000</v>
      </c>
      <c r="E12" s="15">
        <v>9.4600000000000009</v>
      </c>
    </row>
    <row r="13" spans="1:5" x14ac:dyDescent="0.4">
      <c r="A13" s="72" t="s">
        <v>761</v>
      </c>
      <c r="B13" s="72" t="s">
        <v>762</v>
      </c>
      <c r="C13" s="77">
        <v>958</v>
      </c>
      <c r="D13" s="77">
        <v>93692400</v>
      </c>
      <c r="E13" s="15">
        <v>8.4499999999999993</v>
      </c>
    </row>
    <row r="14" spans="1:5" x14ac:dyDescent="0.4">
      <c r="A14" s="72" t="s">
        <v>453</v>
      </c>
      <c r="B14" s="72" t="s">
        <v>454</v>
      </c>
      <c r="C14" s="77">
        <v>41</v>
      </c>
      <c r="D14" s="77">
        <v>87207000</v>
      </c>
      <c r="E14" s="15">
        <v>7.87</v>
      </c>
    </row>
    <row r="15" spans="1:5" x14ac:dyDescent="0.4">
      <c r="A15" s="72" t="s">
        <v>122</v>
      </c>
      <c r="B15" s="72" t="s">
        <v>5173</v>
      </c>
      <c r="C15" s="76">
        <v>63</v>
      </c>
      <c r="D15" s="77">
        <v>50463000</v>
      </c>
      <c r="E15" s="15">
        <v>4.55</v>
      </c>
    </row>
    <row r="16" spans="1:5" x14ac:dyDescent="0.4">
      <c r="A16" s="72" t="s">
        <v>140</v>
      </c>
      <c r="B16" s="72" t="s">
        <v>141</v>
      </c>
      <c r="C16" s="76">
        <v>54</v>
      </c>
      <c r="D16" s="77">
        <v>39042000</v>
      </c>
      <c r="E16" s="15">
        <v>3.52</v>
      </c>
    </row>
    <row r="17" spans="1:5" x14ac:dyDescent="0.4">
      <c r="A17" s="72" t="s">
        <v>392</v>
      </c>
      <c r="B17" s="72" t="s">
        <v>393</v>
      </c>
      <c r="C17" s="76">
        <v>156</v>
      </c>
      <c r="D17" s="77">
        <v>38532000</v>
      </c>
      <c r="E17" s="15">
        <v>3.48</v>
      </c>
    </row>
    <row r="18" spans="1:5" x14ac:dyDescent="0.4">
      <c r="A18" s="72" t="s">
        <v>217</v>
      </c>
      <c r="B18" s="72" t="s">
        <v>218</v>
      </c>
      <c r="C18" s="77">
        <v>55</v>
      </c>
      <c r="D18" s="77">
        <v>38280000</v>
      </c>
      <c r="E18" s="15">
        <v>3.45</v>
      </c>
    </row>
    <row r="19" spans="1:5" x14ac:dyDescent="0.4">
      <c r="A19" s="72" t="s">
        <v>242</v>
      </c>
      <c r="B19" s="72" t="s">
        <v>243</v>
      </c>
      <c r="C19" s="77">
        <v>129</v>
      </c>
      <c r="D19" s="77">
        <v>37797000</v>
      </c>
      <c r="E19" s="15">
        <v>3.41</v>
      </c>
    </row>
    <row r="20" spans="1:5" x14ac:dyDescent="0.4">
      <c r="A20" s="72" t="s">
        <v>309</v>
      </c>
      <c r="B20" s="72" t="s">
        <v>310</v>
      </c>
      <c r="C20" s="77">
        <v>359</v>
      </c>
      <c r="D20" s="77">
        <v>37695000</v>
      </c>
      <c r="E20" s="15">
        <v>3.4</v>
      </c>
    </row>
    <row r="21" spans="1:5" x14ac:dyDescent="0.4">
      <c r="A21" s="72" t="s">
        <v>609</v>
      </c>
      <c r="B21" s="72" t="s">
        <v>610</v>
      </c>
      <c r="C21" s="77">
        <v>526</v>
      </c>
      <c r="D21" s="77">
        <v>35294600</v>
      </c>
      <c r="E21" s="15">
        <v>3.18</v>
      </c>
    </row>
    <row r="22" spans="1:5" x14ac:dyDescent="0.4">
      <c r="A22" s="72" t="s">
        <v>19</v>
      </c>
      <c r="B22" s="72" t="s">
        <v>20</v>
      </c>
      <c r="C22" s="77">
        <v>139</v>
      </c>
      <c r="D22" s="77">
        <v>33568500</v>
      </c>
      <c r="E22" s="15">
        <v>3.03</v>
      </c>
    </row>
    <row r="23" spans="1:5" x14ac:dyDescent="0.4">
      <c r="A23" s="72" t="s">
        <v>289</v>
      </c>
      <c r="B23" s="72" t="s">
        <v>290</v>
      </c>
      <c r="C23" s="76">
        <v>65</v>
      </c>
      <c r="D23" s="77">
        <v>27495000</v>
      </c>
      <c r="E23" s="15">
        <v>2.48</v>
      </c>
    </row>
    <row r="24" spans="1:5" x14ac:dyDescent="0.4">
      <c r="A24" s="72" t="s">
        <v>63</v>
      </c>
      <c r="B24" s="72" t="s">
        <v>64</v>
      </c>
      <c r="C24" s="76">
        <v>69</v>
      </c>
      <c r="D24" s="77">
        <v>27289500</v>
      </c>
      <c r="E24" s="15">
        <v>2.46</v>
      </c>
    </row>
    <row r="25" spans="1:5" x14ac:dyDescent="0.4">
      <c r="A25" s="72" t="s">
        <v>299</v>
      </c>
      <c r="B25" s="72" t="s">
        <v>300</v>
      </c>
      <c r="C25" s="77">
        <v>38</v>
      </c>
      <c r="D25" s="77">
        <v>26144000</v>
      </c>
      <c r="E25" s="15">
        <v>2.36</v>
      </c>
    </row>
    <row r="26" spans="1:5" x14ac:dyDescent="0.4">
      <c r="A26" s="72" t="s">
        <v>301</v>
      </c>
      <c r="B26" s="72" t="s">
        <v>302</v>
      </c>
      <c r="C26" s="77">
        <v>211</v>
      </c>
      <c r="D26" s="77">
        <v>26016300</v>
      </c>
      <c r="E26" s="15">
        <v>2.35</v>
      </c>
    </row>
    <row r="27" spans="1:5" x14ac:dyDescent="0.4">
      <c r="A27" s="72" t="s">
        <v>11</v>
      </c>
      <c r="B27" s="72" t="s">
        <v>12</v>
      </c>
      <c r="C27" s="77">
        <v>7</v>
      </c>
      <c r="D27" s="77">
        <v>25795000</v>
      </c>
      <c r="E27" s="15">
        <v>2.33</v>
      </c>
    </row>
    <row r="28" spans="1:5" x14ac:dyDescent="0.4">
      <c r="A28" s="72" t="s">
        <v>326</v>
      </c>
      <c r="B28" s="72" t="s">
        <v>327</v>
      </c>
      <c r="C28" s="77">
        <v>147</v>
      </c>
      <c r="D28" s="77">
        <v>24740100</v>
      </c>
      <c r="E28" s="15">
        <v>2.23</v>
      </c>
    </row>
    <row r="29" spans="1:5" x14ac:dyDescent="0.4">
      <c r="A29" s="72" t="s">
        <v>347</v>
      </c>
      <c r="B29" s="72" t="s">
        <v>348</v>
      </c>
      <c r="C29" s="77">
        <v>183</v>
      </c>
      <c r="D29" s="77">
        <v>23643600</v>
      </c>
      <c r="E29" s="15">
        <v>2.13</v>
      </c>
    </row>
    <row r="30" spans="1:5" x14ac:dyDescent="0.4">
      <c r="A30" s="72" t="s">
        <v>553</v>
      </c>
      <c r="B30" s="72" t="s">
        <v>554</v>
      </c>
      <c r="C30" s="77">
        <v>139</v>
      </c>
      <c r="D30" s="77">
        <v>23393700</v>
      </c>
      <c r="E30" s="15">
        <v>2.11</v>
      </c>
    </row>
    <row r="31" spans="1:5" x14ac:dyDescent="0.4">
      <c r="A31" s="72" t="s">
        <v>78</v>
      </c>
      <c r="B31" s="72" t="s">
        <v>79</v>
      </c>
      <c r="C31" s="77">
        <v>16</v>
      </c>
      <c r="D31" s="77">
        <v>19280000</v>
      </c>
      <c r="E31" s="15">
        <v>1.74</v>
      </c>
    </row>
    <row r="32" spans="1:5" x14ac:dyDescent="0.4">
      <c r="A32" s="72" t="s">
        <v>351</v>
      </c>
      <c r="B32" s="72" t="s">
        <v>352</v>
      </c>
      <c r="C32" s="77">
        <v>85</v>
      </c>
      <c r="D32" s="77">
        <v>17212500</v>
      </c>
      <c r="E32" s="15">
        <v>1.55</v>
      </c>
    </row>
    <row r="33" spans="1:5" x14ac:dyDescent="0.4">
      <c r="A33" s="72" t="s">
        <v>15</v>
      </c>
      <c r="B33" s="72" t="s">
        <v>16</v>
      </c>
      <c r="C33" s="77">
        <v>16</v>
      </c>
      <c r="D33" s="77">
        <v>16848000</v>
      </c>
      <c r="E33" s="15">
        <v>1.52</v>
      </c>
    </row>
    <row r="34" spans="1:5" x14ac:dyDescent="0.4">
      <c r="A34" s="72" t="s">
        <v>172</v>
      </c>
      <c r="B34" s="72" t="s">
        <v>173</v>
      </c>
      <c r="C34" s="77">
        <v>21</v>
      </c>
      <c r="D34" s="77">
        <v>16128000</v>
      </c>
      <c r="E34" s="15">
        <v>1.45</v>
      </c>
    </row>
    <row r="35" spans="1:5" x14ac:dyDescent="0.4">
      <c r="A35" s="72" t="s">
        <v>229</v>
      </c>
      <c r="B35" s="72" t="s">
        <v>230</v>
      </c>
      <c r="C35" s="77">
        <v>67</v>
      </c>
      <c r="D35" s="77">
        <v>14740000</v>
      </c>
      <c r="E35" s="15">
        <v>1.33</v>
      </c>
    </row>
    <row r="36" spans="1:5" x14ac:dyDescent="0.4">
      <c r="A36" s="72" t="s">
        <v>397</v>
      </c>
      <c r="B36" s="72" t="s">
        <v>398</v>
      </c>
      <c r="C36" s="77">
        <v>86</v>
      </c>
      <c r="D36" s="77">
        <v>11954000</v>
      </c>
      <c r="E36" s="15">
        <v>1.08</v>
      </c>
    </row>
    <row r="37" spans="1:5" x14ac:dyDescent="0.4">
      <c r="A37" s="72" t="s">
        <v>73</v>
      </c>
      <c r="B37" s="72" t="s">
        <v>74</v>
      </c>
      <c r="C37" s="77">
        <v>10</v>
      </c>
      <c r="D37" s="77">
        <v>11730000</v>
      </c>
      <c r="E37" s="15">
        <v>1.06</v>
      </c>
    </row>
    <row r="38" spans="1:5" x14ac:dyDescent="0.4">
      <c r="A38" s="72" t="s">
        <v>2246</v>
      </c>
      <c r="B38" s="72" t="s">
        <v>2247</v>
      </c>
      <c r="C38" s="77">
        <v>254</v>
      </c>
      <c r="D38" s="77">
        <v>8483600</v>
      </c>
      <c r="E38" s="15">
        <v>0.77</v>
      </c>
    </row>
    <row r="39" spans="1:5" x14ac:dyDescent="0.4">
      <c r="A39" s="72" t="s">
        <v>158</v>
      </c>
      <c r="B39" s="72" t="s">
        <v>159</v>
      </c>
      <c r="C39" s="72">
        <v>40</v>
      </c>
      <c r="D39" s="77">
        <v>3896000</v>
      </c>
      <c r="E39" s="15">
        <v>0.35</v>
      </c>
    </row>
    <row r="40" spans="1:5" x14ac:dyDescent="0.4">
      <c r="A40" s="72" t="s">
        <v>49</v>
      </c>
      <c r="B40" s="72" t="s">
        <v>50</v>
      </c>
      <c r="C40" s="72">
        <v>29</v>
      </c>
      <c r="D40" s="77">
        <v>3888900</v>
      </c>
      <c r="E40" s="15">
        <v>0.35</v>
      </c>
    </row>
    <row r="41" spans="1:5" x14ac:dyDescent="0.4">
      <c r="A41" s="72" t="s">
        <v>41</v>
      </c>
      <c r="B41" s="72" t="s">
        <v>42</v>
      </c>
      <c r="C41" s="77">
        <v>27</v>
      </c>
      <c r="D41" s="77">
        <v>3021300</v>
      </c>
      <c r="E41" s="15">
        <v>0.27</v>
      </c>
    </row>
    <row r="42" spans="1:5" x14ac:dyDescent="0.4">
      <c r="A42" s="72" t="s">
        <v>559</v>
      </c>
      <c r="B42" s="72" t="s">
        <v>560</v>
      </c>
      <c r="C42" s="77">
        <v>2</v>
      </c>
      <c r="D42" s="77">
        <v>2726000</v>
      </c>
      <c r="E42" s="15">
        <v>0.25</v>
      </c>
    </row>
    <row r="43" spans="1:5" x14ac:dyDescent="0.4">
      <c r="A43" s="72" t="s">
        <v>232</v>
      </c>
      <c r="B43" s="72" t="s">
        <v>233</v>
      </c>
      <c r="C43" s="77">
        <v>4</v>
      </c>
      <c r="D43" s="77">
        <v>1302000</v>
      </c>
      <c r="E43" s="15">
        <v>0.12</v>
      </c>
    </row>
    <row r="44" spans="1:5" x14ac:dyDescent="0.4">
      <c r="A44" s="72" t="s">
        <v>1619</v>
      </c>
      <c r="B44" s="72" t="s">
        <v>1620</v>
      </c>
      <c r="C44" s="77">
        <v>106</v>
      </c>
      <c r="D44" s="77">
        <v>783340</v>
      </c>
      <c r="E44" s="15">
        <v>7.0000000000000007E-2</v>
      </c>
    </row>
    <row r="45" spans="1:5" x14ac:dyDescent="0.4">
      <c r="A45" s="72"/>
      <c r="B45" s="72" t="s">
        <v>10</v>
      </c>
      <c r="C45" s="77">
        <v>3100790</v>
      </c>
      <c r="D45" s="77">
        <v>3100790</v>
      </c>
      <c r="E45" s="15">
        <v>0.28000000000000003</v>
      </c>
    </row>
    <row r="46" spans="1:5" x14ac:dyDescent="0.4">
      <c r="C46" s="13"/>
      <c r="D46" s="13"/>
      <c r="E46" s="72"/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4" t="s">
        <v>532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852</v>
      </c>
      <c r="D11" s="75">
        <v>254748000</v>
      </c>
      <c r="E11" s="19">
        <v>13.31</v>
      </c>
      <c r="F11" s="17"/>
      <c r="G11" s="17"/>
    </row>
    <row r="12" spans="1:7" x14ac:dyDescent="0.4">
      <c r="A12" s="72" t="s">
        <v>244</v>
      </c>
      <c r="B12" s="73" t="s">
        <v>245</v>
      </c>
      <c r="C12" s="78">
        <v>210</v>
      </c>
      <c r="D12" s="75">
        <v>149100000</v>
      </c>
      <c r="E12" s="19">
        <v>7.79</v>
      </c>
      <c r="F12" s="17"/>
      <c r="G12" s="17"/>
    </row>
    <row r="13" spans="1:7" x14ac:dyDescent="0.4">
      <c r="A13" s="72" t="s">
        <v>232</v>
      </c>
      <c r="B13" s="72" t="s">
        <v>233</v>
      </c>
      <c r="C13" s="77">
        <v>509</v>
      </c>
      <c r="D13" s="77">
        <v>145828500</v>
      </c>
      <c r="E13" s="15">
        <v>7.62</v>
      </c>
    </row>
    <row r="14" spans="1:7" x14ac:dyDescent="0.4">
      <c r="A14" s="72" t="s">
        <v>172</v>
      </c>
      <c r="B14" s="72" t="s">
        <v>173</v>
      </c>
      <c r="C14" s="77">
        <v>248</v>
      </c>
      <c r="D14" s="77">
        <v>142848000</v>
      </c>
      <c r="E14" s="15">
        <v>7.47</v>
      </c>
    </row>
    <row r="15" spans="1:7" x14ac:dyDescent="0.4">
      <c r="A15" s="72" t="s">
        <v>242</v>
      </c>
      <c r="B15" s="72" t="s">
        <v>243</v>
      </c>
      <c r="C15" s="76">
        <v>592</v>
      </c>
      <c r="D15" s="77">
        <v>133792000</v>
      </c>
      <c r="E15" s="15">
        <v>6.99</v>
      </c>
    </row>
    <row r="16" spans="1:7" x14ac:dyDescent="0.4">
      <c r="A16" s="72" t="s">
        <v>13</v>
      </c>
      <c r="B16" s="72" t="s">
        <v>14</v>
      </c>
      <c r="C16" s="76">
        <v>62</v>
      </c>
      <c r="D16" s="77">
        <v>130262000</v>
      </c>
      <c r="E16" s="15">
        <v>6.81</v>
      </c>
    </row>
    <row r="17" spans="1:7" x14ac:dyDescent="0.4">
      <c r="A17" s="72" t="s">
        <v>140</v>
      </c>
      <c r="B17" s="73" t="s">
        <v>141</v>
      </c>
      <c r="C17" s="78">
        <v>190</v>
      </c>
      <c r="D17" s="75">
        <v>113430000</v>
      </c>
      <c r="E17" s="19">
        <v>5.93</v>
      </c>
      <c r="F17" s="17"/>
      <c r="G17" s="17"/>
    </row>
    <row r="18" spans="1:7" x14ac:dyDescent="0.4">
      <c r="A18" s="72" t="s">
        <v>240</v>
      </c>
      <c r="B18" s="72" t="s">
        <v>241</v>
      </c>
      <c r="C18" s="77">
        <v>969</v>
      </c>
      <c r="D18" s="77">
        <v>105911700</v>
      </c>
      <c r="E18" s="15">
        <v>5.54</v>
      </c>
    </row>
    <row r="19" spans="1:7" x14ac:dyDescent="0.4">
      <c r="A19" s="72" t="s">
        <v>236</v>
      </c>
      <c r="B19" s="72" t="s">
        <v>237</v>
      </c>
      <c r="C19" s="77">
        <v>161</v>
      </c>
      <c r="D19" s="77">
        <v>97405000</v>
      </c>
      <c r="E19" s="15">
        <v>5.09</v>
      </c>
    </row>
    <row r="20" spans="1:7" x14ac:dyDescent="0.4">
      <c r="A20" s="72" t="s">
        <v>98</v>
      </c>
      <c r="B20" s="72" t="s">
        <v>99</v>
      </c>
      <c r="C20" s="77">
        <v>282</v>
      </c>
      <c r="D20" s="77">
        <v>63168000</v>
      </c>
      <c r="E20" s="15">
        <v>3.3</v>
      </c>
    </row>
    <row r="21" spans="1:7" x14ac:dyDescent="0.4">
      <c r="A21" s="72" t="s">
        <v>252</v>
      </c>
      <c r="B21" s="72" t="s">
        <v>253</v>
      </c>
      <c r="C21" s="77">
        <v>675</v>
      </c>
      <c r="D21" s="77">
        <v>61695000</v>
      </c>
      <c r="E21" s="15">
        <v>3.22</v>
      </c>
    </row>
    <row r="22" spans="1:7" x14ac:dyDescent="0.4">
      <c r="A22" s="72" t="s">
        <v>451</v>
      </c>
      <c r="B22" s="73" t="s">
        <v>452</v>
      </c>
      <c r="C22" s="75">
        <v>48</v>
      </c>
      <c r="D22" s="75">
        <v>51456000</v>
      </c>
      <c r="E22" s="19">
        <v>2.69</v>
      </c>
      <c r="F22" s="17"/>
      <c r="G22" s="17"/>
    </row>
    <row r="23" spans="1:7" x14ac:dyDescent="0.4">
      <c r="A23" s="72" t="s">
        <v>166</v>
      </c>
      <c r="B23" s="73" t="s">
        <v>167</v>
      </c>
      <c r="C23" s="78">
        <v>192</v>
      </c>
      <c r="D23" s="75">
        <v>47136000</v>
      </c>
      <c r="E23" s="19">
        <v>2.46</v>
      </c>
      <c r="F23" s="17"/>
      <c r="G23" s="17"/>
    </row>
    <row r="24" spans="1:7" x14ac:dyDescent="0.4">
      <c r="A24" s="72" t="s">
        <v>246</v>
      </c>
      <c r="B24" s="72" t="s">
        <v>247</v>
      </c>
      <c r="C24" s="76">
        <v>1004</v>
      </c>
      <c r="D24" s="77">
        <v>46033400</v>
      </c>
      <c r="E24" s="15">
        <v>2.41</v>
      </c>
    </row>
    <row r="25" spans="1:7" x14ac:dyDescent="0.4">
      <c r="A25" s="72" t="s">
        <v>238</v>
      </c>
      <c r="B25" s="72" t="s">
        <v>239</v>
      </c>
      <c r="C25" s="77">
        <v>196</v>
      </c>
      <c r="D25" s="77">
        <v>44982000</v>
      </c>
      <c r="E25" s="15">
        <v>2.35</v>
      </c>
    </row>
    <row r="26" spans="1:7" x14ac:dyDescent="0.4">
      <c r="A26" s="72" t="s">
        <v>254</v>
      </c>
      <c r="B26" s="72" t="s">
        <v>255</v>
      </c>
      <c r="C26" s="77">
        <v>1897</v>
      </c>
      <c r="D26" s="77">
        <v>36005060</v>
      </c>
      <c r="E26" s="15">
        <v>1.88</v>
      </c>
    </row>
    <row r="27" spans="1:7" x14ac:dyDescent="0.4">
      <c r="A27" s="72" t="s">
        <v>90</v>
      </c>
      <c r="B27" s="72" t="s">
        <v>91</v>
      </c>
      <c r="C27" s="77">
        <v>539</v>
      </c>
      <c r="D27" s="77">
        <v>32340000</v>
      </c>
      <c r="E27" s="15">
        <v>1.69</v>
      </c>
    </row>
    <row r="28" spans="1:7" x14ac:dyDescent="0.4">
      <c r="A28" s="72" t="s">
        <v>248</v>
      </c>
      <c r="B28" s="72" t="s">
        <v>249</v>
      </c>
      <c r="C28" s="77">
        <v>340</v>
      </c>
      <c r="D28" s="77">
        <v>28356000</v>
      </c>
      <c r="E28" s="15">
        <v>1.48</v>
      </c>
    </row>
    <row r="29" spans="1:7" x14ac:dyDescent="0.4">
      <c r="A29" s="72" t="s">
        <v>256</v>
      </c>
      <c r="B29" s="72" t="s">
        <v>257</v>
      </c>
      <c r="C29" s="77">
        <v>741</v>
      </c>
      <c r="D29" s="77">
        <v>26713050</v>
      </c>
      <c r="E29" s="15">
        <v>1.4</v>
      </c>
    </row>
    <row r="30" spans="1:7" x14ac:dyDescent="0.4">
      <c r="A30" s="72" t="s">
        <v>260</v>
      </c>
      <c r="B30" s="72" t="s">
        <v>261</v>
      </c>
      <c r="C30" s="77">
        <v>902</v>
      </c>
      <c r="D30" s="77">
        <v>25752100</v>
      </c>
      <c r="E30" s="15">
        <v>1.35</v>
      </c>
    </row>
    <row r="31" spans="1:7" x14ac:dyDescent="0.4">
      <c r="A31" s="72" t="s">
        <v>613</v>
      </c>
      <c r="B31" s="72" t="s">
        <v>614</v>
      </c>
      <c r="C31" s="77">
        <v>467</v>
      </c>
      <c r="D31" s="77">
        <v>24470800</v>
      </c>
      <c r="E31" s="15">
        <v>1.28</v>
      </c>
    </row>
    <row r="32" spans="1:7" x14ac:dyDescent="0.4">
      <c r="A32" s="72" t="s">
        <v>250</v>
      </c>
      <c r="B32" s="72" t="s">
        <v>251</v>
      </c>
      <c r="C32" s="77">
        <v>1807</v>
      </c>
      <c r="D32" s="77">
        <v>19099990</v>
      </c>
      <c r="E32" s="15">
        <v>1</v>
      </c>
    </row>
    <row r="33" spans="1:5" x14ac:dyDescent="0.4">
      <c r="A33" s="72" t="s">
        <v>629</v>
      </c>
      <c r="B33" s="72" t="s">
        <v>630</v>
      </c>
      <c r="C33" s="77">
        <v>325</v>
      </c>
      <c r="D33" s="77">
        <v>18102500</v>
      </c>
      <c r="E33" s="15">
        <v>0.95</v>
      </c>
    </row>
    <row r="34" spans="1:5" x14ac:dyDescent="0.4">
      <c r="A34" s="72" t="s">
        <v>88</v>
      </c>
      <c r="B34" s="72" t="s">
        <v>89</v>
      </c>
      <c r="C34" s="77">
        <v>94</v>
      </c>
      <c r="D34" s="77">
        <v>17709600</v>
      </c>
      <c r="E34" s="15">
        <v>0.93</v>
      </c>
    </row>
    <row r="35" spans="1:5" x14ac:dyDescent="0.4">
      <c r="A35" s="72" t="s">
        <v>47</v>
      </c>
      <c r="B35" s="72" t="s">
        <v>48</v>
      </c>
      <c r="C35" s="72">
        <v>513</v>
      </c>
      <c r="D35" s="77">
        <v>17544600</v>
      </c>
      <c r="E35" s="15">
        <v>0.92</v>
      </c>
    </row>
    <row r="36" spans="1:5" x14ac:dyDescent="0.4">
      <c r="A36" s="72" t="s">
        <v>258</v>
      </c>
      <c r="B36" s="72" t="s">
        <v>259</v>
      </c>
      <c r="C36" s="77">
        <v>524</v>
      </c>
      <c r="D36" s="77">
        <v>11528000</v>
      </c>
      <c r="E36" s="15">
        <v>0.6</v>
      </c>
    </row>
    <row r="37" spans="1:5" x14ac:dyDescent="0.4">
      <c r="A37" s="72" t="s">
        <v>234</v>
      </c>
      <c r="B37" s="72" t="s">
        <v>235</v>
      </c>
      <c r="C37" s="77">
        <v>239</v>
      </c>
      <c r="D37" s="77">
        <v>9392700</v>
      </c>
      <c r="E37" s="15">
        <v>0.49</v>
      </c>
    </row>
    <row r="38" spans="1:5" x14ac:dyDescent="0.4">
      <c r="A38" s="72" t="s">
        <v>266</v>
      </c>
      <c r="B38" s="72" t="s">
        <v>267</v>
      </c>
      <c r="C38" s="77">
        <v>249</v>
      </c>
      <c r="D38" s="77">
        <v>6449100</v>
      </c>
      <c r="E38" s="15">
        <v>0.34</v>
      </c>
    </row>
    <row r="39" spans="1:5" x14ac:dyDescent="0.4">
      <c r="A39" s="72" t="s">
        <v>264</v>
      </c>
      <c r="B39" s="72" t="s">
        <v>265</v>
      </c>
      <c r="C39" s="72">
        <v>293</v>
      </c>
      <c r="D39" s="77">
        <v>6431350</v>
      </c>
      <c r="E39" s="15">
        <v>0.34</v>
      </c>
    </row>
    <row r="40" spans="1:5" x14ac:dyDescent="0.4">
      <c r="A40" s="72" t="s">
        <v>122</v>
      </c>
      <c r="B40" s="72" t="s">
        <v>5173</v>
      </c>
      <c r="C40" s="72">
        <v>7</v>
      </c>
      <c r="D40" s="77">
        <v>5348000</v>
      </c>
      <c r="E40" s="15">
        <v>0.28000000000000003</v>
      </c>
    </row>
    <row r="41" spans="1:5" x14ac:dyDescent="0.4">
      <c r="A41" s="72" t="s">
        <v>645</v>
      </c>
      <c r="B41" s="72" t="s">
        <v>646</v>
      </c>
      <c r="C41" s="72">
        <v>257</v>
      </c>
      <c r="D41" s="77">
        <v>4821320</v>
      </c>
      <c r="E41" s="15">
        <v>0.25</v>
      </c>
    </row>
    <row r="42" spans="1:5" x14ac:dyDescent="0.4">
      <c r="A42" s="72" t="s">
        <v>268</v>
      </c>
      <c r="B42" s="72" t="s">
        <v>269</v>
      </c>
      <c r="C42" s="77">
        <v>412</v>
      </c>
      <c r="D42" s="77">
        <v>4235360</v>
      </c>
      <c r="E42" s="15">
        <v>0.22</v>
      </c>
    </row>
    <row r="43" spans="1:5" x14ac:dyDescent="0.4">
      <c r="A43" s="72" t="s">
        <v>3049</v>
      </c>
      <c r="B43" s="72" t="s">
        <v>3050</v>
      </c>
      <c r="C43" s="77">
        <v>141</v>
      </c>
      <c r="D43" s="77">
        <v>3588450</v>
      </c>
      <c r="E43" s="15">
        <v>0.19</v>
      </c>
    </row>
    <row r="44" spans="1:5" x14ac:dyDescent="0.4">
      <c r="A44" s="72"/>
      <c r="B44" s="72" t="s">
        <v>10</v>
      </c>
      <c r="C44" s="77">
        <v>27624553</v>
      </c>
      <c r="D44" s="77">
        <v>27624553</v>
      </c>
      <c r="E44" s="15">
        <v>1.44</v>
      </c>
    </row>
    <row r="45" spans="1:5" x14ac:dyDescent="0.4">
      <c r="C45" s="13"/>
      <c r="D45" s="13"/>
      <c r="E45" s="72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4" t="s">
        <v>532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80</v>
      </c>
      <c r="B11" s="72" t="s">
        <v>81</v>
      </c>
      <c r="C11" s="77">
        <v>852</v>
      </c>
      <c r="D11" s="77">
        <v>270084000</v>
      </c>
      <c r="E11" s="15">
        <v>12.14</v>
      </c>
    </row>
    <row r="12" spans="1:5" x14ac:dyDescent="0.4">
      <c r="A12" s="72" t="s">
        <v>244</v>
      </c>
      <c r="B12" s="72" t="s">
        <v>245</v>
      </c>
      <c r="C12" s="76">
        <v>237</v>
      </c>
      <c r="D12" s="77">
        <v>220647000</v>
      </c>
      <c r="E12" s="15">
        <v>9.91</v>
      </c>
    </row>
    <row r="13" spans="1:5" x14ac:dyDescent="0.4">
      <c r="A13" s="72" t="s">
        <v>172</v>
      </c>
      <c r="B13" s="72" t="s">
        <v>173</v>
      </c>
      <c r="C13" s="77">
        <v>239</v>
      </c>
      <c r="D13" s="77">
        <v>183552000</v>
      </c>
      <c r="E13" s="15">
        <v>8.25</v>
      </c>
    </row>
    <row r="14" spans="1:5" x14ac:dyDescent="0.4">
      <c r="A14" s="72" t="s">
        <v>242</v>
      </c>
      <c r="B14" s="72" t="s">
        <v>243</v>
      </c>
      <c r="C14" s="77">
        <v>592</v>
      </c>
      <c r="D14" s="77">
        <v>173456000</v>
      </c>
      <c r="E14" s="15">
        <v>7.79</v>
      </c>
    </row>
    <row r="15" spans="1:5" x14ac:dyDescent="0.4">
      <c r="A15" s="72" t="s">
        <v>232</v>
      </c>
      <c r="B15" s="72" t="s">
        <v>233</v>
      </c>
      <c r="C15" s="76">
        <v>480</v>
      </c>
      <c r="D15" s="77">
        <v>156240000</v>
      </c>
      <c r="E15" s="15">
        <v>7.02</v>
      </c>
    </row>
    <row r="16" spans="1:5" x14ac:dyDescent="0.4">
      <c r="A16" s="72" t="s">
        <v>13</v>
      </c>
      <c r="B16" s="72" t="s">
        <v>14</v>
      </c>
      <c r="C16" s="76">
        <v>66</v>
      </c>
      <c r="D16" s="77">
        <v>153978000</v>
      </c>
      <c r="E16" s="15">
        <v>6.92</v>
      </c>
    </row>
    <row r="17" spans="1:5" x14ac:dyDescent="0.4">
      <c r="A17" s="72" t="s">
        <v>140</v>
      </c>
      <c r="B17" s="72" t="s">
        <v>141</v>
      </c>
      <c r="C17" s="76">
        <v>190</v>
      </c>
      <c r="D17" s="77">
        <v>137370000</v>
      </c>
      <c r="E17" s="15">
        <v>6.17</v>
      </c>
    </row>
    <row r="18" spans="1:5" x14ac:dyDescent="0.4">
      <c r="A18" s="72" t="s">
        <v>236</v>
      </c>
      <c r="B18" s="72" t="s">
        <v>237</v>
      </c>
      <c r="C18" s="77">
        <v>161</v>
      </c>
      <c r="D18" s="77">
        <v>113022000</v>
      </c>
      <c r="E18" s="15">
        <v>5.08</v>
      </c>
    </row>
    <row r="19" spans="1:5" x14ac:dyDescent="0.4">
      <c r="A19" s="72" t="s">
        <v>240</v>
      </c>
      <c r="B19" s="72" t="s">
        <v>241</v>
      </c>
      <c r="C19" s="77">
        <v>969</v>
      </c>
      <c r="D19" s="77">
        <v>103198500</v>
      </c>
      <c r="E19" s="15">
        <v>4.6399999999999997</v>
      </c>
    </row>
    <row r="20" spans="1:5" x14ac:dyDescent="0.4">
      <c r="A20" s="72" t="s">
        <v>252</v>
      </c>
      <c r="B20" s="72" t="s">
        <v>253</v>
      </c>
      <c r="C20" s="77">
        <v>675</v>
      </c>
      <c r="D20" s="77">
        <v>78705000</v>
      </c>
      <c r="E20" s="15">
        <v>3.54</v>
      </c>
    </row>
    <row r="21" spans="1:5" x14ac:dyDescent="0.4">
      <c r="A21" s="72" t="s">
        <v>451</v>
      </c>
      <c r="B21" s="72" t="s">
        <v>452</v>
      </c>
      <c r="C21" s="77">
        <v>48</v>
      </c>
      <c r="D21" s="77">
        <v>69984000</v>
      </c>
      <c r="E21" s="15">
        <v>3.14</v>
      </c>
    </row>
    <row r="22" spans="1:5" x14ac:dyDescent="0.4">
      <c r="A22" s="72" t="s">
        <v>238</v>
      </c>
      <c r="B22" s="72" t="s">
        <v>239</v>
      </c>
      <c r="C22" s="77">
        <v>196</v>
      </c>
      <c r="D22" s="77">
        <v>58604000</v>
      </c>
      <c r="E22" s="15">
        <v>2.63</v>
      </c>
    </row>
    <row r="23" spans="1:5" x14ac:dyDescent="0.4">
      <c r="A23" s="72" t="s">
        <v>246</v>
      </c>
      <c r="B23" s="72" t="s">
        <v>247</v>
      </c>
      <c r="C23" s="76">
        <v>1004</v>
      </c>
      <c r="D23" s="77">
        <v>53513200</v>
      </c>
      <c r="E23" s="15">
        <v>2.4</v>
      </c>
    </row>
    <row r="24" spans="1:5" x14ac:dyDescent="0.4">
      <c r="A24" s="72" t="s">
        <v>166</v>
      </c>
      <c r="B24" s="72" t="s">
        <v>167</v>
      </c>
      <c r="C24" s="76">
        <v>192</v>
      </c>
      <c r="D24" s="77">
        <v>53280000</v>
      </c>
      <c r="E24" s="15">
        <v>2.39</v>
      </c>
    </row>
    <row r="25" spans="1:5" x14ac:dyDescent="0.4">
      <c r="A25" s="72" t="s">
        <v>98</v>
      </c>
      <c r="B25" s="72" t="s">
        <v>99</v>
      </c>
      <c r="C25" s="77">
        <v>201</v>
      </c>
      <c r="D25" s="77">
        <v>47034000</v>
      </c>
      <c r="E25" s="15">
        <v>2.11</v>
      </c>
    </row>
    <row r="26" spans="1:5" x14ac:dyDescent="0.4">
      <c r="A26" s="72" t="s">
        <v>254</v>
      </c>
      <c r="B26" s="72" t="s">
        <v>255</v>
      </c>
      <c r="C26" s="77">
        <v>1897</v>
      </c>
      <c r="D26" s="77">
        <v>38983350</v>
      </c>
      <c r="E26" s="15">
        <v>1.75</v>
      </c>
    </row>
    <row r="27" spans="1:5" x14ac:dyDescent="0.4">
      <c r="A27" s="72" t="s">
        <v>256</v>
      </c>
      <c r="B27" s="72" t="s">
        <v>257</v>
      </c>
      <c r="C27" s="77">
        <v>741</v>
      </c>
      <c r="D27" s="77">
        <v>32604000</v>
      </c>
      <c r="E27" s="15">
        <v>1.47</v>
      </c>
    </row>
    <row r="28" spans="1:5" x14ac:dyDescent="0.4">
      <c r="A28" s="72" t="s">
        <v>248</v>
      </c>
      <c r="B28" s="72" t="s">
        <v>249</v>
      </c>
      <c r="C28" s="77">
        <v>340</v>
      </c>
      <c r="D28" s="77">
        <v>28832000</v>
      </c>
      <c r="E28" s="15">
        <v>1.3</v>
      </c>
    </row>
    <row r="29" spans="1:5" x14ac:dyDescent="0.4">
      <c r="A29" s="72" t="s">
        <v>90</v>
      </c>
      <c r="B29" s="72" t="s">
        <v>91</v>
      </c>
      <c r="C29" s="77">
        <v>539</v>
      </c>
      <c r="D29" s="77">
        <v>28459200</v>
      </c>
      <c r="E29" s="15">
        <v>1.28</v>
      </c>
    </row>
    <row r="30" spans="1:5" x14ac:dyDescent="0.4">
      <c r="A30" s="72" t="s">
        <v>629</v>
      </c>
      <c r="B30" s="72" t="s">
        <v>630</v>
      </c>
      <c r="C30" s="77">
        <v>325</v>
      </c>
      <c r="D30" s="77">
        <v>24960000</v>
      </c>
      <c r="E30" s="15">
        <v>1.1200000000000001</v>
      </c>
    </row>
    <row r="31" spans="1:5" x14ac:dyDescent="0.4">
      <c r="A31" s="72" t="s">
        <v>260</v>
      </c>
      <c r="B31" s="72" t="s">
        <v>261</v>
      </c>
      <c r="C31" s="77">
        <v>902</v>
      </c>
      <c r="D31" s="77">
        <v>24489300</v>
      </c>
      <c r="E31" s="15">
        <v>1.1000000000000001</v>
      </c>
    </row>
    <row r="32" spans="1:5" x14ac:dyDescent="0.4">
      <c r="A32" s="72" t="s">
        <v>613</v>
      </c>
      <c r="B32" s="72" t="s">
        <v>614</v>
      </c>
      <c r="C32" s="77">
        <v>467</v>
      </c>
      <c r="D32" s="77">
        <v>23863700</v>
      </c>
      <c r="E32" s="15">
        <v>1.07</v>
      </c>
    </row>
    <row r="33" spans="1:5" x14ac:dyDescent="0.4">
      <c r="A33" s="72" t="s">
        <v>250</v>
      </c>
      <c r="B33" s="72" t="s">
        <v>251</v>
      </c>
      <c r="C33" s="77">
        <v>1807</v>
      </c>
      <c r="D33" s="77">
        <v>20834710</v>
      </c>
      <c r="E33" s="15">
        <v>0.94</v>
      </c>
    </row>
    <row r="34" spans="1:5" x14ac:dyDescent="0.4">
      <c r="A34" s="72" t="s">
        <v>88</v>
      </c>
      <c r="B34" s="72" t="s">
        <v>89</v>
      </c>
      <c r="C34" s="77">
        <v>94</v>
      </c>
      <c r="D34" s="77">
        <v>18847000</v>
      </c>
      <c r="E34" s="15">
        <v>0.85</v>
      </c>
    </row>
    <row r="35" spans="1:5" x14ac:dyDescent="0.4">
      <c r="A35" s="72" t="s">
        <v>47</v>
      </c>
      <c r="B35" s="72" t="s">
        <v>48</v>
      </c>
      <c r="C35" s="77">
        <v>513</v>
      </c>
      <c r="D35" s="77">
        <v>17595900</v>
      </c>
      <c r="E35" s="15">
        <v>0.79</v>
      </c>
    </row>
    <row r="36" spans="1:5" x14ac:dyDescent="0.4">
      <c r="A36" s="72" t="s">
        <v>122</v>
      </c>
      <c r="B36" s="72" t="s">
        <v>5173</v>
      </c>
      <c r="C36" s="77">
        <v>16</v>
      </c>
      <c r="D36" s="77">
        <v>12816000</v>
      </c>
      <c r="E36" s="15">
        <v>0.57999999999999996</v>
      </c>
    </row>
    <row r="37" spans="1:5" x14ac:dyDescent="0.4">
      <c r="A37" s="72" t="s">
        <v>258</v>
      </c>
      <c r="B37" s="72" t="s">
        <v>259</v>
      </c>
      <c r="C37" s="77">
        <v>524</v>
      </c>
      <c r="D37" s="77">
        <v>11370800</v>
      </c>
      <c r="E37" s="15">
        <v>0.51</v>
      </c>
    </row>
    <row r="38" spans="1:5" x14ac:dyDescent="0.4">
      <c r="A38" s="72" t="s">
        <v>234</v>
      </c>
      <c r="B38" s="72" t="s">
        <v>235</v>
      </c>
      <c r="C38" s="77">
        <v>239</v>
      </c>
      <c r="D38" s="77">
        <v>10026050</v>
      </c>
      <c r="E38" s="15">
        <v>0.45</v>
      </c>
    </row>
    <row r="39" spans="1:5" x14ac:dyDescent="0.4">
      <c r="A39" s="72" t="s">
        <v>264</v>
      </c>
      <c r="B39" s="72" t="s">
        <v>265</v>
      </c>
      <c r="C39" s="72">
        <v>293</v>
      </c>
      <c r="D39" s="77">
        <v>7588700</v>
      </c>
      <c r="E39" s="15">
        <v>0.34</v>
      </c>
    </row>
    <row r="40" spans="1:5" x14ac:dyDescent="0.4">
      <c r="A40" s="72" t="s">
        <v>266</v>
      </c>
      <c r="B40" s="72" t="s">
        <v>267</v>
      </c>
      <c r="C40" s="72">
        <v>249</v>
      </c>
      <c r="D40" s="77">
        <v>7395300</v>
      </c>
      <c r="E40" s="15">
        <v>0.33</v>
      </c>
    </row>
    <row r="41" spans="1:5" x14ac:dyDescent="0.4">
      <c r="A41" s="72" t="s">
        <v>645</v>
      </c>
      <c r="B41" s="72" t="s">
        <v>646</v>
      </c>
      <c r="C41" s="72">
        <v>257</v>
      </c>
      <c r="D41" s="77">
        <v>5654000</v>
      </c>
      <c r="E41" s="15">
        <v>0.25</v>
      </c>
    </row>
    <row r="42" spans="1:5" x14ac:dyDescent="0.4">
      <c r="A42" s="72" t="s">
        <v>268</v>
      </c>
      <c r="B42" s="72" t="s">
        <v>269</v>
      </c>
      <c r="C42" s="77">
        <v>412</v>
      </c>
      <c r="D42" s="77">
        <v>5207680</v>
      </c>
      <c r="E42" s="15">
        <v>0.23</v>
      </c>
    </row>
    <row r="43" spans="1:5" x14ac:dyDescent="0.4">
      <c r="A43" s="72" t="s">
        <v>3049</v>
      </c>
      <c r="B43" s="72" t="s">
        <v>3050</v>
      </c>
      <c r="C43" s="77">
        <v>141</v>
      </c>
      <c r="D43" s="77">
        <v>4321650</v>
      </c>
      <c r="E43" s="15">
        <v>0.19</v>
      </c>
    </row>
    <row r="44" spans="1:5" x14ac:dyDescent="0.4">
      <c r="A44" s="72" t="s">
        <v>262</v>
      </c>
      <c r="B44" s="72" t="s">
        <v>263</v>
      </c>
      <c r="C44" s="77">
        <v>112</v>
      </c>
      <c r="D44" s="77">
        <v>1896160</v>
      </c>
      <c r="E44" s="15">
        <v>0.09</v>
      </c>
    </row>
    <row r="45" spans="1:5" x14ac:dyDescent="0.4">
      <c r="A45" s="72"/>
      <c r="B45" s="72" t="s">
        <v>10</v>
      </c>
      <c r="C45" s="77">
        <v>27054015</v>
      </c>
      <c r="D45" s="77">
        <v>27054015</v>
      </c>
      <c r="E45" s="15">
        <v>1.22</v>
      </c>
    </row>
    <row r="46" spans="1:5" x14ac:dyDescent="0.4">
      <c r="C46" s="13"/>
      <c r="D46" s="13"/>
      <c r="E46" s="72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4" t="s">
        <v>661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328</v>
      </c>
      <c r="B11" s="73" t="s">
        <v>329</v>
      </c>
      <c r="C11" s="75">
        <v>400</v>
      </c>
      <c r="D11" s="75">
        <v>80800000</v>
      </c>
      <c r="E11" s="19">
        <v>7.31</v>
      </c>
      <c r="F11" s="17"/>
      <c r="G11" s="17"/>
    </row>
    <row r="12" spans="1:7" x14ac:dyDescent="0.4">
      <c r="A12" s="72" t="s">
        <v>330</v>
      </c>
      <c r="B12" s="73" t="s">
        <v>331</v>
      </c>
      <c r="C12" s="75">
        <v>100</v>
      </c>
      <c r="D12" s="75">
        <v>71400000</v>
      </c>
      <c r="E12" s="19">
        <v>6.46</v>
      </c>
      <c r="F12" s="17"/>
      <c r="G12" s="17"/>
    </row>
    <row r="13" spans="1:7" x14ac:dyDescent="0.4">
      <c r="A13" s="72" t="s">
        <v>78</v>
      </c>
      <c r="B13" s="73" t="s">
        <v>79</v>
      </c>
      <c r="C13" s="75">
        <v>60</v>
      </c>
      <c r="D13" s="75">
        <v>70560000</v>
      </c>
      <c r="E13" s="19">
        <v>6.38</v>
      </c>
      <c r="F13" s="17"/>
      <c r="G13" s="17"/>
    </row>
    <row r="14" spans="1:7" x14ac:dyDescent="0.4">
      <c r="A14" s="72" t="s">
        <v>673</v>
      </c>
      <c r="B14" s="73" t="s">
        <v>674</v>
      </c>
      <c r="C14" s="75">
        <v>1593</v>
      </c>
      <c r="D14" s="75">
        <v>65392650</v>
      </c>
      <c r="E14" s="19">
        <v>5.91</v>
      </c>
      <c r="F14" s="17"/>
      <c r="G14" s="17"/>
    </row>
    <row r="15" spans="1:7" x14ac:dyDescent="0.4">
      <c r="A15" s="72" t="s">
        <v>313</v>
      </c>
      <c r="B15" s="73" t="s">
        <v>5175</v>
      </c>
      <c r="C15" s="75">
        <v>250</v>
      </c>
      <c r="D15" s="75">
        <v>65000000</v>
      </c>
      <c r="E15" s="19">
        <v>5.88</v>
      </c>
      <c r="F15" s="17"/>
      <c r="G15" s="17"/>
    </row>
    <row r="16" spans="1:7" x14ac:dyDescent="0.4">
      <c r="A16" s="72" t="s">
        <v>583</v>
      </c>
      <c r="B16" s="73" t="s">
        <v>584</v>
      </c>
      <c r="C16" s="75">
        <v>301</v>
      </c>
      <c r="D16" s="75">
        <v>63511000</v>
      </c>
      <c r="E16" s="19">
        <v>5.74</v>
      </c>
      <c r="F16" s="17"/>
      <c r="G16" s="17"/>
    </row>
    <row r="17" spans="1:7" x14ac:dyDescent="0.4">
      <c r="A17" s="72" t="s">
        <v>63</v>
      </c>
      <c r="B17" s="72" t="s">
        <v>64</v>
      </c>
      <c r="C17" s="77">
        <v>151</v>
      </c>
      <c r="D17" s="77">
        <v>61985500</v>
      </c>
      <c r="E17" s="15">
        <v>5.61</v>
      </c>
    </row>
    <row r="18" spans="1:7" x14ac:dyDescent="0.4">
      <c r="A18" s="72" t="s">
        <v>55</v>
      </c>
      <c r="B18" s="73" t="s">
        <v>56</v>
      </c>
      <c r="C18" s="75">
        <v>250</v>
      </c>
      <c r="D18" s="75">
        <v>61375000</v>
      </c>
      <c r="E18" s="19">
        <v>5.55</v>
      </c>
      <c r="F18" s="17"/>
      <c r="G18" s="17"/>
    </row>
    <row r="19" spans="1:7" x14ac:dyDescent="0.4">
      <c r="A19" s="72" t="s">
        <v>142</v>
      </c>
      <c r="B19" s="72" t="s">
        <v>143</v>
      </c>
      <c r="C19" s="76">
        <v>300</v>
      </c>
      <c r="D19" s="77">
        <v>51900000</v>
      </c>
      <c r="E19" s="15">
        <v>4.6900000000000004</v>
      </c>
    </row>
    <row r="20" spans="1:7" x14ac:dyDescent="0.4">
      <c r="A20" s="72" t="s">
        <v>215</v>
      </c>
      <c r="B20" s="72" t="s">
        <v>216</v>
      </c>
      <c r="C20" s="76">
        <v>801</v>
      </c>
      <c r="D20" s="77">
        <v>43974900</v>
      </c>
      <c r="E20" s="15">
        <v>3.98</v>
      </c>
    </row>
    <row r="21" spans="1:7" x14ac:dyDescent="0.4">
      <c r="A21" s="72" t="s">
        <v>229</v>
      </c>
      <c r="B21" s="72" t="s">
        <v>230</v>
      </c>
      <c r="C21" s="77">
        <v>200</v>
      </c>
      <c r="D21" s="77">
        <v>43600000</v>
      </c>
      <c r="E21" s="15">
        <v>3.94</v>
      </c>
    </row>
    <row r="22" spans="1:7" x14ac:dyDescent="0.4">
      <c r="A22" s="72" t="s">
        <v>535</v>
      </c>
      <c r="B22" s="72" t="s">
        <v>536</v>
      </c>
      <c r="C22" s="76">
        <v>500</v>
      </c>
      <c r="D22" s="77">
        <v>42200000</v>
      </c>
      <c r="E22" s="15">
        <v>3.82</v>
      </c>
    </row>
    <row r="23" spans="1:7" x14ac:dyDescent="0.4">
      <c r="A23" s="72" t="s">
        <v>221</v>
      </c>
      <c r="B23" s="72" t="s">
        <v>222</v>
      </c>
      <c r="C23" s="76">
        <v>899</v>
      </c>
      <c r="D23" s="77">
        <v>40005500</v>
      </c>
      <c r="E23" s="15">
        <v>3.62</v>
      </c>
    </row>
    <row r="24" spans="1:7" x14ac:dyDescent="0.4">
      <c r="A24" s="72" t="s">
        <v>455</v>
      </c>
      <c r="B24" s="72" t="s">
        <v>456</v>
      </c>
      <c r="C24" s="76">
        <v>200</v>
      </c>
      <c r="D24" s="77">
        <v>37420000</v>
      </c>
      <c r="E24" s="15">
        <v>3.38</v>
      </c>
    </row>
    <row r="25" spans="1:7" x14ac:dyDescent="0.4">
      <c r="A25" s="72" t="s">
        <v>45</v>
      </c>
      <c r="B25" s="72" t="s">
        <v>46</v>
      </c>
      <c r="C25" s="77">
        <v>301</v>
      </c>
      <c r="D25" s="77">
        <v>37414300</v>
      </c>
      <c r="E25" s="15">
        <v>3.38</v>
      </c>
    </row>
    <row r="26" spans="1:7" x14ac:dyDescent="0.4">
      <c r="A26" s="72" t="s">
        <v>273</v>
      </c>
      <c r="B26" s="72" t="s">
        <v>274</v>
      </c>
      <c r="C26" s="77">
        <v>400</v>
      </c>
      <c r="D26" s="77">
        <v>35520000</v>
      </c>
      <c r="E26" s="15">
        <v>3.21</v>
      </c>
    </row>
    <row r="27" spans="1:7" x14ac:dyDescent="0.4">
      <c r="A27" s="72" t="s">
        <v>551</v>
      </c>
      <c r="B27" s="72" t="s">
        <v>552</v>
      </c>
      <c r="C27" s="77">
        <v>1000</v>
      </c>
      <c r="D27" s="77">
        <v>35400000</v>
      </c>
      <c r="E27" s="15">
        <v>3.2</v>
      </c>
    </row>
    <row r="28" spans="1:7" x14ac:dyDescent="0.4">
      <c r="A28" s="72" t="s">
        <v>512</v>
      </c>
      <c r="B28" s="72" t="s">
        <v>513</v>
      </c>
      <c r="C28" s="77">
        <v>701</v>
      </c>
      <c r="D28" s="77">
        <v>30423400</v>
      </c>
      <c r="E28" s="15">
        <v>2.75</v>
      </c>
    </row>
    <row r="29" spans="1:7" x14ac:dyDescent="0.4">
      <c r="A29" s="72" t="s">
        <v>735</v>
      </c>
      <c r="B29" s="72" t="s">
        <v>736</v>
      </c>
      <c r="C29" s="77">
        <v>1302</v>
      </c>
      <c r="D29" s="77">
        <v>29034600</v>
      </c>
      <c r="E29" s="15">
        <v>2.63</v>
      </c>
    </row>
    <row r="30" spans="1:7" x14ac:dyDescent="0.4">
      <c r="A30" s="72" t="s">
        <v>697</v>
      </c>
      <c r="B30" s="72" t="s">
        <v>698</v>
      </c>
      <c r="C30" s="76">
        <v>401</v>
      </c>
      <c r="D30" s="77">
        <v>28230400</v>
      </c>
      <c r="E30" s="15">
        <v>2.5499999999999998</v>
      </c>
    </row>
    <row r="31" spans="1:7" x14ac:dyDescent="0.4">
      <c r="A31" s="72" t="s">
        <v>61</v>
      </c>
      <c r="B31" s="72" t="s">
        <v>62</v>
      </c>
      <c r="C31" s="77">
        <v>97</v>
      </c>
      <c r="D31" s="77">
        <v>27984500</v>
      </c>
      <c r="E31" s="15">
        <v>2.5299999999999998</v>
      </c>
    </row>
    <row r="32" spans="1:7" x14ac:dyDescent="0.4">
      <c r="A32" s="72" t="s">
        <v>279</v>
      </c>
      <c r="B32" s="72" t="s">
        <v>280</v>
      </c>
      <c r="C32" s="77">
        <v>2002</v>
      </c>
      <c r="D32" s="77">
        <v>23503480</v>
      </c>
      <c r="E32" s="15">
        <v>2.13</v>
      </c>
    </row>
    <row r="33" spans="1:5" x14ac:dyDescent="0.4">
      <c r="A33" s="72" t="s">
        <v>277</v>
      </c>
      <c r="B33" s="72" t="s">
        <v>278</v>
      </c>
      <c r="C33" s="77">
        <v>500</v>
      </c>
      <c r="D33" s="77">
        <v>19050000</v>
      </c>
      <c r="E33" s="15">
        <v>1.72</v>
      </c>
    </row>
    <row r="34" spans="1:5" x14ac:dyDescent="0.4">
      <c r="A34" s="72" t="s">
        <v>275</v>
      </c>
      <c r="B34" s="72" t="s">
        <v>276</v>
      </c>
      <c r="C34" s="77">
        <v>504</v>
      </c>
      <c r="D34" s="77">
        <v>12499200</v>
      </c>
      <c r="E34" s="15">
        <v>1.1299999999999999</v>
      </c>
    </row>
    <row r="35" spans="1:5" x14ac:dyDescent="0.4">
      <c r="A35" s="72" t="s">
        <v>627</v>
      </c>
      <c r="B35" s="72" t="s">
        <v>628</v>
      </c>
      <c r="C35" s="77">
        <v>998</v>
      </c>
      <c r="D35" s="77">
        <v>11397160</v>
      </c>
      <c r="E35" s="15">
        <v>1.03</v>
      </c>
    </row>
    <row r="36" spans="1:5" x14ac:dyDescent="0.4">
      <c r="A36" s="72"/>
      <c r="B36" s="72" t="s">
        <v>10</v>
      </c>
      <c r="C36" s="77">
        <v>16206994</v>
      </c>
      <c r="D36" s="77">
        <v>16206994</v>
      </c>
      <c r="E36" s="15">
        <v>1.47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4" t="s">
        <v>661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313</v>
      </c>
      <c r="B11" s="72" t="s">
        <v>5175</v>
      </c>
      <c r="C11" s="77">
        <v>250</v>
      </c>
      <c r="D11" s="77">
        <v>72375000</v>
      </c>
      <c r="E11" s="15">
        <v>6.79</v>
      </c>
    </row>
    <row r="12" spans="1:5" x14ac:dyDescent="0.4">
      <c r="A12" s="72" t="s">
        <v>78</v>
      </c>
      <c r="B12" s="72" t="s">
        <v>79</v>
      </c>
      <c r="C12" s="76">
        <v>60</v>
      </c>
      <c r="D12" s="77">
        <v>72300000</v>
      </c>
      <c r="E12" s="15">
        <v>6.78</v>
      </c>
    </row>
    <row r="13" spans="1:5" x14ac:dyDescent="0.4">
      <c r="A13" s="72" t="s">
        <v>673</v>
      </c>
      <c r="B13" s="72" t="s">
        <v>674</v>
      </c>
      <c r="C13" s="77">
        <v>1593</v>
      </c>
      <c r="D13" s="77">
        <v>69534450</v>
      </c>
      <c r="E13" s="15">
        <v>6.52</v>
      </c>
    </row>
    <row r="14" spans="1:5" x14ac:dyDescent="0.4">
      <c r="A14" s="72" t="s">
        <v>55</v>
      </c>
      <c r="B14" s="72" t="s">
        <v>56</v>
      </c>
      <c r="C14" s="77">
        <v>250</v>
      </c>
      <c r="D14" s="77">
        <v>62125000</v>
      </c>
      <c r="E14" s="15">
        <v>5.83</v>
      </c>
    </row>
    <row r="15" spans="1:5" x14ac:dyDescent="0.4">
      <c r="A15" s="72" t="s">
        <v>63</v>
      </c>
      <c r="B15" s="72" t="s">
        <v>64</v>
      </c>
      <c r="C15" s="76">
        <v>151</v>
      </c>
      <c r="D15" s="77">
        <v>59720500</v>
      </c>
      <c r="E15" s="15">
        <v>5.6</v>
      </c>
    </row>
    <row r="16" spans="1:5" x14ac:dyDescent="0.4">
      <c r="A16" s="72" t="s">
        <v>583</v>
      </c>
      <c r="B16" s="72" t="s">
        <v>584</v>
      </c>
      <c r="C16" s="76">
        <v>301</v>
      </c>
      <c r="D16" s="77">
        <v>59297000</v>
      </c>
      <c r="E16" s="15">
        <v>5.56</v>
      </c>
    </row>
    <row r="17" spans="1:5" x14ac:dyDescent="0.4">
      <c r="A17" s="72" t="s">
        <v>328</v>
      </c>
      <c r="B17" s="72" t="s">
        <v>329</v>
      </c>
      <c r="C17" s="76">
        <v>400</v>
      </c>
      <c r="D17" s="77">
        <v>59080000</v>
      </c>
      <c r="E17" s="15">
        <v>5.54</v>
      </c>
    </row>
    <row r="18" spans="1:5" x14ac:dyDescent="0.4">
      <c r="A18" s="72" t="s">
        <v>45</v>
      </c>
      <c r="B18" s="72" t="s">
        <v>46</v>
      </c>
      <c r="C18" s="77">
        <v>301</v>
      </c>
      <c r="D18" s="77">
        <v>52705100</v>
      </c>
      <c r="E18" s="15">
        <v>4.9400000000000004</v>
      </c>
    </row>
    <row r="19" spans="1:5" x14ac:dyDescent="0.4">
      <c r="A19" s="72" t="s">
        <v>330</v>
      </c>
      <c r="B19" s="72" t="s">
        <v>331</v>
      </c>
      <c r="C19" s="77">
        <v>100</v>
      </c>
      <c r="D19" s="77">
        <v>51500000</v>
      </c>
      <c r="E19" s="15">
        <v>4.83</v>
      </c>
    </row>
    <row r="20" spans="1:5" x14ac:dyDescent="0.4">
      <c r="A20" s="72" t="s">
        <v>142</v>
      </c>
      <c r="B20" s="72" t="s">
        <v>143</v>
      </c>
      <c r="C20" s="77">
        <v>300</v>
      </c>
      <c r="D20" s="77">
        <v>48510000</v>
      </c>
      <c r="E20" s="15">
        <v>4.55</v>
      </c>
    </row>
    <row r="21" spans="1:5" x14ac:dyDescent="0.4">
      <c r="A21" s="72" t="s">
        <v>215</v>
      </c>
      <c r="B21" s="72" t="s">
        <v>216</v>
      </c>
      <c r="C21" s="77">
        <v>801</v>
      </c>
      <c r="D21" s="77">
        <v>46217700</v>
      </c>
      <c r="E21" s="15">
        <v>4.34</v>
      </c>
    </row>
    <row r="22" spans="1:5" x14ac:dyDescent="0.4">
      <c r="A22" s="72" t="s">
        <v>229</v>
      </c>
      <c r="B22" s="72" t="s">
        <v>230</v>
      </c>
      <c r="C22" s="77">
        <v>200</v>
      </c>
      <c r="D22" s="77">
        <v>44000000</v>
      </c>
      <c r="E22" s="15">
        <v>4.13</v>
      </c>
    </row>
    <row r="23" spans="1:5" x14ac:dyDescent="0.4">
      <c r="A23" s="72" t="s">
        <v>221</v>
      </c>
      <c r="B23" s="72" t="s">
        <v>222</v>
      </c>
      <c r="C23" s="76">
        <v>899</v>
      </c>
      <c r="D23" s="77">
        <v>40095400</v>
      </c>
      <c r="E23" s="15">
        <v>3.76</v>
      </c>
    </row>
    <row r="24" spans="1:5" x14ac:dyDescent="0.4">
      <c r="A24" s="72" t="s">
        <v>535</v>
      </c>
      <c r="B24" s="72" t="s">
        <v>536</v>
      </c>
      <c r="C24" s="76">
        <v>500</v>
      </c>
      <c r="D24" s="77">
        <v>37900000</v>
      </c>
      <c r="E24" s="15">
        <v>3.55</v>
      </c>
    </row>
    <row r="25" spans="1:5" x14ac:dyDescent="0.4">
      <c r="A25" s="72" t="s">
        <v>551</v>
      </c>
      <c r="B25" s="72" t="s">
        <v>552</v>
      </c>
      <c r="C25" s="77">
        <v>1000</v>
      </c>
      <c r="D25" s="77">
        <v>36150000</v>
      </c>
      <c r="E25" s="15">
        <v>3.39</v>
      </c>
    </row>
    <row r="26" spans="1:5" x14ac:dyDescent="0.4">
      <c r="A26" s="72" t="s">
        <v>273</v>
      </c>
      <c r="B26" s="72" t="s">
        <v>274</v>
      </c>
      <c r="C26" s="77">
        <v>400</v>
      </c>
      <c r="D26" s="77">
        <v>31880000</v>
      </c>
      <c r="E26" s="15">
        <v>2.99</v>
      </c>
    </row>
    <row r="27" spans="1:5" x14ac:dyDescent="0.4">
      <c r="A27" s="72" t="s">
        <v>512</v>
      </c>
      <c r="B27" s="72" t="s">
        <v>513</v>
      </c>
      <c r="C27" s="77">
        <v>701</v>
      </c>
      <c r="D27" s="77">
        <v>30738850</v>
      </c>
      <c r="E27" s="15">
        <v>2.88</v>
      </c>
    </row>
    <row r="28" spans="1:5" x14ac:dyDescent="0.4">
      <c r="A28" s="72" t="s">
        <v>735</v>
      </c>
      <c r="B28" s="72" t="s">
        <v>736</v>
      </c>
      <c r="C28" s="77">
        <v>1302</v>
      </c>
      <c r="D28" s="77">
        <v>29620500</v>
      </c>
      <c r="E28" s="15">
        <v>2.78</v>
      </c>
    </row>
    <row r="29" spans="1:5" x14ac:dyDescent="0.4">
      <c r="A29" s="72" t="s">
        <v>697</v>
      </c>
      <c r="B29" s="72" t="s">
        <v>698</v>
      </c>
      <c r="C29" s="77">
        <v>401</v>
      </c>
      <c r="D29" s="77">
        <v>28631400</v>
      </c>
      <c r="E29" s="15">
        <v>2.69</v>
      </c>
    </row>
    <row r="30" spans="1:5" x14ac:dyDescent="0.4">
      <c r="A30" s="72" t="s">
        <v>61</v>
      </c>
      <c r="B30" s="72" t="s">
        <v>62</v>
      </c>
      <c r="C30" s="77">
        <v>97</v>
      </c>
      <c r="D30" s="77">
        <v>28615000</v>
      </c>
      <c r="E30" s="15">
        <v>2.68</v>
      </c>
    </row>
    <row r="31" spans="1:5" x14ac:dyDescent="0.4">
      <c r="A31" s="72" t="s">
        <v>455</v>
      </c>
      <c r="B31" s="72" t="s">
        <v>456</v>
      </c>
      <c r="C31" s="77">
        <v>200</v>
      </c>
      <c r="D31" s="77">
        <v>21960000</v>
      </c>
      <c r="E31" s="15">
        <v>2.06</v>
      </c>
    </row>
    <row r="32" spans="1:5" x14ac:dyDescent="0.4">
      <c r="A32" s="72" t="s">
        <v>279</v>
      </c>
      <c r="B32" s="72" t="s">
        <v>280</v>
      </c>
      <c r="C32" s="77">
        <v>2002</v>
      </c>
      <c r="D32" s="77">
        <v>21361340</v>
      </c>
      <c r="E32" s="15">
        <v>2</v>
      </c>
    </row>
    <row r="33" spans="1:5" x14ac:dyDescent="0.4">
      <c r="A33" s="72" t="s">
        <v>277</v>
      </c>
      <c r="B33" s="72" t="s">
        <v>278</v>
      </c>
      <c r="C33" s="77">
        <v>500</v>
      </c>
      <c r="D33" s="77">
        <v>19775000</v>
      </c>
      <c r="E33" s="15">
        <v>1.85</v>
      </c>
    </row>
    <row r="34" spans="1:5" x14ac:dyDescent="0.4">
      <c r="A34" s="72" t="s">
        <v>275</v>
      </c>
      <c r="B34" s="72" t="s">
        <v>276</v>
      </c>
      <c r="C34" s="77">
        <v>504</v>
      </c>
      <c r="D34" s="77">
        <v>13330800</v>
      </c>
      <c r="E34" s="15">
        <v>1.25</v>
      </c>
    </row>
    <row r="35" spans="1:5" x14ac:dyDescent="0.4">
      <c r="A35" s="72" t="s">
        <v>627</v>
      </c>
      <c r="B35" s="72" t="s">
        <v>628</v>
      </c>
      <c r="C35" s="77">
        <v>998</v>
      </c>
      <c r="D35" s="77">
        <v>12285380</v>
      </c>
      <c r="E35" s="15">
        <v>1.1499999999999999</v>
      </c>
    </row>
    <row r="36" spans="1:5" x14ac:dyDescent="0.4">
      <c r="A36" s="72"/>
      <c r="B36" s="72" t="s">
        <v>10</v>
      </c>
      <c r="C36" s="77">
        <v>16431609</v>
      </c>
      <c r="D36" s="77">
        <v>16431609</v>
      </c>
      <c r="E36" s="15">
        <v>1.54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74" t="s">
        <v>662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13</v>
      </c>
      <c r="B11" s="73" t="s">
        <v>14</v>
      </c>
      <c r="C11" s="75">
        <v>227</v>
      </c>
      <c r="D11" s="75">
        <v>476927000</v>
      </c>
      <c r="E11" s="19">
        <v>27.45</v>
      </c>
      <c r="F11" s="17"/>
      <c r="G11" s="17"/>
    </row>
    <row r="12" spans="1:7" x14ac:dyDescent="0.4">
      <c r="A12" s="72" t="s">
        <v>80</v>
      </c>
      <c r="B12" s="73" t="s">
        <v>81</v>
      </c>
      <c r="C12" s="76">
        <v>1073</v>
      </c>
      <c r="D12" s="77">
        <v>320827000</v>
      </c>
      <c r="E12" s="15">
        <v>18.47</v>
      </c>
    </row>
    <row r="13" spans="1:7" x14ac:dyDescent="0.4">
      <c r="A13" s="72" t="s">
        <v>188</v>
      </c>
      <c r="B13" s="72" t="s">
        <v>189</v>
      </c>
      <c r="C13" s="77">
        <v>90</v>
      </c>
      <c r="D13" s="77">
        <v>110520000</v>
      </c>
      <c r="E13" s="15">
        <v>6.36</v>
      </c>
    </row>
    <row r="14" spans="1:7" x14ac:dyDescent="0.4">
      <c r="A14" s="72" t="s">
        <v>140</v>
      </c>
      <c r="B14" s="73" t="s">
        <v>141</v>
      </c>
      <c r="C14" s="75">
        <v>117</v>
      </c>
      <c r="D14" s="75">
        <v>69849000</v>
      </c>
      <c r="E14" s="19">
        <v>4.0199999999999996</v>
      </c>
      <c r="F14" s="17"/>
      <c r="G14" s="17"/>
    </row>
    <row r="15" spans="1:7" x14ac:dyDescent="0.4">
      <c r="A15" s="72" t="s">
        <v>453</v>
      </c>
      <c r="B15" s="73" t="s">
        <v>454</v>
      </c>
      <c r="C15" s="76">
        <v>34</v>
      </c>
      <c r="D15" s="77">
        <v>61370000</v>
      </c>
      <c r="E15" s="15">
        <v>3.53</v>
      </c>
    </row>
    <row r="16" spans="1:7" x14ac:dyDescent="0.4">
      <c r="A16" s="72" t="s">
        <v>451</v>
      </c>
      <c r="B16" s="72" t="s">
        <v>452</v>
      </c>
      <c r="C16" s="76">
        <v>57</v>
      </c>
      <c r="D16" s="77">
        <v>61104000</v>
      </c>
      <c r="E16" s="15">
        <v>3.52</v>
      </c>
    </row>
    <row r="17" spans="1:7" x14ac:dyDescent="0.4">
      <c r="A17" s="72" t="s">
        <v>172</v>
      </c>
      <c r="B17" s="73" t="s">
        <v>173</v>
      </c>
      <c r="C17" s="76">
        <v>92</v>
      </c>
      <c r="D17" s="77">
        <v>52992000</v>
      </c>
      <c r="E17" s="15">
        <v>3.05</v>
      </c>
    </row>
    <row r="18" spans="1:7" x14ac:dyDescent="0.4">
      <c r="A18" s="72" t="s">
        <v>102</v>
      </c>
      <c r="B18" s="72" t="s">
        <v>103</v>
      </c>
      <c r="C18" s="77">
        <v>298</v>
      </c>
      <c r="D18" s="77">
        <v>45147000</v>
      </c>
      <c r="E18" s="15">
        <v>2.6</v>
      </c>
    </row>
    <row r="19" spans="1:7" x14ac:dyDescent="0.4">
      <c r="A19" s="72" t="s">
        <v>108</v>
      </c>
      <c r="B19" s="73" t="s">
        <v>109</v>
      </c>
      <c r="C19" s="75">
        <v>112</v>
      </c>
      <c r="D19" s="75">
        <v>40880000</v>
      </c>
      <c r="E19" s="19">
        <v>2.35</v>
      </c>
      <c r="F19" s="17"/>
      <c r="G19" s="17"/>
    </row>
    <row r="20" spans="1:7" x14ac:dyDescent="0.4">
      <c r="A20" s="72" t="s">
        <v>303</v>
      </c>
      <c r="B20" s="72" t="s">
        <v>304</v>
      </c>
      <c r="C20" s="77">
        <v>62</v>
      </c>
      <c r="D20" s="77">
        <v>35650000</v>
      </c>
      <c r="E20" s="15">
        <v>2.0499999999999998</v>
      </c>
    </row>
    <row r="21" spans="1:7" x14ac:dyDescent="0.4">
      <c r="A21" s="72" t="s">
        <v>92</v>
      </c>
      <c r="B21" s="72" t="s">
        <v>93</v>
      </c>
      <c r="C21" s="77">
        <v>21</v>
      </c>
      <c r="D21" s="77">
        <v>34041000</v>
      </c>
      <c r="E21" s="15">
        <v>1.96</v>
      </c>
    </row>
    <row r="22" spans="1:7" x14ac:dyDescent="0.4">
      <c r="A22" s="72" t="s">
        <v>114</v>
      </c>
      <c r="B22" s="72" t="s">
        <v>115</v>
      </c>
      <c r="C22" s="77">
        <v>336</v>
      </c>
      <c r="D22" s="77">
        <v>32558400</v>
      </c>
      <c r="E22" s="15">
        <v>1.87</v>
      </c>
    </row>
    <row r="23" spans="1:7" x14ac:dyDescent="0.4">
      <c r="A23" s="72" t="s">
        <v>653</v>
      </c>
      <c r="B23" s="72" t="s">
        <v>654</v>
      </c>
      <c r="C23" s="76">
        <v>317</v>
      </c>
      <c r="D23" s="77">
        <v>31700000</v>
      </c>
      <c r="E23" s="15">
        <v>1.82</v>
      </c>
    </row>
    <row r="24" spans="1:7" x14ac:dyDescent="0.4">
      <c r="A24" s="72" t="s">
        <v>73</v>
      </c>
      <c r="B24" s="72" t="s">
        <v>74</v>
      </c>
      <c r="C24" s="76">
        <v>27</v>
      </c>
      <c r="D24" s="77">
        <v>27378000</v>
      </c>
      <c r="E24" s="15">
        <v>1.58</v>
      </c>
    </row>
    <row r="25" spans="1:7" x14ac:dyDescent="0.4">
      <c r="A25" s="72" t="s">
        <v>471</v>
      </c>
      <c r="B25" s="72" t="s">
        <v>472</v>
      </c>
      <c r="C25" s="77">
        <v>169</v>
      </c>
      <c r="D25" s="77">
        <v>25316200</v>
      </c>
      <c r="E25" s="15">
        <v>1.46</v>
      </c>
    </row>
    <row r="26" spans="1:7" x14ac:dyDescent="0.4">
      <c r="A26" s="72" t="s">
        <v>112</v>
      </c>
      <c r="B26" s="72" t="s">
        <v>113</v>
      </c>
      <c r="C26" s="77">
        <v>207</v>
      </c>
      <c r="D26" s="77">
        <v>23763600</v>
      </c>
      <c r="E26" s="15">
        <v>1.37</v>
      </c>
    </row>
    <row r="27" spans="1:7" x14ac:dyDescent="0.4">
      <c r="A27" s="72" t="s">
        <v>135</v>
      </c>
      <c r="B27" s="72" t="s">
        <v>136</v>
      </c>
      <c r="C27" s="77">
        <v>57</v>
      </c>
      <c r="D27" s="77">
        <v>23370000</v>
      </c>
      <c r="E27" s="15">
        <v>1.35</v>
      </c>
    </row>
    <row r="28" spans="1:7" x14ac:dyDescent="0.4">
      <c r="A28" s="72" t="s">
        <v>217</v>
      </c>
      <c r="B28" s="73" t="s">
        <v>218</v>
      </c>
      <c r="C28" s="75">
        <v>36</v>
      </c>
      <c r="D28" s="75">
        <v>23256000</v>
      </c>
      <c r="E28" s="19">
        <v>1.34</v>
      </c>
      <c r="F28" s="17"/>
      <c r="G28" s="17"/>
    </row>
    <row r="29" spans="1:7" x14ac:dyDescent="0.4">
      <c r="A29" s="72" t="s">
        <v>11</v>
      </c>
      <c r="B29" s="72" t="s">
        <v>12</v>
      </c>
      <c r="C29" s="72">
        <v>7</v>
      </c>
      <c r="D29" s="77">
        <v>22722000</v>
      </c>
      <c r="E29" s="15">
        <v>1.31</v>
      </c>
    </row>
    <row r="30" spans="1:7" x14ac:dyDescent="0.4">
      <c r="A30" s="72" t="s">
        <v>122</v>
      </c>
      <c r="B30" s="72" t="s">
        <v>5173</v>
      </c>
      <c r="C30" s="77">
        <v>28</v>
      </c>
      <c r="D30" s="77">
        <v>21392000</v>
      </c>
      <c r="E30" s="15">
        <v>1.23</v>
      </c>
    </row>
    <row r="31" spans="1:7" x14ac:dyDescent="0.4">
      <c r="A31" s="72" t="s">
        <v>757</v>
      </c>
      <c r="B31" s="72" t="s">
        <v>758</v>
      </c>
      <c r="C31" s="77">
        <v>120</v>
      </c>
      <c r="D31" s="77">
        <v>20472000</v>
      </c>
      <c r="E31" s="15">
        <v>1.18</v>
      </c>
    </row>
    <row r="32" spans="1:7" x14ac:dyDescent="0.4">
      <c r="A32" s="72" t="s">
        <v>118</v>
      </c>
      <c r="B32" s="72" t="s">
        <v>119</v>
      </c>
      <c r="C32" s="77">
        <v>85</v>
      </c>
      <c r="D32" s="77">
        <v>19550000</v>
      </c>
      <c r="E32" s="15">
        <v>1.1299999999999999</v>
      </c>
    </row>
    <row r="33" spans="1:7" x14ac:dyDescent="0.4">
      <c r="A33" s="72" t="s">
        <v>63</v>
      </c>
      <c r="B33" s="72" t="s">
        <v>64</v>
      </c>
      <c r="C33" s="72">
        <v>46</v>
      </c>
      <c r="D33" s="77">
        <v>18883000</v>
      </c>
      <c r="E33" s="15">
        <v>1.0900000000000001</v>
      </c>
    </row>
    <row r="34" spans="1:7" x14ac:dyDescent="0.4">
      <c r="A34" s="72" t="s">
        <v>166</v>
      </c>
      <c r="B34" s="72" t="s">
        <v>167</v>
      </c>
      <c r="C34" s="77">
        <v>54</v>
      </c>
      <c r="D34" s="77">
        <v>13257000</v>
      </c>
      <c r="E34" s="15">
        <v>0.76</v>
      </c>
    </row>
    <row r="35" spans="1:7" x14ac:dyDescent="0.4">
      <c r="A35" s="72" t="s">
        <v>96</v>
      </c>
      <c r="B35" s="73" t="s">
        <v>97</v>
      </c>
      <c r="C35" s="75">
        <v>114</v>
      </c>
      <c r="D35" s="75">
        <v>12745200</v>
      </c>
      <c r="E35" s="19">
        <v>0.73</v>
      </c>
      <c r="F35" s="17"/>
      <c r="G35" s="17"/>
    </row>
    <row r="36" spans="1:7" x14ac:dyDescent="0.4">
      <c r="A36" s="72" t="s">
        <v>82</v>
      </c>
      <c r="B36" s="72" t="s">
        <v>83</v>
      </c>
      <c r="C36" s="77">
        <v>33</v>
      </c>
      <c r="D36" s="77">
        <v>11269500</v>
      </c>
      <c r="E36" s="15">
        <v>0.65</v>
      </c>
    </row>
    <row r="37" spans="1:7" x14ac:dyDescent="0.4">
      <c r="A37" s="72" t="s">
        <v>148</v>
      </c>
      <c r="B37" s="72" t="s">
        <v>149</v>
      </c>
      <c r="C37" s="77">
        <v>29</v>
      </c>
      <c r="D37" s="77">
        <v>10831500</v>
      </c>
      <c r="E37" s="15">
        <v>0.62</v>
      </c>
    </row>
    <row r="38" spans="1:7" x14ac:dyDescent="0.4">
      <c r="A38" s="72" t="s">
        <v>4473</v>
      </c>
      <c r="B38" s="72" t="s">
        <v>4474</v>
      </c>
      <c r="C38" s="77">
        <v>246</v>
      </c>
      <c r="D38" s="77">
        <v>10036800</v>
      </c>
      <c r="E38" s="15">
        <v>0.57999999999999996</v>
      </c>
    </row>
    <row r="39" spans="1:7" x14ac:dyDescent="0.4">
      <c r="A39" s="72" t="s">
        <v>293</v>
      </c>
      <c r="B39" s="72" t="s">
        <v>294</v>
      </c>
      <c r="C39" s="77">
        <v>40</v>
      </c>
      <c r="D39" s="77">
        <v>9820000</v>
      </c>
      <c r="E39" s="15">
        <v>0.56999999999999995</v>
      </c>
    </row>
    <row r="40" spans="1:7" x14ac:dyDescent="0.4">
      <c r="A40" s="72" t="s">
        <v>84</v>
      </c>
      <c r="B40" s="72" t="s">
        <v>85</v>
      </c>
      <c r="C40" s="77">
        <v>181</v>
      </c>
      <c r="D40" s="77">
        <v>9249100</v>
      </c>
      <c r="E40" s="15">
        <v>0.53</v>
      </c>
    </row>
    <row r="41" spans="1:7" x14ac:dyDescent="0.4">
      <c r="A41" s="72" t="s">
        <v>603</v>
      </c>
      <c r="B41" s="72" t="s">
        <v>604</v>
      </c>
      <c r="C41" s="77">
        <v>211</v>
      </c>
      <c r="D41" s="77">
        <v>8883100</v>
      </c>
      <c r="E41" s="15">
        <v>0.51</v>
      </c>
    </row>
    <row r="42" spans="1:7" x14ac:dyDescent="0.4">
      <c r="A42" s="72" t="s">
        <v>392</v>
      </c>
      <c r="B42" s="73" t="s">
        <v>393</v>
      </c>
      <c r="C42" s="75">
        <v>39</v>
      </c>
      <c r="D42" s="75">
        <v>8307000</v>
      </c>
      <c r="E42" s="19">
        <v>0.48</v>
      </c>
      <c r="F42" s="17"/>
      <c r="G42" s="17"/>
    </row>
    <row r="43" spans="1:7" x14ac:dyDescent="0.4">
      <c r="A43" s="72" t="s">
        <v>15</v>
      </c>
      <c r="B43" s="73" t="s">
        <v>16</v>
      </c>
      <c r="C43" s="75">
        <v>8</v>
      </c>
      <c r="D43" s="75">
        <v>8264000</v>
      </c>
      <c r="E43" s="19">
        <v>0.48</v>
      </c>
      <c r="F43" s="17"/>
      <c r="G43" s="17"/>
    </row>
    <row r="44" spans="1:7" x14ac:dyDescent="0.4">
      <c r="A44" s="72" t="s">
        <v>314</v>
      </c>
      <c r="B44" s="72" t="s">
        <v>315</v>
      </c>
      <c r="C44" s="77">
        <v>180</v>
      </c>
      <c r="D44" s="77">
        <v>8199000</v>
      </c>
      <c r="E44" s="15">
        <v>0.47</v>
      </c>
    </row>
    <row r="45" spans="1:7" x14ac:dyDescent="0.4">
      <c r="A45" s="72" t="s">
        <v>78</v>
      </c>
      <c r="B45" s="72" t="s">
        <v>79</v>
      </c>
      <c r="C45" s="77">
        <v>6</v>
      </c>
      <c r="D45" s="77">
        <v>7056000</v>
      </c>
      <c r="E45" s="15">
        <v>0.41</v>
      </c>
    </row>
    <row r="46" spans="1:7" x14ac:dyDescent="0.4">
      <c r="A46" s="72" t="s">
        <v>2919</v>
      </c>
      <c r="B46" s="72" t="s">
        <v>2920</v>
      </c>
      <c r="C46" s="77">
        <v>110</v>
      </c>
      <c r="D46" s="77">
        <v>5038000</v>
      </c>
      <c r="E46" s="15">
        <v>0.28999999999999998</v>
      </c>
    </row>
    <row r="47" spans="1:7" x14ac:dyDescent="0.4">
      <c r="A47" s="72"/>
      <c r="B47" s="72" t="s">
        <v>10</v>
      </c>
      <c r="C47" s="77">
        <v>14747732</v>
      </c>
      <c r="D47" s="77">
        <v>14747732</v>
      </c>
      <c r="E47" s="15">
        <v>0.85</v>
      </c>
    </row>
    <row r="48" spans="1:7" x14ac:dyDescent="0.4">
      <c r="C48" s="13"/>
      <c r="D48" s="13"/>
      <c r="E48" s="72"/>
    </row>
    <row r="49" spans="3:5" x14ac:dyDescent="0.4">
      <c r="D49" s="13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4" t="s">
        <v>657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99</v>
      </c>
      <c r="D11" s="77">
        <v>230967000</v>
      </c>
      <c r="E11" s="15">
        <v>31.23</v>
      </c>
    </row>
    <row r="12" spans="1:5" x14ac:dyDescent="0.4">
      <c r="A12" s="72" t="s">
        <v>80</v>
      </c>
      <c r="B12" s="72" t="s">
        <v>81</v>
      </c>
      <c r="C12" s="76">
        <v>308</v>
      </c>
      <c r="D12" s="77">
        <v>97636000</v>
      </c>
      <c r="E12" s="15">
        <v>13.2</v>
      </c>
    </row>
    <row r="13" spans="1:5" x14ac:dyDescent="0.4">
      <c r="A13" s="72" t="s">
        <v>140</v>
      </c>
      <c r="B13" s="72" t="s">
        <v>141</v>
      </c>
      <c r="C13" s="72">
        <v>38</v>
      </c>
      <c r="D13" s="77">
        <v>27474000</v>
      </c>
      <c r="E13" s="15">
        <v>3.71</v>
      </c>
    </row>
    <row r="14" spans="1:5" x14ac:dyDescent="0.4">
      <c r="A14" s="72" t="s">
        <v>135</v>
      </c>
      <c r="B14" s="72" t="s">
        <v>136</v>
      </c>
      <c r="C14" s="72">
        <v>59</v>
      </c>
      <c r="D14" s="77">
        <v>25517500</v>
      </c>
      <c r="E14" s="15">
        <v>3.45</v>
      </c>
    </row>
    <row r="15" spans="1:5" x14ac:dyDescent="0.4">
      <c r="A15" s="72" t="s">
        <v>84</v>
      </c>
      <c r="B15" s="72" t="s">
        <v>85</v>
      </c>
      <c r="C15" s="76">
        <v>400</v>
      </c>
      <c r="D15" s="77">
        <v>24560000</v>
      </c>
      <c r="E15" s="15">
        <v>3.32</v>
      </c>
    </row>
    <row r="16" spans="1:5" x14ac:dyDescent="0.4">
      <c r="A16" s="72" t="s">
        <v>148</v>
      </c>
      <c r="B16" s="72" t="s">
        <v>149</v>
      </c>
      <c r="C16" s="76">
        <v>55</v>
      </c>
      <c r="D16" s="77">
        <v>24530000</v>
      </c>
      <c r="E16" s="15">
        <v>3.32</v>
      </c>
    </row>
    <row r="17" spans="1:5" x14ac:dyDescent="0.4">
      <c r="A17" s="72" t="s">
        <v>96</v>
      </c>
      <c r="B17" s="72" t="s">
        <v>97</v>
      </c>
      <c r="C17" s="76">
        <v>202</v>
      </c>
      <c r="D17" s="77">
        <v>24199600</v>
      </c>
      <c r="E17" s="15">
        <v>3.27</v>
      </c>
    </row>
    <row r="18" spans="1:5" x14ac:dyDescent="0.4">
      <c r="A18" s="72" t="s">
        <v>82</v>
      </c>
      <c r="B18" s="72" t="s">
        <v>83</v>
      </c>
      <c r="C18" s="77">
        <v>55</v>
      </c>
      <c r="D18" s="77">
        <v>20377500</v>
      </c>
      <c r="E18" s="15">
        <v>2.76</v>
      </c>
    </row>
    <row r="19" spans="1:5" x14ac:dyDescent="0.4">
      <c r="A19" s="72" t="s">
        <v>303</v>
      </c>
      <c r="B19" s="72" t="s">
        <v>304</v>
      </c>
      <c r="C19" s="77">
        <v>30</v>
      </c>
      <c r="D19" s="77">
        <v>20280000</v>
      </c>
      <c r="E19" s="15">
        <v>2.74</v>
      </c>
    </row>
    <row r="20" spans="1:5" x14ac:dyDescent="0.4">
      <c r="A20" s="72" t="s">
        <v>92</v>
      </c>
      <c r="B20" s="72" t="s">
        <v>93</v>
      </c>
      <c r="C20" s="77">
        <v>10</v>
      </c>
      <c r="D20" s="77">
        <v>19720000</v>
      </c>
      <c r="E20" s="15">
        <v>2.67</v>
      </c>
    </row>
    <row r="21" spans="1:5" x14ac:dyDescent="0.4">
      <c r="A21" s="72" t="s">
        <v>108</v>
      </c>
      <c r="B21" s="72" t="s">
        <v>109</v>
      </c>
      <c r="C21" s="77">
        <v>49</v>
      </c>
      <c r="D21" s="77">
        <v>19036500</v>
      </c>
      <c r="E21" s="15">
        <v>2.57</v>
      </c>
    </row>
    <row r="22" spans="1:5" x14ac:dyDescent="0.4">
      <c r="A22" s="72" t="s">
        <v>102</v>
      </c>
      <c r="B22" s="72" t="s">
        <v>103</v>
      </c>
      <c r="C22" s="77">
        <v>110</v>
      </c>
      <c r="D22" s="77">
        <v>16566000</v>
      </c>
      <c r="E22" s="15">
        <v>2.2400000000000002</v>
      </c>
    </row>
    <row r="23" spans="1:5" x14ac:dyDescent="0.4">
      <c r="A23" s="72" t="s">
        <v>86</v>
      </c>
      <c r="B23" s="72" t="s">
        <v>87</v>
      </c>
      <c r="C23" s="76">
        <v>2409</v>
      </c>
      <c r="D23" s="77">
        <v>14743080</v>
      </c>
      <c r="E23" s="15">
        <v>1.99</v>
      </c>
    </row>
    <row r="24" spans="1:5" x14ac:dyDescent="0.4">
      <c r="A24" s="72" t="s">
        <v>78</v>
      </c>
      <c r="B24" s="72" t="s">
        <v>79</v>
      </c>
      <c r="C24" s="76">
        <v>12</v>
      </c>
      <c r="D24" s="77">
        <v>14460000</v>
      </c>
      <c r="E24" s="15">
        <v>1.96</v>
      </c>
    </row>
    <row r="25" spans="1:5" x14ac:dyDescent="0.4">
      <c r="A25" s="72" t="s">
        <v>1092</v>
      </c>
      <c r="B25" s="72" t="s">
        <v>1093</v>
      </c>
      <c r="C25" s="77">
        <v>2541</v>
      </c>
      <c r="D25" s="77">
        <v>13162380</v>
      </c>
      <c r="E25" s="15">
        <v>1.78</v>
      </c>
    </row>
    <row r="26" spans="1:5" x14ac:dyDescent="0.4">
      <c r="A26" s="72" t="s">
        <v>106</v>
      </c>
      <c r="B26" s="72" t="s">
        <v>107</v>
      </c>
      <c r="C26" s="77">
        <v>110</v>
      </c>
      <c r="D26" s="77">
        <v>11319000</v>
      </c>
      <c r="E26" s="15">
        <v>1.53</v>
      </c>
    </row>
    <row r="27" spans="1:5" x14ac:dyDescent="0.4">
      <c r="A27" s="72" t="s">
        <v>125</v>
      </c>
      <c r="B27" s="72" t="s">
        <v>126</v>
      </c>
      <c r="C27" s="77">
        <v>647</v>
      </c>
      <c r="D27" s="77">
        <v>10882540</v>
      </c>
      <c r="E27" s="15">
        <v>1.47</v>
      </c>
    </row>
    <row r="28" spans="1:5" x14ac:dyDescent="0.4">
      <c r="A28" s="72" t="s">
        <v>311</v>
      </c>
      <c r="B28" s="72" t="s">
        <v>312</v>
      </c>
      <c r="C28" s="77">
        <v>80</v>
      </c>
      <c r="D28" s="77">
        <v>10696000</v>
      </c>
      <c r="E28" s="15">
        <v>1.45</v>
      </c>
    </row>
    <row r="29" spans="1:5" x14ac:dyDescent="0.4">
      <c r="A29" s="72" t="s">
        <v>133</v>
      </c>
      <c r="B29" s="72" t="s">
        <v>134</v>
      </c>
      <c r="C29" s="77">
        <v>50</v>
      </c>
      <c r="D29" s="77">
        <v>9235000</v>
      </c>
      <c r="E29" s="15">
        <v>1.25</v>
      </c>
    </row>
    <row r="30" spans="1:5" x14ac:dyDescent="0.4">
      <c r="A30" s="72" t="s">
        <v>120</v>
      </c>
      <c r="B30" s="72" t="s">
        <v>121</v>
      </c>
      <c r="C30" s="77">
        <v>21</v>
      </c>
      <c r="D30" s="77">
        <v>8893500</v>
      </c>
      <c r="E30" s="15">
        <v>1.2</v>
      </c>
    </row>
    <row r="31" spans="1:5" x14ac:dyDescent="0.4">
      <c r="A31" s="72" t="s">
        <v>110</v>
      </c>
      <c r="B31" s="72" t="s">
        <v>111</v>
      </c>
      <c r="C31" s="77">
        <v>29</v>
      </c>
      <c r="D31" s="77">
        <v>7888000</v>
      </c>
      <c r="E31" s="15">
        <v>1.07</v>
      </c>
    </row>
    <row r="32" spans="1:5" x14ac:dyDescent="0.4">
      <c r="A32" s="72" t="s">
        <v>100</v>
      </c>
      <c r="B32" s="72" t="s">
        <v>101</v>
      </c>
      <c r="C32" s="77">
        <v>250</v>
      </c>
      <c r="D32" s="77">
        <v>7550000</v>
      </c>
      <c r="E32" s="15">
        <v>1.02</v>
      </c>
    </row>
    <row r="33" spans="1:5" x14ac:dyDescent="0.4">
      <c r="A33" s="72" t="s">
        <v>129</v>
      </c>
      <c r="B33" s="72" t="s">
        <v>130</v>
      </c>
      <c r="C33" s="77">
        <v>246</v>
      </c>
      <c r="D33" s="77">
        <v>7306200</v>
      </c>
      <c r="E33" s="15">
        <v>0.99</v>
      </c>
    </row>
    <row r="34" spans="1:5" x14ac:dyDescent="0.4">
      <c r="A34" s="72" t="s">
        <v>131</v>
      </c>
      <c r="B34" s="72" t="s">
        <v>132</v>
      </c>
      <c r="C34" s="77">
        <v>343</v>
      </c>
      <c r="D34" s="77">
        <v>6928600</v>
      </c>
      <c r="E34" s="15">
        <v>0.94</v>
      </c>
    </row>
    <row r="35" spans="1:5" x14ac:dyDescent="0.4">
      <c r="A35" s="72" t="s">
        <v>112</v>
      </c>
      <c r="B35" s="72" t="s">
        <v>113</v>
      </c>
      <c r="C35" s="77">
        <v>60</v>
      </c>
      <c r="D35" s="77">
        <v>6906000</v>
      </c>
      <c r="E35" s="15">
        <v>0.93</v>
      </c>
    </row>
    <row r="36" spans="1:5" x14ac:dyDescent="0.4">
      <c r="A36" s="72" t="s">
        <v>118</v>
      </c>
      <c r="B36" s="72" t="s">
        <v>119</v>
      </c>
      <c r="C36" s="77">
        <v>29</v>
      </c>
      <c r="D36" s="77">
        <v>6887500</v>
      </c>
      <c r="E36" s="15">
        <v>0.93</v>
      </c>
    </row>
    <row r="37" spans="1:5" x14ac:dyDescent="0.4">
      <c r="A37" s="72" t="s">
        <v>114</v>
      </c>
      <c r="B37" s="72" t="s">
        <v>115</v>
      </c>
      <c r="C37" s="77">
        <v>60</v>
      </c>
      <c r="D37" s="77">
        <v>5616000</v>
      </c>
      <c r="E37" s="15">
        <v>0.76</v>
      </c>
    </row>
    <row r="38" spans="1:5" x14ac:dyDescent="0.4">
      <c r="A38" s="72" t="s">
        <v>90</v>
      </c>
      <c r="B38" s="72" t="s">
        <v>91</v>
      </c>
      <c r="C38" s="77">
        <v>99</v>
      </c>
      <c r="D38" s="77">
        <v>5227200</v>
      </c>
      <c r="E38" s="15">
        <v>0.71</v>
      </c>
    </row>
    <row r="39" spans="1:5" x14ac:dyDescent="0.4">
      <c r="A39" s="72" t="s">
        <v>653</v>
      </c>
      <c r="B39" s="72" t="s">
        <v>654</v>
      </c>
      <c r="C39" s="77">
        <v>50</v>
      </c>
      <c r="D39" s="77">
        <v>5030000</v>
      </c>
      <c r="E39" s="15">
        <v>0.68</v>
      </c>
    </row>
    <row r="40" spans="1:5" x14ac:dyDescent="0.4">
      <c r="A40" s="72" t="s">
        <v>142</v>
      </c>
      <c r="B40" s="72" t="s">
        <v>143</v>
      </c>
      <c r="C40" s="77">
        <v>30</v>
      </c>
      <c r="D40" s="77">
        <v>4851000</v>
      </c>
      <c r="E40" s="15">
        <v>0.66</v>
      </c>
    </row>
    <row r="41" spans="1:5" x14ac:dyDescent="0.4">
      <c r="A41" s="72" t="s">
        <v>3175</v>
      </c>
      <c r="B41" s="72" t="s">
        <v>3176</v>
      </c>
      <c r="C41" s="77">
        <v>24</v>
      </c>
      <c r="D41" s="77">
        <v>4848000</v>
      </c>
      <c r="E41" s="15">
        <v>0.66</v>
      </c>
    </row>
    <row r="42" spans="1:5" x14ac:dyDescent="0.4">
      <c r="A42" s="72" t="s">
        <v>123</v>
      </c>
      <c r="B42" s="72" t="s">
        <v>124</v>
      </c>
      <c r="C42" s="77">
        <v>201</v>
      </c>
      <c r="D42" s="77">
        <v>4803900</v>
      </c>
      <c r="E42" s="15">
        <v>0.65</v>
      </c>
    </row>
    <row r="43" spans="1:5" x14ac:dyDescent="0.4">
      <c r="A43" s="72"/>
      <c r="B43" s="72" t="s">
        <v>10</v>
      </c>
      <c r="C43" s="77">
        <v>21542083</v>
      </c>
      <c r="D43" s="77">
        <v>21542083</v>
      </c>
      <c r="E43" s="15">
        <v>2.91</v>
      </c>
    </row>
    <row r="44" spans="1:5" x14ac:dyDescent="0.4">
      <c r="C44" s="13"/>
      <c r="D44" s="13"/>
      <c r="E44" s="72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5162</v>
      </c>
      <c r="B8" s="6"/>
      <c r="C8" s="6"/>
      <c r="D8" s="6"/>
      <c r="E8" s="14"/>
    </row>
    <row r="9" spans="1:7" x14ac:dyDescent="0.4">
      <c r="A9" s="74" t="s">
        <v>5164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80</v>
      </c>
      <c r="B11" s="73" t="s">
        <v>81</v>
      </c>
      <c r="C11" s="75">
        <v>509</v>
      </c>
      <c r="D11" s="75">
        <v>152191000</v>
      </c>
      <c r="E11" s="19">
        <v>22.84</v>
      </c>
      <c r="F11" s="17"/>
      <c r="G11" s="17"/>
    </row>
    <row r="12" spans="1:7" x14ac:dyDescent="0.4">
      <c r="A12" s="72" t="s">
        <v>13</v>
      </c>
      <c r="B12" s="73" t="s">
        <v>14</v>
      </c>
      <c r="C12" s="78">
        <v>68</v>
      </c>
      <c r="D12" s="75">
        <v>142868000</v>
      </c>
      <c r="E12" s="19">
        <v>21.44</v>
      </c>
      <c r="F12" s="17"/>
      <c r="G12" s="17"/>
    </row>
    <row r="13" spans="1:7" x14ac:dyDescent="0.4">
      <c r="A13" s="72" t="s">
        <v>458</v>
      </c>
      <c r="B13" s="72" t="s">
        <v>459</v>
      </c>
      <c r="C13" s="77">
        <v>160</v>
      </c>
      <c r="D13" s="77">
        <v>30960000</v>
      </c>
      <c r="E13" s="15">
        <v>4.6500000000000004</v>
      </c>
    </row>
    <row r="14" spans="1:7" x14ac:dyDescent="0.4">
      <c r="A14" s="72" t="s">
        <v>140</v>
      </c>
      <c r="B14" s="72" t="s">
        <v>141</v>
      </c>
      <c r="C14" s="77">
        <v>39</v>
      </c>
      <c r="D14" s="77">
        <v>23283000</v>
      </c>
      <c r="E14" s="15">
        <v>3.49</v>
      </c>
    </row>
    <row r="15" spans="1:7" x14ac:dyDescent="0.4">
      <c r="A15" s="72" t="s">
        <v>188</v>
      </c>
      <c r="B15" s="72" t="s">
        <v>189</v>
      </c>
      <c r="C15" s="76">
        <v>16</v>
      </c>
      <c r="D15" s="77">
        <v>19648000</v>
      </c>
      <c r="E15" s="15">
        <v>2.95</v>
      </c>
    </row>
    <row r="16" spans="1:7" x14ac:dyDescent="0.4">
      <c r="A16" s="72" t="s">
        <v>287</v>
      </c>
      <c r="B16" s="72" t="s">
        <v>288</v>
      </c>
      <c r="C16" s="76">
        <v>50</v>
      </c>
      <c r="D16" s="77">
        <v>19225000</v>
      </c>
      <c r="E16" s="15">
        <v>2.88</v>
      </c>
    </row>
    <row r="17" spans="1:7" x14ac:dyDescent="0.4">
      <c r="A17" s="72" t="s">
        <v>172</v>
      </c>
      <c r="B17" s="73" t="s">
        <v>173</v>
      </c>
      <c r="C17" s="78">
        <v>31</v>
      </c>
      <c r="D17" s="75">
        <v>17856000</v>
      </c>
      <c r="E17" s="19">
        <v>2.68</v>
      </c>
      <c r="F17" s="17"/>
      <c r="G17" s="17"/>
    </row>
    <row r="18" spans="1:7" x14ac:dyDescent="0.4">
      <c r="A18" s="72" t="s">
        <v>301</v>
      </c>
      <c r="B18" s="72" t="s">
        <v>302</v>
      </c>
      <c r="C18" s="77">
        <v>153</v>
      </c>
      <c r="D18" s="77">
        <v>15988500</v>
      </c>
      <c r="E18" s="15">
        <v>2.4</v>
      </c>
    </row>
    <row r="19" spans="1:7" x14ac:dyDescent="0.4">
      <c r="A19" s="72" t="s">
        <v>609</v>
      </c>
      <c r="B19" s="72" t="s">
        <v>610</v>
      </c>
      <c r="C19" s="77">
        <v>209</v>
      </c>
      <c r="D19" s="77">
        <v>14692700</v>
      </c>
      <c r="E19" s="15">
        <v>2.2000000000000002</v>
      </c>
    </row>
    <row r="20" spans="1:7" x14ac:dyDescent="0.4">
      <c r="A20" s="72" t="s">
        <v>92</v>
      </c>
      <c r="B20" s="72" t="s">
        <v>93</v>
      </c>
      <c r="C20" s="72">
        <v>9</v>
      </c>
      <c r="D20" s="77">
        <v>14589000</v>
      </c>
      <c r="E20" s="15">
        <v>2.19</v>
      </c>
    </row>
    <row r="21" spans="1:7" x14ac:dyDescent="0.4">
      <c r="A21" s="72" t="s">
        <v>453</v>
      </c>
      <c r="B21" s="72" t="s">
        <v>454</v>
      </c>
      <c r="C21" s="77">
        <v>8</v>
      </c>
      <c r="D21" s="77">
        <v>14440000</v>
      </c>
      <c r="E21" s="15">
        <v>2.17</v>
      </c>
    </row>
    <row r="22" spans="1:7" x14ac:dyDescent="0.4">
      <c r="A22" s="72" t="s">
        <v>299</v>
      </c>
      <c r="B22" s="73" t="s">
        <v>300</v>
      </c>
      <c r="C22" s="73">
        <v>25</v>
      </c>
      <c r="D22" s="75">
        <v>12462500</v>
      </c>
      <c r="E22" s="19">
        <v>1.87</v>
      </c>
      <c r="F22" s="17"/>
      <c r="G22" s="17"/>
    </row>
    <row r="23" spans="1:7" x14ac:dyDescent="0.4">
      <c r="A23" s="72" t="s">
        <v>217</v>
      </c>
      <c r="B23" s="73" t="s">
        <v>218</v>
      </c>
      <c r="C23" s="78">
        <v>18</v>
      </c>
      <c r="D23" s="75">
        <v>11628000</v>
      </c>
      <c r="E23" s="19">
        <v>1.74</v>
      </c>
      <c r="F23" s="17"/>
      <c r="G23" s="17"/>
    </row>
    <row r="24" spans="1:7" x14ac:dyDescent="0.4">
      <c r="A24" s="72" t="s">
        <v>138</v>
      </c>
      <c r="B24" s="72" t="s">
        <v>139</v>
      </c>
      <c r="C24" s="76">
        <v>441</v>
      </c>
      <c r="D24" s="77">
        <v>11157300</v>
      </c>
      <c r="E24" s="15">
        <v>1.67</v>
      </c>
    </row>
    <row r="25" spans="1:7" x14ac:dyDescent="0.4">
      <c r="A25" s="72" t="s">
        <v>324</v>
      </c>
      <c r="B25" s="72" t="s">
        <v>325</v>
      </c>
      <c r="C25" s="77">
        <v>36</v>
      </c>
      <c r="D25" s="77">
        <v>10206000</v>
      </c>
      <c r="E25" s="15">
        <v>1.53</v>
      </c>
    </row>
    <row r="26" spans="1:7" x14ac:dyDescent="0.4">
      <c r="A26" s="72" t="s">
        <v>355</v>
      </c>
      <c r="B26" s="72" t="s">
        <v>356</v>
      </c>
      <c r="C26" s="72">
        <v>64</v>
      </c>
      <c r="D26" s="77">
        <v>10035200</v>
      </c>
      <c r="E26" s="15">
        <v>1.51</v>
      </c>
    </row>
    <row r="27" spans="1:7" x14ac:dyDescent="0.4">
      <c r="A27" s="72" t="s">
        <v>4705</v>
      </c>
      <c r="B27" s="72" t="s">
        <v>4706</v>
      </c>
      <c r="C27" s="77">
        <v>135</v>
      </c>
      <c r="D27" s="77">
        <v>9477000</v>
      </c>
      <c r="E27" s="15">
        <v>1.42</v>
      </c>
    </row>
    <row r="28" spans="1:7" x14ac:dyDescent="0.4">
      <c r="A28" s="72" t="s">
        <v>757</v>
      </c>
      <c r="B28" s="72" t="s">
        <v>758</v>
      </c>
      <c r="C28" s="77">
        <v>55</v>
      </c>
      <c r="D28" s="77">
        <v>9383000</v>
      </c>
      <c r="E28" s="15">
        <v>1.41</v>
      </c>
    </row>
    <row r="29" spans="1:7" x14ac:dyDescent="0.4">
      <c r="A29" s="72" t="s">
        <v>936</v>
      </c>
      <c r="B29" s="72" t="s">
        <v>937</v>
      </c>
      <c r="C29" s="72">
        <v>353</v>
      </c>
      <c r="D29" s="77">
        <v>7924850</v>
      </c>
      <c r="E29" s="15">
        <v>1.19</v>
      </c>
    </row>
    <row r="30" spans="1:7" x14ac:dyDescent="0.4">
      <c r="A30" s="72" t="s">
        <v>4538</v>
      </c>
      <c r="B30" s="72" t="s">
        <v>4539</v>
      </c>
      <c r="C30" s="77">
        <v>641</v>
      </c>
      <c r="D30" s="77">
        <v>7172790</v>
      </c>
      <c r="E30" s="15">
        <v>1.08</v>
      </c>
    </row>
    <row r="31" spans="1:7" x14ac:dyDescent="0.4">
      <c r="A31" s="72" t="s">
        <v>737</v>
      </c>
      <c r="B31" s="72" t="s">
        <v>738</v>
      </c>
      <c r="C31" s="77">
        <v>60</v>
      </c>
      <c r="D31" s="77">
        <v>7026000</v>
      </c>
      <c r="E31" s="15">
        <v>1.05</v>
      </c>
    </row>
    <row r="32" spans="1:7" x14ac:dyDescent="0.4">
      <c r="A32" s="72" t="s">
        <v>122</v>
      </c>
      <c r="B32" s="72" t="s">
        <v>5173</v>
      </c>
      <c r="C32" s="77">
        <v>9</v>
      </c>
      <c r="D32" s="77">
        <v>6876000</v>
      </c>
      <c r="E32" s="15">
        <v>1.03</v>
      </c>
    </row>
    <row r="33" spans="1:5" x14ac:dyDescent="0.4">
      <c r="A33" s="72" t="s">
        <v>291</v>
      </c>
      <c r="B33" s="72" t="s">
        <v>292</v>
      </c>
      <c r="C33" s="72">
        <v>178</v>
      </c>
      <c r="D33" s="77">
        <v>6577100</v>
      </c>
      <c r="E33" s="15">
        <v>0.99</v>
      </c>
    </row>
    <row r="34" spans="1:5" x14ac:dyDescent="0.4">
      <c r="A34" s="72" t="s">
        <v>135</v>
      </c>
      <c r="B34" s="72" t="s">
        <v>136</v>
      </c>
      <c r="C34" s="77">
        <v>16</v>
      </c>
      <c r="D34" s="77">
        <v>6560000</v>
      </c>
      <c r="E34" s="15">
        <v>0.98</v>
      </c>
    </row>
    <row r="35" spans="1:5" x14ac:dyDescent="0.4">
      <c r="A35" s="72" t="s">
        <v>468</v>
      </c>
      <c r="B35" s="72" t="s">
        <v>469</v>
      </c>
      <c r="C35" s="72">
        <v>118</v>
      </c>
      <c r="D35" s="77">
        <v>6490000</v>
      </c>
      <c r="E35" s="15">
        <v>0.97</v>
      </c>
    </row>
    <row r="36" spans="1:5" x14ac:dyDescent="0.4">
      <c r="A36" s="72" t="s">
        <v>451</v>
      </c>
      <c r="B36" s="72" t="s">
        <v>452</v>
      </c>
      <c r="C36" s="77">
        <v>6</v>
      </c>
      <c r="D36" s="77">
        <v>6432000</v>
      </c>
      <c r="E36" s="15">
        <v>0.97</v>
      </c>
    </row>
    <row r="37" spans="1:5" x14ac:dyDescent="0.4">
      <c r="A37" s="72" t="s">
        <v>4756</v>
      </c>
      <c r="B37" s="72" t="s">
        <v>4757</v>
      </c>
      <c r="C37" s="77">
        <v>229</v>
      </c>
      <c r="D37" s="77">
        <v>6217350</v>
      </c>
      <c r="E37" s="15">
        <v>0.93</v>
      </c>
    </row>
    <row r="38" spans="1:5" x14ac:dyDescent="0.4">
      <c r="A38" s="72" t="s">
        <v>17</v>
      </c>
      <c r="B38" s="72" t="s">
        <v>18</v>
      </c>
      <c r="C38" s="77">
        <v>70</v>
      </c>
      <c r="D38" s="77">
        <v>6202000</v>
      </c>
      <c r="E38" s="15">
        <v>0.93</v>
      </c>
    </row>
    <row r="39" spans="1:5" x14ac:dyDescent="0.4">
      <c r="A39" s="72" t="s">
        <v>353</v>
      </c>
      <c r="B39" s="72" t="s">
        <v>354</v>
      </c>
      <c r="C39" s="72">
        <v>33</v>
      </c>
      <c r="D39" s="77">
        <v>5421900</v>
      </c>
      <c r="E39" s="15">
        <v>0.81</v>
      </c>
    </row>
    <row r="40" spans="1:5" x14ac:dyDescent="0.4">
      <c r="A40" s="72" t="s">
        <v>392</v>
      </c>
      <c r="B40" s="72" t="s">
        <v>393</v>
      </c>
      <c r="C40" s="72">
        <v>25</v>
      </c>
      <c r="D40" s="77">
        <v>5325000</v>
      </c>
      <c r="E40" s="15">
        <v>0.8</v>
      </c>
    </row>
    <row r="41" spans="1:5" x14ac:dyDescent="0.4">
      <c r="A41" s="72" t="s">
        <v>326</v>
      </c>
      <c r="B41" s="72" t="s">
        <v>327</v>
      </c>
      <c r="C41" s="72">
        <v>42</v>
      </c>
      <c r="D41" s="77">
        <v>5283600</v>
      </c>
      <c r="E41" s="15">
        <v>0.79</v>
      </c>
    </row>
    <row r="42" spans="1:5" x14ac:dyDescent="0.4">
      <c r="A42" s="72" t="s">
        <v>19</v>
      </c>
      <c r="B42" s="72" t="s">
        <v>20</v>
      </c>
      <c r="C42" s="77">
        <v>23</v>
      </c>
      <c r="D42" s="77">
        <v>5278500</v>
      </c>
      <c r="E42" s="15">
        <v>0.79</v>
      </c>
    </row>
    <row r="43" spans="1:5" x14ac:dyDescent="0.4">
      <c r="A43" s="72" t="s">
        <v>148</v>
      </c>
      <c r="B43" s="72" t="s">
        <v>149</v>
      </c>
      <c r="C43" s="72">
        <v>14</v>
      </c>
      <c r="D43" s="77">
        <v>5229000</v>
      </c>
      <c r="E43" s="15">
        <v>0.78</v>
      </c>
    </row>
    <row r="44" spans="1:5" x14ac:dyDescent="0.4">
      <c r="A44" s="72" t="s">
        <v>366</v>
      </c>
      <c r="B44" s="72" t="s">
        <v>367</v>
      </c>
      <c r="C44" s="72">
        <v>101</v>
      </c>
      <c r="D44" s="77">
        <v>5060100</v>
      </c>
      <c r="E44" s="15">
        <v>0.76</v>
      </c>
    </row>
    <row r="45" spans="1:5" x14ac:dyDescent="0.4">
      <c r="A45" s="72" t="s">
        <v>236</v>
      </c>
      <c r="B45" s="72" t="s">
        <v>237</v>
      </c>
      <c r="C45" s="77">
        <v>7</v>
      </c>
      <c r="D45" s="77">
        <v>4235000</v>
      </c>
      <c r="E45" s="15">
        <v>0.64</v>
      </c>
    </row>
    <row r="46" spans="1:5" x14ac:dyDescent="0.4">
      <c r="A46" s="72" t="s">
        <v>4944</v>
      </c>
      <c r="B46" s="72" t="s">
        <v>4945</v>
      </c>
      <c r="C46" s="77">
        <v>53</v>
      </c>
      <c r="D46" s="77">
        <v>4107500</v>
      </c>
      <c r="E46" s="15">
        <v>0.62</v>
      </c>
    </row>
    <row r="47" spans="1:5" x14ac:dyDescent="0.4">
      <c r="A47" s="72" t="s">
        <v>232</v>
      </c>
      <c r="B47" s="72" t="s">
        <v>233</v>
      </c>
      <c r="C47" s="77">
        <v>14</v>
      </c>
      <c r="D47" s="77">
        <v>4011000</v>
      </c>
      <c r="E47" s="15">
        <v>0.6</v>
      </c>
    </row>
    <row r="48" spans="1:5" x14ac:dyDescent="0.4">
      <c r="A48" s="72" t="s">
        <v>3394</v>
      </c>
      <c r="B48" s="72" t="s">
        <v>3395</v>
      </c>
      <c r="C48" s="77">
        <v>69</v>
      </c>
      <c r="D48" s="77">
        <v>3829500</v>
      </c>
      <c r="E48" s="15">
        <v>0.56999999999999995</v>
      </c>
    </row>
    <row r="49" spans="1:5" x14ac:dyDescent="0.4">
      <c r="A49" s="72" t="s">
        <v>21</v>
      </c>
      <c r="B49" s="72" t="s">
        <v>22</v>
      </c>
      <c r="C49" s="72">
        <v>29</v>
      </c>
      <c r="D49" s="77">
        <v>3558300</v>
      </c>
      <c r="E49" s="15">
        <v>0.53</v>
      </c>
    </row>
    <row r="50" spans="1:5" x14ac:dyDescent="0.4">
      <c r="A50" s="72" t="s">
        <v>11</v>
      </c>
      <c r="B50" s="72" t="s">
        <v>12</v>
      </c>
      <c r="C50" s="77">
        <v>1</v>
      </c>
      <c r="D50" s="77">
        <v>3246000</v>
      </c>
      <c r="E50" s="15">
        <v>0.49</v>
      </c>
    </row>
    <row r="51" spans="1:5" x14ac:dyDescent="0.4">
      <c r="A51" s="72" t="s">
        <v>347</v>
      </c>
      <c r="B51" s="72" t="s">
        <v>348</v>
      </c>
      <c r="C51" s="77">
        <v>10</v>
      </c>
      <c r="D51" s="77">
        <v>1232000</v>
      </c>
      <c r="E51" s="15">
        <v>0.18</v>
      </c>
    </row>
    <row r="52" spans="1:5" x14ac:dyDescent="0.4">
      <c r="A52" s="72"/>
      <c r="B52" s="72" t="s">
        <v>10</v>
      </c>
      <c r="C52" s="77">
        <v>3019790</v>
      </c>
      <c r="D52" s="77">
        <v>3019790</v>
      </c>
      <c r="E52" s="15">
        <v>0.45</v>
      </c>
    </row>
    <row r="53" spans="1:5" x14ac:dyDescent="0.4">
      <c r="C53" s="13"/>
      <c r="D53" s="13"/>
      <c r="E53" s="72"/>
    </row>
    <row r="54" spans="1:5" x14ac:dyDescent="0.4"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5162</v>
      </c>
      <c r="B8" s="6"/>
      <c r="C8" s="6"/>
      <c r="D8" s="6"/>
      <c r="E8" s="14"/>
    </row>
    <row r="9" spans="1:5" x14ac:dyDescent="0.4">
      <c r="A9" s="74" t="s">
        <v>5164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13</v>
      </c>
      <c r="B11" s="72" t="s">
        <v>14</v>
      </c>
      <c r="C11" s="77">
        <v>87</v>
      </c>
      <c r="D11" s="77">
        <v>202971000</v>
      </c>
      <c r="E11" s="15">
        <v>26.94</v>
      </c>
    </row>
    <row r="12" spans="1:5" x14ac:dyDescent="0.4">
      <c r="A12" s="72" t="s">
        <v>80</v>
      </c>
      <c r="B12" s="72" t="s">
        <v>81</v>
      </c>
      <c r="C12" s="76">
        <v>481</v>
      </c>
      <c r="D12" s="77">
        <v>152477000</v>
      </c>
      <c r="E12" s="15">
        <v>20.239999999999998</v>
      </c>
    </row>
    <row r="13" spans="1:5" x14ac:dyDescent="0.4">
      <c r="A13" s="72" t="s">
        <v>451</v>
      </c>
      <c r="B13" s="72" t="s">
        <v>452</v>
      </c>
      <c r="C13" s="72">
        <v>18</v>
      </c>
      <c r="D13" s="77">
        <v>26244000</v>
      </c>
      <c r="E13" s="15">
        <v>3.48</v>
      </c>
    </row>
    <row r="14" spans="1:5" x14ac:dyDescent="0.4">
      <c r="A14" s="72" t="s">
        <v>172</v>
      </c>
      <c r="B14" s="72" t="s">
        <v>173</v>
      </c>
      <c r="C14" s="72">
        <v>31</v>
      </c>
      <c r="D14" s="77">
        <v>23808000</v>
      </c>
      <c r="E14" s="15">
        <v>3.16</v>
      </c>
    </row>
    <row r="15" spans="1:5" x14ac:dyDescent="0.4">
      <c r="A15" s="72" t="s">
        <v>287</v>
      </c>
      <c r="B15" s="72" t="s">
        <v>288</v>
      </c>
      <c r="C15" s="76">
        <v>50</v>
      </c>
      <c r="D15" s="77">
        <v>22900000</v>
      </c>
      <c r="E15" s="15">
        <v>3.04</v>
      </c>
    </row>
    <row r="16" spans="1:5" x14ac:dyDescent="0.4">
      <c r="A16" s="72" t="s">
        <v>140</v>
      </c>
      <c r="B16" s="72" t="s">
        <v>141</v>
      </c>
      <c r="C16" s="76">
        <v>31</v>
      </c>
      <c r="D16" s="77">
        <v>22413000</v>
      </c>
      <c r="E16" s="15">
        <v>2.97</v>
      </c>
    </row>
    <row r="17" spans="1:5" x14ac:dyDescent="0.4">
      <c r="A17" s="72" t="s">
        <v>127</v>
      </c>
      <c r="B17" s="72" t="s">
        <v>128</v>
      </c>
      <c r="C17" s="76">
        <v>125</v>
      </c>
      <c r="D17" s="77">
        <v>21150000</v>
      </c>
      <c r="E17" s="15">
        <v>2.81</v>
      </c>
    </row>
    <row r="18" spans="1:5" x14ac:dyDescent="0.4">
      <c r="A18" s="72" t="s">
        <v>301</v>
      </c>
      <c r="B18" s="72" t="s">
        <v>302</v>
      </c>
      <c r="C18" s="77">
        <v>153</v>
      </c>
      <c r="D18" s="77">
        <v>18864900</v>
      </c>
      <c r="E18" s="15">
        <v>2.5</v>
      </c>
    </row>
    <row r="19" spans="1:5" x14ac:dyDescent="0.4">
      <c r="A19" s="72" t="s">
        <v>92</v>
      </c>
      <c r="B19" s="72" t="s">
        <v>93</v>
      </c>
      <c r="C19" s="77">
        <v>9</v>
      </c>
      <c r="D19" s="77">
        <v>17748000</v>
      </c>
      <c r="E19" s="15">
        <v>2.36</v>
      </c>
    </row>
    <row r="20" spans="1:5" x14ac:dyDescent="0.4">
      <c r="A20" s="72" t="s">
        <v>299</v>
      </c>
      <c r="B20" s="72" t="s">
        <v>300</v>
      </c>
      <c r="C20" s="72">
        <v>25</v>
      </c>
      <c r="D20" s="77">
        <v>17200000</v>
      </c>
      <c r="E20" s="15">
        <v>2.2799999999999998</v>
      </c>
    </row>
    <row r="21" spans="1:5" x14ac:dyDescent="0.4">
      <c r="A21" s="72" t="s">
        <v>609</v>
      </c>
      <c r="B21" s="72" t="s">
        <v>610</v>
      </c>
      <c r="C21" s="77">
        <v>209</v>
      </c>
      <c r="D21" s="77">
        <v>14023900</v>
      </c>
      <c r="E21" s="15">
        <v>1.86</v>
      </c>
    </row>
    <row r="22" spans="1:5" x14ac:dyDescent="0.4">
      <c r="A22" s="72" t="s">
        <v>355</v>
      </c>
      <c r="B22" s="72" t="s">
        <v>356</v>
      </c>
      <c r="C22" s="72">
        <v>67</v>
      </c>
      <c r="D22" s="77">
        <v>12790300</v>
      </c>
      <c r="E22" s="15">
        <v>1.7</v>
      </c>
    </row>
    <row r="23" spans="1:5" x14ac:dyDescent="0.4">
      <c r="A23" s="72" t="s">
        <v>324</v>
      </c>
      <c r="B23" s="72" t="s">
        <v>325</v>
      </c>
      <c r="C23" s="76">
        <v>36</v>
      </c>
      <c r="D23" s="77">
        <v>12582000</v>
      </c>
      <c r="E23" s="15">
        <v>1.67</v>
      </c>
    </row>
    <row r="24" spans="1:5" x14ac:dyDescent="0.4">
      <c r="A24" s="72" t="s">
        <v>217</v>
      </c>
      <c r="B24" s="72" t="s">
        <v>218</v>
      </c>
      <c r="C24" s="76">
        <v>18</v>
      </c>
      <c r="D24" s="77">
        <v>12528000</v>
      </c>
      <c r="E24" s="15">
        <v>1.66</v>
      </c>
    </row>
    <row r="25" spans="1:5" x14ac:dyDescent="0.4">
      <c r="A25" s="72" t="s">
        <v>138</v>
      </c>
      <c r="B25" s="72" t="s">
        <v>139</v>
      </c>
      <c r="C25" s="77">
        <v>441</v>
      </c>
      <c r="D25" s="77">
        <v>12325950</v>
      </c>
      <c r="E25" s="15">
        <v>1.64</v>
      </c>
    </row>
    <row r="26" spans="1:5" x14ac:dyDescent="0.4">
      <c r="A26" s="72" t="s">
        <v>4705</v>
      </c>
      <c r="B26" s="72" t="s">
        <v>4706</v>
      </c>
      <c r="C26" s="72">
        <v>135</v>
      </c>
      <c r="D26" s="77">
        <v>10327500</v>
      </c>
      <c r="E26" s="15">
        <v>1.37</v>
      </c>
    </row>
    <row r="27" spans="1:5" x14ac:dyDescent="0.4">
      <c r="A27" s="72" t="s">
        <v>737</v>
      </c>
      <c r="B27" s="72" t="s">
        <v>738</v>
      </c>
      <c r="C27" s="77">
        <v>60</v>
      </c>
      <c r="D27" s="77">
        <v>9186000</v>
      </c>
      <c r="E27" s="15">
        <v>1.22</v>
      </c>
    </row>
    <row r="28" spans="1:5" x14ac:dyDescent="0.4">
      <c r="A28" s="72" t="s">
        <v>936</v>
      </c>
      <c r="B28" s="72" t="s">
        <v>937</v>
      </c>
      <c r="C28" s="77">
        <v>353</v>
      </c>
      <c r="D28" s="77">
        <v>8719100</v>
      </c>
      <c r="E28" s="15">
        <v>1.1599999999999999</v>
      </c>
    </row>
    <row r="29" spans="1:5" x14ac:dyDescent="0.4">
      <c r="A29" s="72" t="s">
        <v>291</v>
      </c>
      <c r="B29" s="72" t="s">
        <v>292</v>
      </c>
      <c r="C29" s="72">
        <v>178</v>
      </c>
      <c r="D29" s="77">
        <v>7449300</v>
      </c>
      <c r="E29" s="15">
        <v>0.99</v>
      </c>
    </row>
    <row r="30" spans="1:5" x14ac:dyDescent="0.4">
      <c r="A30" s="72" t="s">
        <v>17</v>
      </c>
      <c r="B30" s="72" t="s">
        <v>18</v>
      </c>
      <c r="C30" s="77">
        <v>70</v>
      </c>
      <c r="D30" s="77">
        <v>7392000</v>
      </c>
      <c r="E30" s="15">
        <v>0.98</v>
      </c>
    </row>
    <row r="31" spans="1:5" x14ac:dyDescent="0.4">
      <c r="A31" s="72" t="s">
        <v>4756</v>
      </c>
      <c r="B31" s="72" t="s">
        <v>4757</v>
      </c>
      <c r="C31" s="77">
        <v>229</v>
      </c>
      <c r="D31" s="77">
        <v>7305100</v>
      </c>
      <c r="E31" s="15">
        <v>0.97</v>
      </c>
    </row>
    <row r="32" spans="1:5" x14ac:dyDescent="0.4">
      <c r="A32" s="72" t="s">
        <v>122</v>
      </c>
      <c r="B32" s="72" t="s">
        <v>5173</v>
      </c>
      <c r="C32" s="77">
        <v>9</v>
      </c>
      <c r="D32" s="77">
        <v>7209000</v>
      </c>
      <c r="E32" s="15">
        <v>0.96</v>
      </c>
    </row>
    <row r="33" spans="1:5" x14ac:dyDescent="0.4">
      <c r="A33" s="72" t="s">
        <v>353</v>
      </c>
      <c r="B33" s="72" t="s">
        <v>354</v>
      </c>
      <c r="C33" s="72">
        <v>33</v>
      </c>
      <c r="D33" s="77">
        <v>7161000</v>
      </c>
      <c r="E33" s="15">
        <v>0.95</v>
      </c>
    </row>
    <row r="34" spans="1:5" x14ac:dyDescent="0.4">
      <c r="A34" s="72" t="s">
        <v>326</v>
      </c>
      <c r="B34" s="72" t="s">
        <v>327</v>
      </c>
      <c r="C34" s="77">
        <v>42</v>
      </c>
      <c r="D34" s="77">
        <v>7068600</v>
      </c>
      <c r="E34" s="15">
        <v>0.94</v>
      </c>
    </row>
    <row r="35" spans="1:5" x14ac:dyDescent="0.4">
      <c r="A35" s="72" t="s">
        <v>135</v>
      </c>
      <c r="B35" s="72" t="s">
        <v>136</v>
      </c>
      <c r="C35" s="72">
        <v>16</v>
      </c>
      <c r="D35" s="77">
        <v>6920000</v>
      </c>
      <c r="E35" s="15">
        <v>0.92</v>
      </c>
    </row>
    <row r="36" spans="1:5" x14ac:dyDescent="0.4">
      <c r="A36" s="72" t="s">
        <v>757</v>
      </c>
      <c r="B36" s="72" t="s">
        <v>758</v>
      </c>
      <c r="C36" s="77">
        <v>55</v>
      </c>
      <c r="D36" s="77">
        <v>6550500</v>
      </c>
      <c r="E36" s="15">
        <v>0.87</v>
      </c>
    </row>
    <row r="37" spans="1:5" x14ac:dyDescent="0.4">
      <c r="A37" s="72" t="s">
        <v>366</v>
      </c>
      <c r="B37" s="72" t="s">
        <v>367</v>
      </c>
      <c r="C37" s="77">
        <v>101</v>
      </c>
      <c r="D37" s="77">
        <v>6484200</v>
      </c>
      <c r="E37" s="15">
        <v>0.86</v>
      </c>
    </row>
    <row r="38" spans="1:5" x14ac:dyDescent="0.4">
      <c r="A38" s="72" t="s">
        <v>148</v>
      </c>
      <c r="B38" s="72" t="s">
        <v>149</v>
      </c>
      <c r="C38" s="77">
        <v>14</v>
      </c>
      <c r="D38" s="77">
        <v>6244000</v>
      </c>
      <c r="E38" s="15">
        <v>0.83</v>
      </c>
    </row>
    <row r="39" spans="1:5" x14ac:dyDescent="0.4">
      <c r="A39" s="72" t="s">
        <v>392</v>
      </c>
      <c r="B39" s="72" t="s">
        <v>393</v>
      </c>
      <c r="C39" s="72">
        <v>25</v>
      </c>
      <c r="D39" s="77">
        <v>6175000</v>
      </c>
      <c r="E39" s="15">
        <v>0.82</v>
      </c>
    </row>
    <row r="40" spans="1:5" x14ac:dyDescent="0.4">
      <c r="A40" s="72" t="s">
        <v>182</v>
      </c>
      <c r="B40" s="72" t="s">
        <v>183</v>
      </c>
      <c r="C40" s="72">
        <v>95</v>
      </c>
      <c r="D40" s="77">
        <v>6061000</v>
      </c>
      <c r="E40" s="15">
        <v>0.8</v>
      </c>
    </row>
    <row r="41" spans="1:5" x14ac:dyDescent="0.4">
      <c r="A41" s="72" t="s">
        <v>120</v>
      </c>
      <c r="B41" s="72" t="s">
        <v>121</v>
      </c>
      <c r="C41" s="72">
        <v>14</v>
      </c>
      <c r="D41" s="77">
        <v>5929000</v>
      </c>
      <c r="E41" s="15">
        <v>0.79</v>
      </c>
    </row>
    <row r="42" spans="1:5" x14ac:dyDescent="0.4">
      <c r="A42" s="72" t="s">
        <v>468</v>
      </c>
      <c r="B42" s="72" t="s">
        <v>469</v>
      </c>
      <c r="C42" s="72">
        <v>118</v>
      </c>
      <c r="D42" s="77">
        <v>5740700</v>
      </c>
      <c r="E42" s="15">
        <v>0.76</v>
      </c>
    </row>
    <row r="43" spans="1:5" x14ac:dyDescent="0.4">
      <c r="A43" s="72" t="s">
        <v>19</v>
      </c>
      <c r="B43" s="72" t="s">
        <v>20</v>
      </c>
      <c r="C43" s="77">
        <v>23</v>
      </c>
      <c r="D43" s="77">
        <v>5554500</v>
      </c>
      <c r="E43" s="15">
        <v>0.74</v>
      </c>
    </row>
    <row r="44" spans="1:5" x14ac:dyDescent="0.4">
      <c r="A44" s="72" t="s">
        <v>4944</v>
      </c>
      <c r="B44" s="72" t="s">
        <v>4945</v>
      </c>
      <c r="C44" s="72">
        <v>53</v>
      </c>
      <c r="D44" s="77">
        <v>5411300</v>
      </c>
      <c r="E44" s="15">
        <v>0.72</v>
      </c>
    </row>
    <row r="45" spans="1:5" x14ac:dyDescent="0.4">
      <c r="A45" s="72" t="s">
        <v>631</v>
      </c>
      <c r="B45" s="72" t="s">
        <v>632</v>
      </c>
      <c r="C45" s="77">
        <v>39</v>
      </c>
      <c r="D45" s="77">
        <v>5190900</v>
      </c>
      <c r="E45" s="15">
        <v>0.69</v>
      </c>
    </row>
    <row r="46" spans="1:5" x14ac:dyDescent="0.4">
      <c r="A46" s="72" t="s">
        <v>236</v>
      </c>
      <c r="B46" s="72" t="s">
        <v>237</v>
      </c>
      <c r="C46" s="77">
        <v>7</v>
      </c>
      <c r="D46" s="77">
        <v>4914000</v>
      </c>
      <c r="E46" s="15">
        <v>0.65</v>
      </c>
    </row>
    <row r="47" spans="1:5" x14ac:dyDescent="0.4">
      <c r="A47" s="72" t="s">
        <v>3394</v>
      </c>
      <c r="B47" s="72" t="s">
        <v>3395</v>
      </c>
      <c r="C47" s="77">
        <v>69</v>
      </c>
      <c r="D47" s="77">
        <v>4609200</v>
      </c>
      <c r="E47" s="15">
        <v>0.61</v>
      </c>
    </row>
    <row r="48" spans="1:5" x14ac:dyDescent="0.4">
      <c r="A48" s="72" t="s">
        <v>232</v>
      </c>
      <c r="B48" s="72" t="s">
        <v>233</v>
      </c>
      <c r="C48" s="77">
        <v>14</v>
      </c>
      <c r="D48" s="77">
        <v>4557000</v>
      </c>
      <c r="E48" s="15">
        <v>0.6</v>
      </c>
    </row>
    <row r="49" spans="1:5" x14ac:dyDescent="0.4">
      <c r="A49" s="72" t="s">
        <v>21</v>
      </c>
      <c r="B49" s="72" t="s">
        <v>22</v>
      </c>
      <c r="C49" s="72">
        <v>29</v>
      </c>
      <c r="D49" s="77">
        <v>4263000</v>
      </c>
      <c r="E49" s="15">
        <v>0.56999999999999995</v>
      </c>
    </row>
    <row r="50" spans="1:5" x14ac:dyDescent="0.4">
      <c r="A50" s="72" t="s">
        <v>11</v>
      </c>
      <c r="B50" s="72" t="s">
        <v>12</v>
      </c>
      <c r="C50" s="72">
        <v>1</v>
      </c>
      <c r="D50" s="77">
        <v>3685000</v>
      </c>
      <c r="E50" s="15">
        <v>0.49</v>
      </c>
    </row>
    <row r="51" spans="1:5" x14ac:dyDescent="0.4">
      <c r="A51" s="72" t="s">
        <v>593</v>
      </c>
      <c r="B51" s="72" t="s">
        <v>594</v>
      </c>
      <c r="C51" s="77">
        <v>51</v>
      </c>
      <c r="D51" s="77">
        <v>1986450</v>
      </c>
      <c r="E51" s="15">
        <v>0.26</v>
      </c>
    </row>
    <row r="52" spans="1:5" x14ac:dyDescent="0.4">
      <c r="A52" s="72" t="s">
        <v>347</v>
      </c>
      <c r="B52" s="72" t="s">
        <v>348</v>
      </c>
      <c r="C52" s="77">
        <v>10</v>
      </c>
      <c r="D52" s="77">
        <v>1292000</v>
      </c>
      <c r="E52" s="15">
        <v>0.17</v>
      </c>
    </row>
    <row r="53" spans="1:5" x14ac:dyDescent="0.4">
      <c r="A53" s="72"/>
      <c r="B53" s="72" t="s">
        <v>10</v>
      </c>
      <c r="C53" s="77">
        <v>-234685</v>
      </c>
      <c r="D53" s="77">
        <v>-234685</v>
      </c>
      <c r="E53" s="15"/>
    </row>
    <row r="54" spans="1:5" x14ac:dyDescent="0.4">
      <c r="C54" s="13"/>
      <c r="D54" s="13"/>
      <c r="E54" s="72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5159</v>
      </c>
      <c r="B8" s="6"/>
      <c r="C8" s="6"/>
      <c r="D8" s="6"/>
      <c r="E8" s="14"/>
    </row>
    <row r="9" spans="1:7" x14ac:dyDescent="0.4">
      <c r="A9" s="74" t="s">
        <v>5161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45</v>
      </c>
      <c r="B11" s="73" t="s">
        <v>46</v>
      </c>
      <c r="C11" s="75">
        <v>72</v>
      </c>
      <c r="D11" s="75">
        <v>8949600</v>
      </c>
      <c r="E11" s="19">
        <v>12.28</v>
      </c>
      <c r="F11" s="17"/>
      <c r="G11" s="17"/>
    </row>
    <row r="12" spans="1:7" x14ac:dyDescent="0.4">
      <c r="A12" s="72" t="s">
        <v>35</v>
      </c>
      <c r="B12" s="73" t="s">
        <v>36</v>
      </c>
      <c r="C12" s="75">
        <v>60</v>
      </c>
      <c r="D12" s="75">
        <v>8088000</v>
      </c>
      <c r="E12" s="19">
        <v>11.1</v>
      </c>
      <c r="F12" s="17"/>
      <c r="G12" s="17"/>
    </row>
    <row r="13" spans="1:7" x14ac:dyDescent="0.4">
      <c r="A13" s="72" t="s">
        <v>41</v>
      </c>
      <c r="B13" s="73" t="s">
        <v>42</v>
      </c>
      <c r="C13" s="73">
        <v>51</v>
      </c>
      <c r="D13" s="75">
        <v>4748100</v>
      </c>
      <c r="E13" s="19">
        <v>6.52</v>
      </c>
      <c r="F13" s="17"/>
      <c r="G13" s="17"/>
    </row>
    <row r="14" spans="1:7" x14ac:dyDescent="0.4">
      <c r="A14" s="72" t="s">
        <v>37</v>
      </c>
      <c r="B14" s="73" t="s">
        <v>38</v>
      </c>
      <c r="C14" s="75">
        <v>50</v>
      </c>
      <c r="D14" s="75">
        <v>4720000</v>
      </c>
      <c r="E14" s="19">
        <v>6.48</v>
      </c>
      <c r="F14" s="17"/>
      <c r="G14" s="17"/>
    </row>
    <row r="15" spans="1:7" x14ac:dyDescent="0.4">
      <c r="A15" s="72" t="s">
        <v>33</v>
      </c>
      <c r="B15" s="73" t="s">
        <v>34</v>
      </c>
      <c r="C15" s="73">
        <v>21</v>
      </c>
      <c r="D15" s="75">
        <v>3490200</v>
      </c>
      <c r="E15" s="19">
        <v>4.79</v>
      </c>
      <c r="F15" s="17"/>
      <c r="G15" s="17"/>
    </row>
    <row r="16" spans="1:7" x14ac:dyDescent="0.4">
      <c r="A16" s="72" t="s">
        <v>31</v>
      </c>
      <c r="B16" s="73" t="s">
        <v>32</v>
      </c>
      <c r="C16" s="75">
        <v>10</v>
      </c>
      <c r="D16" s="75">
        <v>3470000</v>
      </c>
      <c r="E16" s="19">
        <v>4.76</v>
      </c>
      <c r="F16" s="17"/>
      <c r="G16" s="17"/>
    </row>
    <row r="17" spans="1:7" x14ac:dyDescent="0.4">
      <c r="A17" s="72" t="s">
        <v>49</v>
      </c>
      <c r="B17" s="72" t="s">
        <v>50</v>
      </c>
      <c r="C17" s="77">
        <v>28</v>
      </c>
      <c r="D17" s="77">
        <v>3449600</v>
      </c>
      <c r="E17" s="15">
        <v>4.7300000000000004</v>
      </c>
    </row>
    <row r="18" spans="1:7" x14ac:dyDescent="0.4">
      <c r="A18" s="72" t="s">
        <v>647</v>
      </c>
      <c r="B18" s="73" t="s">
        <v>648</v>
      </c>
      <c r="C18" s="75">
        <v>62</v>
      </c>
      <c r="D18" s="75">
        <v>3286000</v>
      </c>
      <c r="E18" s="19">
        <v>4.51</v>
      </c>
      <c r="F18" s="17"/>
      <c r="G18" s="17"/>
    </row>
    <row r="19" spans="1:7" x14ac:dyDescent="0.4">
      <c r="A19" s="72" t="s">
        <v>51</v>
      </c>
      <c r="B19" s="72" t="s">
        <v>52</v>
      </c>
      <c r="C19" s="76">
        <v>67</v>
      </c>
      <c r="D19" s="77">
        <v>2887700</v>
      </c>
      <c r="E19" s="15">
        <v>3.96</v>
      </c>
    </row>
    <row r="20" spans="1:7" x14ac:dyDescent="0.4">
      <c r="A20" s="72" t="s">
        <v>53</v>
      </c>
      <c r="B20" s="72" t="s">
        <v>54</v>
      </c>
      <c r="C20" s="76">
        <v>7</v>
      </c>
      <c r="D20" s="77">
        <v>2877000</v>
      </c>
      <c r="E20" s="15">
        <v>3.95</v>
      </c>
    </row>
    <row r="21" spans="1:7" x14ac:dyDescent="0.4">
      <c r="A21" s="72" t="s">
        <v>559</v>
      </c>
      <c r="B21" s="72" t="s">
        <v>560</v>
      </c>
      <c r="C21" s="77">
        <v>2</v>
      </c>
      <c r="D21" s="77">
        <v>2572000</v>
      </c>
      <c r="E21" s="15">
        <v>3.53</v>
      </c>
    </row>
    <row r="22" spans="1:7" x14ac:dyDescent="0.4">
      <c r="A22" s="72" t="s">
        <v>39</v>
      </c>
      <c r="B22" s="72" t="s">
        <v>40</v>
      </c>
      <c r="C22" s="76">
        <v>12</v>
      </c>
      <c r="D22" s="77">
        <v>2484000</v>
      </c>
      <c r="E22" s="15">
        <v>3.41</v>
      </c>
    </row>
    <row r="23" spans="1:7" x14ac:dyDescent="0.4">
      <c r="A23" s="72" t="s">
        <v>607</v>
      </c>
      <c r="B23" s="72" t="s">
        <v>608</v>
      </c>
      <c r="C23" s="76">
        <v>26</v>
      </c>
      <c r="D23" s="77">
        <v>2412800</v>
      </c>
      <c r="E23" s="15">
        <v>3.31</v>
      </c>
    </row>
    <row r="24" spans="1:7" x14ac:dyDescent="0.4">
      <c r="A24" s="72" t="s">
        <v>57</v>
      </c>
      <c r="B24" s="72" t="s">
        <v>58</v>
      </c>
      <c r="C24" s="76">
        <v>43</v>
      </c>
      <c r="D24" s="77">
        <v>1745800</v>
      </c>
      <c r="E24" s="15">
        <v>2.4</v>
      </c>
    </row>
    <row r="25" spans="1:7" x14ac:dyDescent="0.4">
      <c r="A25" s="72" t="s">
        <v>537</v>
      </c>
      <c r="B25" s="72" t="s">
        <v>538</v>
      </c>
      <c r="C25" s="77">
        <v>22</v>
      </c>
      <c r="D25" s="77">
        <v>1564200</v>
      </c>
      <c r="E25" s="15">
        <v>2.15</v>
      </c>
    </row>
    <row r="26" spans="1:7" x14ac:dyDescent="0.4">
      <c r="A26" s="72" t="s">
        <v>1062</v>
      </c>
      <c r="B26" s="72" t="s">
        <v>1063</v>
      </c>
      <c r="C26" s="77">
        <v>331</v>
      </c>
      <c r="D26" s="77">
        <v>1431575</v>
      </c>
      <c r="E26" s="15">
        <v>1.96</v>
      </c>
    </row>
    <row r="27" spans="1:7" x14ac:dyDescent="0.4">
      <c r="A27" s="72" t="s">
        <v>5077</v>
      </c>
      <c r="B27" s="72" t="s">
        <v>5078</v>
      </c>
      <c r="C27" s="77">
        <v>83</v>
      </c>
      <c r="D27" s="77">
        <v>1318040</v>
      </c>
      <c r="E27" s="15">
        <v>1.81</v>
      </c>
    </row>
    <row r="28" spans="1:7" x14ac:dyDescent="0.4">
      <c r="A28" s="72" t="s">
        <v>637</v>
      </c>
      <c r="B28" s="72" t="s">
        <v>638</v>
      </c>
      <c r="C28" s="77">
        <v>27</v>
      </c>
      <c r="D28" s="77">
        <v>1247400</v>
      </c>
      <c r="E28" s="15">
        <v>1.71</v>
      </c>
    </row>
    <row r="29" spans="1:7" x14ac:dyDescent="0.4">
      <c r="A29" s="72" t="s">
        <v>681</v>
      </c>
      <c r="B29" s="72" t="s">
        <v>682</v>
      </c>
      <c r="C29" s="77">
        <v>5</v>
      </c>
      <c r="D29" s="77">
        <v>1187500</v>
      </c>
      <c r="E29" s="15">
        <v>1.63</v>
      </c>
    </row>
    <row r="30" spans="1:7" x14ac:dyDescent="0.4">
      <c r="A30" s="72" t="s">
        <v>4284</v>
      </c>
      <c r="B30" s="72" t="s">
        <v>4285</v>
      </c>
      <c r="C30" s="76">
        <v>44</v>
      </c>
      <c r="D30" s="77">
        <v>1049400</v>
      </c>
      <c r="E30" s="15">
        <v>1.44</v>
      </c>
    </row>
    <row r="31" spans="1:7" x14ac:dyDescent="0.4">
      <c r="A31" s="72" t="s">
        <v>43</v>
      </c>
      <c r="B31" s="72" t="s">
        <v>44</v>
      </c>
      <c r="C31" s="72">
        <v>11</v>
      </c>
      <c r="D31" s="77">
        <v>973500</v>
      </c>
      <c r="E31" s="15">
        <v>1.34</v>
      </c>
    </row>
    <row r="32" spans="1:7" x14ac:dyDescent="0.4">
      <c r="A32" s="72" t="s">
        <v>563</v>
      </c>
      <c r="B32" s="72" t="s">
        <v>564</v>
      </c>
      <c r="C32" s="77">
        <v>31</v>
      </c>
      <c r="D32" s="77">
        <v>920700</v>
      </c>
      <c r="E32" s="15">
        <v>1.26</v>
      </c>
    </row>
    <row r="33" spans="1:5" x14ac:dyDescent="0.4">
      <c r="A33" s="72" t="s">
        <v>67</v>
      </c>
      <c r="B33" s="72" t="s">
        <v>68</v>
      </c>
      <c r="C33" s="77">
        <v>21</v>
      </c>
      <c r="D33" s="77">
        <v>852600</v>
      </c>
      <c r="E33" s="15">
        <v>1.17</v>
      </c>
    </row>
    <row r="34" spans="1:5" x14ac:dyDescent="0.4">
      <c r="A34" s="72" t="s">
        <v>4794</v>
      </c>
      <c r="B34" s="72" t="s">
        <v>4795</v>
      </c>
      <c r="C34" s="72">
        <v>98</v>
      </c>
      <c r="D34" s="77">
        <v>729120</v>
      </c>
      <c r="E34" s="15">
        <v>1</v>
      </c>
    </row>
    <row r="35" spans="1:5" x14ac:dyDescent="0.4">
      <c r="A35" s="72" t="s">
        <v>4635</v>
      </c>
      <c r="B35" s="72" t="s">
        <v>4636</v>
      </c>
      <c r="C35" s="77">
        <v>51</v>
      </c>
      <c r="D35" s="77">
        <v>704820</v>
      </c>
      <c r="E35" s="15">
        <v>0.97</v>
      </c>
    </row>
    <row r="36" spans="1:5" x14ac:dyDescent="0.4">
      <c r="A36" s="72" t="s">
        <v>4546</v>
      </c>
      <c r="B36" s="72" t="s">
        <v>4547</v>
      </c>
      <c r="C36" s="77">
        <v>34</v>
      </c>
      <c r="D36" s="77">
        <v>460700</v>
      </c>
      <c r="E36" s="15">
        <v>0.63</v>
      </c>
    </row>
    <row r="37" spans="1:5" x14ac:dyDescent="0.4">
      <c r="A37" s="72" t="s">
        <v>693</v>
      </c>
      <c r="B37" s="72" t="s">
        <v>694</v>
      </c>
      <c r="C37" s="77">
        <v>33</v>
      </c>
      <c r="D37" s="77">
        <v>344850</v>
      </c>
      <c r="E37" s="15">
        <v>0.47</v>
      </c>
    </row>
    <row r="38" spans="1:5" x14ac:dyDescent="0.4">
      <c r="A38" s="72" t="s">
        <v>4481</v>
      </c>
      <c r="B38" s="72" t="s">
        <v>4482</v>
      </c>
      <c r="C38" s="77">
        <v>52</v>
      </c>
      <c r="D38" s="77">
        <v>268840</v>
      </c>
      <c r="E38" s="15">
        <v>0.37</v>
      </c>
    </row>
    <row r="39" spans="1:5" x14ac:dyDescent="0.4">
      <c r="A39" s="72" t="s">
        <v>565</v>
      </c>
      <c r="B39" s="72" t="s">
        <v>566</v>
      </c>
      <c r="C39" s="77">
        <v>4</v>
      </c>
      <c r="D39" s="77">
        <v>197600</v>
      </c>
      <c r="E39" s="15">
        <v>0.27</v>
      </c>
    </row>
    <row r="40" spans="1:5" x14ac:dyDescent="0.4">
      <c r="A40" s="72" t="s">
        <v>4776</v>
      </c>
      <c r="B40" s="72" t="s">
        <v>4777</v>
      </c>
      <c r="C40" s="77">
        <v>56</v>
      </c>
      <c r="D40" s="77">
        <v>161280</v>
      </c>
      <c r="E40" s="15">
        <v>0.22</v>
      </c>
    </row>
    <row r="41" spans="1:5" x14ac:dyDescent="0.4">
      <c r="A41" s="72"/>
      <c r="B41" s="72" t="s">
        <v>10</v>
      </c>
      <c r="C41" s="77">
        <v>4267499</v>
      </c>
      <c r="D41" s="77">
        <v>4267499</v>
      </c>
      <c r="E41" s="15">
        <v>5.86</v>
      </c>
    </row>
    <row r="42" spans="1:5" x14ac:dyDescent="0.4">
      <c r="C42" s="13"/>
      <c r="D42" s="13"/>
      <c r="E42" s="72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5159</v>
      </c>
      <c r="B8" s="6"/>
      <c r="C8" s="6"/>
      <c r="D8" s="6"/>
      <c r="E8" s="14"/>
    </row>
    <row r="9" spans="1:5" x14ac:dyDescent="0.4">
      <c r="A9" s="74" t="s">
        <v>5161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45</v>
      </c>
      <c r="B11" s="72" t="s">
        <v>46</v>
      </c>
      <c r="C11" s="77">
        <v>72</v>
      </c>
      <c r="D11" s="77">
        <v>12607200</v>
      </c>
      <c r="E11" s="15">
        <v>14.69</v>
      </c>
    </row>
    <row r="12" spans="1:5" x14ac:dyDescent="0.4">
      <c r="A12" s="72" t="s">
        <v>35</v>
      </c>
      <c r="B12" s="72" t="s">
        <v>36</v>
      </c>
      <c r="C12" s="76">
        <v>60</v>
      </c>
      <c r="D12" s="77">
        <v>9066000</v>
      </c>
      <c r="E12" s="15">
        <v>10.56</v>
      </c>
    </row>
    <row r="13" spans="1:5" x14ac:dyDescent="0.4">
      <c r="A13" s="72" t="s">
        <v>41</v>
      </c>
      <c r="B13" s="72" t="s">
        <v>42</v>
      </c>
      <c r="C13" s="72">
        <v>51</v>
      </c>
      <c r="D13" s="77">
        <v>5706900</v>
      </c>
      <c r="E13" s="15">
        <v>6.65</v>
      </c>
    </row>
    <row r="14" spans="1:5" x14ac:dyDescent="0.4">
      <c r="A14" s="72" t="s">
        <v>37</v>
      </c>
      <c r="B14" s="72" t="s">
        <v>38</v>
      </c>
      <c r="C14" s="72">
        <v>50</v>
      </c>
      <c r="D14" s="77">
        <v>4730000</v>
      </c>
      <c r="E14" s="15">
        <v>5.51</v>
      </c>
    </row>
    <row r="15" spans="1:5" x14ac:dyDescent="0.4">
      <c r="A15" s="72" t="s">
        <v>647</v>
      </c>
      <c r="B15" s="72" t="s">
        <v>648</v>
      </c>
      <c r="C15" s="76">
        <v>68</v>
      </c>
      <c r="D15" s="77">
        <v>4250000</v>
      </c>
      <c r="E15" s="15">
        <v>4.95</v>
      </c>
    </row>
    <row r="16" spans="1:5" x14ac:dyDescent="0.4">
      <c r="A16" s="72" t="s">
        <v>51</v>
      </c>
      <c r="B16" s="72" t="s">
        <v>52</v>
      </c>
      <c r="C16" s="76">
        <v>66</v>
      </c>
      <c r="D16" s="77">
        <v>4210800</v>
      </c>
      <c r="E16" s="15">
        <v>4.91</v>
      </c>
    </row>
    <row r="17" spans="1:5" x14ac:dyDescent="0.4">
      <c r="A17" s="72" t="s">
        <v>53</v>
      </c>
      <c r="B17" s="72" t="s">
        <v>54</v>
      </c>
      <c r="C17" s="76">
        <v>8</v>
      </c>
      <c r="D17" s="77">
        <v>3928000</v>
      </c>
      <c r="E17" s="15">
        <v>4.58</v>
      </c>
    </row>
    <row r="18" spans="1:5" x14ac:dyDescent="0.4">
      <c r="A18" s="72" t="s">
        <v>33</v>
      </c>
      <c r="B18" s="72" t="s">
        <v>34</v>
      </c>
      <c r="C18" s="77">
        <v>20</v>
      </c>
      <c r="D18" s="77">
        <v>3858000</v>
      </c>
      <c r="E18" s="15">
        <v>4.5</v>
      </c>
    </row>
    <row r="19" spans="1:5" x14ac:dyDescent="0.4">
      <c r="A19" s="72" t="s">
        <v>49</v>
      </c>
      <c r="B19" s="72" t="s">
        <v>50</v>
      </c>
      <c r="C19" s="77">
        <v>28</v>
      </c>
      <c r="D19" s="77">
        <v>3754800</v>
      </c>
      <c r="E19" s="15">
        <v>4.38</v>
      </c>
    </row>
    <row r="20" spans="1:5" x14ac:dyDescent="0.4">
      <c r="A20" s="72" t="s">
        <v>31</v>
      </c>
      <c r="B20" s="72" t="s">
        <v>32</v>
      </c>
      <c r="C20" s="72">
        <v>10</v>
      </c>
      <c r="D20" s="77">
        <v>3690000</v>
      </c>
      <c r="E20" s="15">
        <v>4.3</v>
      </c>
    </row>
    <row r="21" spans="1:5" x14ac:dyDescent="0.4">
      <c r="A21" s="72" t="s">
        <v>39</v>
      </c>
      <c r="B21" s="72" t="s">
        <v>40</v>
      </c>
      <c r="C21" s="77">
        <v>12</v>
      </c>
      <c r="D21" s="77">
        <v>3444000</v>
      </c>
      <c r="E21" s="15">
        <v>4.01</v>
      </c>
    </row>
    <row r="22" spans="1:5" x14ac:dyDescent="0.4">
      <c r="A22" s="72" t="s">
        <v>607</v>
      </c>
      <c r="B22" s="72" t="s">
        <v>608</v>
      </c>
      <c r="C22" s="72">
        <v>23</v>
      </c>
      <c r="D22" s="77">
        <v>2900300</v>
      </c>
      <c r="E22" s="15">
        <v>3.38</v>
      </c>
    </row>
    <row r="23" spans="1:5" x14ac:dyDescent="0.4">
      <c r="A23" s="72" t="s">
        <v>559</v>
      </c>
      <c r="B23" s="72" t="s">
        <v>560</v>
      </c>
      <c r="C23" s="76">
        <v>2</v>
      </c>
      <c r="D23" s="77">
        <v>2726000</v>
      </c>
      <c r="E23" s="15">
        <v>3.18</v>
      </c>
    </row>
    <row r="24" spans="1:5" x14ac:dyDescent="0.4">
      <c r="A24" s="72" t="s">
        <v>681</v>
      </c>
      <c r="B24" s="72" t="s">
        <v>682</v>
      </c>
      <c r="C24" s="76">
        <v>7</v>
      </c>
      <c r="D24" s="77">
        <v>2107000</v>
      </c>
      <c r="E24" s="15">
        <v>2.46</v>
      </c>
    </row>
    <row r="25" spans="1:5" x14ac:dyDescent="0.4">
      <c r="A25" s="72" t="s">
        <v>57</v>
      </c>
      <c r="B25" s="72" t="s">
        <v>58</v>
      </c>
      <c r="C25" s="77">
        <v>43</v>
      </c>
      <c r="D25" s="77">
        <v>1808150</v>
      </c>
      <c r="E25" s="15">
        <v>2.11</v>
      </c>
    </row>
    <row r="26" spans="1:5" x14ac:dyDescent="0.4">
      <c r="A26" s="72" t="s">
        <v>1062</v>
      </c>
      <c r="B26" s="72" t="s">
        <v>1063</v>
      </c>
      <c r="C26" s="72">
        <v>331</v>
      </c>
      <c r="D26" s="77">
        <v>1607005</v>
      </c>
      <c r="E26" s="15">
        <v>1.87</v>
      </c>
    </row>
    <row r="27" spans="1:5" x14ac:dyDescent="0.4">
      <c r="A27" s="72" t="s">
        <v>5077</v>
      </c>
      <c r="B27" s="72" t="s">
        <v>5078</v>
      </c>
      <c r="C27" s="77">
        <v>83</v>
      </c>
      <c r="D27" s="77">
        <v>1581150</v>
      </c>
      <c r="E27" s="15">
        <v>1.84</v>
      </c>
    </row>
    <row r="28" spans="1:5" x14ac:dyDescent="0.4">
      <c r="A28" s="72" t="s">
        <v>637</v>
      </c>
      <c r="B28" s="72" t="s">
        <v>638</v>
      </c>
      <c r="C28" s="72">
        <v>27</v>
      </c>
      <c r="D28" s="77">
        <v>1571400</v>
      </c>
      <c r="E28" s="15">
        <v>1.83</v>
      </c>
    </row>
    <row r="29" spans="1:5" x14ac:dyDescent="0.4">
      <c r="A29" s="72" t="s">
        <v>537</v>
      </c>
      <c r="B29" s="72" t="s">
        <v>538</v>
      </c>
      <c r="C29" s="77">
        <v>18</v>
      </c>
      <c r="D29" s="77">
        <v>1220400</v>
      </c>
      <c r="E29" s="15">
        <v>1.42</v>
      </c>
    </row>
    <row r="30" spans="1:5" x14ac:dyDescent="0.4">
      <c r="A30" s="72" t="s">
        <v>4284</v>
      </c>
      <c r="B30" s="72" t="s">
        <v>4285</v>
      </c>
      <c r="C30" s="77">
        <v>44</v>
      </c>
      <c r="D30" s="77">
        <v>1194600</v>
      </c>
      <c r="E30" s="15">
        <v>1.39</v>
      </c>
    </row>
    <row r="31" spans="1:5" x14ac:dyDescent="0.4">
      <c r="A31" s="72" t="s">
        <v>563</v>
      </c>
      <c r="B31" s="72" t="s">
        <v>564</v>
      </c>
      <c r="C31" s="77">
        <v>27</v>
      </c>
      <c r="D31" s="77">
        <v>1013850</v>
      </c>
      <c r="E31" s="15">
        <v>1.18</v>
      </c>
    </row>
    <row r="32" spans="1:5" x14ac:dyDescent="0.4">
      <c r="A32" s="72" t="s">
        <v>67</v>
      </c>
      <c r="B32" s="72" t="s">
        <v>68</v>
      </c>
      <c r="C32" s="77">
        <v>21</v>
      </c>
      <c r="D32" s="77">
        <v>874650</v>
      </c>
      <c r="E32" s="15">
        <v>1.02</v>
      </c>
    </row>
    <row r="33" spans="1:5" x14ac:dyDescent="0.4">
      <c r="A33" s="72" t="s">
        <v>4794</v>
      </c>
      <c r="B33" s="72" t="s">
        <v>4795</v>
      </c>
      <c r="C33" s="72">
        <v>98</v>
      </c>
      <c r="D33" s="77">
        <v>865340</v>
      </c>
      <c r="E33" s="15">
        <v>1.01</v>
      </c>
    </row>
    <row r="34" spans="1:5" x14ac:dyDescent="0.4">
      <c r="A34" s="72" t="s">
        <v>4635</v>
      </c>
      <c r="B34" s="72" t="s">
        <v>4636</v>
      </c>
      <c r="C34" s="77">
        <v>51</v>
      </c>
      <c r="D34" s="77">
        <v>738480</v>
      </c>
      <c r="E34" s="15">
        <v>0.86</v>
      </c>
    </row>
    <row r="35" spans="1:5" x14ac:dyDescent="0.4">
      <c r="A35" s="72" t="s">
        <v>43</v>
      </c>
      <c r="B35" s="72" t="s">
        <v>44</v>
      </c>
      <c r="C35" s="72">
        <v>8</v>
      </c>
      <c r="D35" s="77">
        <v>717600</v>
      </c>
      <c r="E35" s="15">
        <v>0.84</v>
      </c>
    </row>
    <row r="36" spans="1:5" x14ac:dyDescent="0.4">
      <c r="A36" s="72" t="s">
        <v>4546</v>
      </c>
      <c r="B36" s="72" t="s">
        <v>4547</v>
      </c>
      <c r="C36" s="77">
        <v>34</v>
      </c>
      <c r="D36" s="77">
        <v>574260</v>
      </c>
      <c r="E36" s="15">
        <v>0.67</v>
      </c>
    </row>
    <row r="37" spans="1:5" x14ac:dyDescent="0.4">
      <c r="A37" s="72" t="s">
        <v>693</v>
      </c>
      <c r="B37" s="72" t="s">
        <v>694</v>
      </c>
      <c r="C37" s="77">
        <v>33</v>
      </c>
      <c r="D37" s="77">
        <v>406560</v>
      </c>
      <c r="E37" s="15">
        <v>0.47</v>
      </c>
    </row>
    <row r="38" spans="1:5" x14ac:dyDescent="0.4">
      <c r="A38" s="72" t="s">
        <v>4481</v>
      </c>
      <c r="B38" s="72" t="s">
        <v>4482</v>
      </c>
      <c r="C38" s="77">
        <v>52</v>
      </c>
      <c r="D38" s="77">
        <v>364520</v>
      </c>
      <c r="E38" s="15">
        <v>0.42</v>
      </c>
    </row>
    <row r="39" spans="1:5" x14ac:dyDescent="0.4">
      <c r="A39" s="72" t="s">
        <v>565</v>
      </c>
      <c r="B39" s="72" t="s">
        <v>566</v>
      </c>
      <c r="C39" s="72">
        <v>4</v>
      </c>
      <c r="D39" s="77">
        <v>229200</v>
      </c>
      <c r="E39" s="15">
        <v>0.27</v>
      </c>
    </row>
    <row r="40" spans="1:5" x14ac:dyDescent="0.4">
      <c r="A40" s="72" t="s">
        <v>4776</v>
      </c>
      <c r="B40" s="72" t="s">
        <v>4777</v>
      </c>
      <c r="C40" s="77">
        <v>56</v>
      </c>
      <c r="D40" s="77">
        <v>194880</v>
      </c>
      <c r="E40" s="15">
        <v>0.23</v>
      </c>
    </row>
    <row r="41" spans="1:5" x14ac:dyDescent="0.4">
      <c r="A41" s="72"/>
      <c r="B41" s="72" t="s">
        <v>10</v>
      </c>
      <c r="C41" s="77">
        <v>3872791</v>
      </c>
      <c r="D41" s="77">
        <v>3872791</v>
      </c>
      <c r="E41" s="15">
        <v>4.51</v>
      </c>
    </row>
    <row r="42" spans="1:5" x14ac:dyDescent="0.4">
      <c r="D42" s="13"/>
      <c r="E42" s="72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E16" zoomScale="115" zoomScaleNormal="1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4" t="s">
        <v>663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31</v>
      </c>
      <c r="B11" s="73" t="s">
        <v>32</v>
      </c>
      <c r="C11" s="75">
        <v>220</v>
      </c>
      <c r="D11" s="75">
        <v>76340000</v>
      </c>
      <c r="E11" s="19">
        <v>10.85</v>
      </c>
      <c r="F11" s="17"/>
      <c r="G11" s="17"/>
    </row>
    <row r="12" spans="1:7" x14ac:dyDescent="0.4">
      <c r="A12" s="72" t="s">
        <v>33</v>
      </c>
      <c r="B12" s="73" t="s">
        <v>34</v>
      </c>
      <c r="C12" s="76">
        <v>420</v>
      </c>
      <c r="D12" s="77">
        <v>69804000</v>
      </c>
      <c r="E12" s="15">
        <v>9.93</v>
      </c>
    </row>
    <row r="13" spans="1:7" x14ac:dyDescent="0.4">
      <c r="A13" s="72" t="s">
        <v>559</v>
      </c>
      <c r="B13" s="72" t="s">
        <v>560</v>
      </c>
      <c r="C13" s="72">
        <v>40</v>
      </c>
      <c r="D13" s="77">
        <v>51440000</v>
      </c>
      <c r="E13" s="15">
        <v>7.31</v>
      </c>
    </row>
    <row r="14" spans="1:7" x14ac:dyDescent="0.4">
      <c r="A14" s="72" t="s">
        <v>53</v>
      </c>
      <c r="B14" s="73" t="s">
        <v>54</v>
      </c>
      <c r="C14" s="73">
        <v>120</v>
      </c>
      <c r="D14" s="75">
        <v>49320000</v>
      </c>
      <c r="E14" s="19">
        <v>7.01</v>
      </c>
      <c r="F14" s="17"/>
      <c r="G14" s="17"/>
    </row>
    <row r="15" spans="1:7" x14ac:dyDescent="0.4">
      <c r="A15" s="72" t="s">
        <v>45</v>
      </c>
      <c r="B15" s="73" t="s">
        <v>46</v>
      </c>
      <c r="C15" s="76">
        <v>348</v>
      </c>
      <c r="D15" s="77">
        <v>43256400</v>
      </c>
      <c r="E15" s="15">
        <v>6.15</v>
      </c>
    </row>
    <row r="16" spans="1:7" x14ac:dyDescent="0.4">
      <c r="A16" s="72" t="s">
        <v>35</v>
      </c>
      <c r="B16" s="72" t="s">
        <v>36</v>
      </c>
      <c r="C16" s="76">
        <v>300</v>
      </c>
      <c r="D16" s="77">
        <v>40440000</v>
      </c>
      <c r="E16" s="15">
        <v>5.75</v>
      </c>
    </row>
    <row r="17" spans="1:7" x14ac:dyDescent="0.4">
      <c r="A17" s="72" t="s">
        <v>49</v>
      </c>
      <c r="B17" s="73" t="s">
        <v>50</v>
      </c>
      <c r="C17" s="76">
        <v>250</v>
      </c>
      <c r="D17" s="77">
        <v>30800000</v>
      </c>
      <c r="E17" s="15">
        <v>4.38</v>
      </c>
    </row>
    <row r="18" spans="1:7" x14ac:dyDescent="0.4">
      <c r="A18" s="72" t="s">
        <v>37</v>
      </c>
      <c r="B18" s="72" t="s">
        <v>38</v>
      </c>
      <c r="C18" s="77">
        <v>300</v>
      </c>
      <c r="D18" s="77">
        <v>28320000</v>
      </c>
      <c r="E18" s="15">
        <v>4.03</v>
      </c>
    </row>
    <row r="19" spans="1:7" x14ac:dyDescent="0.4">
      <c r="A19" s="72" t="s">
        <v>41</v>
      </c>
      <c r="B19" s="73" t="s">
        <v>42</v>
      </c>
      <c r="C19" s="75">
        <v>250</v>
      </c>
      <c r="D19" s="75">
        <v>23275000</v>
      </c>
      <c r="E19" s="19">
        <v>3.31</v>
      </c>
      <c r="F19" s="17"/>
      <c r="G19" s="17"/>
    </row>
    <row r="20" spans="1:7" x14ac:dyDescent="0.4">
      <c r="A20" s="72" t="s">
        <v>51</v>
      </c>
      <c r="B20" s="72" t="s">
        <v>52</v>
      </c>
      <c r="C20" s="72">
        <v>476</v>
      </c>
      <c r="D20" s="77">
        <v>20515600</v>
      </c>
      <c r="E20" s="15">
        <v>2.92</v>
      </c>
    </row>
    <row r="21" spans="1:7" x14ac:dyDescent="0.4">
      <c r="A21" s="72" t="s">
        <v>561</v>
      </c>
      <c r="B21" s="72" t="s">
        <v>562</v>
      </c>
      <c r="C21" s="77">
        <v>40</v>
      </c>
      <c r="D21" s="77">
        <v>17360000</v>
      </c>
      <c r="E21" s="15">
        <v>2.4700000000000002</v>
      </c>
    </row>
    <row r="22" spans="1:7" x14ac:dyDescent="0.4">
      <c r="A22" s="72" t="s">
        <v>615</v>
      </c>
      <c r="B22" s="72" t="s">
        <v>616</v>
      </c>
      <c r="C22" s="72">
        <v>400</v>
      </c>
      <c r="D22" s="77">
        <v>17140000</v>
      </c>
      <c r="E22" s="15">
        <v>2.44</v>
      </c>
    </row>
    <row r="23" spans="1:7" x14ac:dyDescent="0.4">
      <c r="A23" s="72" t="s">
        <v>607</v>
      </c>
      <c r="B23" s="72" t="s">
        <v>608</v>
      </c>
      <c r="C23" s="76">
        <v>170</v>
      </c>
      <c r="D23" s="77">
        <v>15776000</v>
      </c>
      <c r="E23" s="15">
        <v>2.2400000000000002</v>
      </c>
    </row>
    <row r="24" spans="1:7" x14ac:dyDescent="0.4">
      <c r="A24" s="72" t="s">
        <v>751</v>
      </c>
      <c r="B24" s="72" t="s">
        <v>752</v>
      </c>
      <c r="C24" s="76">
        <v>200</v>
      </c>
      <c r="D24" s="77">
        <v>15280000</v>
      </c>
      <c r="E24" s="15">
        <v>2.17</v>
      </c>
    </row>
    <row r="25" spans="1:7" x14ac:dyDescent="0.4">
      <c r="A25" s="72" t="s">
        <v>537</v>
      </c>
      <c r="B25" s="72" t="s">
        <v>538</v>
      </c>
      <c r="C25" s="72">
        <v>200</v>
      </c>
      <c r="D25" s="77">
        <v>14220000</v>
      </c>
      <c r="E25" s="15">
        <v>2.02</v>
      </c>
    </row>
    <row r="26" spans="1:7" x14ac:dyDescent="0.4">
      <c r="A26" s="72" t="s">
        <v>664</v>
      </c>
      <c r="B26" s="72" t="s">
        <v>665</v>
      </c>
      <c r="C26" s="72">
        <v>300</v>
      </c>
      <c r="D26" s="77">
        <v>14220000</v>
      </c>
      <c r="E26" s="15">
        <v>2.02</v>
      </c>
    </row>
    <row r="27" spans="1:7" x14ac:dyDescent="0.4">
      <c r="A27" s="72" t="s">
        <v>637</v>
      </c>
      <c r="B27" s="72" t="s">
        <v>638</v>
      </c>
      <c r="C27" s="77">
        <v>300</v>
      </c>
      <c r="D27" s="77">
        <v>13860000</v>
      </c>
      <c r="E27" s="15">
        <v>1.97</v>
      </c>
    </row>
    <row r="28" spans="1:7" x14ac:dyDescent="0.4">
      <c r="A28" s="72" t="s">
        <v>39</v>
      </c>
      <c r="B28" s="73" t="s">
        <v>40</v>
      </c>
      <c r="C28" s="73">
        <v>60</v>
      </c>
      <c r="D28" s="75">
        <v>12420000</v>
      </c>
      <c r="E28" s="19">
        <v>1.77</v>
      </c>
      <c r="F28" s="17"/>
      <c r="G28" s="17"/>
    </row>
    <row r="29" spans="1:7" x14ac:dyDescent="0.4">
      <c r="A29" s="72" t="s">
        <v>55</v>
      </c>
      <c r="B29" s="72" t="s">
        <v>56</v>
      </c>
      <c r="C29" s="72">
        <v>50</v>
      </c>
      <c r="D29" s="77">
        <v>12275000</v>
      </c>
      <c r="E29" s="15">
        <v>1.75</v>
      </c>
    </row>
    <row r="30" spans="1:7" x14ac:dyDescent="0.4">
      <c r="A30" s="72" t="s">
        <v>547</v>
      </c>
      <c r="B30" s="72" t="s">
        <v>548</v>
      </c>
      <c r="C30" s="77">
        <v>276</v>
      </c>
      <c r="D30" s="77">
        <v>12254400</v>
      </c>
      <c r="E30" s="15">
        <v>1.74</v>
      </c>
    </row>
    <row r="31" spans="1:7" x14ac:dyDescent="0.4">
      <c r="A31" s="72" t="s">
        <v>57</v>
      </c>
      <c r="B31" s="72" t="s">
        <v>58</v>
      </c>
      <c r="C31" s="77">
        <v>301</v>
      </c>
      <c r="D31" s="77">
        <v>12220600</v>
      </c>
      <c r="E31" s="15">
        <v>1.74</v>
      </c>
    </row>
    <row r="32" spans="1:7" x14ac:dyDescent="0.4">
      <c r="A32" s="72" t="s">
        <v>681</v>
      </c>
      <c r="B32" s="72" t="s">
        <v>682</v>
      </c>
      <c r="C32" s="77">
        <v>50</v>
      </c>
      <c r="D32" s="77">
        <v>11875000</v>
      </c>
      <c r="E32" s="15">
        <v>1.69</v>
      </c>
    </row>
    <row r="33" spans="1:7" x14ac:dyDescent="0.4">
      <c r="A33" s="72" t="s">
        <v>470</v>
      </c>
      <c r="B33" s="72" t="s">
        <v>5179</v>
      </c>
      <c r="C33" s="72">
        <v>401</v>
      </c>
      <c r="D33" s="77">
        <v>11729250</v>
      </c>
      <c r="E33" s="15">
        <v>1.67</v>
      </c>
    </row>
    <row r="34" spans="1:7" x14ac:dyDescent="0.4">
      <c r="A34" s="72" t="s">
        <v>647</v>
      </c>
      <c r="B34" s="72" t="s">
        <v>648</v>
      </c>
      <c r="C34" s="77">
        <v>200</v>
      </c>
      <c r="D34" s="77">
        <v>10600000</v>
      </c>
      <c r="E34" s="15">
        <v>1.51</v>
      </c>
    </row>
    <row r="35" spans="1:7" x14ac:dyDescent="0.4">
      <c r="A35" s="72" t="s">
        <v>61</v>
      </c>
      <c r="B35" s="73" t="s">
        <v>62</v>
      </c>
      <c r="C35" s="73">
        <v>30</v>
      </c>
      <c r="D35" s="75">
        <v>8655000</v>
      </c>
      <c r="E35" s="19">
        <v>1.23</v>
      </c>
      <c r="F35" s="17"/>
      <c r="G35" s="17"/>
    </row>
    <row r="36" spans="1:7" x14ac:dyDescent="0.4">
      <c r="A36" s="72" t="s">
        <v>687</v>
      </c>
      <c r="B36" s="72" t="s">
        <v>688</v>
      </c>
      <c r="C36" s="77">
        <v>102</v>
      </c>
      <c r="D36" s="77">
        <v>8364000</v>
      </c>
      <c r="E36" s="15">
        <v>1.19</v>
      </c>
    </row>
    <row r="37" spans="1:7" x14ac:dyDescent="0.4">
      <c r="A37" s="72" t="s">
        <v>619</v>
      </c>
      <c r="B37" s="72" t="s">
        <v>620</v>
      </c>
      <c r="C37" s="77">
        <v>201</v>
      </c>
      <c r="D37" s="77">
        <v>8160600</v>
      </c>
      <c r="E37" s="15">
        <v>1.1599999999999999</v>
      </c>
    </row>
    <row r="38" spans="1:7" x14ac:dyDescent="0.4">
      <c r="A38" s="72" t="s">
        <v>59</v>
      </c>
      <c r="B38" s="72" t="s">
        <v>60</v>
      </c>
      <c r="C38" s="77">
        <v>400</v>
      </c>
      <c r="D38" s="77">
        <v>7428000</v>
      </c>
      <c r="E38" s="15">
        <v>1.06</v>
      </c>
    </row>
    <row r="39" spans="1:7" x14ac:dyDescent="0.4">
      <c r="A39" s="72" t="s">
        <v>47</v>
      </c>
      <c r="B39" s="72" t="s">
        <v>48</v>
      </c>
      <c r="C39" s="77">
        <v>194</v>
      </c>
      <c r="D39" s="77">
        <v>6634800</v>
      </c>
      <c r="E39" s="15">
        <v>0.94</v>
      </c>
    </row>
    <row r="40" spans="1:7" x14ac:dyDescent="0.4">
      <c r="A40" s="72" t="s">
        <v>711</v>
      </c>
      <c r="B40" s="72" t="s">
        <v>712</v>
      </c>
      <c r="C40" s="77">
        <v>200</v>
      </c>
      <c r="D40" s="77">
        <v>6440000</v>
      </c>
      <c r="E40" s="15">
        <v>0.92</v>
      </c>
    </row>
    <row r="41" spans="1:7" x14ac:dyDescent="0.4">
      <c r="A41" s="72" t="s">
        <v>689</v>
      </c>
      <c r="B41" s="72" t="s">
        <v>690</v>
      </c>
      <c r="C41" s="77">
        <v>203</v>
      </c>
      <c r="D41" s="77">
        <v>5521600</v>
      </c>
      <c r="E41" s="15">
        <v>0.79</v>
      </c>
    </row>
    <row r="42" spans="1:7" x14ac:dyDescent="0.4">
      <c r="A42" s="72" t="s">
        <v>563</v>
      </c>
      <c r="B42" s="73" t="s">
        <v>564</v>
      </c>
      <c r="C42" s="75">
        <v>150</v>
      </c>
      <c r="D42" s="75">
        <v>4455000</v>
      </c>
      <c r="E42" s="19">
        <v>0.63</v>
      </c>
      <c r="F42" s="17"/>
      <c r="G42" s="17"/>
    </row>
    <row r="43" spans="1:7" x14ac:dyDescent="0.4">
      <c r="A43" s="72" t="s">
        <v>709</v>
      </c>
      <c r="B43" s="73" t="s">
        <v>710</v>
      </c>
      <c r="C43" s="75">
        <v>102</v>
      </c>
      <c r="D43" s="75">
        <v>4258500</v>
      </c>
      <c r="E43" s="19">
        <v>0.61</v>
      </c>
      <c r="F43" s="17"/>
      <c r="G43" s="17"/>
    </row>
    <row r="44" spans="1:7" x14ac:dyDescent="0.4">
      <c r="A44" s="72" t="s">
        <v>743</v>
      </c>
      <c r="B44" s="72" t="s">
        <v>744</v>
      </c>
      <c r="C44" s="72">
        <v>101</v>
      </c>
      <c r="D44" s="77">
        <v>3888500</v>
      </c>
      <c r="E44" s="15">
        <v>0.55000000000000004</v>
      </c>
    </row>
    <row r="45" spans="1:7" x14ac:dyDescent="0.4">
      <c r="A45" s="72" t="s">
        <v>5170</v>
      </c>
      <c r="B45" s="72" t="s">
        <v>5171</v>
      </c>
      <c r="C45" s="77">
        <v>201</v>
      </c>
      <c r="D45" s="77">
        <v>3861210</v>
      </c>
      <c r="E45" s="15">
        <v>0.55000000000000004</v>
      </c>
    </row>
    <row r="46" spans="1:7" x14ac:dyDescent="0.4">
      <c r="A46" s="72" t="s">
        <v>4635</v>
      </c>
      <c r="B46" s="72" t="s">
        <v>4636</v>
      </c>
      <c r="C46" s="77">
        <v>199</v>
      </c>
      <c r="D46" s="77">
        <v>2750180</v>
      </c>
      <c r="E46" s="15">
        <v>0.39</v>
      </c>
    </row>
    <row r="47" spans="1:7" x14ac:dyDescent="0.4">
      <c r="A47" s="72"/>
      <c r="B47" s="72" t="s">
        <v>10</v>
      </c>
      <c r="C47" s="77">
        <v>8152906</v>
      </c>
      <c r="D47" s="77">
        <v>8152906</v>
      </c>
      <c r="E47" s="15">
        <v>1.1599999999999999</v>
      </c>
    </row>
    <row r="48" spans="1:7" x14ac:dyDescent="0.4">
      <c r="C48" s="13"/>
      <c r="D48" s="13"/>
      <c r="E48" s="72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4" t="s">
        <v>663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31</v>
      </c>
      <c r="B11" s="72" t="s">
        <v>32</v>
      </c>
      <c r="C11" s="77">
        <v>220</v>
      </c>
      <c r="D11" s="77">
        <v>81180000</v>
      </c>
      <c r="E11" s="15">
        <v>10.08</v>
      </c>
    </row>
    <row r="12" spans="1:5" x14ac:dyDescent="0.4">
      <c r="A12" s="72" t="s">
        <v>33</v>
      </c>
      <c r="B12" s="72" t="s">
        <v>34</v>
      </c>
      <c r="C12" s="76">
        <v>400</v>
      </c>
      <c r="D12" s="77">
        <v>77160000</v>
      </c>
      <c r="E12" s="15">
        <v>9.58</v>
      </c>
    </row>
    <row r="13" spans="1:5" x14ac:dyDescent="0.4">
      <c r="A13" s="72" t="s">
        <v>45</v>
      </c>
      <c r="B13" s="72" t="s">
        <v>46</v>
      </c>
      <c r="C13" s="72">
        <v>348</v>
      </c>
      <c r="D13" s="77">
        <v>60934800</v>
      </c>
      <c r="E13" s="15">
        <v>7.57</v>
      </c>
    </row>
    <row r="14" spans="1:5" x14ac:dyDescent="0.4">
      <c r="A14" s="72" t="s">
        <v>53</v>
      </c>
      <c r="B14" s="72" t="s">
        <v>54</v>
      </c>
      <c r="C14" s="72">
        <v>120</v>
      </c>
      <c r="D14" s="77">
        <v>58920000</v>
      </c>
      <c r="E14" s="15">
        <v>7.32</v>
      </c>
    </row>
    <row r="15" spans="1:5" x14ac:dyDescent="0.4">
      <c r="A15" s="72" t="s">
        <v>559</v>
      </c>
      <c r="B15" s="72" t="s">
        <v>560</v>
      </c>
      <c r="C15" s="76">
        <v>40</v>
      </c>
      <c r="D15" s="77">
        <v>54520000</v>
      </c>
      <c r="E15" s="15">
        <v>6.77</v>
      </c>
    </row>
    <row r="16" spans="1:5" x14ac:dyDescent="0.4">
      <c r="A16" s="72" t="s">
        <v>35</v>
      </c>
      <c r="B16" s="72" t="s">
        <v>36</v>
      </c>
      <c r="C16" s="76">
        <v>300</v>
      </c>
      <c r="D16" s="77">
        <v>45330000</v>
      </c>
      <c r="E16" s="15">
        <v>5.63</v>
      </c>
    </row>
    <row r="17" spans="1:5" x14ac:dyDescent="0.4">
      <c r="A17" s="72" t="s">
        <v>49</v>
      </c>
      <c r="B17" s="72" t="s">
        <v>50</v>
      </c>
      <c r="C17" s="76">
        <v>250</v>
      </c>
      <c r="D17" s="77">
        <v>33525000</v>
      </c>
      <c r="E17" s="15">
        <v>4.16</v>
      </c>
    </row>
    <row r="18" spans="1:5" x14ac:dyDescent="0.4">
      <c r="A18" s="72" t="s">
        <v>51</v>
      </c>
      <c r="B18" s="72" t="s">
        <v>52</v>
      </c>
      <c r="C18" s="77">
        <v>476</v>
      </c>
      <c r="D18" s="77">
        <v>30368800</v>
      </c>
      <c r="E18" s="15">
        <v>3.77</v>
      </c>
    </row>
    <row r="19" spans="1:5" x14ac:dyDescent="0.4">
      <c r="A19" s="72" t="s">
        <v>37</v>
      </c>
      <c r="B19" s="72" t="s">
        <v>38</v>
      </c>
      <c r="C19" s="77">
        <v>300</v>
      </c>
      <c r="D19" s="77">
        <v>28380000</v>
      </c>
      <c r="E19" s="15">
        <v>3.52</v>
      </c>
    </row>
    <row r="20" spans="1:5" x14ac:dyDescent="0.4">
      <c r="A20" s="72" t="s">
        <v>41</v>
      </c>
      <c r="B20" s="72" t="s">
        <v>42</v>
      </c>
      <c r="C20" s="72">
        <v>250</v>
      </c>
      <c r="D20" s="77">
        <v>27975000</v>
      </c>
      <c r="E20" s="15">
        <v>3.47</v>
      </c>
    </row>
    <row r="21" spans="1:5" x14ac:dyDescent="0.4">
      <c r="A21" s="72" t="s">
        <v>607</v>
      </c>
      <c r="B21" s="72" t="s">
        <v>608</v>
      </c>
      <c r="C21" s="77">
        <v>170</v>
      </c>
      <c r="D21" s="77">
        <v>21437000</v>
      </c>
      <c r="E21" s="15">
        <v>2.66</v>
      </c>
    </row>
    <row r="22" spans="1:5" x14ac:dyDescent="0.4">
      <c r="A22" s="72" t="s">
        <v>561</v>
      </c>
      <c r="B22" s="72" t="s">
        <v>562</v>
      </c>
      <c r="C22" s="72">
        <v>40</v>
      </c>
      <c r="D22" s="77">
        <v>19360000</v>
      </c>
      <c r="E22" s="15">
        <v>2.4</v>
      </c>
    </row>
    <row r="23" spans="1:5" x14ac:dyDescent="0.4">
      <c r="A23" s="72" t="s">
        <v>615</v>
      </c>
      <c r="B23" s="72" t="s">
        <v>616</v>
      </c>
      <c r="C23" s="76">
        <v>400</v>
      </c>
      <c r="D23" s="77">
        <v>19080000</v>
      </c>
      <c r="E23" s="15">
        <v>2.37</v>
      </c>
    </row>
    <row r="24" spans="1:5" x14ac:dyDescent="0.4">
      <c r="A24" s="72" t="s">
        <v>637</v>
      </c>
      <c r="B24" s="72" t="s">
        <v>638</v>
      </c>
      <c r="C24" s="76">
        <v>300</v>
      </c>
      <c r="D24" s="77">
        <v>17460000</v>
      </c>
      <c r="E24" s="15">
        <v>2.17</v>
      </c>
    </row>
    <row r="25" spans="1:5" x14ac:dyDescent="0.4">
      <c r="A25" s="72" t="s">
        <v>39</v>
      </c>
      <c r="B25" s="72" t="s">
        <v>40</v>
      </c>
      <c r="C25" s="72">
        <v>60</v>
      </c>
      <c r="D25" s="77">
        <v>17220000</v>
      </c>
      <c r="E25" s="15">
        <v>2.14</v>
      </c>
    </row>
    <row r="26" spans="1:5" x14ac:dyDescent="0.4">
      <c r="A26" s="72" t="s">
        <v>751</v>
      </c>
      <c r="B26" s="72" t="s">
        <v>752</v>
      </c>
      <c r="C26" s="72">
        <v>200</v>
      </c>
      <c r="D26" s="77">
        <v>17000000</v>
      </c>
      <c r="E26" s="15">
        <v>2.11</v>
      </c>
    </row>
    <row r="27" spans="1:5" x14ac:dyDescent="0.4">
      <c r="A27" s="72" t="s">
        <v>664</v>
      </c>
      <c r="B27" s="72" t="s">
        <v>665</v>
      </c>
      <c r="C27" s="77">
        <v>300</v>
      </c>
      <c r="D27" s="77">
        <v>15240000</v>
      </c>
      <c r="E27" s="15">
        <v>1.89</v>
      </c>
    </row>
    <row r="28" spans="1:5" x14ac:dyDescent="0.4">
      <c r="A28" s="72" t="s">
        <v>681</v>
      </c>
      <c r="B28" s="72" t="s">
        <v>682</v>
      </c>
      <c r="C28" s="72">
        <v>50</v>
      </c>
      <c r="D28" s="77">
        <v>15050000</v>
      </c>
      <c r="E28" s="15">
        <v>1.87</v>
      </c>
    </row>
    <row r="29" spans="1:5" x14ac:dyDescent="0.4">
      <c r="A29" s="72" t="s">
        <v>547</v>
      </c>
      <c r="B29" s="72" t="s">
        <v>548</v>
      </c>
      <c r="C29" s="72">
        <v>276</v>
      </c>
      <c r="D29" s="77">
        <v>14048400</v>
      </c>
      <c r="E29" s="15">
        <v>1.74</v>
      </c>
    </row>
    <row r="30" spans="1:5" x14ac:dyDescent="0.4">
      <c r="A30" s="72" t="s">
        <v>537</v>
      </c>
      <c r="B30" s="72" t="s">
        <v>538</v>
      </c>
      <c r="C30" s="77">
        <v>200</v>
      </c>
      <c r="D30" s="77">
        <v>13560000</v>
      </c>
      <c r="E30" s="15">
        <v>1.68</v>
      </c>
    </row>
    <row r="31" spans="1:5" x14ac:dyDescent="0.4">
      <c r="A31" s="72" t="s">
        <v>470</v>
      </c>
      <c r="B31" s="72" t="s">
        <v>5179</v>
      </c>
      <c r="C31" s="77">
        <v>401</v>
      </c>
      <c r="D31" s="77">
        <v>12731750</v>
      </c>
      <c r="E31" s="15">
        <v>1.58</v>
      </c>
    </row>
    <row r="32" spans="1:5" x14ac:dyDescent="0.4">
      <c r="A32" s="72" t="s">
        <v>57</v>
      </c>
      <c r="B32" s="72" t="s">
        <v>58</v>
      </c>
      <c r="C32" s="77">
        <v>301</v>
      </c>
      <c r="D32" s="77">
        <v>12657050</v>
      </c>
      <c r="E32" s="15">
        <v>1.57</v>
      </c>
    </row>
    <row r="33" spans="1:5" x14ac:dyDescent="0.4">
      <c r="A33" s="72" t="s">
        <v>647</v>
      </c>
      <c r="B33" s="72" t="s">
        <v>648</v>
      </c>
      <c r="C33" s="72">
        <v>200</v>
      </c>
      <c r="D33" s="77">
        <v>12500000</v>
      </c>
      <c r="E33" s="15">
        <v>1.55</v>
      </c>
    </row>
    <row r="34" spans="1:5" x14ac:dyDescent="0.4">
      <c r="A34" s="72" t="s">
        <v>55</v>
      </c>
      <c r="B34" s="72" t="s">
        <v>56</v>
      </c>
      <c r="C34" s="77">
        <v>50</v>
      </c>
      <c r="D34" s="77">
        <v>12425000</v>
      </c>
      <c r="E34" s="15">
        <v>1.54</v>
      </c>
    </row>
    <row r="35" spans="1:5" x14ac:dyDescent="0.4">
      <c r="A35" s="72" t="s">
        <v>619</v>
      </c>
      <c r="B35" s="72" t="s">
        <v>620</v>
      </c>
      <c r="C35" s="72">
        <v>201</v>
      </c>
      <c r="D35" s="77">
        <v>10431900</v>
      </c>
      <c r="E35" s="15">
        <v>1.3</v>
      </c>
    </row>
    <row r="36" spans="1:5" x14ac:dyDescent="0.4">
      <c r="A36" s="72" t="s">
        <v>687</v>
      </c>
      <c r="B36" s="72" t="s">
        <v>688</v>
      </c>
      <c r="C36" s="77">
        <v>102</v>
      </c>
      <c r="D36" s="77">
        <v>9016800</v>
      </c>
      <c r="E36" s="15">
        <v>1.1200000000000001</v>
      </c>
    </row>
    <row r="37" spans="1:5" x14ac:dyDescent="0.4">
      <c r="A37" s="72" t="s">
        <v>61</v>
      </c>
      <c r="B37" s="72" t="s">
        <v>62</v>
      </c>
      <c r="C37" s="77">
        <v>30</v>
      </c>
      <c r="D37" s="77">
        <v>8850000</v>
      </c>
      <c r="E37" s="15">
        <v>1.1000000000000001</v>
      </c>
    </row>
    <row r="38" spans="1:5" x14ac:dyDescent="0.4">
      <c r="A38" s="72" t="s">
        <v>59</v>
      </c>
      <c r="B38" s="72" t="s">
        <v>60</v>
      </c>
      <c r="C38" s="77">
        <v>400</v>
      </c>
      <c r="D38" s="77">
        <v>8540000</v>
      </c>
      <c r="E38" s="15">
        <v>1.06</v>
      </c>
    </row>
    <row r="39" spans="1:5" x14ac:dyDescent="0.4">
      <c r="A39" s="72" t="s">
        <v>689</v>
      </c>
      <c r="B39" s="72" t="s">
        <v>690</v>
      </c>
      <c r="C39" s="72">
        <v>203</v>
      </c>
      <c r="D39" s="77">
        <v>6983200</v>
      </c>
      <c r="E39" s="15">
        <v>0.87</v>
      </c>
    </row>
    <row r="40" spans="1:5" x14ac:dyDescent="0.4">
      <c r="A40" s="72" t="s">
        <v>47</v>
      </c>
      <c r="B40" s="72" t="s">
        <v>48</v>
      </c>
      <c r="C40" s="77">
        <v>194</v>
      </c>
      <c r="D40" s="77">
        <v>6654200</v>
      </c>
      <c r="E40" s="15">
        <v>0.83</v>
      </c>
    </row>
    <row r="41" spans="1:5" x14ac:dyDescent="0.4">
      <c r="A41" s="72" t="s">
        <v>711</v>
      </c>
      <c r="B41" s="72" t="s">
        <v>712</v>
      </c>
      <c r="C41" s="72">
        <v>200</v>
      </c>
      <c r="D41" s="77">
        <v>6080000</v>
      </c>
      <c r="E41" s="15">
        <v>0.75</v>
      </c>
    </row>
    <row r="42" spans="1:5" x14ac:dyDescent="0.4">
      <c r="A42" s="72" t="s">
        <v>563</v>
      </c>
      <c r="B42" s="72" t="s">
        <v>564</v>
      </c>
      <c r="C42" s="77">
        <v>150</v>
      </c>
      <c r="D42" s="77">
        <v>5632500</v>
      </c>
      <c r="E42" s="15">
        <v>0.7</v>
      </c>
    </row>
    <row r="43" spans="1:5" x14ac:dyDescent="0.4">
      <c r="A43" s="72" t="s">
        <v>5170</v>
      </c>
      <c r="B43" s="72" t="s">
        <v>5171</v>
      </c>
      <c r="C43" s="77">
        <v>201</v>
      </c>
      <c r="D43" s="77">
        <v>5175750</v>
      </c>
      <c r="E43" s="15">
        <v>0.64</v>
      </c>
    </row>
    <row r="44" spans="1:5" x14ac:dyDescent="0.4">
      <c r="A44" s="72" t="s">
        <v>743</v>
      </c>
      <c r="B44" s="72" t="s">
        <v>744</v>
      </c>
      <c r="C44" s="72">
        <v>101</v>
      </c>
      <c r="D44" s="77">
        <v>4600550</v>
      </c>
      <c r="E44" s="15">
        <v>0.56999999999999995</v>
      </c>
    </row>
    <row r="45" spans="1:5" x14ac:dyDescent="0.4">
      <c r="A45" s="72" t="s">
        <v>709</v>
      </c>
      <c r="B45" s="72" t="s">
        <v>710</v>
      </c>
      <c r="C45" s="77">
        <v>102</v>
      </c>
      <c r="D45" s="77">
        <v>4590000</v>
      </c>
      <c r="E45" s="15">
        <v>0.56999999999999995</v>
      </c>
    </row>
    <row r="46" spans="1:5" x14ac:dyDescent="0.4">
      <c r="A46" s="72" t="s">
        <v>4635</v>
      </c>
      <c r="B46" s="72" t="s">
        <v>4636</v>
      </c>
      <c r="C46" s="77">
        <v>199</v>
      </c>
      <c r="D46" s="77">
        <v>2881520</v>
      </c>
      <c r="E46" s="15">
        <v>0.36</v>
      </c>
    </row>
    <row r="47" spans="1:5" x14ac:dyDescent="0.4">
      <c r="A47" s="72"/>
      <c r="B47" s="72" t="s">
        <v>10</v>
      </c>
      <c r="C47" s="77">
        <v>7820554</v>
      </c>
      <c r="D47" s="77">
        <v>7820554</v>
      </c>
      <c r="E47" s="15">
        <v>0.97</v>
      </c>
    </row>
    <row r="48" spans="1:5" x14ac:dyDescent="0.4">
      <c r="C48" s="13"/>
      <c r="D48" s="13"/>
      <c r="E48" s="72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4" t="s">
        <v>533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31</v>
      </c>
      <c r="B11" s="73" t="s">
        <v>32</v>
      </c>
      <c r="C11" s="75">
        <v>235</v>
      </c>
      <c r="D11" s="75">
        <v>81545000</v>
      </c>
      <c r="E11" s="19">
        <v>10.039999999999999</v>
      </c>
      <c r="F11" s="17"/>
      <c r="G11" s="17"/>
    </row>
    <row r="12" spans="1:7" x14ac:dyDescent="0.4">
      <c r="A12" s="72" t="s">
        <v>33</v>
      </c>
      <c r="B12" s="73" t="s">
        <v>34</v>
      </c>
      <c r="C12" s="78">
        <v>416</v>
      </c>
      <c r="D12" s="75">
        <v>69139200</v>
      </c>
      <c r="E12" s="19">
        <v>8.51</v>
      </c>
      <c r="F12" s="17"/>
      <c r="G12" s="17"/>
    </row>
    <row r="13" spans="1:7" x14ac:dyDescent="0.4">
      <c r="A13" s="72" t="s">
        <v>35</v>
      </c>
      <c r="B13" s="72" t="s">
        <v>36</v>
      </c>
      <c r="C13" s="77">
        <v>483</v>
      </c>
      <c r="D13" s="77">
        <v>65108400</v>
      </c>
      <c r="E13" s="15">
        <v>8.01</v>
      </c>
    </row>
    <row r="14" spans="1:7" x14ac:dyDescent="0.4">
      <c r="A14" s="72" t="s">
        <v>45</v>
      </c>
      <c r="B14" s="72" t="s">
        <v>46</v>
      </c>
      <c r="C14" s="77">
        <v>514</v>
      </c>
      <c r="D14" s="77">
        <v>63890200</v>
      </c>
      <c r="E14" s="15">
        <v>7.86</v>
      </c>
    </row>
    <row r="15" spans="1:7" x14ac:dyDescent="0.4">
      <c r="A15" s="72" t="s">
        <v>49</v>
      </c>
      <c r="B15" s="72" t="s">
        <v>50</v>
      </c>
      <c r="C15" s="76">
        <v>514</v>
      </c>
      <c r="D15" s="77">
        <v>63324800</v>
      </c>
      <c r="E15" s="15">
        <v>7.79</v>
      </c>
    </row>
    <row r="16" spans="1:7" x14ac:dyDescent="0.4">
      <c r="A16" s="72" t="s">
        <v>41</v>
      </c>
      <c r="B16" s="72" t="s">
        <v>42</v>
      </c>
      <c r="C16" s="76">
        <v>657</v>
      </c>
      <c r="D16" s="77">
        <v>61166700</v>
      </c>
      <c r="E16" s="15">
        <v>7.53</v>
      </c>
    </row>
    <row r="17" spans="1:7" x14ac:dyDescent="0.4">
      <c r="A17" s="72" t="s">
        <v>37</v>
      </c>
      <c r="B17" s="73" t="s">
        <v>38</v>
      </c>
      <c r="C17" s="78">
        <v>478</v>
      </c>
      <c r="D17" s="75">
        <v>45123200</v>
      </c>
      <c r="E17" s="19">
        <v>5.55</v>
      </c>
      <c r="F17" s="17"/>
      <c r="G17" s="17"/>
    </row>
    <row r="18" spans="1:7" x14ac:dyDescent="0.4">
      <c r="A18" s="72" t="s">
        <v>51</v>
      </c>
      <c r="B18" s="72" t="s">
        <v>52</v>
      </c>
      <c r="C18" s="77">
        <v>904</v>
      </c>
      <c r="D18" s="77">
        <v>38962400</v>
      </c>
      <c r="E18" s="15">
        <v>4.8</v>
      </c>
    </row>
    <row r="19" spans="1:7" x14ac:dyDescent="0.4">
      <c r="A19" s="72" t="s">
        <v>607</v>
      </c>
      <c r="B19" s="72" t="s">
        <v>608</v>
      </c>
      <c r="C19" s="77">
        <v>398</v>
      </c>
      <c r="D19" s="77">
        <v>36934400</v>
      </c>
      <c r="E19" s="15">
        <v>4.55</v>
      </c>
    </row>
    <row r="20" spans="1:7" x14ac:dyDescent="0.4">
      <c r="A20" s="72" t="s">
        <v>53</v>
      </c>
      <c r="B20" s="72" t="s">
        <v>54</v>
      </c>
      <c r="C20" s="77">
        <v>81</v>
      </c>
      <c r="D20" s="77">
        <v>33291000</v>
      </c>
      <c r="E20" s="15">
        <v>4.0999999999999996</v>
      </c>
    </row>
    <row r="21" spans="1:7" x14ac:dyDescent="0.4">
      <c r="A21" s="72" t="s">
        <v>647</v>
      </c>
      <c r="B21" s="72" t="s">
        <v>648</v>
      </c>
      <c r="C21" s="77">
        <v>619</v>
      </c>
      <c r="D21" s="77">
        <v>32807000</v>
      </c>
      <c r="E21" s="15">
        <v>4.04</v>
      </c>
    </row>
    <row r="22" spans="1:7" x14ac:dyDescent="0.4">
      <c r="A22" s="72" t="s">
        <v>39</v>
      </c>
      <c r="B22" s="73" t="s">
        <v>40</v>
      </c>
      <c r="C22" s="75">
        <v>147</v>
      </c>
      <c r="D22" s="75">
        <v>30429000</v>
      </c>
      <c r="E22" s="19">
        <v>3.75</v>
      </c>
      <c r="F22" s="17"/>
      <c r="G22" s="17"/>
    </row>
    <row r="23" spans="1:7" x14ac:dyDescent="0.4">
      <c r="A23" s="72" t="s">
        <v>597</v>
      </c>
      <c r="B23" s="73" t="s">
        <v>598</v>
      </c>
      <c r="C23" s="78">
        <v>220</v>
      </c>
      <c r="D23" s="75">
        <v>27324000</v>
      </c>
      <c r="E23" s="19">
        <v>3.36</v>
      </c>
      <c r="F23" s="17"/>
      <c r="G23" s="17"/>
    </row>
    <row r="24" spans="1:7" x14ac:dyDescent="0.4">
      <c r="A24" s="72" t="s">
        <v>57</v>
      </c>
      <c r="B24" s="72" t="s">
        <v>58</v>
      </c>
      <c r="C24" s="76">
        <v>641</v>
      </c>
      <c r="D24" s="77">
        <v>26024600</v>
      </c>
      <c r="E24" s="15">
        <v>3.2</v>
      </c>
    </row>
    <row r="25" spans="1:7" x14ac:dyDescent="0.4">
      <c r="A25" s="72" t="s">
        <v>61</v>
      </c>
      <c r="B25" s="72" t="s">
        <v>62</v>
      </c>
      <c r="C25" s="77">
        <v>77</v>
      </c>
      <c r="D25" s="77">
        <v>22214500</v>
      </c>
      <c r="E25" s="15">
        <v>2.73</v>
      </c>
    </row>
    <row r="26" spans="1:7" x14ac:dyDescent="0.4">
      <c r="A26" s="72" t="s">
        <v>55</v>
      </c>
      <c r="B26" s="72" t="s">
        <v>56</v>
      </c>
      <c r="C26" s="77">
        <v>82</v>
      </c>
      <c r="D26" s="77">
        <v>20131000</v>
      </c>
      <c r="E26" s="15">
        <v>2.48</v>
      </c>
    </row>
    <row r="27" spans="1:7" x14ac:dyDescent="0.4">
      <c r="A27" s="72" t="s">
        <v>563</v>
      </c>
      <c r="B27" s="72" t="s">
        <v>564</v>
      </c>
      <c r="C27" s="77">
        <v>494</v>
      </c>
      <c r="D27" s="77">
        <v>14671800</v>
      </c>
      <c r="E27" s="15">
        <v>1.81</v>
      </c>
    </row>
    <row r="28" spans="1:7" x14ac:dyDescent="0.4">
      <c r="A28" s="72" t="s">
        <v>67</v>
      </c>
      <c r="B28" s="72" t="s">
        <v>68</v>
      </c>
      <c r="C28" s="77">
        <v>351</v>
      </c>
      <c r="D28" s="77">
        <v>14250600</v>
      </c>
      <c r="E28" s="15">
        <v>1.75</v>
      </c>
    </row>
    <row r="29" spans="1:7" x14ac:dyDescent="0.4">
      <c r="A29" s="72" t="s">
        <v>470</v>
      </c>
      <c r="B29" s="72" t="s">
        <v>5179</v>
      </c>
      <c r="C29" s="77">
        <v>366</v>
      </c>
      <c r="D29" s="77">
        <v>10705500</v>
      </c>
      <c r="E29" s="15">
        <v>1.32</v>
      </c>
    </row>
    <row r="30" spans="1:7" x14ac:dyDescent="0.4">
      <c r="A30" s="72" t="s">
        <v>508</v>
      </c>
      <c r="B30" s="72" t="s">
        <v>509</v>
      </c>
      <c r="C30" s="77">
        <v>527</v>
      </c>
      <c r="D30" s="77">
        <v>9860170</v>
      </c>
      <c r="E30" s="15">
        <v>1.21</v>
      </c>
    </row>
    <row r="31" spans="1:7" x14ac:dyDescent="0.4">
      <c r="A31" s="72" t="s">
        <v>691</v>
      </c>
      <c r="B31" s="72" t="s">
        <v>692</v>
      </c>
      <c r="C31" s="77">
        <v>685</v>
      </c>
      <c r="D31" s="77">
        <v>9555750</v>
      </c>
      <c r="E31" s="15">
        <v>1.18</v>
      </c>
    </row>
    <row r="32" spans="1:7" x14ac:dyDescent="0.4">
      <c r="A32" s="72" t="s">
        <v>547</v>
      </c>
      <c r="B32" s="72" t="s">
        <v>548</v>
      </c>
      <c r="C32" s="77">
        <v>204</v>
      </c>
      <c r="D32" s="77">
        <v>9057600</v>
      </c>
      <c r="E32" s="15">
        <v>1.1100000000000001</v>
      </c>
    </row>
    <row r="33" spans="1:5" x14ac:dyDescent="0.4">
      <c r="A33" s="72" t="s">
        <v>541</v>
      </c>
      <c r="B33" s="72" t="s">
        <v>542</v>
      </c>
      <c r="C33" s="72">
        <v>570</v>
      </c>
      <c r="D33" s="77">
        <v>7113600</v>
      </c>
      <c r="E33" s="15">
        <v>0.88</v>
      </c>
    </row>
    <row r="34" spans="1:5" x14ac:dyDescent="0.4">
      <c r="A34" s="72" t="s">
        <v>510</v>
      </c>
      <c r="B34" s="72" t="s">
        <v>511</v>
      </c>
      <c r="C34" s="77">
        <v>154</v>
      </c>
      <c r="D34" s="77">
        <v>3965500</v>
      </c>
      <c r="E34" s="15">
        <v>0.49</v>
      </c>
    </row>
    <row r="35" spans="1:5" x14ac:dyDescent="0.4">
      <c r="A35" s="72" t="s">
        <v>4663</v>
      </c>
      <c r="B35" s="72" t="s">
        <v>4664</v>
      </c>
      <c r="C35" s="72">
        <v>288</v>
      </c>
      <c r="D35" s="77">
        <v>3412800</v>
      </c>
      <c r="E35" s="15">
        <v>0.42</v>
      </c>
    </row>
    <row r="36" spans="1:5" x14ac:dyDescent="0.4">
      <c r="A36" s="72" t="s">
        <v>637</v>
      </c>
      <c r="B36" s="72" t="s">
        <v>638</v>
      </c>
      <c r="C36" s="77">
        <v>72</v>
      </c>
      <c r="D36" s="77">
        <v>3326400</v>
      </c>
      <c r="E36" s="15">
        <v>0.41</v>
      </c>
    </row>
    <row r="37" spans="1:5" x14ac:dyDescent="0.4">
      <c r="A37" s="72" t="s">
        <v>500</v>
      </c>
      <c r="B37" s="72" t="s">
        <v>501</v>
      </c>
      <c r="C37" s="77">
        <v>62</v>
      </c>
      <c r="D37" s="77">
        <v>3131000</v>
      </c>
      <c r="E37" s="15">
        <v>0.39</v>
      </c>
    </row>
    <row r="38" spans="1:5" x14ac:dyDescent="0.4">
      <c r="A38" s="72" t="s">
        <v>59</v>
      </c>
      <c r="B38" s="72" t="s">
        <v>60</v>
      </c>
      <c r="C38" s="77">
        <v>113</v>
      </c>
      <c r="D38" s="77">
        <v>2098410</v>
      </c>
      <c r="E38" s="15">
        <v>0.26</v>
      </c>
    </row>
    <row r="39" spans="1:5" x14ac:dyDescent="0.4">
      <c r="A39" s="72" t="s">
        <v>559</v>
      </c>
      <c r="B39" s="72" t="s">
        <v>560</v>
      </c>
      <c r="C39" s="77">
        <v>1</v>
      </c>
      <c r="D39" s="77">
        <v>1286000</v>
      </c>
      <c r="E39" s="15">
        <v>0.16</v>
      </c>
    </row>
    <row r="40" spans="1:5" x14ac:dyDescent="0.4">
      <c r="A40" s="72"/>
      <c r="B40" s="72" t="s">
        <v>10</v>
      </c>
      <c r="C40" s="77">
        <v>2653228</v>
      </c>
      <c r="D40" s="77">
        <v>2653228</v>
      </c>
      <c r="E40" s="15">
        <v>0.33</v>
      </c>
    </row>
    <row r="41" spans="1:5" x14ac:dyDescent="0.4">
      <c r="C41" s="13"/>
      <c r="D41" s="13"/>
      <c r="E41" s="72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4" t="s">
        <v>533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45</v>
      </c>
      <c r="B11" s="72" t="s">
        <v>46</v>
      </c>
      <c r="C11" s="77">
        <v>535</v>
      </c>
      <c r="D11" s="77">
        <v>93678500</v>
      </c>
      <c r="E11" s="15">
        <v>9.83</v>
      </c>
    </row>
    <row r="12" spans="1:5" x14ac:dyDescent="0.4">
      <c r="A12" s="72" t="s">
        <v>31</v>
      </c>
      <c r="B12" s="72" t="s">
        <v>32</v>
      </c>
      <c r="C12" s="76">
        <v>235</v>
      </c>
      <c r="D12" s="77">
        <v>86715000</v>
      </c>
      <c r="E12" s="15">
        <v>9.1</v>
      </c>
    </row>
    <row r="13" spans="1:5" x14ac:dyDescent="0.4">
      <c r="A13" s="72" t="s">
        <v>33</v>
      </c>
      <c r="B13" s="72" t="s">
        <v>34</v>
      </c>
      <c r="C13" s="77">
        <v>397</v>
      </c>
      <c r="D13" s="77">
        <v>76581300</v>
      </c>
      <c r="E13" s="15">
        <v>8.0399999999999991</v>
      </c>
    </row>
    <row r="14" spans="1:5" x14ac:dyDescent="0.4">
      <c r="A14" s="72" t="s">
        <v>41</v>
      </c>
      <c r="B14" s="72" t="s">
        <v>42</v>
      </c>
      <c r="C14" s="77">
        <v>657</v>
      </c>
      <c r="D14" s="77">
        <v>73518300</v>
      </c>
      <c r="E14" s="15">
        <v>7.72</v>
      </c>
    </row>
    <row r="15" spans="1:5" x14ac:dyDescent="0.4">
      <c r="A15" s="72" t="s">
        <v>35</v>
      </c>
      <c r="B15" s="72" t="s">
        <v>36</v>
      </c>
      <c r="C15" s="76">
        <v>483</v>
      </c>
      <c r="D15" s="77">
        <v>72981300</v>
      </c>
      <c r="E15" s="15">
        <v>7.66</v>
      </c>
    </row>
    <row r="16" spans="1:5" x14ac:dyDescent="0.4">
      <c r="A16" s="72" t="s">
        <v>49</v>
      </c>
      <c r="B16" s="72" t="s">
        <v>50</v>
      </c>
      <c r="C16" s="76">
        <v>514</v>
      </c>
      <c r="D16" s="77">
        <v>68927400</v>
      </c>
      <c r="E16" s="15">
        <v>7.24</v>
      </c>
    </row>
    <row r="17" spans="1:5" x14ac:dyDescent="0.4">
      <c r="A17" s="72" t="s">
        <v>51</v>
      </c>
      <c r="B17" s="72" t="s">
        <v>52</v>
      </c>
      <c r="C17" s="76">
        <v>904</v>
      </c>
      <c r="D17" s="77">
        <v>57675200</v>
      </c>
      <c r="E17" s="15">
        <v>6.05</v>
      </c>
    </row>
    <row r="18" spans="1:5" x14ac:dyDescent="0.4">
      <c r="A18" s="72" t="s">
        <v>607</v>
      </c>
      <c r="B18" s="72" t="s">
        <v>608</v>
      </c>
      <c r="C18" s="77">
        <v>398</v>
      </c>
      <c r="D18" s="77">
        <v>50187800</v>
      </c>
      <c r="E18" s="15">
        <v>5.27</v>
      </c>
    </row>
    <row r="19" spans="1:5" x14ac:dyDescent="0.4">
      <c r="A19" s="72" t="s">
        <v>37</v>
      </c>
      <c r="B19" s="72" t="s">
        <v>38</v>
      </c>
      <c r="C19" s="77">
        <v>478</v>
      </c>
      <c r="D19" s="77">
        <v>45218800</v>
      </c>
      <c r="E19" s="15">
        <v>4.75</v>
      </c>
    </row>
    <row r="20" spans="1:5" x14ac:dyDescent="0.4">
      <c r="A20" s="72" t="s">
        <v>39</v>
      </c>
      <c r="B20" s="72" t="s">
        <v>40</v>
      </c>
      <c r="C20" s="72">
        <v>147</v>
      </c>
      <c r="D20" s="77">
        <v>42189000</v>
      </c>
      <c r="E20" s="15">
        <v>4.43</v>
      </c>
    </row>
    <row r="21" spans="1:5" x14ac:dyDescent="0.4">
      <c r="A21" s="72" t="s">
        <v>53</v>
      </c>
      <c r="B21" s="72" t="s">
        <v>54</v>
      </c>
      <c r="C21" s="77">
        <v>81</v>
      </c>
      <c r="D21" s="77">
        <v>39771000</v>
      </c>
      <c r="E21" s="15">
        <v>4.18</v>
      </c>
    </row>
    <row r="22" spans="1:5" x14ac:dyDescent="0.4">
      <c r="A22" s="72" t="s">
        <v>647</v>
      </c>
      <c r="B22" s="72" t="s">
        <v>648</v>
      </c>
      <c r="C22" s="72">
        <v>541</v>
      </c>
      <c r="D22" s="77">
        <v>33812500</v>
      </c>
      <c r="E22" s="15">
        <v>3.55</v>
      </c>
    </row>
    <row r="23" spans="1:5" x14ac:dyDescent="0.4">
      <c r="A23" s="72" t="s">
        <v>597</v>
      </c>
      <c r="B23" s="72" t="s">
        <v>598</v>
      </c>
      <c r="C23" s="76">
        <v>233</v>
      </c>
      <c r="D23" s="77">
        <v>32946200</v>
      </c>
      <c r="E23" s="15">
        <v>3.46</v>
      </c>
    </row>
    <row r="24" spans="1:5" x14ac:dyDescent="0.4">
      <c r="A24" s="72" t="s">
        <v>61</v>
      </c>
      <c r="B24" s="72" t="s">
        <v>62</v>
      </c>
      <c r="C24" s="76">
        <v>77</v>
      </c>
      <c r="D24" s="77">
        <v>22715000</v>
      </c>
      <c r="E24" s="15">
        <v>2.38</v>
      </c>
    </row>
    <row r="25" spans="1:5" x14ac:dyDescent="0.4">
      <c r="A25" s="72" t="s">
        <v>57</v>
      </c>
      <c r="B25" s="72" t="s">
        <v>58</v>
      </c>
      <c r="C25" s="77">
        <v>491</v>
      </c>
      <c r="D25" s="77">
        <v>20646550</v>
      </c>
      <c r="E25" s="15">
        <v>2.17</v>
      </c>
    </row>
    <row r="26" spans="1:5" x14ac:dyDescent="0.4">
      <c r="A26" s="72" t="s">
        <v>55</v>
      </c>
      <c r="B26" s="72" t="s">
        <v>56</v>
      </c>
      <c r="C26" s="77">
        <v>82</v>
      </c>
      <c r="D26" s="77">
        <v>20377000</v>
      </c>
      <c r="E26" s="15">
        <v>2.14</v>
      </c>
    </row>
    <row r="27" spans="1:5" x14ac:dyDescent="0.4">
      <c r="A27" s="72" t="s">
        <v>563</v>
      </c>
      <c r="B27" s="72" t="s">
        <v>564</v>
      </c>
      <c r="C27" s="77">
        <v>494</v>
      </c>
      <c r="D27" s="77">
        <v>18549700</v>
      </c>
      <c r="E27" s="15">
        <v>1.95</v>
      </c>
    </row>
    <row r="28" spans="1:5" x14ac:dyDescent="0.4">
      <c r="A28" s="72" t="s">
        <v>470</v>
      </c>
      <c r="B28" s="72" t="s">
        <v>5179</v>
      </c>
      <c r="C28" s="77">
        <v>522</v>
      </c>
      <c r="D28" s="77">
        <v>16573500</v>
      </c>
      <c r="E28" s="15">
        <v>1.74</v>
      </c>
    </row>
    <row r="29" spans="1:5" x14ac:dyDescent="0.4">
      <c r="A29" s="72" t="s">
        <v>67</v>
      </c>
      <c r="B29" s="72" t="s">
        <v>68</v>
      </c>
      <c r="C29" s="77">
        <v>396</v>
      </c>
      <c r="D29" s="77">
        <v>16493400</v>
      </c>
      <c r="E29" s="15">
        <v>1.73</v>
      </c>
    </row>
    <row r="30" spans="1:5" x14ac:dyDescent="0.4">
      <c r="A30" s="72" t="s">
        <v>508</v>
      </c>
      <c r="B30" s="72" t="s">
        <v>509</v>
      </c>
      <c r="C30" s="77">
        <v>527</v>
      </c>
      <c r="D30" s="77">
        <v>11172400</v>
      </c>
      <c r="E30" s="15">
        <v>1.17</v>
      </c>
    </row>
    <row r="31" spans="1:5" x14ac:dyDescent="0.4">
      <c r="A31" s="72" t="s">
        <v>547</v>
      </c>
      <c r="B31" s="72" t="s">
        <v>548</v>
      </c>
      <c r="C31" s="77">
        <v>204</v>
      </c>
      <c r="D31" s="77">
        <v>10383600</v>
      </c>
      <c r="E31" s="15">
        <v>1.0900000000000001</v>
      </c>
    </row>
    <row r="32" spans="1:5" x14ac:dyDescent="0.4">
      <c r="A32" s="72" t="s">
        <v>691</v>
      </c>
      <c r="B32" s="72" t="s">
        <v>692</v>
      </c>
      <c r="C32" s="77">
        <v>562</v>
      </c>
      <c r="D32" s="77">
        <v>8823400</v>
      </c>
      <c r="E32" s="15">
        <v>0.93</v>
      </c>
    </row>
    <row r="33" spans="1:5" x14ac:dyDescent="0.4">
      <c r="A33" s="72" t="s">
        <v>541</v>
      </c>
      <c r="B33" s="72" t="s">
        <v>542</v>
      </c>
      <c r="C33" s="72">
        <v>570</v>
      </c>
      <c r="D33" s="77">
        <v>8253600</v>
      </c>
      <c r="E33" s="15">
        <v>0.87</v>
      </c>
    </row>
    <row r="34" spans="1:5" x14ac:dyDescent="0.4">
      <c r="A34" s="72" t="s">
        <v>510</v>
      </c>
      <c r="B34" s="72" t="s">
        <v>511</v>
      </c>
      <c r="C34" s="77">
        <v>189</v>
      </c>
      <c r="D34" s="77">
        <v>5499900</v>
      </c>
      <c r="E34" s="15">
        <v>0.57999999999999996</v>
      </c>
    </row>
    <row r="35" spans="1:5" x14ac:dyDescent="0.4">
      <c r="A35" s="72" t="s">
        <v>500</v>
      </c>
      <c r="B35" s="72" t="s">
        <v>501</v>
      </c>
      <c r="C35" s="72">
        <v>78</v>
      </c>
      <c r="D35" s="77">
        <v>4274400</v>
      </c>
      <c r="E35" s="15">
        <v>0.45</v>
      </c>
    </row>
    <row r="36" spans="1:5" x14ac:dyDescent="0.4">
      <c r="A36" s="72" t="s">
        <v>637</v>
      </c>
      <c r="B36" s="72" t="s">
        <v>638</v>
      </c>
      <c r="C36" s="77">
        <v>72</v>
      </c>
      <c r="D36" s="77">
        <v>4190400</v>
      </c>
      <c r="E36" s="15">
        <v>0.44</v>
      </c>
    </row>
    <row r="37" spans="1:5" x14ac:dyDescent="0.4">
      <c r="A37" s="72" t="s">
        <v>59</v>
      </c>
      <c r="B37" s="72" t="s">
        <v>60</v>
      </c>
      <c r="C37" s="77">
        <v>157</v>
      </c>
      <c r="D37" s="77">
        <v>3351950</v>
      </c>
      <c r="E37" s="15">
        <v>0.35</v>
      </c>
    </row>
    <row r="38" spans="1:5" x14ac:dyDescent="0.4">
      <c r="A38" s="72" t="s">
        <v>559</v>
      </c>
      <c r="B38" s="72" t="s">
        <v>560</v>
      </c>
      <c r="C38" s="77">
        <v>1</v>
      </c>
      <c r="D38" s="77">
        <v>1363000</v>
      </c>
      <c r="E38" s="15">
        <v>0.14000000000000001</v>
      </c>
    </row>
    <row r="39" spans="1:5" x14ac:dyDescent="0.4">
      <c r="A39" s="72"/>
      <c r="B39" s="72" t="s">
        <v>10</v>
      </c>
      <c r="C39" s="77">
        <v>5689398</v>
      </c>
      <c r="D39" s="77">
        <v>5689398</v>
      </c>
      <c r="E39" s="15">
        <v>0.6</v>
      </c>
    </row>
    <row r="40" spans="1:5" x14ac:dyDescent="0.4">
      <c r="C40" s="13"/>
      <c r="D40" s="13"/>
      <c r="E40" s="72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0" t="s">
        <v>519</v>
      </c>
      <c r="B5" s="71" t="s">
        <v>3</v>
      </c>
      <c r="C5" s="71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4" t="s">
        <v>534</v>
      </c>
      <c r="B9" s="72"/>
      <c r="C9" s="72"/>
      <c r="D9" s="72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2" t="s">
        <v>31</v>
      </c>
      <c r="B11" s="73" t="s">
        <v>32</v>
      </c>
      <c r="C11" s="75">
        <v>212</v>
      </c>
      <c r="D11" s="75">
        <v>73564000</v>
      </c>
      <c r="E11" s="19">
        <v>13.33</v>
      </c>
      <c r="F11" s="17"/>
      <c r="G11" s="17"/>
    </row>
    <row r="12" spans="1:7" x14ac:dyDescent="0.4">
      <c r="A12" s="72" t="s">
        <v>45</v>
      </c>
      <c r="B12" s="73" t="s">
        <v>46</v>
      </c>
      <c r="C12" s="75">
        <v>462</v>
      </c>
      <c r="D12" s="75">
        <v>57426600</v>
      </c>
      <c r="E12" s="19">
        <v>10.41</v>
      </c>
      <c r="F12" s="17"/>
      <c r="G12" s="17"/>
    </row>
    <row r="13" spans="1:7" x14ac:dyDescent="0.4">
      <c r="A13" s="72" t="s">
        <v>35</v>
      </c>
      <c r="B13" s="73" t="s">
        <v>36</v>
      </c>
      <c r="C13" s="75">
        <v>395</v>
      </c>
      <c r="D13" s="75">
        <v>53246000</v>
      </c>
      <c r="E13" s="19">
        <v>9.65</v>
      </c>
      <c r="F13" s="17"/>
      <c r="G13" s="17"/>
    </row>
    <row r="14" spans="1:7" x14ac:dyDescent="0.4">
      <c r="A14" s="72" t="s">
        <v>41</v>
      </c>
      <c r="B14" s="73" t="s">
        <v>42</v>
      </c>
      <c r="C14" s="75">
        <v>409</v>
      </c>
      <c r="D14" s="75">
        <v>38077900</v>
      </c>
      <c r="E14" s="19">
        <v>6.9</v>
      </c>
      <c r="F14" s="17"/>
      <c r="G14" s="17"/>
    </row>
    <row r="15" spans="1:7" x14ac:dyDescent="0.4">
      <c r="A15" s="72" t="s">
        <v>37</v>
      </c>
      <c r="B15" s="73" t="s">
        <v>38</v>
      </c>
      <c r="C15" s="73">
        <v>276</v>
      </c>
      <c r="D15" s="75">
        <v>26054400</v>
      </c>
      <c r="E15" s="19">
        <v>4.72</v>
      </c>
      <c r="F15" s="17"/>
      <c r="G15" s="17"/>
    </row>
    <row r="16" spans="1:7" x14ac:dyDescent="0.4">
      <c r="A16" s="72" t="s">
        <v>647</v>
      </c>
      <c r="B16" s="73" t="s">
        <v>648</v>
      </c>
      <c r="C16" s="75">
        <v>474</v>
      </c>
      <c r="D16" s="75">
        <v>25122000</v>
      </c>
      <c r="E16" s="19">
        <v>4.55</v>
      </c>
      <c r="F16" s="17"/>
      <c r="G16" s="17"/>
    </row>
    <row r="17" spans="1:7" x14ac:dyDescent="0.4">
      <c r="A17" s="72" t="s">
        <v>49</v>
      </c>
      <c r="B17" s="72" t="s">
        <v>50</v>
      </c>
      <c r="C17" s="77">
        <v>184</v>
      </c>
      <c r="D17" s="77">
        <v>22668800</v>
      </c>
      <c r="E17" s="15">
        <v>4.1100000000000003</v>
      </c>
    </row>
    <row r="18" spans="1:7" x14ac:dyDescent="0.4">
      <c r="A18" s="72" t="s">
        <v>33</v>
      </c>
      <c r="B18" s="73" t="s">
        <v>34</v>
      </c>
      <c r="C18" s="75">
        <v>130</v>
      </c>
      <c r="D18" s="75">
        <v>21606000</v>
      </c>
      <c r="E18" s="19">
        <v>3.92</v>
      </c>
      <c r="F18" s="17"/>
      <c r="G18" s="17"/>
    </row>
    <row r="19" spans="1:7" x14ac:dyDescent="0.4">
      <c r="A19" s="72" t="s">
        <v>683</v>
      </c>
      <c r="B19" s="72" t="s">
        <v>684</v>
      </c>
      <c r="C19" s="76">
        <v>197</v>
      </c>
      <c r="D19" s="77">
        <v>20291000</v>
      </c>
      <c r="E19" s="15">
        <v>3.68</v>
      </c>
    </row>
    <row r="20" spans="1:7" x14ac:dyDescent="0.4">
      <c r="A20" s="72" t="s">
        <v>55</v>
      </c>
      <c r="B20" s="72" t="s">
        <v>56</v>
      </c>
      <c r="C20" s="76">
        <v>80</v>
      </c>
      <c r="D20" s="77">
        <v>19640000</v>
      </c>
      <c r="E20" s="15">
        <v>3.56</v>
      </c>
    </row>
    <row r="21" spans="1:7" x14ac:dyDescent="0.4">
      <c r="A21" s="72" t="s">
        <v>53</v>
      </c>
      <c r="B21" s="72" t="s">
        <v>54</v>
      </c>
      <c r="C21" s="77">
        <v>43</v>
      </c>
      <c r="D21" s="77">
        <v>17673000</v>
      </c>
      <c r="E21" s="15">
        <v>3.2</v>
      </c>
    </row>
    <row r="22" spans="1:7" x14ac:dyDescent="0.4">
      <c r="A22" s="72" t="s">
        <v>510</v>
      </c>
      <c r="B22" s="72" t="s">
        <v>511</v>
      </c>
      <c r="C22" s="76">
        <v>612</v>
      </c>
      <c r="D22" s="77">
        <v>15759000</v>
      </c>
      <c r="E22" s="15">
        <v>2.86</v>
      </c>
    </row>
    <row r="23" spans="1:7" x14ac:dyDescent="0.4">
      <c r="A23" s="72" t="s">
        <v>57</v>
      </c>
      <c r="B23" s="72" t="s">
        <v>58</v>
      </c>
      <c r="C23" s="76">
        <v>376</v>
      </c>
      <c r="D23" s="77">
        <v>15265600</v>
      </c>
      <c r="E23" s="15">
        <v>2.77</v>
      </c>
    </row>
    <row r="24" spans="1:7" x14ac:dyDescent="0.4">
      <c r="A24" s="72" t="s">
        <v>51</v>
      </c>
      <c r="B24" s="72" t="s">
        <v>52</v>
      </c>
      <c r="C24" s="76">
        <v>351</v>
      </c>
      <c r="D24" s="77">
        <v>15128100</v>
      </c>
      <c r="E24" s="15">
        <v>2.74</v>
      </c>
    </row>
    <row r="25" spans="1:7" x14ac:dyDescent="0.4">
      <c r="A25" s="72" t="s">
        <v>619</v>
      </c>
      <c r="B25" s="72" t="s">
        <v>620</v>
      </c>
      <c r="C25" s="77">
        <v>349</v>
      </c>
      <c r="D25" s="77">
        <v>14169400</v>
      </c>
      <c r="E25" s="15">
        <v>2.57</v>
      </c>
    </row>
    <row r="26" spans="1:7" x14ac:dyDescent="0.4">
      <c r="A26" s="72" t="s">
        <v>4635</v>
      </c>
      <c r="B26" s="72" t="s">
        <v>4636</v>
      </c>
      <c r="C26" s="77">
        <v>1014</v>
      </c>
      <c r="D26" s="77">
        <v>14013480</v>
      </c>
      <c r="E26" s="15">
        <v>2.54</v>
      </c>
    </row>
    <row r="27" spans="1:7" x14ac:dyDescent="0.4">
      <c r="A27" s="72" t="s">
        <v>563</v>
      </c>
      <c r="B27" s="72" t="s">
        <v>564</v>
      </c>
      <c r="C27" s="77">
        <v>446</v>
      </c>
      <c r="D27" s="77">
        <v>13246200</v>
      </c>
      <c r="E27" s="15">
        <v>2.4</v>
      </c>
    </row>
    <row r="28" spans="1:7" x14ac:dyDescent="0.4">
      <c r="A28" s="72" t="s">
        <v>39</v>
      </c>
      <c r="B28" s="72" t="s">
        <v>40</v>
      </c>
      <c r="C28" s="77">
        <v>62</v>
      </c>
      <c r="D28" s="77">
        <v>12834000</v>
      </c>
      <c r="E28" s="15">
        <v>2.33</v>
      </c>
    </row>
    <row r="29" spans="1:7" x14ac:dyDescent="0.4">
      <c r="A29" s="72" t="s">
        <v>681</v>
      </c>
      <c r="B29" s="72" t="s">
        <v>682</v>
      </c>
      <c r="C29" s="77">
        <v>53</v>
      </c>
      <c r="D29" s="77">
        <v>12587500</v>
      </c>
      <c r="E29" s="15">
        <v>2.2799999999999998</v>
      </c>
    </row>
    <row r="30" spans="1:7" x14ac:dyDescent="0.4">
      <c r="A30" s="72" t="s">
        <v>695</v>
      </c>
      <c r="B30" s="72" t="s">
        <v>696</v>
      </c>
      <c r="C30" s="76">
        <v>407</v>
      </c>
      <c r="D30" s="77">
        <v>12128600</v>
      </c>
      <c r="E30" s="15">
        <v>2.2000000000000002</v>
      </c>
    </row>
    <row r="31" spans="1:7" x14ac:dyDescent="0.4">
      <c r="A31" s="72" t="s">
        <v>607</v>
      </c>
      <c r="B31" s="72" t="s">
        <v>608</v>
      </c>
      <c r="C31" s="77">
        <v>110</v>
      </c>
      <c r="D31" s="77">
        <v>10208000</v>
      </c>
      <c r="E31" s="15">
        <v>1.85</v>
      </c>
    </row>
    <row r="32" spans="1:7" x14ac:dyDescent="0.4">
      <c r="A32" s="72" t="s">
        <v>5167</v>
      </c>
      <c r="B32" s="72" t="s">
        <v>5168</v>
      </c>
      <c r="C32" s="77">
        <v>530</v>
      </c>
      <c r="D32" s="77">
        <v>9619500</v>
      </c>
      <c r="E32" s="15">
        <v>1.74</v>
      </c>
    </row>
    <row r="33" spans="1:5" x14ac:dyDescent="0.4">
      <c r="A33" s="72" t="s">
        <v>691</v>
      </c>
      <c r="B33" s="72" t="s">
        <v>692</v>
      </c>
      <c r="C33" s="77">
        <v>622</v>
      </c>
      <c r="D33" s="77">
        <v>8676900</v>
      </c>
      <c r="E33" s="15">
        <v>1.57</v>
      </c>
    </row>
    <row r="34" spans="1:5" x14ac:dyDescent="0.4">
      <c r="A34" s="72" t="s">
        <v>4663</v>
      </c>
      <c r="B34" s="72" t="s">
        <v>4664</v>
      </c>
      <c r="C34" s="77">
        <v>617</v>
      </c>
      <c r="D34" s="77">
        <v>7311450</v>
      </c>
      <c r="E34" s="15">
        <v>1.32</v>
      </c>
    </row>
    <row r="35" spans="1:5" x14ac:dyDescent="0.4">
      <c r="A35" s="72" t="s">
        <v>637</v>
      </c>
      <c r="B35" s="72" t="s">
        <v>638</v>
      </c>
      <c r="C35" s="77">
        <v>136</v>
      </c>
      <c r="D35" s="77">
        <v>6283200</v>
      </c>
      <c r="E35" s="15">
        <v>1.1399999999999999</v>
      </c>
    </row>
    <row r="36" spans="1:5" x14ac:dyDescent="0.4">
      <c r="A36" s="72"/>
      <c r="B36" s="72" t="s">
        <v>10</v>
      </c>
      <c r="C36" s="77">
        <v>9230832</v>
      </c>
      <c r="D36" s="77">
        <v>9230832</v>
      </c>
      <c r="E36" s="15">
        <v>1.67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E15" workbookViewId="0">
      <selection activeCell="G24" sqref="G2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70" t="s">
        <v>519</v>
      </c>
      <c r="B5" s="71" t="s">
        <v>543</v>
      </c>
      <c r="C5" s="71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4" t="s">
        <v>534</v>
      </c>
      <c r="B9" s="72"/>
      <c r="C9" s="72"/>
      <c r="D9" s="72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2" t="s">
        <v>45</v>
      </c>
      <c r="B11" s="72" t="s">
        <v>46</v>
      </c>
      <c r="C11" s="77">
        <v>543</v>
      </c>
      <c r="D11" s="77">
        <v>95079300</v>
      </c>
      <c r="E11" s="15">
        <v>14.42</v>
      </c>
    </row>
    <row r="12" spans="1:5" x14ac:dyDescent="0.4">
      <c r="A12" s="72" t="s">
        <v>31</v>
      </c>
      <c r="B12" s="72" t="s">
        <v>32</v>
      </c>
      <c r="C12" s="76">
        <v>250</v>
      </c>
      <c r="D12" s="77">
        <v>92250000</v>
      </c>
      <c r="E12" s="15">
        <v>13.99</v>
      </c>
    </row>
    <row r="13" spans="1:5" x14ac:dyDescent="0.4">
      <c r="A13" s="72" t="s">
        <v>35</v>
      </c>
      <c r="B13" s="72" t="s">
        <v>36</v>
      </c>
      <c r="C13" s="77">
        <v>439</v>
      </c>
      <c r="D13" s="77">
        <v>66332900</v>
      </c>
      <c r="E13" s="15">
        <v>10.06</v>
      </c>
    </row>
    <row r="14" spans="1:5" x14ac:dyDescent="0.4">
      <c r="A14" s="72" t="s">
        <v>41</v>
      </c>
      <c r="B14" s="72" t="s">
        <v>42</v>
      </c>
      <c r="C14" s="72">
        <v>498</v>
      </c>
      <c r="D14" s="77">
        <v>55726200</v>
      </c>
      <c r="E14" s="15">
        <v>8.4499999999999993</v>
      </c>
    </row>
    <row r="15" spans="1:5" x14ac:dyDescent="0.4">
      <c r="A15" s="72" t="s">
        <v>647</v>
      </c>
      <c r="B15" s="72" t="s">
        <v>648</v>
      </c>
      <c r="C15" s="76">
        <v>474</v>
      </c>
      <c r="D15" s="77">
        <v>29625000</v>
      </c>
      <c r="E15" s="15">
        <v>4.49</v>
      </c>
    </row>
    <row r="16" spans="1:5" x14ac:dyDescent="0.4">
      <c r="A16" s="72" t="s">
        <v>37</v>
      </c>
      <c r="B16" s="72" t="s">
        <v>38</v>
      </c>
      <c r="C16" s="76">
        <v>261</v>
      </c>
      <c r="D16" s="77">
        <v>24690600</v>
      </c>
      <c r="E16" s="15">
        <v>3.74</v>
      </c>
    </row>
    <row r="17" spans="1:5" x14ac:dyDescent="0.4">
      <c r="A17" s="72" t="s">
        <v>49</v>
      </c>
      <c r="B17" s="72" t="s">
        <v>50</v>
      </c>
      <c r="C17" s="76">
        <v>184</v>
      </c>
      <c r="D17" s="77">
        <v>24674400</v>
      </c>
      <c r="E17" s="15">
        <v>3.74</v>
      </c>
    </row>
    <row r="18" spans="1:5" x14ac:dyDescent="0.4">
      <c r="A18" s="72" t="s">
        <v>51</v>
      </c>
      <c r="B18" s="72" t="s">
        <v>52</v>
      </c>
      <c r="C18" s="77">
        <v>351</v>
      </c>
      <c r="D18" s="77">
        <v>22393800</v>
      </c>
      <c r="E18" s="15">
        <v>3.4</v>
      </c>
    </row>
    <row r="19" spans="1:5" x14ac:dyDescent="0.4">
      <c r="A19" s="72" t="s">
        <v>39</v>
      </c>
      <c r="B19" s="72" t="s">
        <v>40</v>
      </c>
      <c r="C19" s="77">
        <v>77</v>
      </c>
      <c r="D19" s="77">
        <v>22099000</v>
      </c>
      <c r="E19" s="15">
        <v>3.35</v>
      </c>
    </row>
    <row r="20" spans="1:5" x14ac:dyDescent="0.4">
      <c r="A20" s="72" t="s">
        <v>683</v>
      </c>
      <c r="B20" s="72" t="s">
        <v>684</v>
      </c>
      <c r="C20" s="77">
        <v>197</v>
      </c>
      <c r="D20" s="77">
        <v>19483300</v>
      </c>
      <c r="E20" s="15">
        <v>2.95</v>
      </c>
    </row>
    <row r="21" spans="1:5" x14ac:dyDescent="0.4">
      <c r="A21" s="72" t="s">
        <v>619</v>
      </c>
      <c r="B21" s="72" t="s">
        <v>620</v>
      </c>
      <c r="C21" s="77">
        <v>349</v>
      </c>
      <c r="D21" s="77">
        <v>18113100</v>
      </c>
      <c r="E21" s="15">
        <v>2.75</v>
      </c>
    </row>
    <row r="22" spans="1:5" x14ac:dyDescent="0.4">
      <c r="A22" s="72" t="s">
        <v>510</v>
      </c>
      <c r="B22" s="72" t="s">
        <v>511</v>
      </c>
      <c r="C22" s="77">
        <v>612</v>
      </c>
      <c r="D22" s="77">
        <v>17809200</v>
      </c>
      <c r="E22" s="15">
        <v>2.7</v>
      </c>
    </row>
    <row r="23" spans="1:5" x14ac:dyDescent="0.4">
      <c r="A23" s="72" t="s">
        <v>5167</v>
      </c>
      <c r="B23" s="72" t="s">
        <v>5168</v>
      </c>
      <c r="C23" s="76">
        <v>672</v>
      </c>
      <c r="D23" s="77">
        <v>17673600</v>
      </c>
      <c r="E23" s="15">
        <v>2.68</v>
      </c>
    </row>
    <row r="24" spans="1:5" x14ac:dyDescent="0.4">
      <c r="A24" s="72" t="s">
        <v>53</v>
      </c>
      <c r="B24" s="72" t="s">
        <v>54</v>
      </c>
      <c r="C24" s="76">
        <v>35</v>
      </c>
      <c r="D24" s="77">
        <v>17185000</v>
      </c>
      <c r="E24" s="15">
        <v>2.61</v>
      </c>
    </row>
    <row r="25" spans="1:5" x14ac:dyDescent="0.4">
      <c r="A25" s="72" t="s">
        <v>563</v>
      </c>
      <c r="B25" s="72" t="s">
        <v>564</v>
      </c>
      <c r="C25" s="77">
        <v>446</v>
      </c>
      <c r="D25" s="77">
        <v>16747300</v>
      </c>
      <c r="E25" s="15">
        <v>2.54</v>
      </c>
    </row>
    <row r="26" spans="1:5" x14ac:dyDescent="0.4">
      <c r="A26" s="72" t="s">
        <v>607</v>
      </c>
      <c r="B26" s="72" t="s">
        <v>608</v>
      </c>
      <c r="C26" s="77">
        <v>130</v>
      </c>
      <c r="D26" s="77">
        <v>16393000</v>
      </c>
      <c r="E26" s="15">
        <v>2.4900000000000002</v>
      </c>
    </row>
    <row r="27" spans="1:5" x14ac:dyDescent="0.4">
      <c r="A27" s="72" t="s">
        <v>681</v>
      </c>
      <c r="B27" s="72" t="s">
        <v>682</v>
      </c>
      <c r="C27" s="77">
        <v>53</v>
      </c>
      <c r="D27" s="77">
        <v>15953000</v>
      </c>
      <c r="E27" s="15">
        <v>2.42</v>
      </c>
    </row>
    <row r="28" spans="1:5" x14ac:dyDescent="0.4">
      <c r="A28" s="72" t="s">
        <v>4635</v>
      </c>
      <c r="B28" s="72" t="s">
        <v>4636</v>
      </c>
      <c r="C28" s="77">
        <v>1014</v>
      </c>
      <c r="D28" s="77">
        <v>14682720</v>
      </c>
      <c r="E28" s="15">
        <v>2.23</v>
      </c>
    </row>
    <row r="29" spans="1:5" x14ac:dyDescent="0.4">
      <c r="A29" s="72" t="s">
        <v>695</v>
      </c>
      <c r="B29" s="72" t="s">
        <v>696</v>
      </c>
      <c r="C29" s="77">
        <v>407</v>
      </c>
      <c r="D29" s="77">
        <v>12332100</v>
      </c>
      <c r="E29" s="15">
        <v>1.87</v>
      </c>
    </row>
    <row r="30" spans="1:5" x14ac:dyDescent="0.4">
      <c r="A30" s="72" t="s">
        <v>691</v>
      </c>
      <c r="B30" s="72" t="s">
        <v>692</v>
      </c>
      <c r="C30" s="77">
        <v>622</v>
      </c>
      <c r="D30" s="77">
        <v>9765400</v>
      </c>
      <c r="E30" s="15">
        <v>1.48</v>
      </c>
    </row>
    <row r="31" spans="1:5" x14ac:dyDescent="0.4">
      <c r="A31" s="72" t="s">
        <v>4481</v>
      </c>
      <c r="B31" s="72" t="s">
        <v>4482</v>
      </c>
      <c r="C31" s="77">
        <v>1386</v>
      </c>
      <c r="D31" s="77">
        <v>9715860</v>
      </c>
      <c r="E31" s="15">
        <v>1.47</v>
      </c>
    </row>
    <row r="32" spans="1:5" x14ac:dyDescent="0.4">
      <c r="A32" s="72" t="s">
        <v>55</v>
      </c>
      <c r="B32" s="72" t="s">
        <v>56</v>
      </c>
      <c r="C32" s="77">
        <v>36</v>
      </c>
      <c r="D32" s="77">
        <v>8946000</v>
      </c>
      <c r="E32" s="15">
        <v>1.36</v>
      </c>
    </row>
    <row r="33" spans="1:5" x14ac:dyDescent="0.4">
      <c r="A33" s="72" t="s">
        <v>4794</v>
      </c>
      <c r="B33" s="72" t="s">
        <v>4795</v>
      </c>
      <c r="C33" s="77">
        <v>1003</v>
      </c>
      <c r="D33" s="77">
        <v>8856490</v>
      </c>
      <c r="E33" s="15">
        <v>1.34</v>
      </c>
    </row>
    <row r="34" spans="1:5" x14ac:dyDescent="0.4">
      <c r="A34" s="72" t="s">
        <v>637</v>
      </c>
      <c r="B34" s="72" t="s">
        <v>638</v>
      </c>
      <c r="C34" s="77">
        <v>136</v>
      </c>
      <c r="D34" s="77">
        <v>7915200</v>
      </c>
      <c r="E34" s="15">
        <v>1.2</v>
      </c>
    </row>
    <row r="35" spans="1:5" x14ac:dyDescent="0.4">
      <c r="A35" s="72" t="s">
        <v>4663</v>
      </c>
      <c r="B35" s="72" t="s">
        <v>4664</v>
      </c>
      <c r="C35" s="77">
        <v>416</v>
      </c>
      <c r="D35" s="77">
        <v>6552000</v>
      </c>
      <c r="E35" s="15">
        <v>0.99</v>
      </c>
    </row>
    <row r="36" spans="1:5" x14ac:dyDescent="0.4">
      <c r="A36" s="72"/>
      <c r="B36" s="72" t="s">
        <v>10</v>
      </c>
      <c r="C36" s="77">
        <v>8410663</v>
      </c>
      <c r="D36" s="77">
        <v>8410663</v>
      </c>
      <c r="E36" s="15">
        <v>1.28</v>
      </c>
    </row>
    <row r="37" spans="1:5" x14ac:dyDescent="0.4">
      <c r="C37" s="13"/>
      <c r="D37" s="13"/>
      <c r="E37" s="72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수급,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SOL 코리아메가테크액티브</vt:lpstr>
      <vt:lpstr>SOL 코리아메가테크액티브(과거)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2026-06-11T08:12:43Z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20260611170448</vt:lpwstr>
  </property>
</Properties>
</file>