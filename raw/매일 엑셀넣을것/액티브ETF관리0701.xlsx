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눈꽃빙수 관리용 파일 포함/"/>
    </mc:Choice>
  </mc:AlternateContent>
  <xr:revisionPtr revIDLastSave="5766" documentId="13_ncr:1_{98C23E02-DA13-4609-9D15-F23C638A0E85}" xr6:coauthVersionLast="47" xr6:coauthVersionMax="47" xr10:uidLastSave="{D9195E6C-9B3E-4BF3-BF80-29E3502401B3}"/>
  <workbookProtection workbookAlgorithmName="SHA-512" workbookHashValue="ngKoC8CNY8W0/10Hed30z0B89gYQehLI96fYWG99sJMqrH0N1k/7j1rZ9cncCYpLgcAA4EPkNNQW4HUCt8dHfA==" workbookSaltValue="YElCPC5anU6+z2RQOSWoUg==" workbookSpinCount="100000" lockStructure="1"/>
  <bookViews>
    <workbookView showHorizontalScroll="0" showVerticalScroll="0" xWindow="28680" yWindow="-120" windowWidth="29040" windowHeight="15720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코엑트 코스닥액티브" sheetId="112" r:id="rId8"/>
    <sheet name="밸류업, 제조업, 바이오" sheetId="53" r:id="rId9"/>
    <sheet name="바이오" sheetId="38" r:id="rId10"/>
    <sheet name="유니버스" sheetId="109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IBK 코스피액티브" sheetId="84" state="hidden" r:id="rId37"/>
    <sheet name="IBK 코스피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6" hidden="1">'IBK 코스피액티브'!$A$10:$G$10</definedName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18" hidden="1">'WON 반도체밸류체인액티브'!$A$10:$G$10</definedName>
    <definedName name="_xlnm._FilterDatabase" localSheetId="9" hidden="1">바이오!$B$4:$R$4</definedName>
    <definedName name="_xlnm._FilterDatabase" localSheetId="1" hidden="1">반도체!$B$4:$R$4</definedName>
    <definedName name="_xlnm._FilterDatabase" localSheetId="8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10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7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81" l="1"/>
  <c r="I59" i="81" s="1"/>
  <c r="H60" i="81"/>
  <c r="G60" i="81" s="1"/>
  <c r="H52" i="81"/>
  <c r="G52" i="81" s="1"/>
  <c r="H53" i="81"/>
  <c r="G53" i="81" s="1"/>
  <c r="H54" i="81"/>
  <c r="G54" i="81" s="1"/>
  <c r="I54" i="81"/>
  <c r="H55" i="81"/>
  <c r="G55" i="81" s="1"/>
  <c r="H56" i="81"/>
  <c r="G56" i="81" s="1"/>
  <c r="H57" i="81"/>
  <c r="G57" i="81" s="1"/>
  <c r="J57" i="81"/>
  <c r="H58" i="81"/>
  <c r="G58" i="81" s="1"/>
  <c r="I58" i="81"/>
  <c r="H45" i="81"/>
  <c r="G45" i="81" s="1"/>
  <c r="H46" i="81"/>
  <c r="G46" i="81" s="1"/>
  <c r="H47" i="81"/>
  <c r="G47" i="81" s="1"/>
  <c r="H48" i="81"/>
  <c r="G48" i="81" s="1"/>
  <c r="H49" i="81"/>
  <c r="G49" i="81" s="1"/>
  <c r="H50" i="81"/>
  <c r="G50" i="81" s="1"/>
  <c r="H51" i="81"/>
  <c r="G51" i="81" s="1"/>
  <c r="H30" i="81"/>
  <c r="G30" i="81" s="1"/>
  <c r="H31" i="81"/>
  <c r="G31" i="81" s="1"/>
  <c r="I31" i="81"/>
  <c r="J31" i="81"/>
  <c r="H32" i="81"/>
  <c r="G32" i="81" s="1"/>
  <c r="H33" i="81"/>
  <c r="G33" i="81" s="1"/>
  <c r="I33" i="81"/>
  <c r="H34" i="81"/>
  <c r="G34" i="81" s="1"/>
  <c r="J34" i="81"/>
  <c r="H35" i="81"/>
  <c r="G35" i="81" s="1"/>
  <c r="H36" i="81"/>
  <c r="G36" i="81" s="1"/>
  <c r="I36" i="81"/>
  <c r="H37" i="81"/>
  <c r="G37" i="81" s="1"/>
  <c r="I37" i="81"/>
  <c r="J37" i="81"/>
  <c r="L37" i="81" s="1"/>
  <c r="H38" i="81"/>
  <c r="G38" i="81" s="1"/>
  <c r="H39" i="81"/>
  <c r="G39" i="81" s="1"/>
  <c r="I39" i="81"/>
  <c r="H40" i="81"/>
  <c r="G40" i="81" s="1"/>
  <c r="H41" i="81"/>
  <c r="G41" i="81" s="1"/>
  <c r="H42" i="81"/>
  <c r="G42" i="81" s="1"/>
  <c r="I42" i="81"/>
  <c r="H43" i="81"/>
  <c r="G43" i="81" s="1"/>
  <c r="H44" i="81"/>
  <c r="G44" i="81" s="1"/>
  <c r="H9" i="81"/>
  <c r="I9" i="81" s="1"/>
  <c r="H10" i="81"/>
  <c r="G10" i="81" s="1"/>
  <c r="H11" i="81"/>
  <c r="I11" i="81" s="1"/>
  <c r="H12" i="81"/>
  <c r="G12" i="81" s="1"/>
  <c r="H13" i="81"/>
  <c r="I13" i="81" s="1"/>
  <c r="H14" i="81"/>
  <c r="G14" i="81" s="1"/>
  <c r="I14" i="81"/>
  <c r="H15" i="81"/>
  <c r="I15" i="81" s="1"/>
  <c r="H16" i="81"/>
  <c r="G16" i="81" s="1"/>
  <c r="H17" i="81"/>
  <c r="I17" i="81" s="1"/>
  <c r="H18" i="81"/>
  <c r="G18" i="81" s="1"/>
  <c r="H19" i="81"/>
  <c r="I19" i="81" s="1"/>
  <c r="H20" i="81"/>
  <c r="G20" i="81" s="1"/>
  <c r="H21" i="81"/>
  <c r="I21" i="81" s="1"/>
  <c r="H22" i="81"/>
  <c r="G22" i="81" s="1"/>
  <c r="I22" i="81"/>
  <c r="H23" i="81"/>
  <c r="I23" i="81" s="1"/>
  <c r="H24" i="81"/>
  <c r="G24" i="81" s="1"/>
  <c r="H25" i="81"/>
  <c r="I25" i="81" s="1"/>
  <c r="H26" i="81"/>
  <c r="G26" i="81" s="1"/>
  <c r="I26" i="81"/>
  <c r="H27" i="81"/>
  <c r="I27" i="81" s="1"/>
  <c r="H28" i="81"/>
  <c r="G28" i="81" s="1"/>
  <c r="I28" i="81"/>
  <c r="J28" i="81"/>
  <c r="H29" i="81"/>
  <c r="I29" i="81" s="1"/>
  <c r="H28" i="67"/>
  <c r="G28" i="67" s="1"/>
  <c r="H29" i="67"/>
  <c r="G29" i="67" s="1"/>
  <c r="H30" i="67"/>
  <c r="G30" i="67" s="1"/>
  <c r="B30" i="67"/>
  <c r="A30" i="67" s="1"/>
  <c r="B31" i="67"/>
  <c r="C31" i="67" s="1"/>
  <c r="B32" i="67"/>
  <c r="A32" i="67" s="1"/>
  <c r="B33" i="67"/>
  <c r="A33" i="67" s="1"/>
  <c r="B34" i="67"/>
  <c r="A34" i="67" s="1"/>
  <c r="B35" i="67"/>
  <c r="A35" i="67" s="1"/>
  <c r="B47" i="95"/>
  <c r="D47" i="95" s="1"/>
  <c r="B48" i="95"/>
  <c r="A48" i="95" s="1"/>
  <c r="B49" i="95"/>
  <c r="A49" i="95" s="1"/>
  <c r="B50" i="95"/>
  <c r="A50" i="95" s="1"/>
  <c r="N19" i="102"/>
  <c r="M19" i="102" s="1"/>
  <c r="N20" i="102"/>
  <c r="M20" i="102" s="1"/>
  <c r="N21" i="102"/>
  <c r="M21" i="102" s="1"/>
  <c r="O21" i="102"/>
  <c r="P21" i="102"/>
  <c r="J12" i="81" l="1"/>
  <c r="I34" i="81"/>
  <c r="I48" i="81"/>
  <c r="I12" i="81"/>
  <c r="J39" i="81"/>
  <c r="K39" i="81" s="1"/>
  <c r="I18" i="81"/>
  <c r="I10" i="81"/>
  <c r="A31" i="67"/>
  <c r="J20" i="81"/>
  <c r="J43" i="81"/>
  <c r="I20" i="81"/>
  <c r="K20" i="81" s="1"/>
  <c r="I43" i="81"/>
  <c r="J33" i="81"/>
  <c r="L33" i="81" s="1"/>
  <c r="J48" i="81"/>
  <c r="K48" i="81" s="1"/>
  <c r="J55" i="81"/>
  <c r="K37" i="81"/>
  <c r="I41" i="81"/>
  <c r="K31" i="81"/>
  <c r="I46" i="81"/>
  <c r="J53" i="81"/>
  <c r="J24" i="81"/>
  <c r="I24" i="81"/>
  <c r="L24" i="81" s="1"/>
  <c r="J16" i="81"/>
  <c r="K16" i="81" s="1"/>
  <c r="J40" i="81"/>
  <c r="I16" i="81"/>
  <c r="I40" i="81"/>
  <c r="K40" i="81" s="1"/>
  <c r="I35" i="81"/>
  <c r="I30" i="81"/>
  <c r="C47" i="95"/>
  <c r="E47" i="95" s="1"/>
  <c r="J29" i="67"/>
  <c r="I29" i="67"/>
  <c r="I30" i="67"/>
  <c r="I28" i="67"/>
  <c r="D33" i="67"/>
  <c r="C33" i="67"/>
  <c r="D35" i="67"/>
  <c r="E35" i="67" s="1"/>
  <c r="D31" i="67"/>
  <c r="E31" i="67" s="1"/>
  <c r="C35" i="67"/>
  <c r="K12" i="81"/>
  <c r="K33" i="81"/>
  <c r="L31" i="81"/>
  <c r="K28" i="81"/>
  <c r="K34" i="81"/>
  <c r="J56" i="81"/>
  <c r="J52" i="81"/>
  <c r="J26" i="81"/>
  <c r="K26" i="81" s="1"/>
  <c r="J22" i="81"/>
  <c r="L22" i="81" s="1"/>
  <c r="J18" i="81"/>
  <c r="J14" i="81"/>
  <c r="K14" i="81" s="1"/>
  <c r="J10" i="81"/>
  <c r="K10" i="81" s="1"/>
  <c r="J42" i="81"/>
  <c r="K42" i="81" s="1"/>
  <c r="J36" i="81"/>
  <c r="K36" i="81" s="1"/>
  <c r="J30" i="81"/>
  <c r="K30" i="81" s="1"/>
  <c r="J46" i="81"/>
  <c r="I56" i="81"/>
  <c r="I52" i="81"/>
  <c r="L28" i="81"/>
  <c r="L12" i="81"/>
  <c r="J44" i="81"/>
  <c r="J38" i="81"/>
  <c r="J32" i="81"/>
  <c r="J50" i="81"/>
  <c r="L50" i="81" s="1"/>
  <c r="J60" i="81"/>
  <c r="I44" i="81"/>
  <c r="J41" i="81"/>
  <c r="I38" i="81"/>
  <c r="J35" i="81"/>
  <c r="L35" i="81" s="1"/>
  <c r="I32" i="81"/>
  <c r="I50" i="81"/>
  <c r="J58" i="81"/>
  <c r="K58" i="81" s="1"/>
  <c r="J54" i="81"/>
  <c r="K54" i="81" s="1"/>
  <c r="I60" i="81"/>
  <c r="A47" i="95"/>
  <c r="D50" i="95"/>
  <c r="D49" i="95"/>
  <c r="C49" i="95"/>
  <c r="Q21" i="102"/>
  <c r="P20" i="102"/>
  <c r="O20" i="102"/>
  <c r="G59" i="81"/>
  <c r="J59" i="81"/>
  <c r="K59" i="81" s="1"/>
  <c r="I57" i="81"/>
  <c r="I55" i="81"/>
  <c r="I53" i="81"/>
  <c r="J51" i="81"/>
  <c r="J49" i="81"/>
  <c r="J47" i="81"/>
  <c r="J45" i="81"/>
  <c r="I51" i="81"/>
  <c r="I49" i="81"/>
  <c r="I47" i="81"/>
  <c r="I45" i="81"/>
  <c r="L34" i="81"/>
  <c r="L9" i="81"/>
  <c r="G29" i="81"/>
  <c r="G25" i="81"/>
  <c r="G19" i="81"/>
  <c r="G11" i="81"/>
  <c r="G27" i="81"/>
  <c r="G23" i="81"/>
  <c r="G21" i="81"/>
  <c r="G17" i="81"/>
  <c r="G15" i="81"/>
  <c r="G13" i="81"/>
  <c r="G9" i="81"/>
  <c r="J29" i="81"/>
  <c r="K29" i="81" s="1"/>
  <c r="J27" i="81"/>
  <c r="K27" i="81" s="1"/>
  <c r="J25" i="81"/>
  <c r="K25" i="81" s="1"/>
  <c r="J23" i="81"/>
  <c r="K23" i="81" s="1"/>
  <c r="J21" i="81"/>
  <c r="K21" i="81" s="1"/>
  <c r="J19" i="81"/>
  <c r="L19" i="81" s="1"/>
  <c r="J17" i="81"/>
  <c r="L17" i="81" s="1"/>
  <c r="J15" i="81"/>
  <c r="K15" i="81" s="1"/>
  <c r="J13" i="81"/>
  <c r="K13" i="81" s="1"/>
  <c r="J11" i="81"/>
  <c r="K11" i="81" s="1"/>
  <c r="J9" i="81"/>
  <c r="K9" i="81" s="1"/>
  <c r="J30" i="67"/>
  <c r="L30" i="67" s="1"/>
  <c r="J28" i="67"/>
  <c r="K28" i="67" s="1"/>
  <c r="D34" i="67"/>
  <c r="D32" i="67"/>
  <c r="D30" i="67"/>
  <c r="C34" i="67"/>
  <c r="C32" i="67"/>
  <c r="C30" i="67"/>
  <c r="D48" i="95"/>
  <c r="C50" i="95"/>
  <c r="C48" i="95"/>
  <c r="R21" i="102"/>
  <c r="P19" i="102"/>
  <c r="O19" i="102"/>
  <c r="B45" i="95"/>
  <c r="A45" i="95" s="1"/>
  <c r="B46" i="95"/>
  <c r="A46" i="95" s="1"/>
  <c r="N38" i="95"/>
  <c r="O38" i="95" s="1"/>
  <c r="N39" i="95"/>
  <c r="M39" i="95" s="1"/>
  <c r="N40" i="95"/>
  <c r="O40" i="95" s="1"/>
  <c r="N37" i="81"/>
  <c r="P37" i="81" s="1"/>
  <c r="B38" i="60"/>
  <c r="A38" i="60" s="1"/>
  <c r="L39" i="81" l="1"/>
  <c r="L46" i="81"/>
  <c r="K24" i="81"/>
  <c r="L40" i="81"/>
  <c r="L20" i="81"/>
  <c r="K18" i="81"/>
  <c r="L30" i="81"/>
  <c r="F47" i="95"/>
  <c r="L16" i="81"/>
  <c r="K19" i="81"/>
  <c r="L48" i="81"/>
  <c r="K41" i="81"/>
  <c r="L54" i="81"/>
  <c r="K46" i="81"/>
  <c r="L58" i="81"/>
  <c r="K43" i="81"/>
  <c r="L43" i="81"/>
  <c r="L38" i="81"/>
  <c r="L10" i="81"/>
  <c r="L18" i="81"/>
  <c r="K29" i="67"/>
  <c r="L29" i="67"/>
  <c r="F35" i="67"/>
  <c r="F31" i="67"/>
  <c r="E33" i="67"/>
  <c r="F33" i="67"/>
  <c r="L36" i="81"/>
  <c r="K35" i="81"/>
  <c r="K32" i="81"/>
  <c r="L42" i="81"/>
  <c r="K44" i="81"/>
  <c r="K17" i="81"/>
  <c r="L29" i="81"/>
  <c r="L26" i="81"/>
  <c r="L11" i="81"/>
  <c r="L15" i="81"/>
  <c r="K22" i="81"/>
  <c r="L32" i="81"/>
  <c r="L41" i="81"/>
  <c r="L56" i="81"/>
  <c r="K56" i="81"/>
  <c r="K50" i="81"/>
  <c r="L60" i="81"/>
  <c r="K60" i="81"/>
  <c r="L52" i="81"/>
  <c r="K52" i="81"/>
  <c r="L44" i="81"/>
  <c r="L13" i="81"/>
  <c r="K38" i="81"/>
  <c r="L14" i="81"/>
  <c r="E49" i="95"/>
  <c r="F49" i="95"/>
  <c r="R20" i="102"/>
  <c r="Q20" i="102"/>
  <c r="L59" i="81"/>
  <c r="K53" i="81"/>
  <c r="L53" i="81"/>
  <c r="K55" i="81"/>
  <c r="L55" i="81"/>
  <c r="K57" i="81"/>
  <c r="L57" i="81"/>
  <c r="K49" i="81"/>
  <c r="L49" i="81"/>
  <c r="K45" i="81"/>
  <c r="L45" i="81"/>
  <c r="K51" i="81"/>
  <c r="L51" i="81"/>
  <c r="L47" i="81"/>
  <c r="K47" i="81"/>
  <c r="L21" i="81"/>
  <c r="L23" i="81"/>
  <c r="L25" i="81"/>
  <c r="L27" i="81"/>
  <c r="K30" i="67"/>
  <c r="L28" i="67"/>
  <c r="E30" i="67"/>
  <c r="F30" i="67"/>
  <c r="E32" i="67"/>
  <c r="F32" i="67"/>
  <c r="E34" i="67"/>
  <c r="F34" i="67"/>
  <c r="F48" i="95"/>
  <c r="E48" i="95"/>
  <c r="E50" i="95"/>
  <c r="F50" i="95"/>
  <c r="Q19" i="102"/>
  <c r="R19" i="102"/>
  <c r="D46" i="95"/>
  <c r="C46" i="95"/>
  <c r="C38" i="60"/>
  <c r="O37" i="81"/>
  <c r="Q37" i="81" s="1"/>
  <c r="M37" i="81"/>
  <c r="O39" i="95"/>
  <c r="D45" i="95"/>
  <c r="C45" i="95"/>
  <c r="M38" i="95"/>
  <c r="P39" i="95"/>
  <c r="P38" i="95"/>
  <c r="Q38" i="95" s="1"/>
  <c r="M40" i="95"/>
  <c r="P40" i="95"/>
  <c r="Q40" i="95" s="1"/>
  <c r="D38" i="60"/>
  <c r="B29" i="81"/>
  <c r="A29" i="81" s="1"/>
  <c r="B30" i="81"/>
  <c r="A30" i="81" s="1"/>
  <c r="B31" i="81"/>
  <c r="A31" i="81" s="1"/>
  <c r="H25" i="88"/>
  <c r="G25" i="88" s="1"/>
  <c r="H26" i="88"/>
  <c r="G26" i="88" s="1"/>
  <c r="H27" i="88"/>
  <c r="G27" i="88" s="1"/>
  <c r="H28" i="88"/>
  <c r="G28" i="88" s="1"/>
  <c r="H29" i="88"/>
  <c r="G29" i="88" s="1"/>
  <c r="E38" i="60" l="1"/>
  <c r="F46" i="95"/>
  <c r="E46" i="95"/>
  <c r="R37" i="81"/>
  <c r="R39" i="95"/>
  <c r="E45" i="95"/>
  <c r="F45" i="95"/>
  <c r="Q39" i="95"/>
  <c r="R38" i="95"/>
  <c r="R40" i="95"/>
  <c r="F38" i="60"/>
  <c r="C30" i="81"/>
  <c r="D30" i="81"/>
  <c r="J27" i="88"/>
  <c r="I27" i="88"/>
  <c r="I25" i="88"/>
  <c r="J29" i="88"/>
  <c r="I29" i="88"/>
  <c r="J25" i="88"/>
  <c r="J28" i="88"/>
  <c r="D31" i="81"/>
  <c r="C31" i="81"/>
  <c r="I28" i="88"/>
  <c r="J26" i="88"/>
  <c r="I26" i="88"/>
  <c r="D29" i="81"/>
  <c r="C29" i="81"/>
  <c r="K26" i="88" l="1"/>
  <c r="E31" i="81"/>
  <c r="F30" i="81"/>
  <c r="E30" i="81"/>
  <c r="K29" i="88"/>
  <c r="K28" i="88"/>
  <c r="K25" i="88"/>
  <c r="K27" i="88"/>
  <c r="L25" i="88"/>
  <c r="L27" i="88"/>
  <c r="L29" i="88"/>
  <c r="L28" i="88"/>
  <c r="F31" i="81"/>
  <c r="L26" i="88"/>
  <c r="E29" i="81"/>
  <c r="F29" i="8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A27" i="102"/>
  <c r="O27" i="60"/>
  <c r="A28" i="102"/>
  <c r="A25" i="102"/>
  <c r="O26" i="60"/>
  <c r="P30" i="60"/>
  <c r="O30" i="60"/>
  <c r="O29" i="60"/>
  <c r="P27" i="60"/>
  <c r="M23" i="88"/>
  <c r="M74" i="111"/>
  <c r="M75" i="111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Q26" i="60"/>
  <c r="R27" i="60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M36" i="81"/>
  <c r="P36" i="81"/>
  <c r="Q36" i="81" s="1"/>
  <c r="P70" i="111"/>
  <c r="O70" i="111"/>
  <c r="P72" i="111"/>
  <c r="O72" i="111"/>
  <c r="P73" i="111"/>
  <c r="P71" i="111"/>
  <c r="P69" i="111"/>
  <c r="O73" i="111"/>
  <c r="O71" i="111"/>
  <c r="O69" i="111"/>
  <c r="R70" i="111" l="1"/>
  <c r="R36" i="81"/>
  <c r="Q72" i="111"/>
  <c r="Q70" i="111"/>
  <c r="R72" i="111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27" i="67"/>
  <c r="G27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N34" i="81"/>
  <c r="M34" i="81" s="1"/>
  <c r="N35" i="81"/>
  <c r="P35" i="81" s="1"/>
  <c r="B29" i="67"/>
  <c r="A29" i="67" s="1"/>
  <c r="B35" i="53"/>
  <c r="A35" i="53" s="1"/>
  <c r="E16" i="102" l="1"/>
  <c r="F20" i="102"/>
  <c r="R64" i="111"/>
  <c r="Q68" i="111"/>
  <c r="E21" i="102"/>
  <c r="F16" i="102"/>
  <c r="Q36" i="95"/>
  <c r="F21" i="102"/>
  <c r="R65" i="111"/>
  <c r="K65" i="111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B39" i="38"/>
  <c r="A39" i="38" s="1"/>
  <c r="B40" i="38"/>
  <c r="A40" i="38" s="1"/>
  <c r="N27" i="38"/>
  <c r="M27" i="38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E74" i="88"/>
  <c r="E70" i="88"/>
  <c r="F71" i="88"/>
  <c r="F80" i="88"/>
  <c r="E79" i="88"/>
  <c r="Q33" i="95"/>
  <c r="Q62" i="111"/>
  <c r="K59" i="111"/>
  <c r="F76" i="88"/>
  <c r="F77" i="88"/>
  <c r="R32" i="95"/>
  <c r="Q60" i="111"/>
  <c r="L60" i="111"/>
  <c r="L61" i="111"/>
  <c r="F78" i="88"/>
  <c r="E71" i="88"/>
  <c r="R31" i="95"/>
  <c r="K63" i="111"/>
  <c r="A70" i="111"/>
  <c r="E35" i="53"/>
  <c r="R28" i="95"/>
  <c r="R30" i="95"/>
  <c r="Q57" i="111"/>
  <c r="R59" i="111"/>
  <c r="R62" i="111"/>
  <c r="R60" i="111"/>
  <c r="K60" i="111"/>
  <c r="L63" i="111"/>
  <c r="L59" i="111"/>
  <c r="L58" i="111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P27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G43" i="111"/>
  <c r="G48" i="111"/>
  <c r="M51" i="111"/>
  <c r="A56" i="111"/>
  <c r="C65" i="111"/>
  <c r="C77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E27" i="111"/>
  <c r="R35" i="53"/>
  <c r="F31" i="111"/>
  <c r="L18" i="111"/>
  <c r="F48" i="111"/>
  <c r="R54" i="111"/>
  <c r="K35" i="111"/>
  <c r="E34" i="53"/>
  <c r="Q31" i="111"/>
  <c r="Q32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B21" i="81"/>
  <c r="D21" i="81" s="1"/>
  <c r="N20" i="81"/>
  <c r="O20" i="81" s="1"/>
  <c r="B20" i="81"/>
  <c r="C20" i="81" s="1"/>
  <c r="N19" i="81"/>
  <c r="P19" i="81" s="1"/>
  <c r="B19" i="81"/>
  <c r="D19" i="81" s="1"/>
  <c r="N18" i="81"/>
  <c r="O18" i="81" s="1"/>
  <c r="B18" i="81"/>
  <c r="C18" i="81" s="1"/>
  <c r="N17" i="81"/>
  <c r="P17" i="81" s="1"/>
  <c r="B17" i="81"/>
  <c r="D17" i="81" s="1"/>
  <c r="N16" i="81"/>
  <c r="O16" i="81" s="1"/>
  <c r="B16" i="81"/>
  <c r="C16" i="81" s="1"/>
  <c r="N15" i="81"/>
  <c r="P15" i="81" s="1"/>
  <c r="B15" i="81"/>
  <c r="D15" i="81" s="1"/>
  <c r="N14" i="81"/>
  <c r="O14" i="81" s="1"/>
  <c r="B14" i="81"/>
  <c r="C14" i="81" s="1"/>
  <c r="N13" i="81"/>
  <c r="P13" i="81" s="1"/>
  <c r="B13" i="81"/>
  <c r="D13" i="81" s="1"/>
  <c r="N12" i="81"/>
  <c r="O12" i="81" s="1"/>
  <c r="B12" i="81"/>
  <c r="C12" i="81" s="1"/>
  <c r="N11" i="81"/>
  <c r="P11" i="81" s="1"/>
  <c r="B11" i="81"/>
  <c r="D11" i="81" s="1"/>
  <c r="N10" i="81"/>
  <c r="O10" i="81" s="1"/>
  <c r="B10" i="81"/>
  <c r="C10" i="81" s="1"/>
  <c r="N9" i="81"/>
  <c r="P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P20" i="81"/>
  <c r="Q20" i="81" s="1"/>
  <c r="G6" i="81"/>
  <c r="A7" i="81"/>
  <c r="M7" i="81"/>
  <c r="G8" i="81"/>
  <c r="A9" i="81"/>
  <c r="M9" i="81"/>
  <c r="A11" i="81"/>
  <c r="M11" i="81"/>
  <c r="A13" i="81"/>
  <c r="M13" i="81"/>
  <c r="A15" i="81"/>
  <c r="M15" i="81"/>
  <c r="A17" i="81"/>
  <c r="M17" i="81"/>
  <c r="A19" i="81"/>
  <c r="M19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C11" i="81"/>
  <c r="O11" i="81"/>
  <c r="C13" i="81"/>
  <c r="O13" i="81"/>
  <c r="C15" i="81"/>
  <c r="O15" i="81"/>
  <c r="C17" i="81"/>
  <c r="O17" i="81"/>
  <c r="C19" i="81"/>
  <c r="O19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E9" i="53" l="1"/>
  <c r="Q13" i="60"/>
  <c r="F22" i="60"/>
  <c r="F8" i="38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F15" i="81"/>
  <c r="E15" i="81"/>
  <c r="F7" i="81"/>
  <c r="E7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R25" i="81"/>
  <c r="Q25" i="81"/>
  <c r="R17" i="81"/>
  <c r="Q17" i="81"/>
  <c r="R9" i="81"/>
  <c r="Q9" i="81"/>
  <c r="Q10" i="81"/>
  <c r="E24" i="81"/>
  <c r="E26" i="81"/>
  <c r="E10" i="81"/>
  <c r="E20" i="81"/>
  <c r="Q24" i="81"/>
  <c r="R13" i="81"/>
  <c r="Q13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7172538-3C25-4A4C-865E-DFEDCD59B43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7D0BDF7-C696-4353-B09E-37062198274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D0825CC-2CDF-4348-9D1C-86EE0A279CC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D536B59-743C-4A4C-ADB1-3B719B58E85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E617EF1-25D8-45D7-886A-8C63BF71AA1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E1965E-6F74-45CE-AE69-11543B24CF4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2CAB5A9-9863-44B7-807C-75BF5561198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D8C40D9-0F72-465F-B0D4-908035DD5CA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FB4FF74-AD3B-4CCB-89D8-277DA446561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69B62D1-88A2-44CD-8D9B-976FFF05492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A96763E-9250-4634-8798-6968FC4C97A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EE92E7C-2B8F-4FFF-9877-16833A049C5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FC41BB4-8305-442C-BA72-324B6447B61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7E5233B-8B99-46BE-89E6-90B6B499ED9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02045EE-31DD-4FB3-BC84-37CF5525535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19DD9A2-F318-49BF-9A81-22E1DF071D7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6AC4394-B191-4F90-9915-C0E71B219A3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CDD1AB4-10B1-4EC2-8B85-FB547C0577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DE8CDE0-CA18-439D-9670-C3FA50CE793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5501E0E-2329-46DA-8044-E3126D276BF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D5460EF-F4F9-4D81-960E-0C1FF216EB6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124EA8B-F787-4908-8F0E-DBC69A6F6C2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B54BA5A-B6B4-4EF5-A8F2-7D54EEAC1A0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554476F-56E1-4AFE-9FF3-C16D54B95E8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2328778-C14E-42F5-8998-67CCA0B61B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14A82A7-CACC-4596-9B02-379D28D08EA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0F74847-B344-48B4-BC67-532F18DF897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E8DCD9-6BB8-4B34-9CA7-3108EBB67DC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5091053-61CE-4B56-B6A2-1FBF3BAC1BF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9A791D2-184C-40C1-9CA3-E6234221A7F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6603A4F-B63A-4186-B1D2-1B3C27BC01D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5248BB3-ABAF-456D-8530-20171496B95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C190982-C7EB-46E4-9E3E-46A67EC08DA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451E1EA-1ABB-4B58-9830-D7EC9B90714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A63BF5-706C-43A3-8A1B-52D83DE5D90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B651A39-65C9-49F4-84EC-AD27A08A310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300A6F3-CB15-4C86-98E1-8891C47B08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FFF7E63-CF48-49F6-B9E8-EC6FD2D6168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5B8DE52-6B9E-4007-8FA9-3DC1584A874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160B11E-4612-42BB-A0D9-24F7624D564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E7D4C5-71E4-47D0-8538-13C58149818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8FCA0B8-EEB2-4BD5-9C22-9905700AC83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6C5E872-FDAD-4E7D-89EC-CB6D071765D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3D9DB12-6AAB-41CF-A6B7-5271A54548E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46999A8-698E-4480-BB7B-2625F49B0ED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6CB779E-DA2B-463C-A814-7B605569ACB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2295BE9-1D38-4B61-9375-9589C93F977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97E0B9D-5A10-401D-AA9C-C97723B5D59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8F65F9A-FB4B-4886-9F45-D487C65D23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3A5B85C-8D2D-4FCC-87A5-B5B87570864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FDCCDC4-CA1D-48AB-BEFF-053510A932A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F26E01-C138-49FE-8A6B-FA3423208CC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AB6B6AB-C1DA-4938-89DC-95E17F75BA3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C10FDAD-5B35-44CE-9B56-BC913A15390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3A77DCB-C053-4493-B3C7-64311C4FD68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95D9A60-2B65-46D2-8459-D652774F6BA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8E6C79B-1301-4BE6-A543-D6D82ABD503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300C26F-A83F-4609-A5AA-E2AE95C1885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76EF96-1924-4D37-9C4A-F5A1FD9E40F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67D36B3-42E1-4C6E-BDC7-F2F18A5029A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4126D6-BFAA-449F-97E3-B8FDCE433EC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0E5FF9E-9492-474F-804F-57C5717D1C3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805B339-120E-4283-A3F7-BDC925412A4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619989D-C432-41B0-B852-13A8189483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B9133A7-D92E-4309-ACCA-A4BE4D83096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B550097-EE9C-45A3-B053-043FB430009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9892901-81B1-4DAF-96ED-B43DE2913AC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8AD57A-BD4C-4897-8F9F-085B8C768AD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6C5D7AC-36F7-4FB1-A4AC-FAEF669AB93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9B45E0C-C7ED-46EC-BEF1-2483951543C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195E3BE-2A21-40BF-8147-59EAFED2821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3B23E40-7300-469B-98AC-A397B3D0377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D1EF956-8AD8-4132-BC8F-5F3C9FDBCBE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C4BA227-35B1-486D-9D1E-6D23F53A8A6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066AB5C-5111-4221-A989-7AB86C554FD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1BB6543-A6BC-475C-8A5F-91E984CE511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A659286-96C0-4BAB-98D6-64EDB07EB0A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8115FA4-98DD-45C2-B69B-F29F27443DF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73F15BD-0876-454D-83BB-E108301ECA9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1A92E09-4E50-4180-BD0F-03046B8ADA5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FD839F7-2F6B-4ACB-842E-98D20955B49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CE428A6-61D8-46F3-BE3F-4DA0BCE40A3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6155A3A-A16F-4296-99C0-8BD9F747CA2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FE9EAA6-616B-4BBB-A996-BD9096F57A0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6D7C0A5-3148-404D-B652-BD386E20FD7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20C3C05-6400-437A-A7DB-1CA9E65F7C8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BCE932D-B1B3-422E-BFA5-580E7E18671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F8BAD8F-6180-4E7C-ADE9-2C4ADC2D56B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5EB4E0F-ED85-4A24-B67C-2DF8C74EF55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414F497-E366-46A5-B6ED-51B6F28BA7B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D857073-6993-4AFB-9760-2B973FE4848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D31E7D7-C404-4EA4-98FB-2654C12A19C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FDE4627-78DB-40DF-A133-609195C249D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AB59AD-D12D-46CC-95F7-53C1E2D5552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0E646E5-429C-44F4-9F00-CFC6B377A0A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41E796A-042E-45C1-B7ED-6087DE3BF34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06A0924-A5DE-4A2F-AF58-C221B49A402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C4EFA9D-44D6-4620-A65D-780ADD73044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60EDD43-CECD-447D-A5A2-8B6D7764468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7D0CCA5-AC79-4F56-83DB-9539571BD36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540E28E-85F8-47B5-8F49-500366701C7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ACEADDF-7867-48FC-9B64-21AFF34395D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97EC9CB-340D-4BE4-8F8B-557480E9FDC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9C1D325-9A7F-4A7F-ADF3-D7247B46054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82DA5EE-EF33-4364-BD35-5EE48861D56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4A5D87C-476E-41F1-A469-5587748B589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20C5083-DE53-4D19-8974-4A69244DFFB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57C7E63-B3C6-4E19-8F51-97396F75006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C6CAC6-0FE8-4565-9385-7626AB2F43D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818D395-4854-40FC-A7D4-1B324B3792C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CC11E17-B160-4629-8264-48952A27E1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EB8A8DB-BF99-47ED-B516-BFC9FF31A5C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8A1D890-88B2-4902-8867-60349860BFC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7390A61-E164-4E48-9908-287F50DA4E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7B26383-474F-4AB2-BE0A-FE215B6B78E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540D14E-1F5E-41EA-BDC0-F812773CD83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AE1C62A-291A-4997-976B-CEE9A7850BA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EA01781-7C7B-496C-8391-975F2411C7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7B13C71-9C76-4964-9DE5-4F03BFB9DD9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2D43918-0D0B-49CF-A966-72E7BD73834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748AA31-7C42-478F-84A9-6EA9816D9A4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8101557-B499-48B9-BF59-FCE097AE189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908DBB-19C5-4379-8BBC-72D87B9D6C4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9D73434-80A1-4D52-800C-DD10620E3BE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A199942-E117-481C-9D51-A77B1229346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011E762-47A3-4545-9583-94345FA33DE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63B01F7-BE09-40F3-80F4-9DA8DEC7C86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DE4993C-2D00-4A98-8CC2-A3B37B0C497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33BCA58-1C29-44F4-8E8D-62B6E223D56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CC0883D-06E9-465C-BFB7-0B70619EF4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550B769-E3B5-4DAA-84C2-7D340081795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3A15E3F-C27B-420A-8E68-F9FCB5586E2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8D9E5A9-9A4B-487A-92B6-8A3C4BB040B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0E68F40-B90B-477F-B0E6-D23CA479183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3273EBC-ED17-4074-8598-6D9F70E9B7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F01A7CC-168D-4683-B81D-A9EB0D5C35F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D249934-1620-4FE3-9386-5A08121C00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0D921CC-BF4B-4A29-AF6D-265F51648CA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50BD40-39C8-48C9-AEF9-A1C234474A9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31FF21A-833E-411B-A18E-0A182A4EA41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570749D-0EE2-4FCF-A470-18A45079D01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7ABFE7-DE02-41EF-B342-C6791B1C8E1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262DC4D-016D-4610-BEF7-CDAFE22CAE5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9479DA6-B9D9-4954-9DB7-642FACDEC76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30769D9-7F27-4D14-9600-7387BC30602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FCC9354-214E-4CEA-A3F0-00464C93BF7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F40B8A4-8B4A-4C97-A7FC-2B8A53B2EC1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1524F94-C9FD-4DAD-942D-945BFA30289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9013C84-67D8-4E1B-A701-51F74D194A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BD154D-F788-4D47-975C-63201DD2285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AAC2FBF-9846-4E87-BB26-A1480261E4F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156D865-EE3A-41BA-8A04-93870D98013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7D707D8-AED9-4EC4-A234-E9CD5E2694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6B8FCFE-49DB-47E5-8261-5DC2D3859E9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4240490-193A-425E-A64A-743DB75A1E6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503F33-30B9-434C-BC32-EBD409F9297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A6E0E74-A7D0-4ACA-B5F0-13FE903793A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9CDF2A0-524D-4827-AA17-54D6787207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217DBB5-2E89-4F51-9C86-DA904535FA7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EE03D2B-CC3E-4179-95AA-FAFCE839A90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F757257-033F-4495-A6D1-017A377EF2F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EB8EFA5-9696-42D2-858E-C527D5737FF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C30F21-AC05-4510-BE19-BF288FA987C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6381D36-3002-43D5-BD00-BB0535ADA1C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89D4A5B-607C-4633-8446-BA0291673FD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CADC621-7D97-4B68-8F9F-B94BE0CAE0B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65C0257-8442-4565-BC40-7B319B73D01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E426787-2083-488B-AEFE-829BDF8F2E2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EE13DD1-79C1-458E-A9C7-AAB24C6E6C0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3E6D220-D805-49BF-8FEF-A1DB5481FD7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80BE14E-094A-40B7-9C08-1566083A563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8EBAC5E-72E3-4CB2-9BE1-1B4DC1DE33C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8B4B62C-EAAE-4308-A2A5-C74A0DAE837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670CA20-34DA-4F6D-B02C-05348CC4453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F42EC15-FA58-4AF1-A7CD-BEEE045900B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3393280-F164-4961-A0DC-638555DA26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F1B1A24-6887-4D66-8AAC-F502129444F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53A1358-8244-4EDD-A7A0-C5BA8434B08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8EF79B5-FF6D-4E99-AA7A-D9EECD79C7C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0906DE3-4766-482B-A961-BB1E933EA1D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D802ADA-FF96-4236-8080-25A06D0BA7C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7AB8D00-8E12-4097-A71B-3A858BB90FD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376C004-528D-4C94-BE34-6100386FB83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DF2244B-755E-41FE-8F62-E02195168ED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67F6CF4-C8FF-484C-B262-826D9DD1448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9B6B74-5993-485C-B359-31710B55FF0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18A6C04-B4A6-43A4-AA17-DAA0568B8E6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C9DEC8F-5AAC-46C8-AB4E-77D61CA27DF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5BFADFE-AEF9-4A04-B265-591B727ECAF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26E55B7-0D3E-4701-8DE6-67C42116D04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F0EBF8-6C4E-402E-B750-930394E908F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2A3EE28-77D0-440A-B434-4FF48ED5679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D75601F-9941-4668-9975-5929A4B80CF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E6A4D78-DF6B-4496-AF3D-F7953084A58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64084C9-C84D-49D8-A829-0136C9B99C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D377036-931C-4019-B3FC-2F9534B9B1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914153D-4FC4-4069-ADE3-AC708DF39E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499E05-57BB-4F42-84DF-2EFF877E63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940FE78-B30C-46CB-85AB-34A0BD3CC08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72D82E2-E587-4457-ADDB-85EA4EFEDF3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E58262D-A91D-4E98-A862-A41698E9E7F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17481F1-38A8-46C3-BF7F-4B2A19A897E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9722DF-359C-4FA2-8FEA-EEFDD8B9A3F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BF60FB9-FFF0-433E-94F4-633F1A9D07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5E9700A-885C-4718-81CF-D53A34ED1E8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A9B7592-509B-4059-BC7B-F012190DC50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19BC87-88D9-4303-8D86-2AA60E83A0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C6EB8AF-08EF-45EB-8D4B-C1199873FB7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94E69AD-3B40-48DE-B2A0-D27D98DF461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3F3315-6A4A-4843-9F6B-5FF45B5B374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253B01A-73FE-4AE2-8075-DBAE5D3A33D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2B97C51-CAE2-47B7-9738-7D24D990120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2B5F771-1325-46F2-BCCD-9473113F75E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2082CE-5A5D-42C2-993A-4977B7E4944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834D7A-223F-4914-B780-703B5EE728A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C4EF100-1480-41FD-8F97-2DFC21F0BCC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<sst xmlns="http://schemas.openxmlformats.org/spreadsheetml/2006/main" count="13393" uniqueCount="5275">
  <si>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</si>
  <si>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</si>
  <si>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</si>
  <si>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</si>
  <si>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</si>
  <si>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</si>
  <si>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</si>
  <si>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</si>
  <si>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</si>
  <si>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</si>
  <si>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</si>
  <si>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</si>
  <si>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</si>
  <si>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</si>
  <si>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</si>
  <si>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</si>
  <si>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</si>
  <si>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</si>
  <si>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</si>
  <si>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</si>
  <si>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</si>
  <si>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</si>
  <si>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</si>
  <si>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</si>
  <si>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</si>
  <si>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</si>
  <si>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</si>
  <si>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</si>
  <si>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</si>
  <si>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</si>
  <si>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</si>
  <si>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</si>
  <si>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</si>
  <si>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</si>
  <si>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</si>
  <si>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</si>
  <si>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</si>
  <si>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</si>
  <si>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</si>
  <si>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</si>
  <si>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</si>
  <si>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</si>
  <si>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</si>
  <si>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</si>
  <si>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</si>
  <si>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</si>
  <si>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</si>
  <si>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</si>
  <si>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</si>
  <si>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</si>
  <si>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</si>
  <si>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</si>
  <si>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</si>
  <si>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</si>
  <si>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</si>
  <si>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</si>
  <si>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</si>
  <si>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</si>
  <si>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</si>
  <si>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</si>
  <si>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</si>
  <si>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</si>
  <si>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</si>
  <si>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</si>
  <si>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</si>
  <si>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</si>
  <si>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</si>
  <si>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</si>
  <si>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</si>
  <si>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</si>
  <si>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</si>
  <si>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</si>
  <si>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</si>
  <si>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</si>
  <si>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</si>
  <si>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</si>
  <si>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</si>
  <si>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</si>
  <si>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</si>
  <si>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</si>
  <si>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</si>
  <si>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</si>
  <si>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</si>
  <si>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</si>
  <si>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</si>
  <si>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</si>
  <si>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</si>
  <si>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</si>
  <si>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</si>
  <si>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</si>
  <si>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</si>
  <si>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</si>
  <si>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</si>
  <si>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</si>
  <si>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</si>
  <si>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</si>
  <si>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</si>
  <si>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</si>
  <si>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</si>
  <si>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</si>
  <si>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</si>
  <si>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</si>
  <si>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</si>
  <si>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</si>
  <si>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</si>
  <si>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</si>
  <si>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</si>
  <si>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</si>
  <si>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</si>
  <si>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</si>
  <si>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</si>
  <si>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</si>
  <si>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</si>
  <si>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</si>
  <si>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</si>
  <si>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</si>
  <si>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</si>
  <si>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</si>
  <si>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</si>
  <si>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</si>
  <si>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</si>
  <si>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</si>
  <si>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</si>
  <si>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</si>
  <si>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</si>
  <si>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</si>
  <si>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</si>
  <si>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</si>
  <si>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</si>
  <si>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</si>
  <si>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</si>
  <si>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</si>
  <si>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</si>
  <si>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</si>
  <si>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</si>
  <si>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</si>
  <si>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</si>
  <si>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</si>
  <si>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</si>
  <si>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</si>
  <si>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</si>
  <si>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</si>
  <si>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</si>
  <si>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</si>
  <si>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</si>
  <si>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</si>
  <si>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</si>
  <si>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</si>
  <si>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</si>
  <si>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</si>
  <si>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</si>
  <si>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</si>
  <si>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</si>
  <si>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</si>
  <si>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</si>
  <si>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</si>
  <si>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</si>
  <si>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</si>
  <si>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</si>
  <si>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</si>
  <si>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</si>
  <si>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</si>
  <si>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</si>
  <si>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</si>
  <si>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</si>
  <si>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</si>
  <si>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</si>
  <si>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</si>
  <si>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</si>
  <si>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</si>
  <si>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</si>
  <si>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</si>
  <si>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</si>
  <si>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</si>
  <si>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</si>
  <si>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</si>
  <si>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</si>
  <si>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</si>
  <si>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</si>
  <si>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</si>
  <si>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</si>
  <si>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</si>
  <si>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</si>
  <si>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</si>
  <si>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</si>
  <si>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</si>
  <si>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</si>
  <si>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</si>
  <si>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</si>
  <si>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</si>
  <si>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</si>
  <si>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</si>
  <si>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</si>
  <si>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</si>
  <si>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</si>
  <si>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</si>
  <si>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</si>
  <si>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</si>
  <si>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</si>
  <si>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</si>
  <si>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</si>
  <si>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</si>
  <si>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</si>
  <si>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</si>
  <si>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</si>
  <si>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</si>
  <si>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</si>
  <si>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</si>
  <si>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</si>
  <si>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</si>
  <si>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</si>
  <si>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</si>
  <si>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</si>
  <si>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</si>
  <si>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</si>
  <si>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</si>
  <si>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</si>
  <si>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</si>
  <si>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</si>
  <si>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</si>
  <si>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</si>
  <si>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</si>
  <si>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</si>
  <si>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</si>
  <si>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</si>
  <si>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</si>
  <si>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</si>
  <si>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</si>
  <si>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</si>
  <si>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</si>
  <si>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</si>
  <si>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</si>
  <si>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</si>
  <si>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</si>
  <si>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</si>
  <si>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</si>
  <si>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</si>
  <si>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</si>
  <si>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</si>
  <si>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</si>
  <si>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</si>
  <si>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</si>
  <si>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</si>
  <si>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</si>
  <si>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</si>
  <si>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</si>
  <si>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</si>
  <si>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</si>
  <si>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</si>
  <si>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</si>
  <si>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</si>
  <si>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</si>
  <si>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</si>
  <si>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</si>
  <si>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</si>
  <si>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</si>
  <si>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</si>
  <si>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</si>
  <si>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</si>
  <si>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</si>
  <si>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</si>
  <si>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</si>
  <si>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</si>
  <si>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</si>
  <si>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</si>
  <si>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</si>
  <si>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</si>
  <si>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</si>
  <si>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</si>
  <si>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</si>
  <si>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</si>
  <si>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</si>
  <si>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</si>
  <si>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</si>
  <si>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</si>
  <si>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</si>
  <si>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</si>
  <si>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</si>
  <si>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</si>
  <si>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</si>
  <si>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</si>
  <si>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</si>
  <si>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</si>
  <si>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</si>
  <si>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</si>
  <si>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</si>
  <si>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</si>
  <si>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</si>
  <si>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</si>
  <si>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</si>
  <si>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</si>
  <si>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</si>
  <si>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</si>
  <si>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</si>
  <si>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</si>
  <si>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</si>
  <si>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</si>
  <si>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</si>
  <si>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</si>
  <si>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</si>
  <si>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</si>
  <si>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</si>
  <si>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</si>
  <si>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</si>
  <si>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</si>
  <si>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</si>
  <si>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</si>
  <si>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</si>
  <si>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</si>
  <si>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</si>
  <si>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</si>
  <si>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</si>
  <si>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</si>
  <si>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</si>
  <si>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</si>
  <si>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</si>
  <si>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</si>
  <si>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</si>
  <si>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</si>
  <si>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</si>
  <si>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</si>
  <si>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</si>
  <si>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</si>
  <si>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</si>
  <si>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</si>
  <si>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</si>
  <si>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</si>
  <si>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</si>
  <si>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</si>
  <si>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</si>
  <si>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</si>
  <si>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</si>
  <si>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</si>
  <si>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</si>
  <si>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</si>
  <si>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</si>
  <si>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</si>
  <si>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</si>
  <si>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</si>
  <si>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</si>
  <si>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</si>
  <si>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</si>
  <si>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</si>
  <si>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</si>
  <si>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</si>
  <si>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</si>
  <si>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</si>
  <si>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</si>
  <si>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</si>
  <si>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</si>
  <si>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</si>
  <si>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</si>
  <si>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</si>
  <si>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</si>
  <si>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</si>
  <si>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</si>
  <si>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</si>
  <si>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</si>
  <si>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</si>
  <si>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</si>
  <si>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</si>
  <si>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</si>
  <si>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</si>
  <si>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</si>
  <si>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</si>
  <si>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</si>
  <si>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</si>
  <si>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</si>
  <si>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</si>
  <si>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</si>
  <si>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</si>
  <si>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</si>
  <si>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</si>
  <si>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</si>
  <si>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</si>
  <si>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</si>
  <si>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</si>
  <si>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</si>
  <si>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</si>
  <si>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</si>
  <si>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</si>
  <si>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</si>
  <si>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</si>
  <si>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</si>
  <si>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</si>
  <si>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</si>
  <si>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</si>
  <si>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</si>
  <si>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</si>
  <si>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</si>
  <si>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</si>
  <si>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</si>
  <si>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</si>
  <si>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</si>
  <si>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</si>
  <si>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</si>
  <si>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</si>
  <si>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</si>
  <si>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</si>
  <si>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</si>
  <si>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</si>
  <si>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</si>
  <si>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</si>
  <si>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A260970</t>
  </si>
  <si>
    <t>에스앤디</t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</si>
  <si>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</si>
  <si>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</si>
  <si>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</si>
  <si>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</si>
  <si>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</si>
  <si>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</si>
  <si>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</si>
  <si>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</si>
  <si>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</si>
  <si>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</si>
  <si>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</si>
  <si>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</si>
  <si>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</si>
  <si>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</si>
  <si>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</si>
  <si>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</si>
  <si>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</si>
  <si>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</si>
  <si>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</si>
  <si>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</si>
  <si>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</si>
  <si>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</si>
  <si>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</si>
  <si>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</si>
  <si>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</si>
  <si>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</si>
  <si>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</si>
  <si>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</si>
  <si>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</si>
  <si>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</si>
  <si>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</si>
  <si>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</si>
  <si>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</si>
  <si>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</si>
  <si>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</si>
  <si>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</si>
  <si>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</si>
  <si>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</si>
  <si>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</si>
  <si>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</si>
  <si>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</si>
  <si>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</si>
  <si>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</si>
  <si>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</si>
  <si>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</si>
  <si>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</si>
  <si>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</si>
  <si>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</si>
  <si>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</si>
  <si>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</si>
  <si>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</si>
  <si>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</si>
  <si>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</si>
  <si>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</si>
  <si>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</si>
  <si>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</si>
  <si>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</si>
  <si>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</si>
  <si>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</si>
  <si>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</si>
  <si>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</si>
  <si>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</si>
  <si>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</si>
  <si>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</si>
  <si>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</si>
  <si>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</si>
  <si>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</si>
  <si>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</si>
  <si>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</si>
  <si>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</si>
  <si>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</si>
  <si>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</si>
  <si>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</si>
  <si>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</si>
  <si>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</si>
  <si>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</si>
  <si>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</si>
  <si>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</si>
  <si>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</si>
  <si>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</si>
  <si>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</si>
  <si>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</si>
  <si>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</si>
  <si>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</si>
  <si>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</si>
  <si>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</si>
  <si>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</si>
  <si>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</si>
  <si>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</si>
  <si>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</si>
  <si>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</si>
  <si>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</si>
  <si>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</si>
  <si>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</si>
  <si>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</si>
  <si>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</si>
  <si>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</si>
  <si>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</si>
  <si>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</si>
  <si>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</si>
  <si>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</si>
  <si>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</si>
  <si>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</si>
  <si>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</si>
  <si>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</si>
  <si>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</si>
  <si>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</si>
  <si>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</si>
  <si>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</si>
  <si>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</si>
  <si>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</si>
  <si>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</si>
  <si>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</si>
  <si>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</si>
  <si>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</si>
  <si>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</si>
  <si>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</si>
  <si>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</si>
  <si>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</si>
  <si>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</si>
  <si>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</si>
  <si>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</si>
  <si>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</si>
  <si>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</si>
  <si>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</si>
  <si>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</si>
  <si>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</si>
  <si>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</si>
  <si>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</si>
  <si>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</si>
  <si>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</si>
  <si>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</si>
  <si>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</si>
  <si>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</si>
  <si>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</si>
  <si>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</si>
  <si>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</si>
  <si>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</si>
  <si>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</si>
  <si>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</si>
  <si>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</si>
  <si>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</si>
  <si>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</si>
  <si>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</si>
  <si>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</si>
  <si>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</si>
  <si>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</si>
  <si>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</si>
  <si>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</si>
  <si>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</si>
  <si>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</si>
  <si>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</si>
  <si>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</si>
  <si>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</si>
  <si>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</si>
  <si>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</si>
  <si>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</si>
  <si>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</si>
  <si>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</si>
  <si>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</si>
  <si>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</si>
  <si>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</si>
  <si>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</si>
  <si>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</si>
  <si>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</si>
  <si>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</si>
  <si>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</si>
  <si>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</si>
  <si>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</si>
  <si>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</si>
  <si>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</si>
  <si>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</si>
  <si>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</si>
  <si>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</si>
  <si>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</si>
  <si>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</si>
  <si>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</si>
  <si>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</si>
  <si>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</si>
  <si>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</si>
  <si>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</si>
  <si>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</si>
  <si>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</si>
  <si>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</si>
  <si>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</si>
  <si>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</si>
  <si>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</si>
  <si>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</si>
  <si>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</si>
  <si>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</si>
  <si>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</si>
  <si>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</si>
  <si>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</si>
  <si>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</si>
  <si>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</si>
  <si>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</si>
  <si>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</si>
  <si>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</si>
  <si>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</si>
  <si>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</si>
  <si>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</si>
  <si>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</si>
  <si>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</si>
  <si>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</si>
  <si>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</si>
  <si>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</si>
  <si>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</si>
  <si>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</si>
  <si>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</si>
  <si>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</si>
  <si>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</si>
  <si>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</si>
  <si>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</si>
  <si>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</si>
  <si>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</si>
  <si>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</si>
  <si>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</si>
  <si>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</si>
  <si>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</si>
  <si>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</si>
  <si>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</si>
  <si>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</si>
  <si>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</si>
  <si>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</si>
  <si>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</si>
  <si>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</si>
  <si>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</si>
  <si>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</si>
  <si>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</si>
  <si>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</si>
  <si>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</si>
  <si>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</si>
  <si>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</si>
  <si>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</si>
  <si>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</si>
  <si>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</si>
  <si>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</si>
  <si>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</si>
  <si>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</si>
  <si>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</si>
  <si>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</si>
  <si>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</si>
  <si>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</si>
  <si>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</si>
  <si>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</si>
  <si>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</si>
  <si>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</si>
  <si>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</si>
  <si>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</si>
  <si>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</si>
  <si>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</si>
  <si>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</si>
  <si>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</si>
  <si>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</si>
  <si>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</si>
  <si>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</si>
  <si>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</si>
  <si>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</si>
  <si>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</si>
  <si>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</si>
  <si>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</si>
  <si>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</si>
  <si>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</si>
  <si>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</si>
  <si>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</si>
  <si>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</si>
  <si>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</si>
  <si>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</si>
  <si>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</si>
  <si>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</si>
  <si>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</si>
  <si>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</si>
  <si>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</si>
  <si>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</si>
  <si>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</si>
  <si>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</si>
  <si>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</si>
  <si>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</si>
  <si>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</si>
  <si>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</si>
  <si>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</si>
  <si>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</si>
  <si>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</si>
  <si>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</si>
  <si>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</si>
  <si>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</si>
  <si>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</si>
  <si>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</si>
  <si>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</si>
  <si>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</si>
  <si>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</si>
  <si>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</si>
  <si>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</si>
  <si>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</si>
  <si>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</si>
  <si>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</si>
  <si>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</si>
  <si>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</si>
  <si>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</si>
  <si>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</si>
  <si>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</si>
  <si>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</si>
  <si>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</si>
  <si>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</si>
  <si>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</si>
  <si>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</si>
  <si>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</si>
  <si>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</si>
  <si>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</si>
  <si>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</si>
  <si>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</si>
  <si>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</si>
  <si>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</si>
  <si>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</si>
  <si>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</si>
  <si>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</si>
  <si>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</si>
  <si>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</si>
  <si>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</si>
  <si>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</si>
  <si>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</si>
  <si>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</si>
  <si>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</si>
  <si>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</si>
  <si>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</si>
  <si>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</si>
  <si>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</si>
  <si>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</si>
  <si>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</si>
  <si>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</si>
  <si>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</si>
  <si>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</si>
  <si>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</si>
  <si>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</si>
  <si>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</si>
  <si>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</si>
  <si>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</si>
  <si>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</si>
  <si>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</si>
  <si>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</si>
  <si>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</si>
  <si>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</si>
  <si>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</si>
  <si>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</si>
  <si>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</si>
  <si>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</si>
  <si>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</si>
  <si>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</si>
  <si>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</si>
  <si>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</si>
  <si>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</si>
  <si>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</si>
  <si>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</si>
  <si>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</si>
  <si>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</si>
  <si>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</si>
  <si>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</si>
  <si>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</si>
  <si>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</si>
  <si>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</si>
  <si>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</si>
  <si>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</si>
  <si>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</si>
  <si>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</si>
  <si>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</si>
  <si>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</si>
  <si>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</si>
  <si>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</si>
  <si>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</si>
  <si>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</si>
  <si>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</si>
  <si>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</si>
  <si>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</si>
  <si>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</si>
  <si>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</si>
  <si>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</si>
  <si>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</si>
  <si>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</si>
  <si>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</si>
  <si>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</si>
  <si>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</si>
  <si>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</si>
  <si>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</si>
  <si>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</si>
  <si>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</si>
  <si>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</si>
  <si>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</si>
  <si>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</si>
  <si>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</si>
  <si>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</si>
  <si>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</si>
  <si>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</si>
  <si>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</si>
  <si>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</si>
  <si>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</si>
  <si>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</si>
  <si>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</si>
  <si>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</si>
  <si>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</si>
  <si>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</si>
  <si>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</si>
  <si>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</si>
  <si>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</si>
  <si>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</si>
  <si>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</si>
  <si>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</si>
  <si>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</si>
  <si>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</si>
  <si>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</si>
  <si>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</si>
  <si>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</si>
  <si>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</si>
  <si>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</si>
  <si>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</si>
  <si>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</si>
  <si>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</si>
  <si>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</si>
  <si>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</si>
  <si>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</si>
  <si>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</si>
  <si>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</si>
  <si>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</si>
  <si>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</si>
  <si>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</si>
  <si>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</si>
  <si>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</si>
  <si>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</si>
  <si>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</si>
  <si>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</si>
  <si>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</si>
  <si>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</si>
  <si>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</si>
  <si>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</si>
  <si>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</si>
  <si>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</si>
  <si>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</si>
  <si>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</si>
  <si>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</si>
  <si>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</si>
  <si>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</si>
  <si>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</si>
  <si>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</si>
  <si>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</si>
  <si>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</si>
  <si>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</si>
  <si>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</si>
  <si>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</si>
  <si>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</si>
  <si>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</si>
  <si>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</si>
  <si>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</si>
  <si>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</si>
  <si>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</si>
  <si>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</si>
  <si>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</si>
  <si>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</si>
  <si>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</si>
  <si>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</si>
  <si>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</si>
  <si>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</si>
  <si>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</si>
  <si>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</si>
  <si>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</si>
  <si>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</si>
  <si>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</si>
  <si>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</si>
  <si>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</si>
  <si>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</si>
  <si>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</si>
  <si>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</si>
  <si>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</si>
  <si>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</si>
  <si>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</si>
  <si>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</si>
  <si>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</si>
  <si>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</si>
  <si>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</si>
  <si>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</si>
  <si>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</si>
  <si>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</si>
  <si>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</si>
  <si>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</si>
  <si>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</si>
  <si>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</si>
  <si>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</si>
  <si>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</si>
  <si>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</si>
  <si>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</si>
  <si>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</si>
  <si>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</si>
  <si>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</si>
  <si>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</si>
  <si>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</si>
  <si>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</si>
  <si>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</si>
  <si>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</si>
  <si>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</si>
  <si>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</si>
  <si>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</si>
  <si>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</si>
  <si>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</si>
  <si>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</si>
  <si>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</si>
  <si>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</si>
  <si>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</si>
  <si>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</si>
  <si>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</si>
  <si>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</si>
  <si>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</si>
  <si>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</si>
  <si>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</si>
  <si>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</si>
  <si>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</si>
  <si>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</si>
  <si>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</si>
  <si>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</si>
  <si>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</si>
  <si>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</si>
  <si>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</si>
  <si>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</si>
  <si>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</si>
  <si>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</si>
  <si>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</si>
  <si>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</si>
  <si>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</si>
  <si>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</si>
  <si>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</si>
  <si>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</si>
  <si>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</si>
  <si>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</si>
  <si>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</si>
  <si>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</si>
  <si>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</si>
  <si>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</si>
  <si>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</si>
  <si>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</si>
  <si>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</si>
  <si>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</si>
  <si>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</si>
  <si>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</si>
  <si>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</si>
  <si>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</si>
  <si>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</si>
  <si>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</si>
  <si>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</si>
  <si>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</si>
  <si>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</si>
  <si>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</si>
  <si>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</si>
  <si>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</si>
  <si>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</si>
  <si>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</si>
  <si>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</si>
  <si>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</si>
  <si>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</si>
  <si>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</si>
  <si>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</si>
  <si>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</si>
  <si>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</si>
  <si>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</si>
  <si>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</si>
  <si>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</si>
  <si>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</si>
  <si>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</si>
  <si>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</si>
  <si>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</si>
  <si>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</si>
  <si>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</si>
  <si>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</si>
  <si>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</si>
  <si>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</si>
  <si>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</si>
  <si>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</si>
  <si>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</si>
  <si>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</si>
  <si>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</si>
  <si>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</si>
  <si>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</si>
  <si>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</si>
  <si>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</si>
  <si>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</si>
  <si>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</si>
  <si>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</si>
  <si>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</si>
  <si>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</si>
  <si>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</si>
  <si>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</si>
  <si>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</si>
  <si>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</si>
  <si>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</si>
  <si>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</si>
  <si>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</si>
  <si>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</si>
  <si>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</si>
  <si>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</si>
  <si>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</si>
  <si>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</si>
  <si>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</si>
  <si>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</si>
  <si>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</si>
  <si>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</si>
  <si>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</si>
  <si>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</si>
  <si>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</si>
  <si>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</si>
  <si>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</si>
  <si>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</si>
  <si>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</si>
  <si>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</si>
  <si>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</si>
  <si>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</si>
  <si>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</si>
  <si>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</si>
  <si>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</si>
  <si>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</si>
  <si>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</si>
  <si>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</si>
  <si>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</si>
  <si>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</si>
  <si>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</si>
  <si>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</si>
  <si>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</si>
  <si>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</si>
  <si>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</si>
  <si>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</si>
  <si>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</si>
  <si>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</si>
  <si>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</si>
  <si>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</si>
  <si>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</si>
  <si>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</si>
  <si>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</si>
  <si>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</si>
  <si>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</si>
  <si>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</si>
  <si>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</si>
  <si>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</si>
  <si>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</si>
  <si>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</si>
  <si>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</si>
  <si>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</si>
  <si>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</si>
  <si>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</si>
  <si>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</si>
  <si>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</si>
  <si>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</si>
  <si>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</si>
  <si>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</si>
  <si>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</si>
  <si>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</si>
  <si>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</si>
  <si>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</si>
  <si>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</si>
  <si>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</si>
  <si>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</si>
  <si>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</si>
  <si>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</si>
  <si>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</si>
  <si>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</si>
  <si>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</si>
  <si>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</si>
  <si>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</si>
  <si>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</si>
  <si>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</si>
  <si>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</si>
  <si>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</si>
  <si>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</si>
  <si>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</si>
  <si>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</si>
  <si>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</si>
  <si>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</si>
  <si>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</si>
  <si>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</si>
  <si>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</si>
  <si>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</si>
  <si>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</si>
  <si>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</si>
  <si>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</si>
  <si>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</si>
  <si>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</si>
  <si>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</si>
  <si>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</si>
  <si>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</si>
  <si>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</si>
  <si>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</si>
  <si>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</si>
  <si>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</si>
  <si>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</si>
  <si>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</si>
  <si>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</si>
  <si>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</si>
  <si>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</si>
  <si>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</si>
  <si>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</si>
  <si>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</si>
  <si>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</si>
  <si>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</si>
  <si>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</si>
  <si>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</si>
  <si>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</si>
  <si>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</si>
  <si>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</si>
  <si>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</si>
  <si>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</si>
  <si>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</si>
  <si>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</si>
  <si>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</si>
  <si>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</si>
  <si>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</si>
  <si>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</si>
  <si>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</si>
  <si>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</si>
  <si>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</si>
  <si>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</si>
  <si>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</si>
  <si>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</si>
  <si>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</si>
  <si>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</si>
  <si>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</si>
  <si>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</si>
  <si>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</si>
  <si>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</si>
  <si>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</si>
  <si>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</si>
  <si>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</si>
  <si>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</si>
  <si>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</si>
  <si>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</si>
  <si>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</si>
  <si>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</si>
  <si>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</si>
  <si>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</si>
  <si>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</si>
  <si>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</si>
  <si>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</si>
  <si>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</si>
  <si>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</si>
  <si>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</si>
  <si>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</si>
  <si>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</si>
  <si>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</si>
  <si>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</si>
  <si>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</si>
  <si>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</si>
  <si>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</si>
  <si>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</si>
  <si>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</si>
  <si>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</si>
  <si>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</si>
  <si>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</si>
  <si>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</si>
  <si>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</si>
  <si>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</si>
  <si>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</si>
  <si>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</si>
  <si>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</si>
  <si>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</si>
  <si>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</si>
  <si>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</si>
  <si>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</si>
  <si>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</si>
  <si>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</si>
  <si>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</si>
  <si>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</si>
  <si>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</si>
  <si>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</si>
  <si>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</si>
  <si>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</si>
  <si>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</si>
  <si>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</si>
  <si>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</si>
  <si>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</si>
  <si>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</si>
  <si>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</si>
  <si>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</si>
  <si>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</si>
  <si>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</si>
  <si>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</si>
  <si>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</si>
  <si>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</si>
  <si>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</si>
  <si>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</si>
  <si>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</si>
  <si>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</si>
  <si>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</si>
  <si>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</si>
  <si>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</si>
  <si>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</si>
  <si>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</si>
  <si>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</si>
  <si>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</si>
  <si>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</si>
  <si>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</si>
  <si>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</si>
  <si>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</si>
  <si>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</si>
  <si>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</si>
  <si>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</si>
  <si>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</si>
  <si>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</si>
  <si>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</si>
  <si>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</si>
  <si>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</si>
  <si>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</si>
  <si>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</si>
  <si>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</si>
  <si>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</si>
  <si>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</si>
  <si>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</si>
  <si>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</si>
  <si>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</si>
  <si>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</si>
  <si>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</si>
  <si>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</si>
  <si>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</si>
  <si>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</si>
  <si>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</si>
  <si>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</si>
  <si>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</si>
  <si>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</si>
  <si>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</si>
  <si>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</si>
  <si>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</si>
  <si>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</si>
  <si>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</si>
  <si>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</si>
  <si>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</si>
  <si>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</si>
  <si>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</si>
  <si>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</si>
  <si>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</si>
  <si>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</si>
  <si>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</si>
  <si>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</si>
  <si>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</si>
  <si>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</si>
  <si>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</si>
  <si>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</si>
  <si>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</si>
  <si>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</si>
  <si>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</si>
  <si>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</si>
  <si>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</si>
  <si>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</si>
  <si>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</si>
  <si>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</si>
  <si>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</si>
  <si>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</si>
  <si>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</si>
  <si>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</si>
  <si>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</si>
  <si>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</si>
  <si>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</si>
  <si>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</si>
  <si>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</si>
  <si>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</si>
  <si>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</si>
  <si>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</si>
  <si>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</si>
  <si>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</si>
  <si>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</si>
  <si>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</si>
  <si>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</si>
  <si>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</si>
  <si>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</si>
  <si>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</si>
  <si>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</si>
  <si>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</si>
  <si>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</si>
  <si>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</si>
  <si>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</si>
  <si>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</si>
  <si>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</si>
  <si>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</si>
  <si>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</si>
  <si>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</si>
  <si>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</si>
  <si>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</si>
  <si>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</si>
  <si>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</si>
  <si>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</si>
  <si>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</si>
  <si>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</si>
  <si>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</si>
  <si>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</si>
  <si>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</si>
  <si>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</si>
  <si>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</si>
  <si>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</si>
  <si>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</si>
  <si>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</si>
  <si>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</si>
  <si>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</si>
  <si>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</si>
  <si>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</si>
  <si>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</si>
  <si>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</si>
  <si>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</si>
  <si>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</si>
  <si>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</si>
  <si>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</si>
  <si>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</si>
  <si>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</si>
  <si>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</si>
  <si>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</si>
  <si>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</si>
  <si>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</si>
  <si>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</si>
  <si>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</si>
  <si>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</si>
  <si>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</si>
  <si>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</si>
  <si>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</si>
  <si>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</si>
  <si>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</si>
  <si>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</si>
  <si>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</si>
  <si>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</si>
  <si>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</si>
  <si>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</si>
  <si>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</si>
  <si>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</si>
  <si>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</si>
  <si>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</si>
  <si>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</si>
  <si>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</si>
  <si>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</si>
  <si>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</si>
  <si>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</si>
  <si>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</si>
  <si>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</si>
  <si>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</si>
  <si>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</si>
  <si>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</si>
  <si>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</si>
  <si>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</si>
  <si>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</si>
  <si>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</si>
  <si>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</si>
  <si>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</si>
  <si>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</si>
  <si>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</si>
  <si>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</si>
  <si>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</si>
  <si>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</si>
  <si>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</si>
  <si>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</si>
  <si>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</si>
  <si>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</si>
  <si>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</si>
  <si>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</si>
  <si>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</si>
  <si>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</si>
  <si>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</si>
  <si>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</si>
  <si>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</si>
  <si>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</si>
  <si>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</si>
  <si>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</si>
  <si>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</si>
  <si>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</si>
  <si>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</si>
  <si>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</si>
  <si>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</si>
  <si>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</si>
  <si>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</si>
  <si>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</si>
  <si>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</si>
  <si>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</si>
  <si>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</si>
  <si>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</si>
  <si>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</si>
  <si>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</si>
  <si>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</si>
  <si>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</si>
  <si>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</si>
  <si>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</si>
  <si>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</si>
  <si>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</si>
  <si>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</si>
  <si>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</si>
  <si>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</si>
  <si>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</si>
  <si>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</si>
  <si>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</si>
  <si>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</si>
  <si>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</si>
  <si>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</si>
  <si>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</si>
  <si>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</si>
  <si>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</si>
  <si>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</si>
  <si>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</si>
  <si>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</si>
  <si>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</si>
  <si>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</si>
  <si>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</si>
  <si>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</si>
  <si>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</si>
  <si>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</si>
  <si>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</si>
  <si>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</si>
  <si>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</si>
  <si>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</si>
  <si>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</si>
  <si>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</si>
  <si>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</si>
  <si>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</si>
  <si>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</si>
  <si>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</si>
  <si>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</si>
  <si>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</si>
  <si>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</si>
  <si>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</si>
  <si>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</si>
  <si>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</si>
  <si>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</si>
  <si>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</si>
  <si>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</si>
  <si>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</si>
  <si>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</si>
  <si>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</si>
  <si>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</si>
  <si>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</si>
  <si>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</si>
  <si>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</si>
  <si>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</si>
  <si>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</si>
  <si>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</si>
  <si>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</si>
  <si>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</si>
  <si>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</si>
  <si>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</si>
  <si>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</si>
  <si>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</si>
  <si>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</si>
  <si>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</si>
  <si>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</si>
  <si>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</si>
  <si>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</si>
  <si>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</si>
  <si>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</si>
  <si>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</si>
  <si>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</si>
  <si>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</si>
  <si>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</si>
  <si>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</si>
  <si>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</si>
  <si>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</si>
  <si>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</si>
  <si>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</si>
  <si>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</si>
  <si>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</si>
  <si>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</si>
  <si>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</si>
  <si>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</si>
  <si>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</si>
  <si>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</si>
  <si>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</si>
  <si>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</si>
  <si>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</si>
  <si>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</si>
  <si>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</si>
  <si>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</si>
  <si>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</si>
  <si>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</si>
  <si>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</si>
  <si>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</si>
  <si>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</si>
  <si>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</si>
  <si>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</si>
  <si>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</si>
  <si>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</si>
  <si>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</si>
  <si>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</si>
  <si>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</si>
  <si>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</si>
  <si>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</si>
  <si>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</si>
  <si>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</si>
  <si>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</si>
  <si>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</si>
  <si>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</si>
  <si>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</si>
  <si>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</si>
  <si>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</si>
  <si>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</si>
  <si>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</si>
  <si>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</si>
  <si>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</si>
  <si>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</si>
  <si>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</si>
  <si>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</si>
  <si>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</si>
  <si>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</si>
  <si>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</si>
  <si>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</si>
  <si>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</si>
  <si>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</si>
  <si>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</si>
  <si>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</si>
  <si>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</si>
  <si>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</si>
  <si>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</si>
  <si>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</si>
  <si>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</si>
  <si>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</si>
  <si>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</si>
  <si>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</si>
  <si>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</si>
  <si>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</si>
  <si>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</si>
  <si>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</si>
  <si>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</si>
  <si>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</si>
  <si>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</si>
  <si>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</si>
  <si>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</si>
  <si>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</si>
  <si>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</si>
  <si>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</si>
  <si>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</si>
  <si>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</si>
  <si>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</si>
  <si>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</si>
  <si>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</si>
  <si>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</si>
  <si>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</si>
  <si>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</si>
  <si>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</si>
  <si>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</si>
  <si>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</si>
  <si>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</si>
  <si>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</si>
  <si>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</si>
  <si>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</si>
  <si>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</si>
  <si>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</si>
  <si>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</si>
  <si>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</si>
  <si>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</si>
  <si>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</si>
  <si>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</si>
  <si>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</si>
  <si>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</si>
  <si>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</si>
  <si>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</si>
  <si>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</si>
  <si>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</si>
  <si>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</si>
  <si>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</si>
  <si>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</si>
  <si>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</si>
  <si>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</si>
  <si>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</si>
  <si>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</si>
  <si>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</si>
  <si>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</si>
  <si>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</si>
  <si>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</si>
  <si>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</si>
  <si>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</si>
  <si>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</si>
  <si>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</si>
  <si>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</si>
  <si>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</si>
  <si>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</si>
  <si>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</si>
  <si>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</si>
  <si>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</si>
  <si>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</si>
  <si>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</si>
  <si>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</si>
  <si>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</si>
  <si>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</si>
  <si>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</si>
  <si>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</si>
  <si>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</si>
  <si>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</si>
  <si>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</si>
  <si>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</si>
  <si>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</si>
  <si>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</si>
  <si>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</si>
  <si>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</si>
  <si>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</si>
  <si>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</si>
  <si>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</si>
  <si>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</si>
  <si>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</si>
  <si>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</si>
  <si>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</si>
  <si>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</si>
  <si>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</si>
  <si>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</si>
  <si>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</si>
  <si>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</si>
  <si>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</si>
  <si>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</si>
  <si>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</si>
  <si>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</si>
  <si>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</si>
  <si>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</si>
  <si>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</si>
  <si>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</si>
  <si>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</si>
  <si>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</si>
  <si>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</si>
  <si>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</si>
  <si>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</si>
  <si>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</si>
  <si>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</si>
  <si>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</si>
  <si>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</si>
  <si>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</si>
  <si>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</si>
  <si>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</si>
  <si>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</si>
  <si>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</si>
  <si>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</si>
  <si>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</si>
  <si>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</si>
  <si>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</si>
  <si>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</si>
  <si>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</si>
  <si>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</si>
  <si>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</si>
  <si>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</si>
  <si>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</si>
  <si>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</si>
  <si>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</si>
  <si>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</si>
  <si>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</si>
  <si>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</si>
  <si>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</si>
  <si>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</si>
  <si>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</si>
  <si>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</si>
  <si>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</si>
  <si>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</si>
  <si>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</si>
  <si>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</si>
  <si>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</si>
  <si>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</si>
  <si>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</si>
  <si>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</si>
  <si>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</si>
  <si>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</si>
  <si>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</si>
  <si>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</si>
  <si>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</si>
  <si>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</si>
  <si>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</si>
  <si>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</si>
  <si>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</si>
  <si>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</si>
  <si>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</si>
  <si>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</si>
  <si>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</si>
  <si>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</si>
  <si>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</si>
  <si>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</si>
  <si>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</si>
  <si>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</si>
  <si>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</si>
  <si>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</si>
  <si>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</si>
  <si>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</si>
  <si>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</si>
  <si>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</si>
  <si>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</si>
  <si>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</si>
  <si>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</si>
  <si>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</si>
  <si>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</si>
  <si>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</si>
  <si>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</si>
  <si>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</si>
  <si>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</si>
  <si>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</si>
  <si>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</si>
  <si>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</si>
  <si>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</si>
  <si>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</si>
  <si>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</si>
  <si>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</si>
  <si>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</si>
  <si>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</si>
  <si>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</si>
  <si>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</si>
  <si>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</si>
  <si>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</si>
  <si>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</si>
  <si>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</si>
  <si>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</si>
  <si>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</si>
  <si>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</si>
  <si>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</si>
  <si>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</si>
  <si>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</si>
  <si>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</si>
  <si>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</si>
  <si>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</si>
  <si>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</si>
  <si>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</si>
  <si>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</si>
  <si>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</si>
  <si>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</si>
  <si>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</si>
  <si>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</si>
  <si>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</si>
  <si>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</si>
  <si>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</si>
  <si>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</si>
  <si>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</si>
  <si>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</si>
  <si>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</si>
  <si>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</si>
  <si>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</si>
  <si>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</si>
  <si>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</si>
  <si>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</si>
  <si>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</si>
  <si>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</si>
  <si>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</si>
  <si>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</si>
  <si>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</si>
  <si>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</si>
  <si>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</si>
  <si>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</si>
  <si>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</si>
  <si>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</si>
  <si>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</si>
  <si>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</si>
  <si>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</si>
  <si>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</si>
  <si>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</si>
  <si>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</si>
  <si>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</si>
  <si>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</si>
  <si>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</si>
  <si>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</si>
  <si>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</si>
  <si>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</si>
  <si>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</si>
  <si>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</si>
  <si>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</si>
  <si>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</si>
  <si>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</si>
  <si>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</si>
  <si>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</si>
  <si>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</si>
  <si>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</si>
  <si>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</si>
  <si>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</si>
  <si>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</si>
  <si>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</si>
  <si>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</si>
  <si>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</si>
  <si>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</si>
  <si>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</si>
  <si>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</si>
  <si>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</si>
  <si>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</si>
  <si>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</si>
  <si>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</si>
  <si>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</si>
  <si>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</si>
  <si>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</si>
  <si>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</si>
  <si>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</si>
  <si>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</si>
  <si>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</si>
  <si>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</si>
  <si>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</si>
  <si>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</si>
  <si>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</si>
  <si>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</si>
  <si>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</si>
  <si>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</si>
  <si>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</si>
  <si>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</si>
  <si>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</si>
  <si>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</si>
  <si>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</si>
  <si>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</si>
  <si>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</si>
  <si>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</si>
  <si>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</si>
  <si>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</si>
  <si>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</si>
  <si>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</si>
  <si>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</si>
  <si>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</si>
  <si>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</si>
  <si>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</si>
  <si>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</si>
  <si>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</si>
  <si>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</si>
  <si>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</si>
  <si>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</si>
  <si>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</si>
  <si>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</si>
  <si>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</si>
  <si>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</si>
  <si>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</si>
  <si>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</si>
  <si>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</si>
  <si>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</si>
  <si>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</si>
  <si>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</si>
  <si>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</si>
  <si>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</si>
  <si>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</si>
  <si>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</si>
  <si>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</si>
  <si>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</si>
  <si>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</si>
  <si>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</si>
  <si>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</si>
  <si>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</si>
  <si>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</si>
  <si>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</si>
  <si>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</si>
  <si>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</si>
  <si>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</si>
  <si>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</si>
  <si>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</si>
  <si>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</si>
  <si>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</si>
  <si>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</si>
  <si>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</si>
  <si>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</si>
  <si>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</si>
  <si>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</si>
  <si>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</si>
  <si>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</si>
  <si>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</si>
  <si>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</si>
  <si>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</si>
  <si>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</si>
  <si>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</si>
  <si>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</si>
  <si>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</si>
  <si>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</si>
  <si>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</si>
  <si>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</si>
  <si>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</si>
  <si>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</si>
  <si>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</si>
  <si>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</si>
  <si>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</si>
  <si>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</si>
  <si>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</si>
  <si>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</si>
  <si>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</si>
  <si>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</si>
  <si>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</si>
  <si>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</si>
  <si>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</si>
  <si>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</si>
  <si>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</si>
  <si>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</si>
  <si>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</si>
  <si>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</si>
  <si>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</si>
  <si>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</si>
  <si>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</si>
  <si>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</si>
  <si>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</si>
  <si>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</si>
  <si>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</si>
  <si>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</si>
  <si>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</si>
  <si>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</si>
  <si>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</si>
  <si>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</si>
  <si>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</si>
  <si>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</si>
  <si>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</si>
  <si>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</si>
  <si>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</si>
  <si>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</si>
  <si>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</si>
  <si>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</si>
  <si>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</si>
  <si>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</si>
  <si>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</si>
  <si>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</si>
  <si>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</si>
  <si>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</si>
  <si>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</si>
  <si>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</si>
  <si>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</si>
  <si>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</si>
  <si>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</si>
  <si>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</si>
  <si>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</si>
  <si>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</si>
  <si>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</si>
  <si>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</si>
  <si>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</si>
  <si>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</si>
  <si>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</si>
  <si>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</si>
  <si>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</si>
  <si>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</si>
  <si>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</si>
  <si>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</si>
  <si>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</si>
  <si>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</si>
  <si>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</si>
  <si>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</si>
  <si>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</si>
  <si>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</si>
  <si>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</si>
  <si>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</si>
  <si>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</si>
  <si>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</si>
  <si>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</si>
  <si>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</si>
  <si>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</si>
  <si>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</si>
  <si>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</si>
  <si>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</si>
  <si>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</si>
  <si>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</si>
  <si>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</si>
  <si>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</si>
  <si>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</si>
  <si>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</si>
  <si>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</si>
  <si>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</si>
  <si>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</si>
  <si>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</si>
  <si>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</si>
  <si>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</si>
  <si>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</si>
  <si>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</si>
  <si>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</si>
  <si>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</si>
  <si>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</si>
  <si>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</si>
  <si>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</si>
  <si>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</si>
  <si>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</si>
  <si>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</si>
  <si>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</si>
  <si>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</si>
  <si>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</si>
  <si>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</si>
  <si>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</si>
  <si>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</si>
  <si>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</si>
  <si>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</si>
  <si>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</si>
  <si>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</si>
  <si>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</si>
  <si>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</si>
  <si>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</si>
  <si>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</si>
  <si>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</si>
  <si>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</si>
  <si>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</si>
  <si>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</si>
  <si>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</si>
  <si>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</si>
  <si>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</si>
  <si>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</si>
  <si>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</si>
  <si>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</si>
  <si>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</si>
  <si>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</si>
  <si>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</si>
  <si>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</si>
  <si>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</si>
  <si>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</si>
  <si>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</si>
  <si>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</si>
  <si>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</si>
  <si>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</si>
  <si>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</si>
  <si>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</si>
  <si>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</si>
  <si>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</si>
  <si>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</si>
  <si>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</si>
  <si>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</si>
  <si>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</si>
  <si>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</si>
  <si>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</si>
  <si>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</si>
  <si>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</si>
  <si>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</si>
  <si>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</si>
  <si>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</si>
  <si>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</si>
  <si>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</si>
  <si>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</si>
  <si>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</si>
  <si>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</si>
  <si>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</si>
  <si>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</si>
  <si>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</si>
  <si>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</si>
  <si>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</si>
  <si>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</si>
  <si>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</si>
  <si>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</si>
  <si>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</si>
  <si>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</si>
  <si>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</si>
  <si>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</si>
  <si>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</si>
  <si>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</si>
  <si>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</si>
  <si>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</si>
  <si>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</si>
  <si>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</si>
  <si>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</si>
  <si>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</si>
  <si>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</si>
  <si>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</si>
  <si>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</si>
  <si>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</si>
  <si>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</si>
  <si>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</si>
  <si>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</si>
  <si>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</si>
  <si>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</si>
  <si>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</si>
  <si>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</si>
  <si>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</si>
  <si>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</si>
  <si>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</si>
  <si>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</si>
  <si>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</si>
  <si>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</si>
  <si>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</si>
  <si>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</si>
  <si>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</si>
  <si>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</si>
  <si>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</si>
  <si>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</si>
  <si>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</si>
  <si>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</si>
  <si>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</si>
  <si>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</si>
  <si>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</si>
  <si>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</si>
  <si>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</si>
  <si>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</si>
  <si>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</si>
  <si>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</si>
  <si>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</si>
  <si>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</si>
  <si>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</si>
  <si>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</si>
  <si>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</si>
  <si>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</si>
  <si>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</si>
  <si>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</si>
  <si>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</si>
  <si>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</si>
  <si>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</si>
  <si>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</si>
  <si>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</si>
  <si>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</si>
  <si>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</si>
  <si>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</si>
  <si>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</si>
  <si>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</si>
  <si>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</si>
  <si>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</si>
  <si>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</si>
  <si>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</si>
  <si>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</si>
  <si>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</si>
  <si>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</si>
  <si>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</si>
  <si>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</si>
  <si>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</si>
  <si>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</si>
  <si>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</si>
  <si>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</si>
  <si>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</si>
  <si>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</si>
  <si>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</si>
  <si>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</si>
  <si>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</si>
  <si>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</si>
  <si>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</si>
  <si>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</si>
  <si>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</si>
  <si>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</si>
  <si>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</si>
  <si>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</si>
  <si>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</si>
  <si>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</si>
  <si>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</si>
  <si>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</si>
  <si>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</si>
  <si>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</si>
  <si>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</si>
  <si>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</si>
  <si>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</si>
  <si>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</si>
  <si>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</si>
  <si>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</si>
  <si>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</si>
  <si>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</si>
  <si>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</si>
  <si>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</si>
  <si>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</si>
  <si>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</si>
  <si>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</si>
  <si>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</si>
  <si>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</si>
  <si>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</si>
  <si>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</si>
  <si>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</si>
  <si>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</si>
  <si>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</si>
  <si>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</si>
  <si>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</si>
  <si>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</si>
  <si>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</si>
  <si>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</si>
  <si>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</si>
  <si>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</si>
  <si>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</si>
  <si>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</si>
  <si>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</si>
  <si>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</si>
  <si>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</si>
  <si>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</si>
  <si>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</si>
  <si>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</si>
  <si>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</si>
  <si>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</si>
  <si>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</si>
  <si>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</si>
  <si>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</si>
  <si>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</si>
  <si>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</si>
  <si>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</si>
  <si>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</si>
  <si>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</si>
  <si>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</si>
  <si>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</si>
  <si>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</si>
  <si>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</si>
  <si>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</si>
  <si>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</si>
  <si>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</si>
  <si>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</si>
  <si>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</si>
  <si>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</si>
  <si>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</si>
  <si>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</si>
  <si>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</si>
  <si>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</si>
  <si>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</si>
  <si>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</si>
  <si>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</si>
  <si>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</si>
  <si>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</si>
  <si>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</si>
  <si>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</si>
  <si>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</si>
  <si>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</si>
  <si>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</si>
  <si>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</si>
  <si>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</si>
  <si>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</si>
  <si>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</si>
  <si>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</si>
  <si>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</si>
  <si>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</si>
  <si>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</si>
  <si>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</si>
  <si>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</si>
  <si>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</si>
  <si>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</si>
  <si>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</si>
  <si>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</si>
  <si>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</si>
  <si>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</si>
  <si>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</si>
  <si>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</si>
  <si>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</si>
  <si>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</si>
  <si>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</si>
  <si>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</si>
  <si>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</si>
  <si>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</si>
  <si>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</si>
  <si>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</si>
  <si>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</si>
  <si>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</si>
  <si>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</si>
  <si>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</si>
  <si>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</si>
  <si>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</si>
  <si>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</si>
  <si>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</si>
  <si>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</si>
  <si>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</si>
  <si>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</si>
  <si>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</si>
  <si>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</si>
  <si>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</si>
  <si>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</si>
  <si>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</si>
  <si>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</si>
  <si>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</si>
  <si>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</si>
  <si>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</si>
  <si>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</si>
  <si>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</si>
  <si>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</si>
  <si>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</si>
  <si>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</si>
  <si>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</si>
  <si>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</si>
  <si>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</si>
  <si>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</si>
  <si>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</si>
  <si>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</si>
  <si>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</si>
  <si>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</si>
  <si>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</si>
  <si>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</si>
  <si>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</si>
  <si>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</si>
  <si>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</si>
  <si>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</si>
  <si>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</si>
  <si>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</si>
  <si>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</si>
  <si>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</si>
  <si>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</si>
  <si>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</si>
  <si>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</si>
  <si>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</si>
  <si>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</si>
  <si>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</si>
  <si>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</si>
  <si>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</si>
  <si>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</si>
  <si>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</si>
  <si>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</si>
  <si>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</si>
  <si>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</si>
  <si>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</si>
  <si>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</si>
  <si>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</si>
  <si>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</si>
  <si>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</si>
  <si>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</si>
  <si>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</si>
  <si>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</si>
  <si>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</si>
  <si>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</si>
  <si>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</si>
  <si>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</si>
  <si>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</si>
  <si>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</si>
  <si>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</si>
  <si>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</si>
  <si>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</si>
  <si>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</si>
  <si>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</si>
  <si>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</si>
  <si>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</si>
  <si>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</si>
  <si>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</si>
  <si>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</si>
  <si>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</si>
  <si>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</si>
  <si>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</si>
  <si>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</si>
  <si>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</si>
  <si>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</si>
  <si>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</si>
  <si>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</si>
  <si>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</si>
  <si>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</si>
  <si>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</si>
  <si>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</si>
  <si>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</si>
  <si>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</si>
  <si>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</si>
  <si>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</si>
  <si>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</si>
  <si>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</si>
  <si>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</si>
  <si>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</si>
  <si>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</si>
  <si>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</si>
  <si>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</si>
  <si>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</si>
  <si>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</si>
  <si>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</si>
  <si>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</si>
  <si>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</si>
  <si>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</si>
  <si>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</si>
  <si>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</si>
  <si>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</si>
  <si>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</si>
  <si>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</si>
  <si>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</si>
  <si>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</si>
  <si>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</si>
  <si>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</si>
  <si>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</si>
  <si>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</si>
  <si>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</si>
  <si>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</si>
  <si>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</si>
  <si>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</si>
  <si>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</si>
  <si>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</si>
  <si>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</si>
  <si>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</si>
  <si>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</si>
  <si>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</si>
  <si>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</si>
  <si>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</si>
  <si>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</si>
  <si>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</si>
  <si>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</si>
  <si>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</si>
  <si>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</si>
  <si>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</si>
  <si>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</si>
  <si>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</si>
  <si>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</si>
  <si>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</si>
  <si>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</si>
  <si>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</si>
  <si>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</si>
  <si>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</si>
  <si>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</si>
  <si>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</si>
  <si>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</si>
  <si>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</si>
  <si>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</si>
  <si>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</si>
  <si>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</si>
  <si>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</si>
  <si>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</si>
  <si>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</si>
  <si>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</si>
  <si>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</si>
  <si>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</si>
  <si>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</si>
  <si>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</si>
  <si>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</si>
  <si>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</si>
  <si>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</si>
  <si>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</si>
  <si>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</si>
  <si>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</si>
  <si>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</si>
  <si>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</si>
  <si>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</si>
  <si>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</si>
  <si>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</si>
  <si>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</si>
  <si>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</si>
  <si>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</si>
  <si>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</si>
  <si>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</si>
  <si>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</si>
  <si>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</si>
  <si>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</si>
  <si>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</si>
  <si>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</si>
  <si>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</si>
  <si>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</si>
  <si>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</si>
  <si>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</si>
  <si>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</si>
  <si>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</si>
  <si>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</si>
  <si>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</si>
  <si>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</si>
  <si>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</si>
  <si>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</si>
  <si>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</si>
  <si>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</si>
  <si>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</si>
  <si>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</si>
  <si>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</si>
  <si>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</si>
  <si>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</si>
  <si>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</si>
  <si>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</si>
  <si>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</si>
  <si>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</si>
  <si>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</si>
  <si>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</si>
  <si>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</si>
  <si>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</si>
  <si>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</si>
  <si>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</si>
  <si>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</si>
  <si>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</si>
  <si>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</si>
  <si>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</si>
  <si>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</si>
  <si>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</si>
  <si>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</si>
  <si>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</si>
  <si>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</si>
  <si>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</si>
  <si>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</si>
  <si>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</si>
  <si>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</si>
  <si>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</si>
  <si>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</si>
  <si>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</si>
  <si>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</si>
  <si>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</si>
  <si>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</si>
  <si>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</si>
  <si>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</si>
  <si>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</si>
  <si>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</si>
  <si>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</si>
  <si>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</si>
  <si>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</si>
  <si>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</si>
  <si>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</si>
  <si>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</si>
  <si>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</si>
  <si>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</si>
  <si>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</si>
  <si>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</si>
  <si>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</si>
  <si>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</si>
  <si>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</si>
  <si>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</si>
  <si>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</si>
  <si>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</si>
  <si>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</si>
  <si>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</si>
  <si>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</si>
  <si>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</si>
  <si>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</si>
  <si>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</si>
  <si>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</si>
  <si>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</si>
  <si>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</si>
  <si>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</si>
  <si>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</si>
  <si>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</si>
  <si>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</si>
  <si>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</si>
  <si>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</si>
  <si>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</si>
  <si>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</si>
  <si>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</si>
  <si>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</si>
  <si>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</si>
  <si>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</si>
  <si>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</si>
  <si>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</si>
  <si>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</si>
  <si>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</si>
  <si>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</si>
  <si>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</si>
  <si>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</si>
  <si>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</si>
  <si>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</si>
  <si>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</si>
  <si>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</si>
  <si>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</si>
  <si>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</si>
  <si>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</si>
  <si>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</si>
  <si>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</si>
  <si>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</si>
  <si>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</si>
  <si>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</si>
  <si>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</si>
  <si>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</si>
  <si>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</si>
  <si>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</si>
  <si>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</si>
  <si>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</si>
  <si>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</si>
  <si>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</si>
  <si>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</si>
  <si>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</si>
  <si>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</si>
  <si>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</si>
  <si>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</si>
  <si>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</si>
  <si>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</si>
  <si>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</si>
  <si>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</si>
  <si>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</si>
  <si>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</si>
  <si>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</si>
  <si>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</si>
  <si>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</si>
  <si>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</si>
  <si>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</si>
  <si>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</si>
  <si>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</si>
  <si>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</si>
  <si>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</si>
  <si>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</si>
  <si>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</si>
  <si>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</si>
  <si>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</si>
  <si>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</si>
  <si>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</si>
  <si>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</si>
  <si>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</si>
  <si>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</si>
  <si>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</si>
  <si>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</si>
  <si>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</si>
  <si>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</si>
  <si>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</si>
  <si>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</si>
  <si>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</si>
  <si>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</si>
  <si>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</si>
  <si>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</si>
  <si>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</si>
  <si>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</si>
  <si>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</si>
  <si>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</si>
  <si>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</si>
  <si>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</si>
  <si>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</si>
  <si>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</si>
  <si>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</si>
  <si>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</si>
  <si>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</si>
  <si>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</si>
  <si>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</si>
  <si>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</si>
  <si>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</si>
  <si>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</si>
  <si>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</si>
  <si>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</si>
  <si>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</si>
  <si>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</si>
  <si>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</si>
  <si>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</si>
  <si>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</si>
  <si>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</si>
  <si>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</si>
  <si>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</si>
  <si>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</si>
  <si>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</si>
  <si>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</si>
  <si>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</si>
  <si>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</si>
  <si>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</si>
  <si>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</si>
  <si>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</si>
  <si>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</si>
  <si>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</si>
  <si>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</si>
  <si>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</si>
  <si>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</si>
  <si>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</si>
  <si>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</si>
  <si>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</si>
  <si>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</si>
  <si>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</si>
  <si>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</si>
  <si>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</si>
  <si>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</si>
  <si>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</si>
  <si>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</si>
  <si>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</si>
  <si>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</si>
  <si>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</si>
  <si>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</si>
  <si>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</si>
  <si>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</si>
  <si>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</si>
  <si>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</si>
  <si>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</si>
  <si>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</si>
  <si>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</si>
  <si>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</si>
  <si>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</si>
  <si>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</si>
  <si>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</si>
  <si>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</si>
  <si>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</si>
  <si>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</si>
  <si>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</si>
  <si>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</si>
  <si>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</si>
  <si>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</si>
  <si>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</si>
  <si>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</si>
  <si>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</si>
  <si>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</si>
  <si>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</si>
  <si>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</si>
  <si>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</si>
  <si>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</si>
  <si>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</si>
  <si>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</si>
  <si>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</si>
  <si>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</si>
  <si>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</si>
  <si>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</si>
  <si>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</si>
  <si>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</si>
  <si>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</si>
  <si>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</si>
  <si>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</si>
  <si>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</si>
  <si>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</si>
  <si>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</si>
  <si>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</si>
  <si>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</si>
  <si>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</si>
  <si>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</si>
  <si>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</si>
  <si>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</si>
  <si>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</si>
  <si>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</si>
  <si>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</si>
  <si>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</si>
  <si>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</si>
  <si>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</si>
  <si>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</si>
  <si>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</si>
  <si>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</si>
  <si>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</si>
  <si>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</si>
  <si>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</si>
  <si>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</si>
  <si>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</si>
  <si>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</si>
  <si>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</si>
  <si>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</si>
  <si>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</si>
  <si>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</si>
  <si>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</si>
  <si>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</si>
  <si>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</si>
  <si>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</si>
  <si>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</si>
  <si>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</si>
  <si>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</si>
  <si>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</si>
  <si>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</si>
  <si>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</si>
  <si>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</si>
  <si>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</si>
  <si>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</si>
  <si>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</si>
  <si>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</si>
  <si>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</si>
  <si>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</si>
  <si>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</si>
  <si>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</si>
  <si>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</si>
  <si>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</si>
  <si>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</si>
  <si>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</si>
  <si>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</si>
  <si>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</si>
  <si>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</si>
  <si>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</si>
  <si>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</si>
  <si>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</si>
  <si>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</si>
  <si>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</si>
  <si>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</si>
  <si>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</si>
  <si>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</si>
  <si>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</si>
  <si>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</si>
  <si>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</si>
  <si>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</si>
  <si>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</si>
  <si>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</si>
  <si>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</si>
  <si>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</si>
  <si>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</si>
  <si>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</si>
  <si>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</si>
  <si>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</si>
  <si>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</si>
  <si>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</si>
  <si>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</si>
  <si>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</si>
  <si>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</si>
  <si>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</si>
  <si>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</si>
  <si>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</si>
  <si>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</si>
  <si>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</si>
  <si>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</si>
  <si>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</si>
  <si>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</si>
  <si>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</si>
  <si>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</si>
  <si>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</si>
  <si>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</si>
  <si>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</si>
  <si>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</si>
  <si>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</si>
  <si>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</si>
  <si>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</si>
  <si>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</si>
  <si>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</si>
  <si>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</si>
  <si>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</si>
  <si>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</si>
  <si>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</si>
  <si>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</si>
  <si>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</si>
  <si>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</si>
  <si>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</si>
  <si>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</si>
  <si>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</si>
  <si>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</si>
  <si>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</si>
  <si>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</si>
  <si>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</si>
  <si>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</si>
  <si>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</si>
  <si>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</si>
  <si>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</si>
  <si>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</si>
  <si>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</si>
  <si>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</si>
  <si>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</si>
  <si>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</si>
  <si>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</si>
  <si>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</si>
  <si>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</si>
  <si>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</si>
  <si>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</si>
  <si>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</si>
  <si>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</si>
  <si>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</si>
  <si>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</si>
  <si>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</si>
  <si>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</si>
  <si>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</si>
  <si>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</si>
  <si>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</si>
  <si>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</si>
  <si>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</si>
  <si>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</si>
  <si>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</si>
  <si>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</si>
  <si>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</si>
  <si>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</si>
  <si>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</si>
  <si>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</si>
  <si>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</si>
  <si>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</si>
  <si>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</si>
  <si>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</si>
  <si>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</si>
  <si>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</si>
  <si>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</si>
  <si>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</si>
  <si>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</si>
  <si>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</si>
  <si>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</si>
  <si>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</si>
  <si>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</si>
  <si>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</si>
  <si>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</si>
  <si>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</si>
  <si>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</si>
  <si>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</si>
  <si>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</si>
  <si>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</si>
  <si>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</si>
  <si>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</si>
  <si>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</si>
  <si>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</si>
  <si>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</si>
  <si>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</si>
  <si>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</si>
  <si>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</si>
  <si>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</si>
  <si>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</si>
  <si>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</si>
  <si>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</si>
  <si>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</si>
  <si>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</si>
  <si>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</si>
  <si>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</si>
  <si>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</si>
  <si>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</si>
  <si>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</si>
  <si>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</si>
  <si>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</si>
  <si>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</si>
  <si>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</si>
  <si>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</si>
  <si>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</si>
  <si>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</si>
  <si>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</si>
  <si>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</si>
  <si>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</si>
  <si>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</si>
  <si>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</si>
  <si>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</si>
  <si>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</si>
  <si>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</si>
  <si>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</si>
  <si>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</si>
  <si>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</si>
  <si>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</si>
  <si>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</si>
  <si>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</si>
  <si>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</si>
  <si>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</si>
  <si>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</si>
  <si>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</si>
  <si>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</si>
  <si>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</si>
  <si>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</si>
  <si>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</si>
  <si>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</si>
  <si>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</si>
  <si>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</si>
  <si>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</si>
  <si>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</si>
  <si>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</si>
  <si>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</si>
  <si>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</si>
  <si>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</si>
  <si>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</si>
  <si>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</si>
  <si>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</si>
  <si>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</si>
  <si>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</si>
  <si>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</si>
  <si>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</si>
  <si>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</si>
  <si>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</si>
  <si>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</si>
  <si>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</si>
  <si>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</si>
  <si>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</si>
  <si>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</si>
  <si>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</si>
  <si>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</si>
  <si>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</si>
  <si>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</si>
  <si>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</si>
  <si>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</si>
  <si>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</si>
  <si>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</si>
  <si>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</si>
  <si>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</si>
  <si>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</si>
  <si>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</si>
  <si>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</si>
  <si>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</si>
  <si>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</si>
  <si>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</si>
  <si>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</si>
  <si>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</si>
  <si>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</si>
  <si>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</si>
  <si>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</si>
  <si>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</si>
  <si>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</si>
  <si>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</si>
  <si>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</si>
  <si>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</si>
  <si>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</si>
  <si>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</si>
  <si>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</si>
  <si>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</si>
  <si>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</si>
  <si>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</si>
  <si>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</si>
  <si>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</si>
  <si>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</si>
  <si>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</si>
  <si>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</si>
  <si>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</si>
  <si>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</si>
  <si>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</si>
  <si>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</si>
  <si>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</si>
  <si>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</si>
  <si>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</si>
  <si>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</si>
  <si>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</si>
  <si>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</si>
  <si>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</si>
  <si>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</si>
  <si>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</si>
  <si>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</si>
  <si>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</si>
  <si>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</si>
  <si>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</si>
  <si>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</si>
  <si>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</si>
  <si>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</si>
  <si>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</si>
  <si>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</si>
  <si>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</si>
  <si>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</si>
  <si>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</si>
  <si>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</si>
  <si>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</si>
  <si>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</si>
  <si>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</si>
  <si>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</si>
  <si>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</si>
  <si>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</si>
  <si>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</si>
  <si>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</si>
  <si>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</si>
  <si>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</si>
  <si>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</si>
  <si>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</si>
  <si>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</si>
  <si>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</si>
  <si>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</si>
  <si>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</si>
  <si>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</si>
  <si>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</si>
  <si>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</si>
  <si>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</si>
  <si>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</si>
  <si>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</si>
  <si>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</si>
  <si>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</si>
  <si>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</si>
  <si>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</si>
  <si>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</si>
  <si>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</si>
  <si>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</si>
  <si>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</si>
  <si>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</si>
  <si>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</si>
  <si>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</si>
  <si>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</si>
  <si>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</si>
  <si>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</si>
  <si>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</si>
  <si>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</si>
  <si>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</si>
  <si>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</si>
  <si>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</si>
  <si>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</si>
  <si>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</si>
  <si>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</si>
  <si>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</si>
  <si>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</si>
  <si>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</si>
  <si>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</si>
  <si>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</si>
  <si>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</si>
  <si>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</si>
  <si>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</si>
  <si>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</si>
  <si>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</si>
  <si>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</si>
  <si>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</si>
  <si>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</si>
  <si>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</si>
  <si>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</si>
  <si>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</si>
  <si>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</si>
  <si>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</si>
  <si>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</si>
  <si>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</si>
  <si>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</si>
  <si>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</si>
  <si>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</si>
  <si>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</si>
  <si>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</si>
  <si>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</si>
  <si>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</si>
  <si>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</si>
  <si>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</si>
  <si>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</si>
  <si>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</si>
  <si>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</si>
  <si>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</si>
  <si>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</si>
  <si>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</si>
  <si>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</si>
  <si>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</si>
  <si>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</si>
  <si>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</si>
  <si>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</si>
  <si>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</si>
  <si>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</si>
  <si>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</si>
  <si>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</si>
  <si>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</si>
  <si>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</si>
  <si>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</si>
  <si>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</si>
  <si>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</si>
  <si>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</si>
  <si>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</si>
  <si>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</si>
  <si>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</si>
  <si>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</si>
  <si>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</si>
  <si>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</si>
  <si>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</si>
  <si>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</si>
  <si>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</si>
  <si>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</si>
  <si>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</si>
  <si>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</si>
  <si>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</si>
  <si>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</si>
  <si>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</si>
  <si>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</si>
  <si>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</si>
  <si>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</si>
  <si>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</si>
  <si>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</si>
  <si>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</si>
  <si>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</si>
  <si>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</si>
  <si>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</si>
  <si>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</si>
  <si>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</si>
  <si>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</si>
  <si>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</si>
  <si>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</si>
  <si>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</si>
  <si>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</si>
  <si>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</si>
  <si>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</si>
  <si>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</si>
  <si>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</si>
  <si>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</si>
  <si>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</si>
  <si>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</si>
  <si>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</si>
  <si>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</si>
  <si>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</si>
  <si>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</si>
  <si>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</si>
  <si>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</si>
  <si>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</si>
  <si>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</si>
  <si>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</si>
  <si>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</si>
  <si>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</si>
  <si>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</si>
  <si>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</si>
  <si>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</si>
  <si>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</si>
  <si>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</si>
  <si>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</si>
  <si>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</si>
  <si>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</si>
  <si>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</si>
  <si>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</si>
  <si>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</si>
  <si>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</si>
  <si>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</si>
  <si>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</si>
  <si>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</si>
  <si>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</si>
  <si>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</si>
  <si>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</si>
  <si>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</si>
  <si>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</si>
  <si>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</si>
  <si>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</si>
  <si>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</si>
  <si>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</si>
  <si>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</si>
  <si>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</si>
  <si>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</si>
  <si>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</si>
  <si>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</si>
  <si>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</si>
  <si>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</si>
  <si>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</si>
  <si>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</si>
  <si>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</si>
  <si>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</si>
  <si>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</si>
  <si>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</si>
  <si>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</si>
  <si>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</si>
  <si>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</si>
  <si>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</si>
  <si>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</si>
  <si>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</si>
  <si>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</si>
  <si>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</si>
  <si>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</si>
  <si>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</si>
  <si>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</si>
  <si>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</si>
  <si>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</si>
  <si>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</si>
  <si>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</si>
  <si>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</si>
  <si>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</si>
  <si>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</si>
  <si>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</si>
  <si>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</si>
  <si>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</si>
  <si>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</si>
  <si>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</si>
  <si>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</si>
  <si>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</si>
  <si>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</si>
  <si>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</si>
  <si>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</si>
  <si>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</si>
  <si>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</si>
  <si>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</si>
  <si>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</si>
  <si>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</si>
  <si>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</si>
  <si>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</si>
  <si>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</si>
  <si>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</si>
  <si>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</si>
  <si>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</si>
  <si>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</si>
  <si>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</si>
  <si>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</si>
  <si>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</si>
  <si>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</si>
  <si>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</si>
  <si>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</si>
  <si>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</si>
  <si>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</si>
  <si>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</si>
  <si>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</si>
  <si>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</si>
  <si>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</si>
  <si>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</si>
  <si>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</si>
  <si>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</si>
  <si>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</si>
  <si>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</si>
  <si>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</si>
  <si>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</si>
  <si>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</si>
  <si>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</si>
  <si>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</si>
  <si>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</si>
  <si>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</si>
  <si>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</si>
  <si>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</si>
  <si>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</si>
  <si>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</si>
  <si>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</si>
  <si>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</si>
  <si>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</si>
  <si>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</si>
  <si>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</si>
  <si>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</si>
  <si>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</si>
  <si>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</si>
  <si>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</si>
  <si>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</si>
  <si>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</si>
  <si>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</si>
  <si>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</si>
  <si>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</si>
  <si>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</si>
  <si>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</si>
  <si>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</si>
  <si>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</si>
  <si>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</si>
  <si>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</si>
  <si>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</si>
  <si>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</si>
  <si>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</si>
  <si>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</si>
  <si>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</si>
  <si>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</si>
  <si>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</si>
  <si>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</si>
  <si>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</si>
  <si>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</si>
  <si>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</si>
  <si>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</si>
  <si>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</si>
  <si>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</si>
  <si>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</si>
  <si>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</si>
  <si>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</si>
  <si>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</si>
  <si>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</si>
  <si>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</si>
  <si>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</si>
  <si>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</si>
  <si>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</si>
  <si>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</si>
  <si>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</si>
  <si>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</si>
  <si>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</si>
  <si>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</si>
  <si>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</si>
  <si>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</si>
  <si>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</si>
  <si>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</si>
  <si>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</si>
  <si>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</si>
  <si>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</si>
  <si>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</si>
  <si>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</si>
  <si>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</si>
  <si>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</si>
  <si>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</si>
  <si>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</si>
  <si>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</si>
  <si>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</si>
  <si>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</si>
  <si>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</si>
  <si>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</si>
  <si>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</si>
  <si>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</si>
  <si>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</si>
  <si>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</si>
  <si>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</si>
  <si>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</si>
  <si>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</si>
  <si>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</si>
  <si>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</si>
  <si>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</si>
  <si>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</si>
  <si>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</si>
  <si>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</si>
  <si>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</si>
  <si>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</si>
  <si>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</si>
  <si>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</si>
  <si>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</si>
  <si>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</si>
  <si>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</si>
  <si>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</si>
  <si>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</si>
  <si>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</si>
  <si>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</si>
  <si>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</si>
  <si>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</si>
  <si>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</si>
  <si>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</si>
  <si>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</si>
  <si>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</si>
  <si>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</si>
  <si>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</si>
  <si>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</si>
  <si>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</si>
  <si>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</si>
  <si>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</si>
  <si>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</si>
  <si>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</si>
  <si>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</si>
  <si>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</si>
  <si>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</si>
  <si>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</si>
  <si>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</si>
  <si>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</si>
  <si>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</si>
  <si>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</si>
  <si>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</si>
  <si>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</si>
  <si>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</si>
  <si>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</si>
  <si>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</si>
  <si>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</si>
  <si>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</si>
  <si>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</si>
  <si>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</si>
  <si>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</si>
  <si>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</si>
  <si>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</si>
  <si>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</si>
  <si>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</si>
  <si>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</si>
  <si>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</si>
  <si>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</si>
  <si>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</si>
  <si>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</si>
  <si>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</si>
  <si>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</si>
  <si>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</si>
  <si>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</si>
  <si>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</si>
  <si>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</si>
  <si>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</si>
  <si>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</si>
  <si>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</si>
  <si>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</si>
  <si>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</si>
  <si>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</si>
  <si>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</si>
  <si>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</si>
  <si>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</si>
  <si>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</si>
  <si>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</si>
  <si>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</si>
  <si>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</si>
  <si>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</si>
  <si>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</si>
  <si>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</si>
  <si>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</si>
  <si>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</si>
  <si>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</si>
  <si>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</si>
  <si>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</si>
  <si>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</si>
  <si>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</si>
  <si>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</si>
  <si>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</si>
  <si>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</si>
  <si>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</si>
  <si>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</si>
  <si>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</si>
  <si>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</si>
  <si>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</si>
  <si>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</si>
  <si>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</si>
  <si>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</si>
  <si>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</si>
  <si>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</si>
  <si>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</si>
  <si>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</si>
  <si>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</si>
  <si>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</si>
  <si>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</si>
  <si>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</si>
  <si>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</si>
  <si>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</si>
  <si>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</si>
  <si>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</si>
  <si>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</si>
  <si>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</si>
  <si>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</si>
  <si>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</si>
  <si>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</si>
  <si>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</si>
  <si>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</si>
  <si>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</si>
  <si>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</si>
  <si>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</si>
  <si>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</si>
  <si>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</si>
  <si>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</si>
  <si>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</si>
  <si>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</si>
  <si>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</si>
  <si>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</si>
  <si>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</si>
  <si>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</si>
  <si>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</si>
  <si>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</si>
  <si>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</si>
  <si>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</si>
  <si>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</si>
  <si>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</si>
  <si>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</si>
  <si>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</si>
  <si>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</si>
  <si>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</si>
  <si>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</si>
  <si>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</si>
  <si>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</si>
  <si>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</si>
  <si>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</si>
  <si>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</si>
  <si>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</si>
  <si>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</si>
  <si>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</si>
  <si>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</si>
  <si>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</si>
  <si>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</si>
  <si>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</si>
  <si>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</si>
  <si>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</si>
  <si>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</si>
  <si>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</si>
  <si>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</si>
  <si>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</si>
  <si>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</si>
  <si>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</si>
  <si>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</si>
  <si>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</si>
  <si>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</si>
  <si>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</si>
  <si>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</si>
  <si>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</si>
  <si>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</si>
  <si>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</si>
  <si>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</si>
  <si>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</si>
  <si>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</si>
  <si>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</si>
  <si>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</si>
  <si>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</si>
  <si>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</si>
  <si>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</si>
  <si>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</si>
  <si>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</si>
  <si>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</si>
  <si>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</si>
  <si>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</si>
  <si>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</si>
  <si>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</si>
  <si>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</si>
  <si>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</si>
  <si>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</si>
  <si>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</si>
  <si>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</si>
  <si>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</si>
  <si>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</si>
  <si>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</si>
  <si>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</si>
  <si>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</si>
  <si>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</si>
  <si>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</si>
  <si>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</si>
  <si>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</si>
  <si>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</si>
  <si>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</si>
  <si>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</si>
  <si>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</si>
  <si>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</si>
  <si>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</si>
  <si>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</si>
  <si>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</si>
  <si>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</si>
  <si>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</si>
  <si>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</si>
  <si>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</si>
  <si>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</si>
  <si>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</si>
  <si>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</si>
  <si>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</si>
  <si>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</si>
  <si>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</si>
  <si>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</si>
  <si>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</si>
  <si>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</si>
  <si>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</si>
  <si>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</si>
  <si>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</si>
  <si>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</si>
  <si>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</si>
  <si>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</si>
  <si>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</si>
  <si>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</si>
  <si>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</si>
  <si>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</si>
  <si>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</si>
  <si>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</si>
  <si>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</si>
  <si>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</si>
  <si>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</si>
  <si>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</si>
  <si>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</si>
  <si>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</si>
  <si>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</si>
  <si>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</si>
  <si>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</si>
  <si>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</si>
  <si>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</si>
  <si>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</si>
  <si>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</si>
  <si>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</si>
  <si>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</si>
  <si>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</si>
  <si>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</si>
  <si>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</si>
  <si>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</si>
  <si>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</si>
  <si>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</si>
  <si>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</si>
  <si>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</si>
  <si>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</si>
  <si>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</si>
  <si>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</si>
  <si>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</si>
  <si>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</si>
  <si>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</si>
  <si>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</si>
  <si>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</si>
  <si>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</si>
  <si>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</si>
  <si>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</si>
  <si>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</si>
  <si>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</si>
  <si>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</si>
  <si>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</si>
  <si>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</si>
  <si>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</si>
  <si>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</si>
  <si>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</si>
  <si>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</si>
  <si>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</si>
  <si>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</si>
  <si>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</si>
  <si>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</si>
  <si>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</si>
  <si>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</si>
  <si>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</si>
  <si>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</si>
  <si>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</si>
  <si>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</si>
  <si>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</si>
  <si>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</si>
  <si>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</si>
  <si>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</si>
  <si>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</si>
  <si>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</si>
  <si>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</si>
  <si>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</si>
  <si>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</si>
  <si>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</si>
  <si>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</si>
  <si>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</si>
  <si>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</si>
  <si>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</si>
  <si>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</si>
  <si>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</si>
  <si>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</si>
  <si>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</si>
  <si>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</si>
  <si>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</si>
  <si>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</si>
  <si>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</si>
  <si>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</si>
  <si>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</si>
  <si>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</si>
  <si>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</si>
  <si>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</si>
  <si>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</si>
  <si>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</si>
  <si>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</si>
  <si>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</si>
  <si>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</si>
  <si>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</si>
  <si>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</si>
  <si>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</si>
  <si>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</si>
  <si>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</si>
  <si>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</si>
  <si>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</si>
  <si>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</si>
  <si>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</si>
  <si>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</si>
  <si>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</si>
  <si>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</si>
  <si>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</si>
  <si>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</si>
  <si>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</si>
  <si>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</si>
  <si>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</si>
  <si>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</si>
  <si>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</si>
  <si>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</si>
  <si>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</si>
  <si>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</si>
  <si>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</si>
  <si>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</si>
  <si>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</si>
  <si>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</si>
  <si>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</si>
  <si>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</si>
  <si>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</si>
  <si>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</si>
  <si>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</si>
  <si>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</si>
  <si>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</si>
  <si>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</si>
  <si>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</si>
  <si>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</si>
  <si>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</si>
  <si>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</si>
  <si>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</si>
  <si>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</si>
  <si>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</si>
  <si>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</si>
  <si>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</si>
  <si>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</si>
  <si>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</si>
  <si>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</si>
  <si>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</si>
  <si>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</si>
  <si>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</si>
  <si>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</si>
  <si>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</si>
  <si>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</si>
  <si>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</si>
  <si>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</si>
  <si>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</si>
  <si>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</si>
  <si>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</si>
  <si>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</si>
  <si>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</si>
  <si>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</si>
  <si>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</si>
  <si>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</si>
  <si>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</si>
  <si>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</si>
  <si>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</si>
  <si>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</si>
  <si>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</si>
  <si>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</si>
  <si>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</si>
  <si>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</si>
  <si>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</si>
  <si>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</si>
  <si>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</si>
  <si>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</si>
  <si>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</si>
  <si>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</si>
  <si>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</si>
  <si>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</si>
  <si>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</si>
  <si>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</si>
  <si>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</si>
  <si>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</si>
  <si>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</si>
  <si>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</si>
  <si>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</si>
  <si>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</si>
  <si>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</si>
  <si>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</si>
  <si>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</si>
  <si>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</si>
  <si>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</si>
  <si>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</si>
  <si>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</si>
  <si>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</si>
  <si>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</si>
  <si>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</si>
  <si>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</si>
  <si>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</si>
  <si>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</si>
  <si>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</si>
  <si>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</si>
  <si>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</si>
  <si>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</si>
  <si>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</si>
  <si>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</si>
  <si>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</si>
  <si>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</si>
  <si>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</si>
  <si>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</si>
  <si>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</si>
  <si>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</si>
  <si>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</si>
  <si>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</si>
  <si>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</si>
  <si>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</si>
  <si>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</si>
  <si>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</si>
  <si>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</si>
  <si>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</si>
  <si>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</si>
  <si>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</si>
  <si>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</si>
  <si>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</si>
  <si>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</si>
  <si>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</si>
  <si>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</si>
  <si>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</si>
  <si>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</si>
  <si>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</si>
  <si>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</si>
  <si>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</si>
  <si>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</si>
  <si>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</si>
  <si>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</si>
  <si>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</si>
  <si>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</si>
  <si>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</si>
  <si>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</si>
  <si>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</si>
  <si>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</si>
  <si>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</si>
  <si>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</si>
  <si>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</si>
  <si>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</si>
  <si>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</si>
  <si>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</si>
  <si>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</si>
  <si>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</si>
  <si>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</si>
  <si>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</si>
  <si>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</si>
  <si>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</si>
  <si>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</si>
  <si>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</si>
  <si>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</si>
  <si>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</si>
  <si>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</si>
  <si>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</si>
  <si>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</si>
  <si>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</si>
  <si>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</si>
  <si>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</si>
  <si>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</si>
  <si>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</si>
  <si>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</si>
  <si>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</si>
  <si>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</si>
  <si>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</si>
  <si>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</si>
  <si>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</si>
  <si>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</si>
  <si>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</si>
  <si>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</si>
  <si>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</si>
  <si>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</si>
  <si>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</si>
  <si>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</si>
  <si>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</si>
  <si>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</si>
  <si>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</si>
  <si>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</si>
  <si>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</si>
  <si>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</si>
  <si>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</si>
  <si>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</si>
  <si>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</si>
  <si>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</si>
  <si>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</si>
  <si>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</si>
  <si>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</si>
  <si>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</si>
  <si>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</si>
  <si>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</si>
  <si>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</si>
  <si>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</si>
  <si>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</si>
  <si>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</si>
  <si>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</si>
  <si>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</si>
  <si>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</si>
  <si>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</si>
  <si>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</si>
  <si>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</si>
  <si>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</si>
  <si>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</si>
  <si>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</si>
  <si>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</si>
  <si>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</si>
  <si>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</si>
  <si>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</si>
  <si>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</si>
  <si>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</si>
  <si>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</si>
  <si>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</si>
  <si>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</si>
  <si>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</si>
  <si>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</si>
  <si>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</si>
  <si>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</si>
  <si>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</si>
  <si>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</si>
  <si>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</si>
  <si>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</si>
  <si>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</si>
  <si>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</si>
  <si>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</si>
  <si>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</si>
  <si>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</si>
  <si>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</si>
  <si>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</si>
  <si>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</si>
  <si>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</si>
  <si>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</si>
  <si>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</si>
  <si>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</si>
  <si>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</si>
  <si>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</si>
  <si>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</si>
  <si>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</si>
  <si>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</si>
  <si>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</si>
  <si>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</si>
  <si>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</si>
  <si>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</si>
  <si>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</si>
  <si>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</si>
  <si>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</si>
  <si>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</si>
  <si>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</si>
  <si>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</si>
  <si>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</si>
  <si>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</si>
  <si>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</si>
  <si>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</si>
  <si>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</si>
  <si>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</si>
  <si>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</si>
  <si>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</si>
  <si>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</si>
  <si>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</si>
  <si>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</si>
  <si>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</si>
  <si>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</si>
  <si>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</si>
  <si>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</si>
  <si>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</si>
  <si>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</si>
  <si>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</si>
  <si>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</si>
  <si>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</si>
  <si>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</si>
  <si>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</si>
  <si>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</si>
  <si>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</si>
  <si>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</si>
  <si>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</si>
  <si>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</si>
  <si>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</si>
  <si>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</si>
  <si>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</si>
  <si>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</si>
  <si>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</si>
  <si>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</si>
  <si>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</si>
  <si>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</si>
  <si>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</si>
  <si>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</si>
  <si>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</si>
  <si>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</si>
  <si>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</si>
  <si>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</si>
  <si>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</si>
  <si>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</si>
  <si>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</si>
  <si>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</si>
  <si>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</si>
  <si>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</si>
  <si>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</si>
  <si>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</si>
  <si>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</si>
  <si>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</si>
  <si>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</si>
  <si>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</si>
  <si>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</si>
  <si>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</si>
  <si>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</si>
  <si>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</si>
  <si>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</si>
  <si>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</si>
  <si>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</si>
  <si>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</si>
  <si>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</si>
  <si>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</si>
  <si>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</si>
  <si>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</si>
  <si>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</si>
  <si>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</si>
  <si>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</si>
  <si>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</si>
  <si>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</si>
  <si>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</si>
  <si>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</si>
  <si>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</si>
  <si>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</si>
  <si>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</si>
  <si>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</si>
  <si>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</si>
  <si>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</si>
  <si>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</si>
  <si>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</si>
  <si>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</si>
  <si>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</si>
  <si>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</si>
  <si>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</si>
  <si>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</si>
  <si>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</si>
  <si>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</si>
  <si>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</si>
  <si>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</si>
  <si>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</si>
  <si>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</si>
  <si>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</si>
  <si>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</si>
  <si>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</si>
  <si>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</si>
  <si>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</si>
  <si>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</si>
  <si>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</si>
  <si>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</si>
  <si>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</si>
  <si>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</si>
  <si>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</si>
  <si>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</si>
  <si>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</si>
  <si>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</si>
  <si>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</si>
  <si>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</si>
  <si>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</si>
  <si>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</si>
  <si>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</si>
  <si>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</si>
  <si>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</si>
  <si>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</si>
  <si>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</si>
  <si>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</si>
  <si>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</si>
  <si>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</si>
  <si>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</si>
  <si>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</si>
  <si>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</si>
  <si>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</si>
  <si>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</si>
  <si>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</si>
  <si>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</si>
  <si>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</si>
  <si>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</si>
  <si>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</si>
  <si>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</si>
  <si>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</si>
  <si>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</si>
  <si>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</si>
  <si>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</si>
  <si>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</si>
  <si>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</si>
  <si>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</si>
  <si>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</si>
  <si>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</si>
  <si>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</si>
  <si>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</si>
  <si>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</si>
  <si>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</si>
  <si>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</si>
  <si>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</si>
  <si>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</si>
  <si>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</si>
  <si>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</si>
  <si>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</si>
  <si>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</si>
  <si>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</si>
  <si>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</si>
  <si>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</si>
  <si>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</si>
  <si>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</si>
  <si>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</si>
  <si>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</si>
  <si>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</si>
  <si>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</si>
  <si>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</si>
  <si>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</si>
  <si>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</si>
  <si>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</si>
  <si>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</si>
  <si>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</si>
  <si>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</si>
  <si>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</si>
  <si>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</si>
  <si>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</si>
  <si>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</si>
  <si>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</si>
  <si>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</si>
  <si>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</si>
  <si>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</si>
  <si>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</si>
  <si>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</si>
  <si>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</si>
  <si>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</si>
  <si>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</si>
  <si>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</si>
  <si>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</si>
  <si>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</si>
  <si>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</si>
  <si>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</si>
  <si>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</si>
  <si>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</si>
  <si>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</si>
  <si>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</si>
  <si>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</si>
  <si>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</si>
  <si>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</si>
  <si>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</si>
  <si>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</si>
  <si>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</si>
  <si>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</si>
  <si>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</si>
  <si>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</si>
  <si>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</si>
  <si>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</si>
  <si>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</si>
  <si>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</si>
  <si>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</si>
  <si>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</si>
  <si>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</si>
  <si>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</si>
  <si>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</si>
  <si>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</si>
  <si>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</si>
  <si>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</si>
  <si>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</si>
  <si>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</si>
  <si>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</si>
  <si>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</si>
  <si>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</si>
  <si>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</si>
  <si>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</si>
  <si>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</si>
  <si>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</si>
  <si>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</si>
  <si>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</si>
  <si>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</si>
  <si>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</si>
  <si>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</si>
  <si>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</si>
  <si>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</si>
  <si>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</si>
  <si>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</si>
  <si>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</si>
  <si>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</si>
  <si>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</si>
  <si>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</si>
  <si>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</si>
  <si>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</si>
  <si>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</si>
  <si>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</si>
  <si>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</si>
  <si>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</si>
  <si>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</si>
  <si>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</si>
  <si>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</si>
  <si>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</si>
  <si>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</si>
  <si>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</si>
  <si>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</si>
  <si>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</si>
  <si>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</si>
  <si>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</si>
  <si>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</si>
  <si>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</si>
  <si>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</si>
  <si>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</si>
  <si>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</si>
  <si>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</si>
  <si>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</si>
  <si>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</si>
  <si>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</si>
  <si>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</si>
  <si>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</si>
  <si>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</si>
  <si>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</si>
  <si>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</si>
  <si>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</si>
  <si>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</si>
  <si>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</si>
  <si>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</si>
  <si>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</si>
  <si>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</si>
  <si>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</si>
  <si>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</si>
  <si>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</si>
  <si>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</si>
  <si>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</si>
  <si>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</si>
  <si>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</si>
  <si>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</si>
  <si>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</si>
  <si>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</si>
  <si>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</si>
  <si>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</si>
  <si>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</si>
  <si>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</si>
  <si>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</si>
  <si>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</si>
  <si>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</si>
  <si>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</si>
  <si>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</si>
  <si>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</si>
  <si>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</si>
  <si>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</si>
  <si>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</si>
  <si>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</si>
  <si>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</si>
  <si>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</si>
  <si>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</si>
  <si>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</si>
  <si>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</si>
  <si>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</si>
  <si>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</si>
  <si>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</si>
  <si>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</si>
  <si>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</si>
  <si>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</si>
  <si>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</si>
  <si>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</si>
  <si>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</si>
  <si>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</si>
  <si>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</si>
  <si>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</si>
  <si>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</si>
  <si>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</si>
  <si>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</si>
  <si>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</si>
  <si>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</si>
  <si>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</si>
  <si>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</si>
  <si>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</si>
  <si>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</si>
  <si>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</si>
  <si>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</si>
  <si>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</si>
  <si>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</si>
  <si>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</si>
  <si>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</si>
  <si>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</si>
  <si>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</si>
  <si>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</si>
  <si>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</si>
  <si>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</si>
  <si>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</si>
  <si>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</si>
  <si>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</si>
  <si>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</si>
  <si>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</si>
  <si>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</si>
  <si>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</si>
  <si>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</si>
  <si>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</si>
  <si>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</si>
  <si>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</si>
  <si>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</si>
  <si>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</si>
  <si>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</si>
  <si>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</si>
  <si>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</si>
  <si>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</si>
  <si>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</si>
  <si>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</si>
  <si>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</si>
  <si>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</si>
  <si>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</si>
  <si>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</si>
  <si>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</si>
  <si>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</si>
  <si>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</si>
  <si>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</si>
  <si>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</si>
  <si>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</si>
  <si>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</si>
  <si>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</si>
  <si>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</si>
  <si>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</si>
  <si>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</si>
  <si>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</si>
  <si>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</si>
  <si>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</si>
  <si>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</si>
  <si>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</si>
  <si>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</si>
  <si>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</si>
  <si>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</si>
  <si>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</si>
  <si>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</si>
  <si>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</si>
  <si>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</si>
  <si>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</si>
  <si>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</si>
  <si>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</si>
  <si>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</si>
  <si>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</si>
  <si>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</si>
  <si>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</si>
  <si>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</si>
  <si>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</si>
  <si>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</si>
  <si>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</si>
  <si>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</si>
  <si>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</si>
  <si>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</si>
  <si>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</si>
  <si>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</si>
  <si>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</si>
  <si>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</si>
  <si>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</si>
  <si>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</si>
  <si>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</si>
  <si>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</si>
  <si>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</si>
  <si>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</si>
  <si>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</si>
  <si>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</si>
  <si>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</si>
  <si>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</si>
  <si>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</si>
  <si>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</si>
  <si>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</si>
  <si>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</si>
  <si>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</si>
  <si>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</si>
  <si>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</si>
  <si>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</si>
  <si>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</si>
  <si>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</si>
  <si>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</si>
  <si>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</si>
  <si>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</si>
  <si>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</si>
  <si>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</si>
  <si>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</si>
  <si>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</si>
  <si>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</si>
  <si>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</si>
  <si>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</si>
  <si>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</si>
  <si>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</si>
  <si>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</si>
  <si>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</si>
  <si>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</si>
  <si>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</si>
  <si>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</si>
  <si>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</si>
  <si>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</si>
  <si>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</si>
  <si>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</si>
  <si>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</si>
  <si>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</si>
  <si>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</si>
  <si>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</si>
  <si>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</si>
  <si>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</si>
  <si>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</si>
  <si>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</si>
  <si>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</si>
  <si>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</si>
  <si>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</si>
  <si>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</si>
  <si>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</si>
  <si>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</si>
  <si>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</si>
  <si>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</si>
  <si>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</si>
  <si>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</si>
  <si>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</si>
  <si>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</si>
  <si>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</si>
  <si>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</si>
  <si>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</si>
  <si>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</si>
  <si>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</si>
  <si>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</si>
  <si>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</si>
  <si>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</si>
  <si>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</si>
  <si>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</si>
  <si>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</si>
  <si>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</si>
  <si>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</si>
  <si>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</si>
  <si>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</si>
  <si>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</si>
  <si>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</si>
  <si>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</si>
  <si>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</si>
  <si>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</si>
  <si>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</si>
  <si>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</si>
  <si>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</si>
  <si>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</si>
  <si>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</si>
  <si>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</si>
  <si>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</si>
  <si>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</si>
  <si>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</si>
  <si>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</si>
  <si>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</si>
  <si>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</si>
  <si>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</si>
  <si>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</si>
  <si>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</si>
  <si>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</si>
  <si>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</si>
  <si>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</si>
  <si>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</si>
  <si>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</si>
  <si>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</si>
  <si>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</si>
  <si>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</si>
  <si>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</si>
  <si>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</si>
  <si>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</si>
  <si>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</si>
  <si>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</si>
  <si>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</si>
  <si>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</si>
  <si>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</si>
  <si>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</si>
  <si>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</si>
  <si>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</si>
  <si>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</si>
  <si>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</si>
  <si>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</si>
  <si>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</si>
  <si>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</si>
  <si>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</si>
  <si>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</si>
  <si>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</si>
  <si>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</si>
  <si>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</si>
  <si>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</si>
  <si>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</si>
  <si>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</si>
  <si>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</si>
  <si>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</si>
  <si>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</si>
  <si>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</si>
  <si>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</si>
  <si>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</si>
  <si>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</si>
  <si>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</si>
  <si>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</si>
  <si>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</si>
  <si>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</si>
  <si>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</si>
  <si>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</si>
  <si>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</si>
  <si>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</si>
  <si>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</si>
  <si>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</si>
  <si>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</si>
  <si>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</si>
  <si>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</si>
  <si>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</si>
  <si>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</si>
  <si>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</si>
  <si>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</si>
  <si>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</si>
  <si>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</si>
  <si>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</si>
  <si>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</si>
  <si>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</si>
  <si>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</si>
  <si>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</si>
  <si>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</si>
  <si>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</si>
  <si>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</si>
  <si>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</si>
  <si>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</si>
  <si>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</si>
  <si>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</si>
  <si>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</si>
  <si>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</si>
  <si>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</si>
  <si>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</si>
  <si>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</si>
  <si>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</si>
  <si>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</si>
  <si>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</si>
  <si>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</si>
  <si>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</si>
  <si>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</si>
  <si>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</si>
  <si>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</si>
  <si>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</si>
  <si>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</si>
  <si>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</si>
  <si>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</si>
  <si>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</si>
  <si>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</si>
  <si>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</si>
  <si>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</si>
  <si>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</si>
  <si>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</si>
  <si>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</si>
  <si>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</si>
  <si>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</si>
  <si>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</si>
  <si>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</si>
  <si>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</si>
  <si>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</si>
  <si>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</si>
  <si>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</si>
  <si>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</si>
  <si>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</si>
  <si>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</si>
  <si>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</si>
  <si>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</si>
  <si>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</si>
  <si>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</si>
  <si>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</si>
  <si>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</si>
  <si>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</si>
  <si>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</si>
  <si>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</si>
  <si>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</si>
  <si>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</si>
  <si>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</si>
  <si>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</si>
  <si>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</si>
  <si>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</si>
  <si>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</si>
  <si>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</si>
  <si>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</si>
  <si>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</si>
  <si>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</si>
  <si>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</si>
  <si>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</si>
  <si>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</si>
  <si>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</si>
  <si>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</si>
  <si>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</si>
  <si>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</si>
  <si>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</si>
  <si>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</si>
  <si>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</si>
  <si>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</si>
  <si>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</si>
  <si>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</si>
  <si>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</si>
  <si>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</si>
  <si>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</si>
  <si>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</si>
  <si>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</si>
  <si>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</si>
  <si>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</si>
  <si>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</si>
  <si>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</si>
  <si>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</si>
  <si>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</si>
  <si>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</si>
  <si>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</si>
  <si>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</si>
  <si>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</si>
  <si>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</si>
  <si>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</si>
  <si>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</si>
  <si>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</si>
  <si>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</si>
  <si>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</si>
  <si>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</si>
  <si>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</si>
  <si>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</si>
  <si>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</si>
  <si>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</si>
  <si>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</si>
  <si>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</si>
  <si>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</si>
  <si>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</si>
  <si>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</si>
  <si>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</si>
  <si>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</si>
  <si>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</si>
  <si>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</si>
  <si>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</si>
  <si>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</si>
  <si>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</si>
  <si>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</si>
  <si>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</si>
  <si>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</si>
  <si>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</si>
  <si>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</si>
  <si>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</si>
  <si>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</si>
  <si>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</si>
  <si>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</si>
  <si>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</si>
  <si>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</si>
  <si>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</si>
  <si>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</si>
  <si>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</si>
  <si>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</si>
  <si>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</si>
  <si>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</si>
  <si>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</si>
  <si>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</si>
  <si>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</si>
  <si>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</si>
  <si>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</si>
  <si>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</si>
  <si>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</si>
  <si>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</si>
  <si>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</si>
  <si>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</si>
  <si>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</si>
  <si>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</si>
  <si>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</si>
  <si>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</si>
  <si>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</si>
  <si>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</si>
  <si>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</si>
  <si>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</si>
  <si>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</si>
  <si>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</si>
  <si>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</si>
  <si>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</si>
  <si>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</si>
  <si>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</si>
  <si>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</si>
  <si>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</si>
  <si>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</si>
  <si>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</si>
  <si>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</si>
  <si>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</si>
  <si>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</si>
  <si>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</si>
  <si>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</si>
  <si>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</si>
  <si>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</si>
  <si>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</si>
  <si>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</si>
  <si>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</si>
  <si>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</si>
  <si>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</si>
  <si>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</si>
  <si>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</si>
  <si>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</si>
  <si>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</si>
  <si>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</si>
  <si>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</si>
  <si>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</si>
  <si>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</si>
  <si>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</si>
  <si>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</si>
  <si>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</si>
  <si>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</si>
  <si>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</si>
  <si>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</si>
  <si>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</si>
  <si>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</si>
  <si>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</si>
  <si>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</si>
  <si>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</si>
  <si>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</si>
  <si>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</si>
  <si>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</si>
  <si>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</si>
  <si>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</si>
  <si>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</si>
  <si>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</si>
  <si>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</si>
  <si>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</si>
  <si>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</si>
  <si>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</si>
  <si>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</si>
  <si>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</si>
  <si>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</si>
  <si>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</si>
  <si>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</si>
  <si>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</si>
  <si>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</si>
  <si>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</si>
  <si>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</si>
  <si>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</si>
  <si>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</si>
  <si>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</si>
  <si>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</si>
  <si>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</si>
  <si>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</si>
  <si>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</si>
  <si>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</si>
  <si>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</si>
  <si>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</si>
  <si>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</si>
  <si>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</si>
  <si>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</si>
  <si>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</si>
  <si>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</si>
  <si>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</si>
  <si>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</si>
  <si>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</si>
  <si>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</si>
  <si>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</si>
  <si>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</si>
  <si>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</si>
  <si>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</si>
  <si>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</si>
  <si>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</si>
  <si>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</si>
  <si>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</si>
  <si>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</si>
  <si>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</si>
  <si>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</si>
  <si>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</si>
  <si>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</si>
  <si>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</si>
  <si>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</si>
  <si>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</si>
  <si>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</si>
  <si>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</si>
  <si>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</si>
  <si>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</si>
  <si>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</si>
  <si>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</si>
  <si>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</si>
  <si>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</si>
  <si>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</si>
  <si>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</si>
  <si>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</si>
  <si>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</si>
  <si>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</si>
  <si>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</si>
  <si>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</si>
  <si>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</si>
  <si>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</si>
  <si>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</si>
  <si>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</si>
  <si>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</si>
  <si>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</si>
  <si>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</si>
  <si>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</si>
  <si>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</si>
  <si>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</si>
  <si>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</si>
  <si>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</si>
  <si>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</si>
  <si>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</si>
  <si>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</si>
  <si>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</si>
  <si>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</si>
  <si>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</si>
  <si>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</si>
  <si>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</si>
  <si>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</si>
  <si>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</si>
  <si>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</si>
  <si>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</si>
  <si>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</si>
  <si>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</si>
  <si>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</si>
  <si>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</si>
  <si>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</si>
  <si>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</si>
  <si>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</si>
  <si>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</si>
  <si>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</si>
  <si>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</si>
  <si>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</si>
  <si>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</si>
  <si>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</si>
  <si>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</si>
  <si>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</si>
  <si>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</si>
  <si>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</si>
  <si>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</si>
  <si>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</si>
  <si>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</si>
  <si>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</si>
  <si>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</si>
  <si>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</si>
  <si>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</si>
  <si>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</si>
  <si>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</si>
  <si>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</si>
  <si>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</si>
  <si>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</si>
  <si>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</si>
  <si>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</si>
  <si>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</si>
  <si>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</si>
  <si>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</si>
  <si>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</si>
  <si>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</si>
  <si>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</si>
  <si>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</si>
  <si>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</si>
  <si>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</si>
  <si>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</si>
  <si>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</si>
  <si>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</si>
  <si>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</si>
  <si>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</si>
  <si>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</si>
  <si>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</si>
  <si>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</si>
  <si>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</si>
  <si>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</si>
  <si>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</si>
  <si>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</si>
  <si>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</si>
  <si>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</si>
  <si>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</si>
  <si>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</si>
  <si>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</si>
  <si>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</si>
  <si>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</si>
  <si>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</si>
  <si>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</si>
  <si>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</si>
  <si>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</si>
  <si>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</si>
  <si>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</si>
  <si>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</si>
  <si>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</si>
  <si>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</si>
  <si>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</si>
  <si>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</si>
  <si>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</si>
  <si>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</si>
  <si>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</si>
  <si>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</si>
  <si>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</si>
  <si>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</si>
  <si>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</si>
  <si>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</si>
  <si>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</si>
  <si>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</si>
  <si>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</si>
  <si>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</si>
  <si>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</si>
  <si>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</si>
  <si>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</si>
  <si>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</si>
  <si>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</si>
  <si>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</si>
  <si>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</si>
  <si>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</si>
  <si>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</si>
  <si>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</si>
  <si>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</si>
  <si>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</si>
  <si>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</si>
  <si>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</si>
  <si>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</si>
  <si>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</si>
  <si>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</si>
  <si>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</si>
  <si>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</si>
  <si>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</si>
  <si>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</si>
  <si>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</si>
  <si>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</si>
  <si>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</si>
  <si>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</si>
  <si>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</si>
  <si>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</si>
  <si>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</si>
  <si>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</si>
  <si>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</si>
  <si>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</si>
  <si>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</si>
  <si>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</si>
  <si>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</si>
  <si>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</si>
  <si>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</si>
  <si>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</si>
  <si>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</si>
  <si>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</si>
  <si>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</si>
  <si>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</si>
  <si>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</si>
  <si>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</si>
  <si>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</si>
  <si>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</si>
  <si>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</si>
  <si>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</si>
  <si>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</si>
  <si>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</si>
  <si>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</si>
  <si>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</si>
  <si>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</si>
  <si>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</si>
  <si>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</si>
  <si>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</si>
  <si>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</si>
  <si>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</si>
  <si>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</si>
  <si>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</si>
  <si>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</si>
  <si>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</si>
  <si>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</si>
  <si>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</si>
  <si>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</si>
  <si>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</si>
  <si>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</si>
  <si>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</si>
  <si>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</si>
  <si>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</si>
  <si>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</si>
  <si>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</si>
  <si>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</si>
  <si>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</si>
  <si>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</si>
  <si>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</si>
  <si>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</si>
  <si>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</si>
  <si>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</si>
  <si>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</si>
  <si>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</si>
  <si>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</si>
  <si>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</si>
  <si>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</si>
  <si>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</si>
  <si>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</si>
  <si>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</si>
  <si>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</si>
  <si>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</si>
  <si>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</si>
  <si>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</si>
  <si>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</si>
  <si>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</si>
  <si>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</si>
  <si>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</si>
  <si>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</si>
  <si>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</si>
  <si>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</si>
  <si>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</si>
  <si>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</si>
  <si>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</si>
  <si>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</si>
  <si>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</si>
  <si>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</si>
  <si>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</si>
  <si>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</si>
  <si>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</si>
  <si>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</si>
  <si>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</si>
  <si>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</si>
  <si>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</si>
  <si>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</si>
  <si>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</si>
  <si>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</si>
  <si>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</si>
  <si>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</si>
  <si>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</si>
  <si>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</si>
  <si>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</si>
  <si>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</si>
  <si>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</si>
  <si>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</si>
  <si>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</si>
  <si>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</si>
  <si>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</si>
  <si>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</si>
  <si>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</si>
  <si>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</si>
  <si>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</si>
  <si>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</si>
  <si>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</si>
  <si>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</si>
  <si>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</si>
  <si>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</si>
  <si>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</si>
  <si>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</si>
  <si>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</si>
  <si>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</si>
  <si>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</si>
  <si>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</si>
  <si>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</si>
  <si>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</si>
  <si>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</si>
  <si>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</si>
  <si>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</si>
  <si>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</si>
  <si>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</si>
  <si>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</si>
  <si>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</si>
  <si>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</si>
  <si>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</si>
  <si>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</si>
  <si>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</si>
  <si>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</si>
  <si>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</si>
  <si>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</si>
  <si>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</si>
  <si>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</si>
  <si>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</si>
  <si>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</si>
  <si>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</si>
  <si>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</si>
  <si>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</si>
  <si>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</si>
  <si>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</si>
  <si>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</si>
  <si>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</si>
  <si>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</si>
  <si>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</si>
  <si>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</si>
  <si>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</si>
  <si>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</si>
  <si>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</si>
  <si>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</si>
  <si>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</si>
  <si>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</si>
  <si>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</si>
  <si>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</si>
  <si>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</si>
  <si>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</si>
  <si>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</si>
  <si>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</si>
  <si>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</si>
  <si>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</si>
  <si>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</si>
  <si>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</si>
  <si>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</si>
  <si>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</si>
  <si>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</si>
  <si>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</si>
  <si>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</si>
  <si>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</si>
  <si>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</si>
  <si>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</si>
  <si>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</si>
  <si>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</si>
  <si>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</si>
  <si>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</si>
  <si>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</si>
  <si>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</si>
  <si>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</si>
  <si>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</si>
  <si>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</si>
  <si>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</si>
  <si>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</si>
  <si>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</si>
  <si>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</si>
  <si>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</si>
  <si>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</si>
  <si>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</si>
  <si>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</si>
  <si>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</si>
  <si>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</si>
  <si>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</si>
  <si>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</si>
  <si>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</si>
  <si>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</si>
  <si>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</si>
  <si>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</si>
  <si>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</si>
  <si>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</si>
  <si>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</si>
  <si>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</si>
  <si>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</si>
  <si>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</si>
  <si>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</si>
  <si>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</si>
  <si>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</si>
  <si>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</si>
  <si>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</si>
  <si>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</si>
  <si>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</si>
  <si>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</si>
  <si>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</si>
  <si>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</si>
  <si>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</si>
  <si>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</si>
  <si>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</si>
  <si>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</si>
  <si>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</si>
  <si>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</si>
  <si>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</si>
  <si>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</si>
  <si>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</si>
  <si>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</si>
  <si>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</si>
  <si>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</si>
  <si>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</si>
  <si>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</si>
  <si>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</si>
  <si>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</si>
  <si>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</si>
  <si>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</si>
  <si>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</si>
  <si>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</si>
  <si>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</si>
  <si>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</si>
  <si>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</si>
  <si>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</si>
  <si>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</si>
  <si>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</si>
  <si>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</si>
  <si>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</si>
  <si>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</si>
  <si>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</si>
  <si>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</si>
  <si>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</si>
  <si>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</si>
  <si>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</si>
  <si>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</si>
  <si>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</si>
  <si>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</si>
  <si>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</si>
  <si>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</si>
  <si>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</si>
  <si>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</si>
  <si>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</si>
  <si>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</si>
  <si>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</si>
  <si>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</si>
  <si>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</si>
  <si>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</si>
  <si>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</si>
  <si>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</si>
  <si>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</si>
  <si>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</si>
  <si>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</si>
  <si>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</si>
  <si>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</si>
  <si>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</si>
  <si>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</si>
  <si>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</si>
  <si>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</si>
  <si>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</si>
  <si>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</si>
  <si>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</si>
  <si>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</si>
  <si>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</si>
  <si>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</si>
  <si>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</si>
  <si>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</si>
  <si>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</si>
  <si>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</si>
  <si>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</si>
  <si>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</si>
  <si>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</si>
  <si>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</si>
  <si>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</si>
  <si>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</si>
  <si>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</si>
  <si>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</si>
  <si>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</si>
  <si>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</si>
  <si>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</si>
  <si>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</si>
  <si>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</si>
  <si>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</si>
  <si>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</si>
  <si>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</si>
  <si>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</si>
  <si>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</si>
  <si>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</si>
  <si>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</si>
  <si>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</si>
  <si>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</si>
  <si>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</si>
  <si>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</si>
  <si>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</si>
  <si>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</si>
  <si>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</si>
  <si>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</si>
  <si>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</si>
  <si>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</si>
  <si>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</si>
  <si>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</si>
  <si>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</si>
  <si>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</si>
  <si>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</si>
  <si>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</si>
  <si>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</si>
  <si>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</si>
  <si>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</si>
  <si>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</si>
  <si>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</si>
  <si>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</si>
  <si>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</si>
  <si>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</si>
  <si>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</si>
  <si>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</si>
  <si>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</si>
  <si>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</si>
  <si>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</si>
  <si>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</si>
  <si>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</si>
  <si>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</si>
  <si>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</si>
  <si>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</si>
  <si>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</si>
  <si>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</si>
  <si>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</si>
  <si>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</si>
  <si>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</si>
  <si>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</si>
  <si>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</si>
  <si>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</si>
  <si>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</si>
  <si>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</si>
  <si>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</si>
  <si>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</si>
  <si>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</si>
  <si>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</si>
  <si>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</si>
  <si>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</si>
  <si>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</si>
  <si>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</si>
  <si>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</si>
  <si>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</si>
  <si>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</si>
  <si>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</si>
  <si>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</si>
  <si>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</si>
  <si>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</si>
  <si>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</si>
  <si>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</si>
  <si>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</si>
  <si>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</si>
  <si>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</si>
  <si>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</si>
  <si>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</si>
  <si>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</si>
  <si>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</si>
  <si>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</si>
  <si>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</si>
  <si>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</si>
  <si>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</si>
  <si>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</si>
  <si>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</si>
  <si>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</si>
  <si>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</si>
  <si>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</si>
  <si>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</si>
  <si>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</si>
  <si>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</si>
  <si>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</si>
  <si>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</si>
  <si>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</si>
  <si>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</si>
  <si>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</si>
  <si>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</si>
  <si>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</si>
  <si>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</si>
  <si>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</si>
  <si>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</si>
  <si>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</si>
  <si>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</si>
  <si>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</si>
  <si>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</si>
  <si>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</si>
  <si>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</si>
  <si>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</si>
  <si>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</si>
  <si>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</si>
  <si>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</si>
  <si>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</si>
  <si>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</si>
  <si>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</si>
  <si>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</si>
  <si>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</si>
  <si>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</si>
  <si>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</si>
  <si>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</si>
  <si>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</si>
  <si>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</si>
  <si>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</si>
  <si>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</si>
  <si>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</si>
  <si>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</si>
  <si>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</si>
  <si>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</si>
  <si>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</si>
  <si>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</si>
  <si>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</si>
  <si>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</si>
  <si>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</si>
  <si>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</si>
  <si>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</si>
  <si>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</si>
  <si>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</si>
  <si>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</si>
  <si>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</si>
  <si>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</si>
  <si>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</si>
  <si>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</si>
  <si>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</si>
  <si>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</si>
  <si>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</si>
  <si>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</si>
  <si>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</si>
  <si>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</si>
  <si>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</si>
  <si>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</si>
  <si>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</si>
  <si>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</si>
  <si>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</si>
  <si>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</si>
  <si>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</si>
  <si>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</si>
  <si>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</si>
  <si>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</si>
  <si>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</si>
  <si>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</si>
  <si>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</si>
  <si>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</si>
  <si>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</si>
  <si>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</si>
  <si>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</si>
  <si>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</si>
  <si>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</si>
  <si>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</si>
  <si>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</si>
  <si>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</si>
  <si>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</si>
  <si>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</si>
  <si>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프리티</t>
  </si>
  <si>
    <t>LSK아이로봇</t>
  </si>
  <si>
    <t>SFA</t>
  </si>
  <si>
    <t>SFA넥셀</t>
  </si>
  <si>
    <t>20260619</t>
    <phoneticPr fontId="2" type="noConversion"/>
  </si>
  <si>
    <t>0208N0</t>
  </si>
  <si>
    <t>IBK 코스피액티브</t>
    <phoneticPr fontId="2" type="noConversion"/>
  </si>
  <si>
    <t>20260623</t>
    <phoneticPr fontId="2" type="noConversion"/>
  </si>
  <si>
    <t>청보</t>
  </si>
  <si>
    <t>나인앤컴퍼니</t>
  </si>
  <si>
    <t>Last Update : 2026-07-01 17:01:32</t>
    <phoneticPr fontId="2" type="noConversion"/>
  </si>
  <si>
    <t>CPD [20260701]</t>
    <phoneticPr fontId="2" type="noConversion"/>
  </si>
  <si>
    <t>Last Update : 2026-07-01 17:01:41</t>
    <phoneticPr fontId="18" type="noConversion"/>
  </si>
  <si>
    <t>Last Update : 2026-07-01 17:01:48</t>
    <phoneticPr fontId="2" type="noConversion"/>
  </si>
  <si>
    <t>Last Update : 2026-07-01 17:01:56</t>
    <phoneticPr fontId="2" type="noConversion"/>
  </si>
  <si>
    <t>Last Update : 2026-07-01 17:02:03</t>
    <phoneticPr fontId="2" type="noConversion"/>
  </si>
  <si>
    <t>Last Update : 2026-07-01 17:02:09</t>
    <phoneticPr fontId="2" type="noConversion"/>
  </si>
  <si>
    <t>Last Update : 2026-07-01 17:02:12</t>
    <phoneticPr fontId="2" type="noConversion"/>
  </si>
  <si>
    <t>Last Update : 2026-07-01 17:02:16</t>
    <phoneticPr fontId="2" type="noConversion"/>
  </si>
  <si>
    <t>Last Update : 2026-07-01 17:02:21</t>
    <phoneticPr fontId="2" type="noConversion"/>
  </si>
  <si>
    <t>Last Update : 2026-07-01 17:02:24</t>
    <phoneticPr fontId="2" type="noConversion"/>
  </si>
  <si>
    <t>Last Update : 2026-07-01 17:02:28</t>
    <phoneticPr fontId="2" type="noConversion"/>
  </si>
  <si>
    <t>Last Update : 2026-07-01 17:02:31</t>
    <phoneticPr fontId="2" type="noConversion"/>
  </si>
  <si>
    <t>Last Update : 2026-07-01 17:02:34</t>
    <phoneticPr fontId="2" type="noConversion"/>
  </si>
  <si>
    <t>Last Update : 2026-07-01 17:02:37</t>
    <phoneticPr fontId="2" type="noConversion"/>
  </si>
  <si>
    <t>Last Update : 2026-07-01 17:02:41</t>
    <phoneticPr fontId="2" type="noConversion"/>
  </si>
  <si>
    <t>Last Update : 2026-07-01 17:02:47</t>
    <phoneticPr fontId="2" type="noConversion"/>
  </si>
  <si>
    <t>Last Update : 2026-07-01 17:02:51</t>
    <phoneticPr fontId="2" type="noConversion"/>
  </si>
  <si>
    <t>Last Update : 2026-07-01 17:02:56</t>
    <phoneticPr fontId="2" type="noConversion"/>
  </si>
  <si>
    <t>Last Update : 2026-07-01 17:02:59</t>
    <phoneticPr fontId="2" type="noConversion"/>
  </si>
  <si>
    <t>Last Update : 2026-07-01 17:03:06</t>
    <phoneticPr fontId="2" type="noConversion"/>
  </si>
  <si>
    <t>Last Update : 2026-07-01 17:03:14</t>
    <phoneticPr fontId="2" type="noConversion"/>
  </si>
  <si>
    <t>Last Update : 2026-07-01 17:03:18</t>
    <phoneticPr fontId="2" type="noConversion"/>
  </si>
  <si>
    <t>Last Update : 2026-07-01 17:03:22</t>
    <phoneticPr fontId="2" type="noConversion"/>
  </si>
  <si>
    <t>Last Update : 2026-07-01 17:03:26</t>
    <phoneticPr fontId="2" type="noConversion"/>
  </si>
  <si>
    <t>Last Update : 2026-07-01 17:03:29</t>
    <phoneticPr fontId="2" type="noConversion"/>
  </si>
  <si>
    <t>Last Update : 2026-07-01 17:03:33</t>
    <phoneticPr fontId="2" type="noConversion"/>
  </si>
  <si>
    <t>Last Update : 2026-07-01 17:03:36</t>
    <phoneticPr fontId="2" type="noConversion"/>
  </si>
  <si>
    <t>Last Update : 2026-07-01 17:03:40</t>
    <phoneticPr fontId="2" type="noConversion"/>
  </si>
  <si>
    <t>Last Update : 2026-07-01 17:03:43</t>
    <phoneticPr fontId="2" type="noConversion"/>
  </si>
  <si>
    <t>Last Update : 2026-07-01 17:03:46</t>
    <phoneticPr fontId="2" type="noConversion"/>
  </si>
  <si>
    <t>Last Update : 2026-07-01 17:03:49</t>
    <phoneticPr fontId="2" type="noConversion"/>
  </si>
  <si>
    <t>Last Update : 2026-07-01 17:03:52</t>
    <phoneticPr fontId="2" type="noConversion"/>
  </si>
  <si>
    <t>Last Update : 2026-07-01 17:03:56</t>
    <phoneticPr fontId="2" type="noConversion"/>
  </si>
  <si>
    <t>Last Update : 2026-07-01 17:03:58</t>
    <phoneticPr fontId="2" type="noConversion"/>
  </si>
  <si>
    <t>Last Update : 2026-07-01 17:04:00</t>
    <phoneticPr fontId="2" type="noConversion"/>
  </si>
  <si>
    <t>Last Update : 2026-07-01 17:04:02</t>
    <phoneticPr fontId="2" type="noConversion"/>
  </si>
  <si>
    <t>Last Update : 2026-07-01 17:04:04</t>
    <phoneticPr fontId="2" type="noConversion"/>
  </si>
  <si>
    <t>Last Update : 2026-07-01 17:04:06</t>
    <phoneticPr fontId="2" type="noConversion"/>
  </si>
  <si>
    <t>Last Update : 2026-07-01 17:04:09</t>
    <phoneticPr fontId="2" type="noConversion"/>
  </si>
  <si>
    <t>Last Update : 2026-07-01 17:04:11</t>
    <phoneticPr fontId="2" type="noConversion"/>
  </si>
  <si>
    <t>Last Update : 2026-07-01 17:04:14</t>
    <phoneticPr fontId="2" type="noConversion"/>
  </si>
  <si>
    <t>Last Update : 2026-07-01 17:04:18</t>
    <phoneticPr fontId="2" type="noConversion"/>
  </si>
  <si>
    <t>Last Update : 2026-07-01 17:04:21</t>
    <phoneticPr fontId="2" type="noConversion"/>
  </si>
  <si>
    <t>Last Update : 2026-07-01 17:04:23</t>
    <phoneticPr fontId="2" type="noConversion"/>
  </si>
  <si>
    <t>Last Update : 2026-07-01 17:04:25</t>
    <phoneticPr fontId="2" type="noConversion"/>
  </si>
  <si>
    <t>Last Update : 2026-07-01 17:04:27</t>
    <phoneticPr fontId="2" type="noConversion"/>
  </si>
  <si>
    <t>Last Update : 2026-07-01 17:04:29</t>
    <phoneticPr fontId="2" type="noConversion"/>
  </si>
  <si>
    <t>Last Update : 2026-07-01 17:04:31</t>
    <phoneticPr fontId="2" type="noConversion"/>
  </si>
  <si>
    <t>Last Update : 2026-07-01 17:04:33</t>
    <phoneticPr fontId="2" type="noConversion"/>
  </si>
  <si>
    <t>Last Update : 2026-07-01 17:04:35</t>
    <phoneticPr fontId="2" type="noConversion"/>
  </si>
  <si>
    <t>Last Update : 2026-07-01 17:04:37</t>
    <phoneticPr fontId="2" type="noConversion"/>
  </si>
  <si>
    <t>Last Update : 2026-07-01 17:04:38</t>
    <phoneticPr fontId="2" type="noConversion"/>
  </si>
  <si>
    <t>Last Update : 2026-07-01 17:04:41</t>
    <phoneticPr fontId="2" type="noConversion"/>
  </si>
  <si>
    <t>Last Update : 2026-07-01 17:04:45</t>
    <phoneticPr fontId="2" type="noConversion"/>
  </si>
  <si>
    <t>Last Update : 2026-07-01 17:04:48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</si>
</sst>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7"/>
      <color rgb="FF3664FD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2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6" fillId="0" borderId="1" xfId="0" applyFont="1" applyBorder="1">
      <alignment vertical="center"/>
    </xf>
    <xf numFmtId="0" fontId="9" fillId="3" borderId="7" xfId="0" applyFont="1" applyFill="1" applyBorder="1">
      <alignment vertical="center"/>
    </xf>
    <xf numFmtId="0" fontId="0" fillId="3" borderId="7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A46" zoomScale="115" zoomScaleNormal="115" workbookViewId="0">
      <selection activeCell="C65" sqref="C65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[20260701]</v>
      </c>
      <c r="D4" s="66" t="str">
        <f>'코엑트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[20260701]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10.34</v>
      </c>
      <c r="D5" s="65">
        <f>IFERROR(VLOOKUP(B5,'코엑트 코스닥액티브(과거)'!$B$11:$E$1000,4,0),0)</f>
        <v>8.1</v>
      </c>
      <c r="E5" s="20">
        <f>C5-D5</f>
        <v>2.2400000000000002</v>
      </c>
      <c r="F5" s="32">
        <f>IFERROR(C5/D5-1,"신규편입")</f>
        <v>0.27654320987654324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10.24</v>
      </c>
      <c r="J5" s="65">
        <f>IFERROR(VLOOKUP(H5,'타임코스닥액티브(과거)'!$B$11:$E$1000,4,0),0)</f>
        <v>8.18</v>
      </c>
      <c r="K5" s="20">
        <f t="shared" ref="K5" si="0">I5-J5</f>
        <v>2.0600000000000005</v>
      </c>
      <c r="L5" s="32">
        <f>IFERROR(I5/J5-1,"신규편입")</f>
        <v>0.25183374083129584</v>
      </c>
      <c r="M5" s="62" t="str">
        <f>VLOOKUP(N5,유니버스!$C$14:$D$2561,2,0)</f>
        <v>KQ</v>
      </c>
      <c r="N5" s="26" t="str">
        <f>플러스코스닥액티브!B11</f>
        <v>서진시스템</v>
      </c>
      <c r="O5" s="26">
        <f>VLOOKUP(N5,플러스코스닥액티브!$B$11:$E$1000,4,0)</f>
        <v>7.5</v>
      </c>
      <c r="P5" s="26">
        <f>IFERROR(VLOOKUP(N5,'플러스코스닥액티브(과거)'!$B$11:$E$1000,4,0),0)</f>
        <v>6.82</v>
      </c>
      <c r="Q5" s="20">
        <f t="shared" ref="Q5" si="1">O5-P5</f>
        <v>0.67999999999999972</v>
      </c>
      <c r="R5" s="32">
        <f t="shared" ref="R5" si="2">IFERROR(O5/P5-1,"신규편입")</f>
        <v>9.9706744868035102E-2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5.72</v>
      </c>
      <c r="D6" s="65">
        <f>IFERROR(VLOOKUP(B6,'코엑트 코스닥액티브(과거)'!$B$11:$E$1000,4,0),0)</f>
        <v>6.49</v>
      </c>
      <c r="E6" s="20">
        <f t="shared" ref="E6:E69" si="3">C6-D6</f>
        <v>-0.77000000000000046</v>
      </c>
      <c r="F6" s="32">
        <f t="shared" ref="F6:F69" si="4">IFERROR(C6/D6-1,"신규편입")</f>
        <v>-0.11864406779661019</v>
      </c>
      <c r="G6" s="63" t="str">
        <f>VLOOKUP(H6,유니버스!$C$14:$D$2561,2,0)</f>
        <v>KQ</v>
      </c>
      <c r="H6" s="65" t="str">
        <f>'타임 코스닥액티브'!B12</f>
        <v>인텍플러스</v>
      </c>
      <c r="I6" s="65">
        <f>VLOOKUP(H6,'타임 코스닥액티브'!$B$11:$E$1000,4,0)</f>
        <v>5.42</v>
      </c>
      <c r="J6" s="65">
        <f>IFERROR(VLOOKUP(H6,'타임코스닥액티브(과거)'!$B$11:$E$1000,4,0),0)</f>
        <v>5.3</v>
      </c>
      <c r="K6" s="20">
        <f t="shared" ref="K6:K57" si="5">I6-J6</f>
        <v>0.12000000000000011</v>
      </c>
      <c r="L6" s="32">
        <f t="shared" ref="L6:L57" si="6">IFERROR(I6/J6-1,"신규편입")</f>
        <v>2.2641509433962259E-2</v>
      </c>
      <c r="M6" s="62" t="str">
        <f>VLOOKUP(N6,유니버스!$C$14:$D$2561,2,0)</f>
        <v>KQ</v>
      </c>
      <c r="N6" s="26" t="str">
        <f>플러스코스닥액티브!B12</f>
        <v>더블유씨피</v>
      </c>
      <c r="O6" s="26">
        <f>VLOOKUP(N6,플러스코스닥액티브!$B$11:$E$1000,4,0)</f>
        <v>6.65</v>
      </c>
      <c r="P6" s="26">
        <f>IFERROR(VLOOKUP(N6,'플러스코스닥액티브(과거)'!$B$11:$E$1000,4,0),0)</f>
        <v>6.43</v>
      </c>
      <c r="Q6" s="20">
        <f t="shared" ref="Q6:Q56" si="7">O6-P6</f>
        <v>0.22000000000000064</v>
      </c>
      <c r="R6" s="32">
        <f t="shared" ref="R6:R56" si="8">IFERROR(O6/P6-1,"신규편입")</f>
        <v>3.4214618973561484E-2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심텍</v>
      </c>
      <c r="C7" s="65">
        <f>VLOOKUP(B7,'코엑트 코스닥액티브'!$B$11:$E$1000,4,0)</f>
        <v>4.42</v>
      </c>
      <c r="D7" s="65">
        <f>IFERROR(VLOOKUP(B7,'코엑트 코스닥액티브(과거)'!$B$11:$E$1000,4,0),0)</f>
        <v>3.5</v>
      </c>
      <c r="E7" s="20">
        <f t="shared" si="3"/>
        <v>0.91999999999999993</v>
      </c>
      <c r="F7" s="32">
        <f t="shared" si="4"/>
        <v>0.2628571428571429</v>
      </c>
      <c r="G7" s="63" t="str">
        <f>VLOOKUP(H7,유니버스!$C$14:$D$2561,2,0)</f>
        <v>KQ</v>
      </c>
      <c r="H7" s="65" t="str">
        <f>'타임 코스닥액티브'!B13</f>
        <v>원익IPS</v>
      </c>
      <c r="I7" s="65">
        <f>VLOOKUP(H7,'타임 코스닥액티브'!$B$11:$E$1000,4,0)</f>
        <v>5.26</v>
      </c>
      <c r="J7" s="65">
        <f>IFERROR(VLOOKUP(H7,'타임코스닥액티브(과거)'!$B$11:$E$1000,4,0),0)</f>
        <v>5.08</v>
      </c>
      <c r="K7" s="20">
        <f t="shared" si="5"/>
        <v>0.17999999999999972</v>
      </c>
      <c r="L7" s="32">
        <f t="shared" si="6"/>
        <v>3.5433070866141669E-2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6.11</v>
      </c>
      <c r="P7" s="26">
        <f>IFERROR(VLOOKUP(N7,'플러스코스닥액티브(과거)'!$B$11:$E$1000,4,0),0)</f>
        <v>6.3</v>
      </c>
      <c r="Q7" s="20">
        <f t="shared" si="7"/>
        <v>-0.1899999999999995</v>
      </c>
      <c r="R7" s="32">
        <f t="shared" si="8"/>
        <v>-3.0158730158730052E-2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성호전자</v>
      </c>
      <c r="C8" s="65">
        <f>VLOOKUP(B8,'코엑트 코스닥액티브'!$B$11:$E$1000,4,0)</f>
        <v>4.2300000000000004</v>
      </c>
      <c r="D8" s="65">
        <f>IFERROR(VLOOKUP(B8,'코엑트 코스닥액티브(과거)'!$B$11:$E$1000,4,0),0)</f>
        <v>5.28</v>
      </c>
      <c r="E8" s="20">
        <f t="shared" si="3"/>
        <v>-1.0499999999999998</v>
      </c>
      <c r="F8" s="32">
        <f t="shared" si="4"/>
        <v>-0.19886363636363635</v>
      </c>
      <c r="G8" s="63" t="str">
        <f>VLOOKUP(H8,유니버스!$C$14:$D$2561,2,0)</f>
        <v>KQ</v>
      </c>
      <c r="H8" s="65" t="str">
        <f>'타임 코스닥액티브'!B14</f>
        <v>주성엔지니어링</v>
      </c>
      <c r="I8" s="65">
        <f>VLOOKUP(H8,'타임 코스닥액티브'!$B$11:$E$1000,4,0)</f>
        <v>4.9800000000000004</v>
      </c>
      <c r="J8" s="65">
        <f>IFERROR(VLOOKUP(H8,'타임코스닥액티브(과거)'!$B$11:$E$1000,4,0),0)</f>
        <v>4.07</v>
      </c>
      <c r="K8" s="20">
        <f t="shared" si="5"/>
        <v>0.91000000000000014</v>
      </c>
      <c r="L8" s="32">
        <f t="shared" si="6"/>
        <v>0.2235872235872236</v>
      </c>
      <c r="M8" s="62" t="str">
        <f>VLOOKUP(N8,유니버스!$C$14:$D$2561,2,0)</f>
        <v>KQ</v>
      </c>
      <c r="N8" s="26" t="str">
        <f>플러스코스닥액티브!B14</f>
        <v>브이엠</v>
      </c>
      <c r="O8" s="26">
        <f>VLOOKUP(N8,플러스코스닥액티브!$B$11:$E$1000,4,0)</f>
        <v>3.64</v>
      </c>
      <c r="P8" s="26">
        <f>IFERROR(VLOOKUP(N8,'플러스코스닥액티브(과거)'!$B$11:$E$1000,4,0),0)</f>
        <v>2.62</v>
      </c>
      <c r="Q8" s="20">
        <f t="shared" si="7"/>
        <v>1.02</v>
      </c>
      <c r="R8" s="32">
        <f t="shared" si="8"/>
        <v>0.38931297709923673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피에스케이홀딩스</v>
      </c>
      <c r="C9" s="65">
        <f>VLOOKUP(B9,'코엑트 코스닥액티브'!$B$11:$E$1000,4,0)</f>
        <v>3.4</v>
      </c>
      <c r="D9" s="65">
        <f>IFERROR(VLOOKUP(B9,'코엑트 코스닥액티브(과거)'!$B$11:$E$1000,4,0),0)</f>
        <v>2.29</v>
      </c>
      <c r="E9" s="20">
        <f t="shared" si="3"/>
        <v>1.1099999999999999</v>
      </c>
      <c r="F9" s="32">
        <f t="shared" si="4"/>
        <v>0.48471615720524008</v>
      </c>
      <c r="G9" s="63" t="str">
        <f>VLOOKUP(H9,유니버스!$C$14:$D$2561,2,0)</f>
        <v>KQ</v>
      </c>
      <c r="H9" s="65" t="str">
        <f>'타임 코스닥액티브'!B15</f>
        <v>기가비스</v>
      </c>
      <c r="I9" s="65">
        <f>VLOOKUP(H9,'타임 코스닥액티브'!$B$11:$E$1000,4,0)</f>
        <v>3.85</v>
      </c>
      <c r="J9" s="65">
        <f>IFERROR(VLOOKUP(H9,'타임코스닥액티브(과거)'!$B$11:$E$1000,4,0),0)</f>
        <v>2.9</v>
      </c>
      <c r="K9" s="20">
        <f t="shared" si="5"/>
        <v>0.95000000000000018</v>
      </c>
      <c r="L9" s="32">
        <f t="shared" si="6"/>
        <v>0.32758620689655182</v>
      </c>
      <c r="M9" s="62" t="str">
        <f>VLOOKUP(N9,유니버스!$C$14:$D$2561,2,0)</f>
        <v>KQ</v>
      </c>
      <c r="N9" s="26" t="str">
        <f>플러스코스닥액티브!B15</f>
        <v>피에스케이홀딩스</v>
      </c>
      <c r="O9" s="26">
        <f>VLOOKUP(N9,플러스코스닥액티브!$B$11:$E$1000,4,0)</f>
        <v>3.61</v>
      </c>
      <c r="P9" s="26">
        <f>IFERROR(VLOOKUP(N9,'플러스코스닥액티브(과거)'!$B$11:$E$1000,4,0),0)</f>
        <v>2.69</v>
      </c>
      <c r="Q9" s="20">
        <f t="shared" si="7"/>
        <v>0.91999999999999993</v>
      </c>
      <c r="R9" s="32">
        <f t="shared" si="8"/>
        <v>0.34200743494423791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피에스케이</v>
      </c>
      <c r="C10" s="65">
        <f>VLOOKUP(B10,'코엑트 코스닥액티브'!$B$11:$E$1000,4,0)</f>
        <v>3.12</v>
      </c>
      <c r="D10" s="65">
        <f>IFERROR(VLOOKUP(B10,'코엑트 코스닥액티브(과거)'!$B$11:$E$1000,4,0),0)</f>
        <v>2.44</v>
      </c>
      <c r="E10" s="20">
        <f t="shared" si="3"/>
        <v>0.68000000000000016</v>
      </c>
      <c r="F10" s="32">
        <f t="shared" si="4"/>
        <v>0.27868852459016402</v>
      </c>
      <c r="G10" s="63" t="str">
        <f>VLOOKUP(H10,유니버스!$C$14:$D$2561,2,0)</f>
        <v>KQ</v>
      </c>
      <c r="H10" s="65" t="str">
        <f>'타임 코스닥액티브'!B16</f>
        <v>알테오젠</v>
      </c>
      <c r="I10" s="65">
        <f>VLOOKUP(H10,'타임 코스닥액티브'!$B$11:$E$1000,4,0)</f>
        <v>3.57</v>
      </c>
      <c r="J10" s="65">
        <f>IFERROR(VLOOKUP(H10,'타임코스닥액티브(과거)'!$B$11:$E$1000,4,0),0)</f>
        <v>1.7</v>
      </c>
      <c r="K10" s="20">
        <f t="shared" si="5"/>
        <v>1.8699999999999999</v>
      </c>
      <c r="L10" s="32">
        <f t="shared" si="6"/>
        <v>1.1000000000000001</v>
      </c>
      <c r="M10" s="62" t="str">
        <f>VLOOKUP(N10,유니버스!$C$14:$D$2561,2,0)</f>
        <v>KQ</v>
      </c>
      <c r="N10" s="26" t="str">
        <f>플러스코스닥액티브!B16</f>
        <v>스피어</v>
      </c>
      <c r="O10" s="26">
        <f>VLOOKUP(N10,플러스코스닥액티브!$B$11:$E$1000,4,0)</f>
        <v>3.48</v>
      </c>
      <c r="P10" s="26">
        <f>IFERROR(VLOOKUP(N10,'플러스코스닥액티브(과거)'!$B$11:$E$1000,4,0),0)</f>
        <v>2.56</v>
      </c>
      <c r="Q10" s="20">
        <f t="shared" si="7"/>
        <v>0.91999999999999993</v>
      </c>
      <c r="R10" s="32">
        <f t="shared" si="8"/>
        <v>0.359375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알테오젠</v>
      </c>
      <c r="C11" s="65">
        <f>VLOOKUP(B11,'코엑트 코스닥액티브'!$B$11:$E$1000,4,0)</f>
        <v>3.02</v>
      </c>
      <c r="D11" s="65">
        <f>IFERROR(VLOOKUP(B11,'코엑트 코스닥액티브(과거)'!$B$11:$E$1000,4,0),0)</f>
        <v>2.95</v>
      </c>
      <c r="E11" s="20">
        <f t="shared" si="3"/>
        <v>6.999999999999984E-2</v>
      </c>
      <c r="F11" s="32">
        <f t="shared" si="4"/>
        <v>2.3728813559321882E-2</v>
      </c>
      <c r="G11" s="63" t="str">
        <f>VLOOKUP(H11,유니버스!$C$14:$D$2561,2,0)</f>
        <v>KQ</v>
      </c>
      <c r="H11" s="65" t="str">
        <f>'타임 코스닥액티브'!B17</f>
        <v>피에스케이</v>
      </c>
      <c r="I11" s="65">
        <f>VLOOKUP(H11,'타임 코스닥액티브'!$B$11:$E$1000,4,0)</f>
        <v>3.4</v>
      </c>
      <c r="J11" s="65">
        <f>IFERROR(VLOOKUP(H11,'타임코스닥액티브(과거)'!$B$11:$E$1000,4,0),0)</f>
        <v>2.0699999999999998</v>
      </c>
      <c r="K11" s="20">
        <f t="shared" si="5"/>
        <v>1.33</v>
      </c>
      <c r="L11" s="32">
        <f t="shared" si="6"/>
        <v>0.64251207729468618</v>
      </c>
      <c r="M11" s="62" t="str">
        <f>VLOOKUP(N11,유니버스!$C$14:$D$2561,2,0)</f>
        <v>KQ</v>
      </c>
      <c r="N11" s="26" t="str">
        <f>플러스코스닥액티브!B17</f>
        <v>비나텍</v>
      </c>
      <c r="O11" s="26">
        <f>VLOOKUP(N11,플러스코스닥액티브!$B$11:$E$1000,4,0)</f>
        <v>3.06</v>
      </c>
      <c r="P11" s="26">
        <f>IFERROR(VLOOKUP(N11,'플러스코스닥액티브(과거)'!$B$11:$E$1000,4,0),0)</f>
        <v>3.56</v>
      </c>
      <c r="Q11" s="20">
        <f t="shared" si="7"/>
        <v>-0.5</v>
      </c>
      <c r="R11" s="32">
        <f t="shared" si="8"/>
        <v>-0.1404494382022472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코미코</v>
      </c>
      <c r="C12" s="65">
        <f>VLOOKUP(B12,'코엑트 코스닥액티브'!$B$11:$E$1000,4,0)</f>
        <v>2.67</v>
      </c>
      <c r="D12" s="65">
        <f>IFERROR(VLOOKUP(B12,'코엑트 코스닥액티브(과거)'!$B$11:$E$1000,4,0),0)</f>
        <v>3.08</v>
      </c>
      <c r="E12" s="20">
        <f t="shared" si="3"/>
        <v>-0.41000000000000014</v>
      </c>
      <c r="F12" s="32">
        <f t="shared" si="4"/>
        <v>-0.13311688311688319</v>
      </c>
      <c r="G12" s="63" t="str">
        <f>VLOOKUP(H12,유니버스!$C$14:$D$2561,2,0)</f>
        <v>KQ</v>
      </c>
      <c r="H12" s="65" t="str">
        <f>'타임 코스닥액티브'!B18</f>
        <v>심텍</v>
      </c>
      <c r="I12" s="65">
        <f>VLOOKUP(H12,'타임 코스닥액티브'!$B$11:$E$1000,4,0)</f>
        <v>3.17</v>
      </c>
      <c r="J12" s="65">
        <f>IFERROR(VLOOKUP(H12,'타임코스닥액티브(과거)'!$B$11:$E$1000,4,0),0)</f>
        <v>2.57</v>
      </c>
      <c r="K12" s="20">
        <f t="shared" si="5"/>
        <v>0.60000000000000009</v>
      </c>
      <c r="L12" s="32">
        <f t="shared" si="6"/>
        <v>0.23346303501945531</v>
      </c>
      <c r="M12" s="62" t="str">
        <f>VLOOKUP(N12,유니버스!$C$14:$D$2561,2,0)</f>
        <v>KQ</v>
      </c>
      <c r="N12" s="26" t="str">
        <f>플러스코스닥액티브!B18</f>
        <v>테스</v>
      </c>
      <c r="O12" s="26">
        <f>VLOOKUP(N12,플러스코스닥액티브!$B$11:$E$1000,4,0)</f>
        <v>2.81</v>
      </c>
      <c r="P12" s="26">
        <f>IFERROR(VLOOKUP(N12,'플러스코스닥액티브(과거)'!$B$11:$E$1000,4,0),0)</f>
        <v>2.19</v>
      </c>
      <c r="Q12" s="20">
        <f t="shared" si="7"/>
        <v>0.62000000000000011</v>
      </c>
      <c r="R12" s="32">
        <f t="shared" si="8"/>
        <v>0.28310502283105032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티엘비</v>
      </c>
      <c r="C13" s="65">
        <f>VLOOKUP(B13,'코엑트 코스닥액티브'!$B$11:$E$1000,4,0)</f>
        <v>2.4900000000000002</v>
      </c>
      <c r="D13" s="65">
        <f>IFERROR(VLOOKUP(B13,'코엑트 코스닥액티브(과거)'!$B$11:$E$1000,4,0),0)</f>
        <v>3</v>
      </c>
      <c r="E13" s="20">
        <f t="shared" si="3"/>
        <v>-0.50999999999999979</v>
      </c>
      <c r="F13" s="32">
        <f t="shared" si="4"/>
        <v>-0.16999999999999993</v>
      </c>
      <c r="G13" s="63" t="str">
        <f>VLOOKUP(H13,유니버스!$C$14:$D$2561,2,0)</f>
        <v>KQ</v>
      </c>
      <c r="H13" s="65" t="str">
        <f>'타임 코스닥액티브'!B19</f>
        <v>제주반도체</v>
      </c>
      <c r="I13" s="65">
        <f>VLOOKUP(H13,'타임 코스닥액티브'!$B$11:$E$1000,4,0)</f>
        <v>3.16</v>
      </c>
      <c r="J13" s="65">
        <f>IFERROR(VLOOKUP(H13,'타임코스닥액티브(과거)'!$B$11:$E$1000,4,0),0)</f>
        <v>5.01</v>
      </c>
      <c r="K13" s="20">
        <f t="shared" si="5"/>
        <v>-1.8499999999999996</v>
      </c>
      <c r="L13" s="32">
        <f t="shared" si="6"/>
        <v>-0.36926147704590817</v>
      </c>
      <c r="M13" s="62" t="str">
        <f>VLOOKUP(N13,유니버스!$C$14:$D$2561,2,0)</f>
        <v>KQ</v>
      </c>
      <c r="N13" s="26" t="str">
        <f>플러스코스닥액티브!B19</f>
        <v>씨에스베어링</v>
      </c>
      <c r="O13" s="26">
        <f>VLOOKUP(N13,플러스코스닥액티브!$B$11:$E$1000,4,0)</f>
        <v>2.75</v>
      </c>
      <c r="P13" s="26">
        <f>IFERROR(VLOOKUP(N13,'플러스코스닥액티브(과거)'!$B$11:$E$1000,4,0),0)</f>
        <v>2.75</v>
      </c>
      <c r="Q13" s="20">
        <f t="shared" si="7"/>
        <v>0</v>
      </c>
      <c r="R13" s="32">
        <f t="shared" si="8"/>
        <v>0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에이비엘바이오</v>
      </c>
      <c r="C14" s="65">
        <f>VLOOKUP(B14,'코엑트 코스닥액티브'!$B$11:$E$1000,4,0)</f>
        <v>2.46</v>
      </c>
      <c r="D14" s="65">
        <f>IFERROR(VLOOKUP(B14,'코엑트 코스닥액티브(과거)'!$B$11:$E$1000,4,0),0)</f>
        <v>2.41</v>
      </c>
      <c r="E14" s="20">
        <f t="shared" si="3"/>
        <v>4.9999999999999822E-2</v>
      </c>
      <c r="F14" s="32">
        <f t="shared" si="4"/>
        <v>2.0746887966804906E-2</v>
      </c>
      <c r="G14" s="63" t="str">
        <f>VLOOKUP(H14,유니버스!$C$14:$D$2561,2,0)</f>
        <v>KQ</v>
      </c>
      <c r="H14" s="65" t="str">
        <f>'타임 코스닥액티브'!B20</f>
        <v>하나마이크론</v>
      </c>
      <c r="I14" s="65">
        <f>VLOOKUP(H14,'타임 코스닥액티브'!$B$11:$E$1000,4,0)</f>
        <v>2.6</v>
      </c>
      <c r="J14" s="65">
        <f>IFERROR(VLOOKUP(H14,'타임코스닥액티브(과거)'!$B$11:$E$1000,4,0),0)</f>
        <v>2.5499999999999998</v>
      </c>
      <c r="K14" s="20">
        <f t="shared" si="5"/>
        <v>5.0000000000000266E-2</v>
      </c>
      <c r="L14" s="32">
        <f t="shared" si="6"/>
        <v>1.9607843137255054E-2</v>
      </c>
      <c r="M14" s="62" t="str">
        <f>VLOOKUP(N14,유니버스!$C$14:$D$2561,2,0)</f>
        <v>KQ</v>
      </c>
      <c r="N14" s="26" t="str">
        <f>플러스코스닥액티브!B20</f>
        <v>코미코</v>
      </c>
      <c r="O14" s="26">
        <f>VLOOKUP(N14,플러스코스닥액티브!$B$11:$E$1000,4,0)</f>
        <v>2.64</v>
      </c>
      <c r="P14" s="26">
        <f>IFERROR(VLOOKUP(N14,'플러스코스닥액티브(과거)'!$B$11:$E$1000,4,0),0)</f>
        <v>3.08</v>
      </c>
      <c r="Q14" s="20">
        <f t="shared" si="7"/>
        <v>-0.43999999999999995</v>
      </c>
      <c r="R14" s="32">
        <f t="shared" si="8"/>
        <v>-0.14285714285714279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제주반도체</v>
      </c>
      <c r="C15" s="65">
        <f>VLOOKUP(B15,'코엑트 코스닥액티브'!$B$11:$E$1000,4,0)</f>
        <v>2.42</v>
      </c>
      <c r="D15" s="65">
        <f>IFERROR(VLOOKUP(B15,'코엑트 코스닥액티브(과거)'!$B$11:$E$1000,4,0),0)</f>
        <v>1.65</v>
      </c>
      <c r="E15" s="20">
        <f t="shared" si="3"/>
        <v>0.77</v>
      </c>
      <c r="F15" s="32">
        <f t="shared" si="4"/>
        <v>0.46666666666666679</v>
      </c>
      <c r="G15" s="63" t="str">
        <f>VLOOKUP(H15,유니버스!$C$14:$D$2561,2,0)</f>
        <v>KQ</v>
      </c>
      <c r="H15" s="65" t="str">
        <f>'타임 코스닥액티브'!B21</f>
        <v>피에스케이홀딩스</v>
      </c>
      <c r="I15" s="65">
        <f>VLOOKUP(H15,'타임 코스닥액티브'!$B$11:$E$1000,4,0)</f>
        <v>2.34</v>
      </c>
      <c r="J15" s="65">
        <f>IFERROR(VLOOKUP(H15,'타임코스닥액티브(과거)'!$B$11:$E$1000,4,0),0)</f>
        <v>1.62</v>
      </c>
      <c r="K15" s="20">
        <f t="shared" si="5"/>
        <v>0.71999999999999975</v>
      </c>
      <c r="L15" s="32">
        <f t="shared" si="6"/>
        <v>0.4444444444444442</v>
      </c>
      <c r="M15" s="62" t="str">
        <f>VLOOKUP(N15,유니버스!$C$14:$D$2561,2,0)</f>
        <v>KQ</v>
      </c>
      <c r="N15" s="26" t="str">
        <f>플러스코스닥액티브!B21</f>
        <v>한중엔시에스</v>
      </c>
      <c r="O15" s="26">
        <f>VLOOKUP(N15,플러스코스닥액티브!$B$11:$E$1000,4,0)</f>
        <v>2.59</v>
      </c>
      <c r="P15" s="26">
        <f>IFERROR(VLOOKUP(N15,'플러스코스닥액티브(과거)'!$B$11:$E$1000,4,0),0)</f>
        <v>2.78</v>
      </c>
      <c r="Q15" s="20">
        <f t="shared" si="7"/>
        <v>-0.18999999999999995</v>
      </c>
      <c r="R15" s="32">
        <f t="shared" si="8"/>
        <v>-6.8345323741007213E-2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파마리서치</v>
      </c>
      <c r="C16" s="65">
        <f>VLOOKUP(B16,'코엑트 코스닥액티브'!$B$11:$E$1000,4,0)</f>
        <v>2.38</v>
      </c>
      <c r="D16" s="65">
        <f>IFERROR(VLOOKUP(B16,'코엑트 코스닥액티브(과거)'!$B$11:$E$1000,4,0),0)</f>
        <v>1.23</v>
      </c>
      <c r="E16" s="20">
        <f t="shared" si="3"/>
        <v>1.1499999999999999</v>
      </c>
      <c r="F16" s="32">
        <f t="shared" si="4"/>
        <v>0.9349593495934958</v>
      </c>
      <c r="G16" s="63" t="str">
        <f>VLOOKUP(H16,유니버스!$C$14:$D$2561,2,0)</f>
        <v>KQ</v>
      </c>
      <c r="H16" s="65" t="str">
        <f>'타임 코스닥액티브'!B22</f>
        <v>미코</v>
      </c>
      <c r="I16" s="65">
        <f>VLOOKUP(H16,'타임 코스닥액티브'!$B$11:$E$1000,4,0)</f>
        <v>2.0699999999999998</v>
      </c>
      <c r="J16" s="65">
        <f>IFERROR(VLOOKUP(H16,'타임코스닥액티브(과거)'!$B$11:$E$1000,4,0),0)</f>
        <v>2.25</v>
      </c>
      <c r="K16" s="20">
        <f t="shared" si="5"/>
        <v>-0.18000000000000016</v>
      </c>
      <c r="L16" s="32">
        <f t="shared" si="6"/>
        <v>-8.0000000000000071E-2</v>
      </c>
      <c r="M16" s="62" t="str">
        <f>VLOOKUP(N16,유니버스!$C$14:$D$2561,2,0)</f>
        <v>KQ</v>
      </c>
      <c r="N16" s="26" t="str">
        <f>플러스코스닥액티브!B22</f>
        <v>피에스케이</v>
      </c>
      <c r="O16" s="26">
        <f>VLOOKUP(N16,플러스코스닥액티브!$B$11:$E$1000,4,0)</f>
        <v>2.57</v>
      </c>
      <c r="P16" s="26">
        <f>IFERROR(VLOOKUP(N16,'플러스코스닥액티브(과거)'!$B$11:$E$1000,4,0),0)</f>
        <v>1.77</v>
      </c>
      <c r="Q16" s="20">
        <f t="shared" si="7"/>
        <v>0.79999999999999982</v>
      </c>
      <c r="R16" s="32">
        <f t="shared" si="8"/>
        <v>0.45197740112994333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서진시스템</v>
      </c>
      <c r="C17" s="65">
        <f>VLOOKUP(B17,'코엑트 코스닥액티브'!$B$11:$E$1000,4,0)</f>
        <v>2.17</v>
      </c>
      <c r="D17" s="65">
        <f>IFERROR(VLOOKUP(B17,'코엑트 코스닥액티브(과거)'!$B$11:$E$1000,4,0),0)</f>
        <v>2.81</v>
      </c>
      <c r="E17" s="20">
        <f t="shared" si="3"/>
        <v>-0.64000000000000012</v>
      </c>
      <c r="F17" s="32">
        <f t="shared" si="4"/>
        <v>-0.22775800711743777</v>
      </c>
      <c r="G17" s="63" t="str">
        <f>VLOOKUP(H17,유니버스!$C$14:$D$2561,2,0)</f>
        <v>KQ</v>
      </c>
      <c r="H17" s="65" t="str">
        <f>'타임 코스닥액티브'!B23</f>
        <v>HPSP</v>
      </c>
      <c r="I17" s="65">
        <f>VLOOKUP(H17,'타임 코스닥액티브'!$B$11:$E$1000,4,0)</f>
        <v>2.0699999999999998</v>
      </c>
      <c r="J17" s="65">
        <f>IFERROR(VLOOKUP(H17,'타임코스닥액티브(과거)'!$B$11:$E$1000,4,0),0)</f>
        <v>4.1500000000000004</v>
      </c>
      <c r="K17" s="20">
        <f t="shared" si="5"/>
        <v>-2.0800000000000005</v>
      </c>
      <c r="L17" s="32">
        <f t="shared" si="6"/>
        <v>-0.50120481927710858</v>
      </c>
      <c r="M17" s="62" t="str">
        <f>VLOOKUP(N17,유니버스!$C$14:$D$2561,2,0)</f>
        <v>KQ</v>
      </c>
      <c r="N17" s="26" t="str">
        <f>플러스코스닥액티브!B23</f>
        <v>티씨케이</v>
      </c>
      <c r="O17" s="26">
        <f>VLOOKUP(N17,플러스코스닥액티브!$B$11:$E$1000,4,0)</f>
        <v>2.57</v>
      </c>
      <c r="P17" s="26">
        <f>IFERROR(VLOOKUP(N17,'플러스코스닥액티브(과거)'!$B$11:$E$1000,4,0),0)</f>
        <v>2.1800000000000002</v>
      </c>
      <c r="Q17" s="20">
        <f t="shared" si="7"/>
        <v>0.38999999999999968</v>
      </c>
      <c r="R17" s="32">
        <f t="shared" si="8"/>
        <v>0.17889908256880727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리가켐바이오</v>
      </c>
      <c r="C18" s="65">
        <f>VLOOKUP(B18,'코엑트 코스닥액티브'!$B$11:$E$1000,4,0)</f>
        <v>2.14</v>
      </c>
      <c r="D18" s="65">
        <f>IFERROR(VLOOKUP(B18,'코엑트 코스닥액티브(과거)'!$B$11:$E$1000,4,0),0)</f>
        <v>1.92</v>
      </c>
      <c r="E18" s="20">
        <f t="shared" si="3"/>
        <v>0.2200000000000002</v>
      </c>
      <c r="F18" s="32">
        <f t="shared" si="4"/>
        <v>0.11458333333333348</v>
      </c>
      <c r="G18" s="63" t="str">
        <f>VLOOKUP(H18,유니버스!$C$14:$D$2561,2,0)</f>
        <v>KQ</v>
      </c>
      <c r="H18" s="65" t="str">
        <f>'타임 코스닥액티브'!B24</f>
        <v>유진테크</v>
      </c>
      <c r="I18" s="65">
        <f>VLOOKUP(H18,'타임 코스닥액티브'!$B$11:$E$1000,4,0)</f>
        <v>2.06</v>
      </c>
      <c r="J18" s="65">
        <f>IFERROR(VLOOKUP(H18,'타임코스닥액티브(과거)'!$B$11:$E$1000,4,0),0)</f>
        <v>1.71</v>
      </c>
      <c r="K18" s="20">
        <f t="shared" si="5"/>
        <v>0.35000000000000009</v>
      </c>
      <c r="L18" s="32">
        <f t="shared" si="6"/>
        <v>0.20467836257309946</v>
      </c>
      <c r="M18" s="62" t="str">
        <f>VLOOKUP(N18,유니버스!$C$14:$D$2561,2,0)</f>
        <v>KQ</v>
      </c>
      <c r="N18" s="26" t="str">
        <f>플러스코스닥액티브!B24</f>
        <v>에프앤가이드</v>
      </c>
      <c r="O18" s="26">
        <f>VLOOKUP(N18,플러스코스닥액티브!$B$11:$E$1000,4,0)</f>
        <v>2.54</v>
      </c>
      <c r="P18" s="26">
        <f>IFERROR(VLOOKUP(N18,'플러스코스닥액티브(과거)'!$B$11:$E$1000,4,0),0)</f>
        <v>2.99</v>
      </c>
      <c r="Q18" s="20">
        <f t="shared" si="7"/>
        <v>-0.45000000000000018</v>
      </c>
      <c r="R18" s="32">
        <f t="shared" si="8"/>
        <v>-0.15050167224080269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티에스이</v>
      </c>
      <c r="C19" s="65">
        <f>VLOOKUP(B19,'코엑트 코스닥액티브'!$B$11:$E$1000,4,0)</f>
        <v>2.14</v>
      </c>
      <c r="D19" s="65">
        <f>IFERROR(VLOOKUP(B19,'코엑트 코스닥액티브(과거)'!$B$11:$E$1000,4,0),0)</f>
        <v>1.87</v>
      </c>
      <c r="E19" s="20">
        <f t="shared" si="3"/>
        <v>0.27</v>
      </c>
      <c r="F19" s="32">
        <f t="shared" si="4"/>
        <v>0.14438502673796783</v>
      </c>
      <c r="G19" s="63" t="str">
        <f>VLOOKUP(H19,유니버스!$C$14:$D$2561,2,0)</f>
        <v>KQ</v>
      </c>
      <c r="H19" s="65" t="str">
        <f>'타임 코스닥액티브'!B25</f>
        <v>코미코</v>
      </c>
      <c r="I19" s="65">
        <f>VLOOKUP(H19,'타임 코스닥액티브'!$B$11:$E$1000,4,0)</f>
        <v>2.0299999999999998</v>
      </c>
      <c r="J19" s="65">
        <f>IFERROR(VLOOKUP(H19,'타임코스닥액티브(과거)'!$B$11:$E$1000,4,0),0)</f>
        <v>2.39</v>
      </c>
      <c r="K19" s="20">
        <f t="shared" si="5"/>
        <v>-0.36000000000000032</v>
      </c>
      <c r="L19" s="32">
        <f t="shared" si="6"/>
        <v>-0.15062761506276168</v>
      </c>
      <c r="M19" s="62" t="str">
        <f>VLOOKUP(N19,유니버스!$C$14:$D$2561,2,0)</f>
        <v>KQ</v>
      </c>
      <c r="N19" s="26" t="str">
        <f>플러스코스닥액티브!B25</f>
        <v>심텍</v>
      </c>
      <c r="O19" s="26">
        <f>VLOOKUP(N19,플러스코스닥액티브!$B$11:$E$1000,4,0)</f>
        <v>2.46</v>
      </c>
      <c r="P19" s="26">
        <f>IFERROR(VLOOKUP(N19,'플러스코스닥액티브(과거)'!$B$11:$E$1000,4,0),0)</f>
        <v>1.97</v>
      </c>
      <c r="Q19" s="20">
        <f t="shared" si="7"/>
        <v>0.49</v>
      </c>
      <c r="R19" s="32">
        <f t="shared" si="8"/>
        <v>0.24873096446700504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올릭스</v>
      </c>
      <c r="C20" s="65">
        <f>VLOOKUP(B20,'코엑트 코스닥액티브'!$B$11:$E$1000,4,0)</f>
        <v>2</v>
      </c>
      <c r="D20" s="65">
        <f>IFERROR(VLOOKUP(B20,'코엑트 코스닥액티브(과거)'!$B$11:$E$1000,4,0),0)</f>
        <v>1.58</v>
      </c>
      <c r="E20" s="20">
        <f t="shared" si="3"/>
        <v>0.41999999999999993</v>
      </c>
      <c r="F20" s="32">
        <f t="shared" si="4"/>
        <v>0.26582278481012644</v>
      </c>
      <c r="G20" s="63" t="str">
        <f>VLOOKUP(H20,유니버스!$C$14:$D$2561,2,0)</f>
        <v>KQ</v>
      </c>
      <c r="H20" s="65" t="str">
        <f>'타임 코스닥액티브'!B26</f>
        <v>티엘비</v>
      </c>
      <c r="I20" s="65">
        <f>VLOOKUP(H20,'타임 코스닥액티브'!$B$11:$E$1000,4,0)</f>
        <v>1.99</v>
      </c>
      <c r="J20" s="65">
        <f>IFERROR(VLOOKUP(H20,'타임코스닥액티브(과거)'!$B$11:$E$1000,4,0),0)</f>
        <v>1.79</v>
      </c>
      <c r="K20" s="20">
        <f t="shared" si="5"/>
        <v>0.19999999999999996</v>
      </c>
      <c r="L20" s="32">
        <f t="shared" si="6"/>
        <v>0.11173184357541888</v>
      </c>
      <c r="M20" s="62" t="str">
        <f>VLOOKUP(N20,유니버스!$C$14:$D$2561,2,0)</f>
        <v>KQ</v>
      </c>
      <c r="N20" s="26" t="str">
        <f>플러스코스닥액티브!B26</f>
        <v>원익IPS</v>
      </c>
      <c r="O20" s="26">
        <f>VLOOKUP(N20,플러스코스닥액티브!$B$11:$E$1000,4,0)</f>
        <v>2.2799999999999998</v>
      </c>
      <c r="P20" s="26">
        <f>IFERROR(VLOOKUP(N20,'플러스코스닥액티브(과거)'!$B$11:$E$1000,4,0),0)</f>
        <v>1.57</v>
      </c>
      <c r="Q20" s="20">
        <f t="shared" si="7"/>
        <v>0.70999999999999974</v>
      </c>
      <c r="R20" s="32">
        <f t="shared" si="8"/>
        <v>0.45222929936305722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로보티즈</v>
      </c>
      <c r="C21" s="65">
        <f>VLOOKUP(B21,'코엑트 코스닥액티브'!$B$11:$E$1000,4,0)</f>
        <v>1.99</v>
      </c>
      <c r="D21" s="65">
        <f>IFERROR(VLOOKUP(B21,'코엑트 코스닥액티브(과거)'!$B$11:$E$1000,4,0),0)</f>
        <v>1.9</v>
      </c>
      <c r="E21" s="20">
        <f t="shared" si="3"/>
        <v>9.000000000000008E-2</v>
      </c>
      <c r="F21" s="32">
        <f t="shared" si="4"/>
        <v>4.7368421052631726E-2</v>
      </c>
      <c r="G21" s="63" t="str">
        <f>VLOOKUP(H21,유니버스!$C$14:$D$2561,2,0)</f>
        <v>KQ</v>
      </c>
      <c r="H21" s="65" t="str">
        <f>'타임 코스닥액티브'!B27</f>
        <v>로보티즈</v>
      </c>
      <c r="I21" s="65">
        <f>VLOOKUP(H21,'타임 코스닥액티브'!$B$11:$E$1000,4,0)</f>
        <v>1.84</v>
      </c>
      <c r="J21" s="65">
        <f>IFERROR(VLOOKUP(H21,'타임코스닥액티브(과거)'!$B$11:$E$1000,4,0),0)</f>
        <v>2.16</v>
      </c>
      <c r="K21" s="20">
        <f t="shared" si="5"/>
        <v>-0.32000000000000006</v>
      </c>
      <c r="L21" s="32">
        <f t="shared" si="6"/>
        <v>-0.14814814814814814</v>
      </c>
      <c r="M21" s="62" t="str">
        <f>VLOOKUP(N21,유니버스!$C$14:$D$2561,2,0)</f>
        <v>KQ</v>
      </c>
      <c r="N21" s="26" t="str">
        <f>플러스코스닥액티브!B27</f>
        <v>원익머트리얼즈</v>
      </c>
      <c r="O21" s="26">
        <f>VLOOKUP(N21,플러스코스닥액티브!$B$11:$E$1000,4,0)</f>
        <v>2.2599999999999998</v>
      </c>
      <c r="P21" s="26">
        <f>IFERROR(VLOOKUP(N21,'플러스코스닥액티브(과거)'!$B$11:$E$1000,4,0),0)</f>
        <v>2.5099999999999998</v>
      </c>
      <c r="Q21" s="20">
        <f t="shared" si="7"/>
        <v>-0.25</v>
      </c>
      <c r="R21" s="32">
        <f t="shared" si="8"/>
        <v>-9.9601593625498031E-2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동진쎄미켐</v>
      </c>
      <c r="C22" s="65">
        <f>VLOOKUP(B22,'코엑트 코스닥액티브'!$B$11:$E$1000,4,0)</f>
        <v>1.77</v>
      </c>
      <c r="D22" s="65">
        <f>IFERROR(VLOOKUP(B22,'코엑트 코스닥액티브(과거)'!$B$11:$E$1000,4,0),0)</f>
        <v>1.42</v>
      </c>
      <c r="E22" s="20">
        <f t="shared" si="3"/>
        <v>0.35000000000000009</v>
      </c>
      <c r="F22" s="32">
        <f t="shared" si="4"/>
        <v>0.24647887323943674</v>
      </c>
      <c r="G22" s="63" t="str">
        <f>VLOOKUP(H22,유니버스!$C$14:$D$2561,2,0)</f>
        <v>KQ</v>
      </c>
      <c r="H22" s="65" t="str">
        <f>'타임 코스닥액티브'!B28</f>
        <v>두산테스나</v>
      </c>
      <c r="I22" s="65">
        <f>VLOOKUP(H22,'타임 코스닥액티브'!$B$11:$E$1000,4,0)</f>
        <v>1.7</v>
      </c>
      <c r="J22" s="65">
        <f>IFERROR(VLOOKUP(H22,'타임코스닥액티브(과거)'!$B$11:$E$1000,4,0),0)</f>
        <v>2.1</v>
      </c>
      <c r="K22" s="20">
        <f t="shared" si="5"/>
        <v>-0.40000000000000013</v>
      </c>
      <c r="L22" s="32">
        <f t="shared" si="6"/>
        <v>-0.19047619047619058</v>
      </c>
      <c r="M22" s="62" t="str">
        <f>VLOOKUP(N22,유니버스!$C$14:$D$2561,2,0)</f>
        <v>KQ</v>
      </c>
      <c r="N22" s="26" t="str">
        <f>플러스코스닥액티브!B28</f>
        <v>두산테스나</v>
      </c>
      <c r="O22" s="26">
        <f>VLOOKUP(N22,플러스코스닥액티브!$B$11:$E$1000,4,0)</f>
        <v>2.2400000000000002</v>
      </c>
      <c r="P22" s="26">
        <f>IFERROR(VLOOKUP(N22,'플러스코스닥액티브(과거)'!$B$11:$E$1000,4,0),0)</f>
        <v>2.71</v>
      </c>
      <c r="Q22" s="20">
        <f t="shared" si="7"/>
        <v>-0.46999999999999975</v>
      </c>
      <c r="R22" s="32">
        <f t="shared" si="8"/>
        <v>-0.17343173431734304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기가비스</v>
      </c>
      <c r="C23" s="65">
        <f>VLOOKUP(B23,'코엑트 코스닥액티브'!$B$11:$E$1000,4,0)</f>
        <v>1.4</v>
      </c>
      <c r="D23" s="65">
        <f>IFERROR(VLOOKUP(B23,'코엑트 코스닥액티브(과거)'!$B$11:$E$1000,4,0),0)</f>
        <v>0.44</v>
      </c>
      <c r="E23" s="20">
        <f t="shared" si="3"/>
        <v>0.96</v>
      </c>
      <c r="F23" s="32">
        <f t="shared" si="4"/>
        <v>2.1818181818181817</v>
      </c>
      <c r="G23" s="63" t="str">
        <f>VLOOKUP(H23,유니버스!$C$14:$D$2561,2,0)</f>
        <v>KQ</v>
      </c>
      <c r="H23" s="65" t="str">
        <f>'타임 코스닥액티브'!B29</f>
        <v>레인보우로보틱스</v>
      </c>
      <c r="I23" s="65">
        <f>VLOOKUP(H23,'타임 코스닥액티브'!$B$11:$E$1000,4,0)</f>
        <v>1.69</v>
      </c>
      <c r="J23" s="65">
        <f>IFERROR(VLOOKUP(H23,'타임코스닥액티브(과거)'!$B$11:$E$1000,4,0),0)</f>
        <v>1.97</v>
      </c>
      <c r="K23" s="20">
        <f t="shared" si="5"/>
        <v>-0.28000000000000003</v>
      </c>
      <c r="L23" s="32">
        <f t="shared" si="6"/>
        <v>-0.14213197969543145</v>
      </c>
      <c r="M23" s="62" t="str">
        <f>VLOOKUP(N23,유니버스!$C$14:$D$2561,2,0)</f>
        <v>KQ</v>
      </c>
      <c r="N23" s="26" t="str">
        <f>플러스코스닥액티브!B29</f>
        <v>새로닉스</v>
      </c>
      <c r="O23" s="26">
        <f>VLOOKUP(N23,플러스코스닥액티브!$B$11:$E$1000,4,0)</f>
        <v>2.13</v>
      </c>
      <c r="P23" s="26">
        <f>IFERROR(VLOOKUP(N23,'플러스코스닥액티브(과거)'!$B$11:$E$1000,4,0),0)</f>
        <v>2.52</v>
      </c>
      <c r="Q23" s="20">
        <f t="shared" si="7"/>
        <v>-0.39000000000000012</v>
      </c>
      <c r="R23" s="32">
        <f t="shared" si="8"/>
        <v>-0.15476190476190477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엘티씨</v>
      </c>
      <c r="C24" s="65">
        <f>VLOOKUP(B24,'코엑트 코스닥액티브'!$B$11:$E$1000,4,0)</f>
        <v>1.37</v>
      </c>
      <c r="D24" s="65">
        <f>IFERROR(VLOOKUP(B24,'코엑트 코스닥액티브(과거)'!$B$11:$E$1000,4,0),0)</f>
        <v>1.25</v>
      </c>
      <c r="E24" s="20">
        <f t="shared" si="3"/>
        <v>0.12000000000000011</v>
      </c>
      <c r="F24" s="32">
        <f t="shared" si="4"/>
        <v>9.6000000000000085E-2</v>
      </c>
      <c r="G24" s="63" t="str">
        <f>VLOOKUP(H24,유니버스!$C$14:$D$2561,2,0)</f>
        <v>KQ</v>
      </c>
      <c r="H24" s="65" t="str">
        <f>'타임 코스닥액티브'!B30</f>
        <v>필옵틱스</v>
      </c>
      <c r="I24" s="65">
        <f>VLOOKUP(H24,'타임 코스닥액티브'!$B$11:$E$1000,4,0)</f>
        <v>1.64</v>
      </c>
      <c r="J24" s="65">
        <f>IFERROR(VLOOKUP(H24,'타임코스닥액티브(과거)'!$B$11:$E$1000,4,0),0)</f>
        <v>1.94</v>
      </c>
      <c r="K24" s="20">
        <f t="shared" si="5"/>
        <v>-0.30000000000000004</v>
      </c>
      <c r="L24" s="32">
        <f t="shared" si="6"/>
        <v>-0.15463917525773196</v>
      </c>
      <c r="M24" s="62" t="str">
        <f>VLOOKUP(N24,유니버스!$C$14:$D$2561,2,0)</f>
        <v>KQ</v>
      </c>
      <c r="N24" s="26" t="str">
        <f>플러스코스닥액티브!B30</f>
        <v>인텍플러스</v>
      </c>
      <c r="O24" s="26">
        <f>VLOOKUP(N24,플러스코스닥액티브!$B$11:$E$1000,4,0)</f>
        <v>2.0699999999999998</v>
      </c>
      <c r="P24" s="26">
        <f>IFERROR(VLOOKUP(N24,'플러스코스닥액티브(과거)'!$B$11:$E$1000,4,0),0)</f>
        <v>1.41</v>
      </c>
      <c r="Q24" s="20">
        <f t="shared" si="7"/>
        <v>0.65999999999999992</v>
      </c>
      <c r="R24" s="32">
        <f t="shared" si="8"/>
        <v>0.46808510638297873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하나마이크론</v>
      </c>
      <c r="C25" s="65">
        <f>VLOOKUP(B25,'코엑트 코스닥액티브'!$B$11:$E$1000,4,0)</f>
        <v>1.36</v>
      </c>
      <c r="D25" s="65">
        <f>IFERROR(VLOOKUP(B25,'코엑트 코스닥액티브(과거)'!$B$11:$E$1000,4,0),0)</f>
        <v>1.24</v>
      </c>
      <c r="E25" s="20">
        <f t="shared" si="3"/>
        <v>0.12000000000000011</v>
      </c>
      <c r="F25" s="32">
        <f t="shared" si="4"/>
        <v>9.6774193548387233E-2</v>
      </c>
      <c r="G25" s="63" t="str">
        <f>VLOOKUP(H25,유니버스!$C$14:$D$2561,2,0)</f>
        <v>KQ</v>
      </c>
      <c r="H25" s="65" t="str">
        <f>'타임 코스닥액티브'!B31</f>
        <v>브이엠</v>
      </c>
      <c r="I25" s="65">
        <f>VLOOKUP(H25,'타임 코스닥액티브'!$B$11:$E$1000,4,0)</f>
        <v>1.49</v>
      </c>
      <c r="J25" s="65">
        <f>IFERROR(VLOOKUP(H25,'타임코스닥액티브(과거)'!$B$11:$E$1000,4,0),0)</f>
        <v>1.1299999999999999</v>
      </c>
      <c r="K25" s="20">
        <f t="shared" si="5"/>
        <v>0.3600000000000001</v>
      </c>
      <c r="L25" s="32">
        <f t="shared" si="6"/>
        <v>0.31858407079646023</v>
      </c>
      <c r="M25" s="62" t="str">
        <f>VLOOKUP(N25,유니버스!$C$14:$D$2561,2,0)</f>
        <v>KQ</v>
      </c>
      <c r="N25" s="26" t="str">
        <f>플러스코스닥액티브!B31</f>
        <v>리노공업</v>
      </c>
      <c r="O25" s="26">
        <f>VLOOKUP(N25,플러스코스닥액티브!$B$11:$E$1000,4,0)</f>
        <v>1.86</v>
      </c>
      <c r="P25" s="26">
        <f>IFERROR(VLOOKUP(N25,'플러스코스닥액티브(과거)'!$B$11:$E$1000,4,0),0)</f>
        <v>2.14</v>
      </c>
      <c r="Q25" s="20">
        <f t="shared" si="7"/>
        <v>-0.28000000000000003</v>
      </c>
      <c r="R25" s="32">
        <f t="shared" si="8"/>
        <v>-0.13084112149532712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한중엔시에스</v>
      </c>
      <c r="C26" s="65">
        <f>VLOOKUP(B26,'코엑트 코스닥액티브'!$B$11:$E$1000,4,0)</f>
        <v>1.34</v>
      </c>
      <c r="D26" s="65">
        <f>IFERROR(VLOOKUP(B26,'코엑트 코스닥액티브(과거)'!$B$11:$E$1000,4,0),0)</f>
        <v>1.72</v>
      </c>
      <c r="E26" s="20">
        <f t="shared" si="3"/>
        <v>-0.37999999999999989</v>
      </c>
      <c r="F26" s="32">
        <f t="shared" si="4"/>
        <v>-0.22093023255813948</v>
      </c>
      <c r="G26" s="63" t="str">
        <f>VLOOKUP(H26,유니버스!$C$14:$D$2561,2,0)</f>
        <v>KQ</v>
      </c>
      <c r="H26" s="65" t="str">
        <f>'타임 코스닥액티브'!B32</f>
        <v>에코프로</v>
      </c>
      <c r="I26" s="65">
        <f>VLOOKUP(H26,'타임 코스닥액티브'!$B$11:$E$1000,4,0)</f>
        <v>1.46</v>
      </c>
      <c r="J26" s="65">
        <f>IFERROR(VLOOKUP(H26,'타임코스닥액티브(과거)'!$B$11:$E$1000,4,0),0)</f>
        <v>1.86</v>
      </c>
      <c r="K26" s="20">
        <f t="shared" si="5"/>
        <v>-0.40000000000000013</v>
      </c>
      <c r="L26" s="32">
        <f t="shared" si="6"/>
        <v>-0.21505376344086025</v>
      </c>
      <c r="M26" s="62" t="str">
        <f>VLOOKUP(N26,유니버스!$C$14:$D$2561,2,0)</f>
        <v>KQ</v>
      </c>
      <c r="N26" s="26" t="str">
        <f>플러스코스닥액티브!B32</f>
        <v>파크시스템스</v>
      </c>
      <c r="O26" s="26">
        <f>VLOOKUP(N26,플러스코스닥액티브!$B$11:$E$1000,4,0)</f>
        <v>1.74</v>
      </c>
      <c r="P26" s="26">
        <f>IFERROR(VLOOKUP(N26,'플러스코스닥액티브(과거)'!$B$11:$E$1000,4,0),0)</f>
        <v>2.16</v>
      </c>
      <c r="Q26" s="20">
        <f t="shared" si="7"/>
        <v>-0.42000000000000015</v>
      </c>
      <c r="R26" s="32">
        <f t="shared" si="8"/>
        <v>-0.19444444444444453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주성엔지니어링</v>
      </c>
      <c r="C27" s="65">
        <f>VLOOKUP(B27,'코엑트 코스닥액티브'!$B$11:$E$1000,4,0)</f>
        <v>1.28</v>
      </c>
      <c r="D27" s="65">
        <f>IFERROR(VLOOKUP(B27,'코엑트 코스닥액티브(과거)'!$B$11:$E$1000,4,0),0)</f>
        <v>0.97</v>
      </c>
      <c r="E27" s="20">
        <f t="shared" si="3"/>
        <v>0.31000000000000005</v>
      </c>
      <c r="F27" s="32">
        <f t="shared" si="4"/>
        <v>0.31958762886597936</v>
      </c>
      <c r="G27" s="63" t="str">
        <f>VLOOKUP(H27,유니버스!$C$14:$D$2561,2,0)</f>
        <v>KQ</v>
      </c>
      <c r="H27" s="65" t="str">
        <f>'타임 코스닥액티브'!B33</f>
        <v>스피어</v>
      </c>
      <c r="I27" s="65">
        <f>VLOOKUP(H27,'타임 코스닥액티브'!$B$11:$E$1000,4,0)</f>
        <v>1.42</v>
      </c>
      <c r="J27" s="65">
        <f>IFERROR(VLOOKUP(H27,'타임코스닥액티브(과거)'!$B$11:$E$1000,4,0),0)</f>
        <v>1.31</v>
      </c>
      <c r="K27" s="20">
        <f t="shared" si="5"/>
        <v>0.10999999999999988</v>
      </c>
      <c r="L27" s="32">
        <f t="shared" si="6"/>
        <v>8.3969465648854769E-2</v>
      </c>
      <c r="M27" s="62" t="str">
        <f>VLOOKUP(N27,유니버스!$C$14:$D$2561,2,0)</f>
        <v>KQ</v>
      </c>
      <c r="N27" s="26" t="str">
        <f>플러스코스닥액티브!B33</f>
        <v>한선엔지니어링</v>
      </c>
      <c r="O27" s="26">
        <f>VLOOKUP(N27,플러스코스닥액티브!$B$11:$E$1000,4,0)</f>
        <v>1.66</v>
      </c>
      <c r="P27" s="26">
        <f>IFERROR(VLOOKUP(N27,'플러스코스닥액티브(과거)'!$B$11:$E$1000,4,0),0)</f>
        <v>1.37</v>
      </c>
      <c r="Q27" s="20">
        <f t="shared" si="7"/>
        <v>0.28999999999999981</v>
      </c>
      <c r="R27" s="32">
        <f t="shared" si="8"/>
        <v>0.21167883211678817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대주전자재료</v>
      </c>
      <c r="C28" s="65">
        <f>VLOOKUP(B28,'코엑트 코스닥액티브'!$B$11:$E$1000,4,0)</f>
        <v>1.21</v>
      </c>
      <c r="D28" s="65">
        <f>IFERROR(VLOOKUP(B28,'코엑트 코스닥액티브(과거)'!$B$11:$E$1000,4,0),0)</f>
        <v>1.42</v>
      </c>
      <c r="E28" s="20">
        <f t="shared" si="3"/>
        <v>-0.20999999999999996</v>
      </c>
      <c r="F28" s="32">
        <f t="shared" si="4"/>
        <v>-0.147887323943662</v>
      </c>
      <c r="G28" s="63" t="str">
        <f>VLOOKUP(H28,유니버스!$C$14:$D$2561,2,0)</f>
        <v>KQ</v>
      </c>
      <c r="H28" s="65" t="str">
        <f>'타임 코스닥액티브'!B34</f>
        <v>ISC</v>
      </c>
      <c r="I28" s="65">
        <f>VLOOKUP(H28,'타임 코스닥액티브'!$B$11:$E$1000,4,0)</f>
        <v>1.39</v>
      </c>
      <c r="J28" s="65">
        <f>IFERROR(VLOOKUP(H28,'타임코스닥액티브(과거)'!$B$11:$E$1000,4,0),0)</f>
        <v>1.55</v>
      </c>
      <c r="K28" s="20">
        <f t="shared" si="5"/>
        <v>-0.16000000000000014</v>
      </c>
      <c r="L28" s="32">
        <f t="shared" si="6"/>
        <v>-0.10322580645161294</v>
      </c>
      <c r="M28" s="62" t="str">
        <f>VLOOKUP(N28,유니버스!$C$14:$D$2561,2,0)</f>
        <v>KQ</v>
      </c>
      <c r="N28" s="26" t="str">
        <f>플러스코스닥액티브!B34</f>
        <v>동진쎄미켐</v>
      </c>
      <c r="O28" s="26">
        <f>VLOOKUP(N28,플러스코스닥액티브!$B$11:$E$1000,4,0)</f>
        <v>1.54</v>
      </c>
      <c r="P28" s="26">
        <f>IFERROR(VLOOKUP(N28,'플러스코스닥액티브(과거)'!$B$11:$E$1000,4,0),0)</f>
        <v>1.66</v>
      </c>
      <c r="Q28" s="20">
        <f t="shared" si="7"/>
        <v>-0.11999999999999988</v>
      </c>
      <c r="R28" s="32">
        <f t="shared" si="8"/>
        <v>-7.2289156626505924E-2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코나아이</v>
      </c>
      <c r="C29" s="65">
        <f>VLOOKUP(B29,'코엑트 코스닥액티브'!$B$11:$E$1000,4,0)</f>
        <v>1.21</v>
      </c>
      <c r="D29" s="65">
        <f>IFERROR(VLOOKUP(B29,'코엑트 코스닥액티브(과거)'!$B$11:$E$1000,4,0),0)</f>
        <v>1.19</v>
      </c>
      <c r="E29" s="20">
        <f t="shared" si="3"/>
        <v>2.0000000000000018E-2</v>
      </c>
      <c r="F29" s="32">
        <f t="shared" si="4"/>
        <v>1.6806722689075571E-2</v>
      </c>
      <c r="G29" s="63" t="str">
        <f>VLOOKUP(H29,유니버스!$C$14:$D$2561,2,0)</f>
        <v>KQ</v>
      </c>
      <c r="H29" s="65" t="str">
        <f>'타임 코스닥액티브'!B35</f>
        <v>올릭스</v>
      </c>
      <c r="I29" s="65">
        <f>VLOOKUP(H29,'타임 코스닥액티브'!$B$11:$E$1000,4,0)</f>
        <v>1.36</v>
      </c>
      <c r="J29" s="65">
        <f>IFERROR(VLOOKUP(H29,'타임코스닥액티브(과거)'!$B$11:$E$1000,4,0),0)</f>
        <v>0.52</v>
      </c>
      <c r="K29" s="20">
        <f t="shared" si="5"/>
        <v>0.84000000000000008</v>
      </c>
      <c r="L29" s="32">
        <f t="shared" si="6"/>
        <v>1.6153846153846154</v>
      </c>
      <c r="M29" s="62" t="str">
        <f>VLOOKUP(N29,유니버스!$C$14:$D$2561,2,0)</f>
        <v>KQ</v>
      </c>
      <c r="N29" s="26" t="str">
        <f>플러스코스닥액티브!B35</f>
        <v>솔브레인</v>
      </c>
      <c r="O29" s="26">
        <f>VLOOKUP(N29,플러스코스닥액티브!$B$11:$E$1000,4,0)</f>
        <v>1.51</v>
      </c>
      <c r="P29" s="26">
        <f>IFERROR(VLOOKUP(N29,'플러스코스닥액티브(과거)'!$B$11:$E$1000,4,0),0)</f>
        <v>1.66</v>
      </c>
      <c r="Q29" s="20">
        <f t="shared" si="7"/>
        <v>-0.14999999999999991</v>
      </c>
      <c r="R29" s="32">
        <f t="shared" si="8"/>
        <v>-9.0361445783132432E-2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두산테스나</v>
      </c>
      <c r="C30" s="65">
        <f>VLOOKUP(B30,'코엑트 코스닥액티브'!$B$11:$E$1000,4,0)</f>
        <v>1.21</v>
      </c>
      <c r="D30" s="65">
        <f>IFERROR(VLOOKUP(B30,'코엑트 코스닥액티브(과거)'!$B$11:$E$1000,4,0),0)</f>
        <v>2.62</v>
      </c>
      <c r="E30" s="20">
        <f t="shared" si="3"/>
        <v>-1.4100000000000001</v>
      </c>
      <c r="F30" s="32">
        <f t="shared" si="4"/>
        <v>-0.53816793893129766</v>
      </c>
      <c r="G30" s="63" t="str">
        <f>VLOOKUP(H30,유니버스!$C$14:$D$2561,2,0)</f>
        <v>KQ</v>
      </c>
      <c r="H30" s="65" t="str">
        <f>'타임 코스닥액티브'!B36</f>
        <v>네패스</v>
      </c>
      <c r="I30" s="65">
        <f>VLOOKUP(H30,'타임 코스닥액티브'!$B$11:$E$1000,4,0)</f>
        <v>1.3</v>
      </c>
      <c r="J30" s="65">
        <f>IFERROR(VLOOKUP(H30,'타임코스닥액티브(과거)'!$B$11:$E$1000,4,0),0)</f>
        <v>1.7</v>
      </c>
      <c r="K30" s="20">
        <f t="shared" si="5"/>
        <v>-0.39999999999999991</v>
      </c>
      <c r="L30" s="32">
        <f t="shared" si="6"/>
        <v>-0.23529411764705876</v>
      </c>
      <c r="M30" s="62" t="str">
        <f>VLOOKUP(N30,유니버스!$C$14:$D$2561,2,0)</f>
        <v>KQ</v>
      </c>
      <c r="N30" s="26" t="str">
        <f>플러스코스닥액티브!B36</f>
        <v>상신이디피</v>
      </c>
      <c r="O30" s="26">
        <f>VLOOKUP(N30,플러스코스닥액티브!$B$11:$E$1000,4,0)</f>
        <v>1.5</v>
      </c>
      <c r="P30" s="26">
        <f>IFERROR(VLOOKUP(N30,'플러스코스닥액티브(과거)'!$B$11:$E$1000,4,0),0)</f>
        <v>1.56</v>
      </c>
      <c r="Q30" s="20">
        <f t="shared" si="7"/>
        <v>-6.0000000000000053E-2</v>
      </c>
      <c r="R30" s="32">
        <f t="shared" si="8"/>
        <v>-3.8461538461538547E-2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원익IPS</v>
      </c>
      <c r="C31" s="65">
        <f>VLOOKUP(B31,'코엑트 코스닥액티브'!$B$11:$E$1000,4,0)</f>
        <v>1.1599999999999999</v>
      </c>
      <c r="D31" s="65">
        <f>IFERROR(VLOOKUP(B31,'코엑트 코스닥액티브(과거)'!$B$11:$E$1000,4,0),0)</f>
        <v>0.68</v>
      </c>
      <c r="E31" s="20">
        <f t="shared" si="3"/>
        <v>0.47999999999999987</v>
      </c>
      <c r="F31" s="32">
        <f t="shared" si="4"/>
        <v>0.70588235294117618</v>
      </c>
      <c r="G31" s="63" t="str">
        <f>VLOOKUP(H31,유니버스!$C$14:$D$2561,2,0)</f>
        <v>KQ</v>
      </c>
      <c r="H31" s="65" t="str">
        <f>'타임 코스닥액티브'!B37</f>
        <v>리가켐바이오</v>
      </c>
      <c r="I31" s="65">
        <f>VLOOKUP(H31,'타임 코스닥액티브'!$B$11:$E$1000,4,0)</f>
        <v>1.28</v>
      </c>
      <c r="J31" s="65">
        <f>IFERROR(VLOOKUP(H31,'타임코스닥액티브(과거)'!$B$11:$E$1000,4,0),0)</f>
        <v>1.18</v>
      </c>
      <c r="K31" s="20">
        <f t="shared" si="5"/>
        <v>0.10000000000000009</v>
      </c>
      <c r="L31" s="32">
        <f t="shared" si="6"/>
        <v>8.4745762711864403E-2</v>
      </c>
      <c r="M31" s="62" t="str">
        <f>VLOOKUP(N31,유니버스!$C$14:$D$2561,2,0)</f>
        <v>KQ</v>
      </c>
      <c r="N31" s="26" t="str">
        <f>플러스코스닥액티브!B37</f>
        <v>코오롱티슈진</v>
      </c>
      <c r="O31" s="26">
        <f>VLOOKUP(N31,플러스코스닥액티브!$B$11:$E$1000,4,0)</f>
        <v>1.45</v>
      </c>
      <c r="P31" s="26">
        <f>IFERROR(VLOOKUP(N31,'플러스코스닥액티브(과거)'!$B$11:$E$1000,4,0),0)</f>
        <v>1.68</v>
      </c>
      <c r="Q31" s="20">
        <f t="shared" si="7"/>
        <v>-0.22999999999999998</v>
      </c>
      <c r="R31" s="32">
        <f t="shared" si="8"/>
        <v>-0.13690476190476186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오스코텍</v>
      </c>
      <c r="C32" s="65">
        <f>VLOOKUP(B32,'코엑트 코스닥액티브'!$B$11:$E$1000,4,0)</f>
        <v>1.1599999999999999</v>
      </c>
      <c r="D32" s="65">
        <f>IFERROR(VLOOKUP(B32,'코엑트 코스닥액티브(과거)'!$B$11:$E$1000,4,0),0)</f>
        <v>1.18</v>
      </c>
      <c r="E32" s="20">
        <f t="shared" si="3"/>
        <v>-2.0000000000000018E-2</v>
      </c>
      <c r="F32" s="32">
        <f t="shared" si="4"/>
        <v>-1.6949152542372947E-2</v>
      </c>
      <c r="G32" s="63" t="str">
        <f>VLOOKUP(H32,유니버스!$C$14:$D$2561,2,0)</f>
        <v>KQ</v>
      </c>
      <c r="H32" s="65" t="str">
        <f>'타임 코스닥액티브'!B38</f>
        <v>덕산하이메탈</v>
      </c>
      <c r="I32" s="65">
        <f>VLOOKUP(H32,'타임 코스닥액티브'!$B$11:$E$1000,4,0)</f>
        <v>1.27</v>
      </c>
      <c r="J32" s="65">
        <f>IFERROR(VLOOKUP(H32,'타임코스닥액티브(과거)'!$B$11:$E$1000,4,0),0)</f>
        <v>1.31</v>
      </c>
      <c r="K32" s="20">
        <f t="shared" si="5"/>
        <v>-4.0000000000000036E-2</v>
      </c>
      <c r="L32" s="32">
        <f t="shared" si="6"/>
        <v>-3.0534351145038219E-2</v>
      </c>
      <c r="M32" s="62" t="str">
        <f>VLOOKUP(N32,유니버스!$C$14:$D$2561,2,0)</f>
        <v>KQ</v>
      </c>
      <c r="N32" s="26" t="str">
        <f>플러스코스닥액티브!B38</f>
        <v>대주전자재료</v>
      </c>
      <c r="O32" s="26">
        <f>VLOOKUP(N32,플러스코스닥액티브!$B$11:$E$1000,4,0)</f>
        <v>1.42</v>
      </c>
      <c r="P32" s="26">
        <f>IFERROR(VLOOKUP(N32,'플러스코스닥액티브(과거)'!$B$11:$E$1000,4,0),0)</f>
        <v>1.68</v>
      </c>
      <c r="Q32" s="20">
        <f t="shared" si="7"/>
        <v>-0.26</v>
      </c>
      <c r="R32" s="32">
        <f t="shared" si="8"/>
        <v>-0.15476190476190477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네패스</v>
      </c>
      <c r="C33" s="65">
        <f>VLOOKUP(B33,'코엑트 코스닥액티브'!$B$11:$E$1000,4,0)</f>
        <v>1.1399999999999999</v>
      </c>
      <c r="D33" s="65">
        <f>IFERROR(VLOOKUP(B33,'코엑트 코스닥액티브(과거)'!$B$11:$E$1000,4,0),0)</f>
        <v>1.35</v>
      </c>
      <c r="E33" s="20">
        <f t="shared" si="3"/>
        <v>-0.21000000000000019</v>
      </c>
      <c r="F33" s="32">
        <f t="shared" si="4"/>
        <v>-0.15555555555555567</v>
      </c>
      <c r="G33" s="63" t="str">
        <f>VLOOKUP(H33,유니버스!$C$14:$D$2561,2,0)</f>
        <v>KQ</v>
      </c>
      <c r="H33" s="65" t="str">
        <f>'타임 코스닥액티브'!B39</f>
        <v>비츠로셀</v>
      </c>
      <c r="I33" s="65">
        <f>VLOOKUP(H33,'타임 코스닥액티브'!$B$11:$E$1000,4,0)</f>
        <v>1.24</v>
      </c>
      <c r="J33" s="65">
        <f>IFERROR(VLOOKUP(H33,'타임코스닥액티브(과거)'!$B$11:$E$1000,4,0),0)</f>
        <v>1.33</v>
      </c>
      <c r="K33" s="20">
        <f t="shared" si="5"/>
        <v>-9.000000000000008E-2</v>
      </c>
      <c r="L33" s="32">
        <f t="shared" si="6"/>
        <v>-6.7669172932330879E-2</v>
      </c>
      <c r="M33" s="62" t="str">
        <f>VLOOKUP(N33,유니버스!$C$14:$D$2561,2,0)</f>
        <v>KQ</v>
      </c>
      <c r="N33" s="26" t="str">
        <f>플러스코스닥액티브!B39</f>
        <v>기가비스</v>
      </c>
      <c r="O33" s="26">
        <f>VLOOKUP(N33,플러스코스닥액티브!$B$11:$E$1000,4,0)</f>
        <v>1.38</v>
      </c>
      <c r="P33" s="26">
        <f>IFERROR(VLOOKUP(N33,'플러스코스닥액티브(과거)'!$B$11:$E$1000,4,0),0)</f>
        <v>1.34</v>
      </c>
      <c r="Q33" s="20">
        <f t="shared" si="7"/>
        <v>3.9999999999999813E-2</v>
      </c>
      <c r="R33" s="32">
        <f t="shared" si="8"/>
        <v>2.9850746268656581E-2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비나텍</v>
      </c>
      <c r="C34" s="65">
        <f>VLOOKUP(B34,'코엑트 코스닥액티브'!$B$11:$E$1000,4,0)</f>
        <v>1.08</v>
      </c>
      <c r="D34" s="65">
        <f>IFERROR(VLOOKUP(B34,'코엑트 코스닥액티브(과거)'!$B$11:$E$1000,4,0),0)</f>
        <v>1.63</v>
      </c>
      <c r="E34" s="20">
        <f t="shared" si="3"/>
        <v>-0.54999999999999982</v>
      </c>
      <c r="F34" s="32">
        <f t="shared" si="4"/>
        <v>-0.33742331288343552</v>
      </c>
      <c r="G34" s="63" t="str">
        <f>VLOOKUP(H34,유니버스!$C$14:$D$2561,2,0)</f>
        <v>KQ</v>
      </c>
      <c r="H34" s="65" t="str">
        <f>'타임 코스닥액티브'!B40</f>
        <v>선익시스템</v>
      </c>
      <c r="I34" s="65">
        <f>VLOOKUP(H34,'타임 코스닥액티브'!$B$11:$E$1000,4,0)</f>
        <v>1.23</v>
      </c>
      <c r="J34" s="65">
        <f>IFERROR(VLOOKUP(H34,'타임코스닥액티브(과거)'!$B$11:$E$1000,4,0),0)</f>
        <v>1.42</v>
      </c>
      <c r="K34" s="20">
        <f t="shared" si="5"/>
        <v>-0.18999999999999995</v>
      </c>
      <c r="L34" s="32">
        <f t="shared" si="6"/>
        <v>-0.13380281690140838</v>
      </c>
      <c r="M34" s="62" t="str">
        <f>VLOOKUP(N34,유니버스!$C$14:$D$2561,2,0)</f>
        <v>KQ</v>
      </c>
      <c r="N34" s="26" t="str">
        <f>플러스코스닥액티브!B40</f>
        <v>ISC</v>
      </c>
      <c r="O34" s="26">
        <f>VLOOKUP(N34,플러스코스닥액티브!$B$11:$E$1000,4,0)</f>
        <v>1.35</v>
      </c>
      <c r="P34" s="26">
        <f>IFERROR(VLOOKUP(N34,'플러스코스닥액티브(과거)'!$B$11:$E$1000,4,0),0)</f>
        <v>1.49</v>
      </c>
      <c r="Q34" s="20">
        <f t="shared" si="7"/>
        <v>-0.1399999999999999</v>
      </c>
      <c r="R34" s="32">
        <f t="shared" si="8"/>
        <v>-9.3959731543624136E-2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레인보우로보틱스</v>
      </c>
      <c r="C35" s="65">
        <f>VLOOKUP(B35,'코엑트 코스닥액티브'!$B$11:$E$1000,4,0)</f>
        <v>1</v>
      </c>
      <c r="D35" s="65">
        <f>IFERROR(VLOOKUP(B35,'코엑트 코스닥액티브(과거)'!$B$11:$E$1000,4,0),0)</f>
        <v>1.1299999999999999</v>
      </c>
      <c r="E35" s="20">
        <f t="shared" si="3"/>
        <v>-0.12999999999999989</v>
      </c>
      <c r="F35" s="32">
        <f t="shared" si="4"/>
        <v>-0.11504424778761058</v>
      </c>
      <c r="G35" s="63" t="str">
        <f>VLOOKUP(H35,유니버스!$C$14:$D$2561,2,0)</f>
        <v>KQ</v>
      </c>
      <c r="H35" s="65" t="str">
        <f>'타임 코스닥액티브'!B41</f>
        <v>에코프로비엠</v>
      </c>
      <c r="I35" s="65">
        <f>VLOOKUP(H35,'타임 코스닥액티브'!$B$11:$E$1000,4,0)</f>
        <v>1.19</v>
      </c>
      <c r="J35" s="65">
        <f>IFERROR(VLOOKUP(H35,'타임코스닥액티브(과거)'!$B$11:$E$1000,4,0),0)</f>
        <v>1.56</v>
      </c>
      <c r="K35" s="20">
        <f t="shared" si="5"/>
        <v>-0.37000000000000011</v>
      </c>
      <c r="L35" s="32">
        <f t="shared" si="6"/>
        <v>-0.23717948717948723</v>
      </c>
      <c r="M35" s="62" t="str">
        <f>VLOOKUP(N35,유니버스!$C$14:$D$2561,2,0)</f>
        <v>KQ</v>
      </c>
      <c r="N35" s="26" t="str">
        <f>플러스코스닥액티브!B41</f>
        <v>알테오젠</v>
      </c>
      <c r="O35" s="26">
        <f>VLOOKUP(N35,플러스코스닥액티브!$B$11:$E$1000,4,0)</f>
        <v>1.31</v>
      </c>
      <c r="P35" s="26">
        <f>IFERROR(VLOOKUP(N35,'플러스코스닥액티브(과거)'!$B$11:$E$1000,4,0),0)</f>
        <v>1.31</v>
      </c>
      <c r="Q35" s="20">
        <f t="shared" si="7"/>
        <v>0</v>
      </c>
      <c r="R35" s="32">
        <f t="shared" si="8"/>
        <v>0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에스티팜</v>
      </c>
      <c r="C36" s="65">
        <f>VLOOKUP(B36,'코엑트 코스닥액티브'!$B$11:$E$1000,4,0)</f>
        <v>0.99</v>
      </c>
      <c r="D36" s="65">
        <f>IFERROR(VLOOKUP(B36,'코엑트 코스닥액티브(과거)'!$B$11:$E$1000,4,0),0)</f>
        <v>0.59</v>
      </c>
      <c r="E36" s="20">
        <f t="shared" si="3"/>
        <v>0.4</v>
      </c>
      <c r="F36" s="32">
        <f t="shared" si="4"/>
        <v>0.67796610169491522</v>
      </c>
      <c r="G36" s="63" t="str">
        <f>VLOOKUP(H36,유니버스!$C$14:$D$2561,2,0)</f>
        <v>KQ</v>
      </c>
      <c r="H36" s="65" t="str">
        <f>'타임 코스닥액티브'!B42</f>
        <v>디앤디파마텍</v>
      </c>
      <c r="I36" s="65">
        <f>VLOOKUP(H36,'타임 코스닥액티브'!$B$11:$E$1000,4,0)</f>
        <v>1.17</v>
      </c>
      <c r="J36" s="65">
        <f>IFERROR(VLOOKUP(H36,'타임코스닥액티브(과거)'!$B$11:$E$1000,4,0),0)</f>
        <v>1.44</v>
      </c>
      <c r="K36" s="20">
        <f t="shared" si="5"/>
        <v>-0.27</v>
      </c>
      <c r="L36" s="32">
        <f t="shared" si="6"/>
        <v>-0.1875</v>
      </c>
      <c r="M36" s="62" t="str">
        <f>VLOOKUP(N36,유니버스!$C$14:$D$2561,2,0)</f>
        <v>KQ</v>
      </c>
      <c r="N36" s="26" t="str">
        <f>플러스코스닥액티브!B42</f>
        <v>HPSP</v>
      </c>
      <c r="O36" s="26">
        <f>VLOOKUP(N36,플러스코스닥액티브!$B$11:$E$1000,4,0)</f>
        <v>1.1599999999999999</v>
      </c>
      <c r="P36" s="26">
        <f>IFERROR(VLOOKUP(N36,'플러스코스닥액티브(과거)'!$B$11:$E$1000,4,0),0)</f>
        <v>1.33</v>
      </c>
      <c r="Q36" s="20">
        <f t="shared" si="7"/>
        <v>-0.17000000000000015</v>
      </c>
      <c r="R36" s="32">
        <f t="shared" si="8"/>
        <v>-0.12781954887218061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가온칩스</v>
      </c>
      <c r="C37" s="65">
        <f>VLOOKUP(B37,'코엑트 코스닥액티브'!$B$11:$E$1000,4,0)</f>
        <v>0.99</v>
      </c>
      <c r="D37" s="65">
        <f>IFERROR(VLOOKUP(B37,'코엑트 코스닥액티브(과거)'!$B$11:$E$1000,4,0),0)</f>
        <v>1.3</v>
      </c>
      <c r="E37" s="20">
        <f t="shared" si="3"/>
        <v>-0.31000000000000005</v>
      </c>
      <c r="F37" s="32">
        <f t="shared" si="4"/>
        <v>-0.2384615384615385</v>
      </c>
      <c r="G37" s="63" t="str">
        <f>VLOOKUP(H37,유니버스!$C$14:$D$2561,2,0)</f>
        <v>KQ</v>
      </c>
      <c r="H37" s="65" t="str">
        <f>'타임 코스닥액티브'!B43</f>
        <v>파크시스템스</v>
      </c>
      <c r="I37" s="65">
        <f>VLOOKUP(H37,'타임 코스닥액티브'!$B$11:$E$1000,4,0)</f>
        <v>1.04</v>
      </c>
      <c r="J37" s="65">
        <f>IFERROR(VLOOKUP(H37,'타임코스닥액티브(과거)'!$B$11:$E$1000,4,0),0)</f>
        <v>1.01</v>
      </c>
      <c r="K37" s="20">
        <f t="shared" si="5"/>
        <v>3.0000000000000027E-2</v>
      </c>
      <c r="L37" s="32">
        <f t="shared" si="6"/>
        <v>2.9702970297029729E-2</v>
      </c>
      <c r="M37" s="62" t="str">
        <f>VLOOKUP(N37,유니버스!$C$14:$D$2561,2,0)</f>
        <v>KQ</v>
      </c>
      <c r="N37" s="26" t="str">
        <f>플러스코스닥액티브!B43</f>
        <v>엘티씨</v>
      </c>
      <c r="O37" s="26">
        <f>VLOOKUP(N37,플러스코스닥액티브!$B$11:$E$1000,4,0)</f>
        <v>1.1399999999999999</v>
      </c>
      <c r="P37" s="26">
        <f>IFERROR(VLOOKUP(N37,'플러스코스닥액티브(과거)'!$B$11:$E$1000,4,0),0)</f>
        <v>0.71</v>
      </c>
      <c r="Q37" s="20">
        <f t="shared" si="7"/>
        <v>0.42999999999999994</v>
      </c>
      <c r="R37" s="32">
        <f t="shared" si="8"/>
        <v>0.60563380281690127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고영</v>
      </c>
      <c r="C38" s="65">
        <f>VLOOKUP(B38,'코엑트 코스닥액티브'!$B$11:$E$1000,4,0)</f>
        <v>0.96</v>
      </c>
      <c r="D38" s="65">
        <f>IFERROR(VLOOKUP(B38,'코엑트 코스닥액티브(과거)'!$B$11:$E$1000,4,0),0)</f>
        <v>0.95</v>
      </c>
      <c r="E38" s="20">
        <f t="shared" si="3"/>
        <v>1.0000000000000009E-2</v>
      </c>
      <c r="F38" s="32">
        <f t="shared" si="4"/>
        <v>1.0526315789473717E-2</v>
      </c>
      <c r="G38" s="63" t="str">
        <f>VLOOKUP(H38,유니버스!$C$14:$D$2561,2,0)</f>
        <v>KQ</v>
      </c>
      <c r="H38" s="65" t="str">
        <f>'타임 코스닥액티브'!B44</f>
        <v>오이솔루션</v>
      </c>
      <c r="I38" s="65">
        <f>VLOOKUP(H38,'타임 코스닥액티브'!$B$11:$E$1000,4,0)</f>
        <v>1.02</v>
      </c>
      <c r="J38" s="65">
        <f>IFERROR(VLOOKUP(H38,'타임코스닥액티브(과거)'!$B$11:$E$1000,4,0),0)</f>
        <v>1.1100000000000001</v>
      </c>
      <c r="K38" s="20">
        <f t="shared" si="5"/>
        <v>-9.000000000000008E-2</v>
      </c>
      <c r="L38" s="32">
        <f t="shared" si="6"/>
        <v>-8.1081081081081141E-2</v>
      </c>
      <c r="M38" s="62" t="str">
        <f>VLOOKUP(N38,유니버스!$C$14:$D$2561,2,0)</f>
        <v>KQ</v>
      </c>
      <c r="N38" s="26" t="str">
        <f>플러스코스닥액티브!B44</f>
        <v>금양그린파워</v>
      </c>
      <c r="O38" s="26">
        <f>VLOOKUP(N38,플러스코스닥액티브!$B$11:$E$1000,4,0)</f>
        <v>0.97</v>
      </c>
      <c r="P38" s="26">
        <f>IFERROR(VLOOKUP(N38,'플러스코스닥액티브(과거)'!$B$11:$E$1000,4,0),0)</f>
        <v>0.92</v>
      </c>
      <c r="Q38" s="20">
        <f t="shared" si="7"/>
        <v>4.9999999999999933E-2</v>
      </c>
      <c r="R38" s="32">
        <f t="shared" si="8"/>
        <v>5.4347826086956541E-2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서부T&amp;D</v>
      </c>
      <c r="C39" s="65">
        <f>VLOOKUP(B39,'코엑트 코스닥액티브'!$B$11:$E$1000,4,0)</f>
        <v>0.94</v>
      </c>
      <c r="D39" s="65">
        <f>IFERROR(VLOOKUP(B39,'코엑트 코스닥액티브(과거)'!$B$11:$E$1000,4,0),0)</f>
        <v>0.74</v>
      </c>
      <c r="E39" s="20">
        <f t="shared" si="3"/>
        <v>0.19999999999999996</v>
      </c>
      <c r="F39" s="32">
        <f t="shared" si="4"/>
        <v>0.27027027027027017</v>
      </c>
      <c r="G39" s="63" t="str">
        <f>VLOOKUP(H39,유니버스!$C$14:$D$2561,2,0)</f>
        <v>KQ</v>
      </c>
      <c r="H39" s="65" t="str">
        <f>'타임 코스닥액티브'!B45</f>
        <v>대주전자재료</v>
      </c>
      <c r="I39" s="65">
        <f>VLOOKUP(H39,'타임 코스닥액티브'!$B$11:$E$1000,4,0)</f>
        <v>0.96</v>
      </c>
      <c r="J39" s="65">
        <f>IFERROR(VLOOKUP(H39,'타임코스닥액티브(과거)'!$B$11:$E$1000,4,0),0)</f>
        <v>1.1399999999999999</v>
      </c>
      <c r="K39" s="20">
        <f t="shared" si="5"/>
        <v>-0.17999999999999994</v>
      </c>
      <c r="L39" s="32">
        <f t="shared" si="6"/>
        <v>-0.1578947368421052</v>
      </c>
      <c r="M39" s="62" t="str">
        <f>VLOOKUP(N39,유니버스!$C$14:$D$2561,2,0)</f>
        <v>KQ</v>
      </c>
      <c r="N39" s="26" t="str">
        <f>플러스코스닥액티브!B45</f>
        <v>디앤디파마텍</v>
      </c>
      <c r="O39" s="26">
        <f>VLOOKUP(N39,플러스코스닥액티브!$B$11:$E$1000,4,0)</f>
        <v>0.9</v>
      </c>
      <c r="P39" s="26">
        <f>IFERROR(VLOOKUP(N39,'플러스코스닥액티브(과거)'!$B$11:$E$1000,4,0),0)</f>
        <v>1.1000000000000001</v>
      </c>
      <c r="Q39" s="20">
        <f t="shared" si="7"/>
        <v>-0.20000000000000007</v>
      </c>
      <c r="R39" s="32">
        <f t="shared" si="8"/>
        <v>-0.18181818181818188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큐리언트</v>
      </c>
      <c r="C40" s="65">
        <f>VLOOKUP(B40,'코엑트 코스닥액티브'!$B$11:$E$1000,4,0)</f>
        <v>0.94</v>
      </c>
      <c r="D40" s="65">
        <f>IFERROR(VLOOKUP(B40,'코엑트 코스닥액티브(과거)'!$B$11:$E$1000,4,0),0)</f>
        <v>0.92</v>
      </c>
      <c r="E40" s="20">
        <f t="shared" si="3"/>
        <v>1.9999999999999907E-2</v>
      </c>
      <c r="F40" s="32">
        <f t="shared" si="4"/>
        <v>2.1739130434782483E-2</v>
      </c>
      <c r="G40" s="63" t="str">
        <f>VLOOKUP(H40,유니버스!$C$14:$D$2561,2,0)</f>
        <v>KQ</v>
      </c>
      <c r="H40" s="65" t="str">
        <f>'타임 코스닥액티브'!B46</f>
        <v>HLB</v>
      </c>
      <c r="I40" s="65">
        <f>VLOOKUP(H40,'타임 코스닥액티브'!$B$11:$E$1000,4,0)</f>
        <v>0.9</v>
      </c>
      <c r="J40" s="65">
        <f>IFERROR(VLOOKUP(H40,'타임코스닥액티브(과거)'!$B$11:$E$1000,4,0),0)</f>
        <v>0.88</v>
      </c>
      <c r="K40" s="20">
        <f t="shared" si="5"/>
        <v>2.0000000000000018E-2</v>
      </c>
      <c r="L40" s="32">
        <f t="shared" si="6"/>
        <v>2.2727272727272707E-2</v>
      </c>
      <c r="M40" s="62" t="str">
        <f>VLOOKUP(N40,유니버스!$C$14:$D$2561,2,0)</f>
        <v>KQ</v>
      </c>
      <c r="N40" s="26" t="str">
        <f>플러스코스닥액티브!B46</f>
        <v>씨엠티엑스</v>
      </c>
      <c r="O40" s="26">
        <f>VLOOKUP(N40,플러스코스닥액티브!$B$11:$E$1000,4,0)</f>
        <v>0.9</v>
      </c>
      <c r="P40" s="26">
        <f>IFERROR(VLOOKUP(N40,'플러스코스닥액티브(과거)'!$B$11:$E$1000,4,0),0)</f>
        <v>0.83</v>
      </c>
      <c r="Q40" s="20">
        <f t="shared" si="7"/>
        <v>7.0000000000000062E-2</v>
      </c>
      <c r="R40" s="32">
        <f t="shared" si="8"/>
        <v>8.4337349397590522E-2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한양디지텍</v>
      </c>
      <c r="C41" s="65">
        <f>VLOOKUP(B41,'코엑트 코스닥액티브'!$B$11:$E$1000,4,0)</f>
        <v>0.9</v>
      </c>
      <c r="D41" s="65">
        <f>IFERROR(VLOOKUP(B41,'코엑트 코스닥액티브(과거)'!$B$11:$E$1000,4,0),0)</f>
        <v>0.86</v>
      </c>
      <c r="E41" s="20">
        <f t="shared" si="3"/>
        <v>4.0000000000000036E-2</v>
      </c>
      <c r="F41" s="32">
        <f t="shared" si="4"/>
        <v>4.6511627906976827E-2</v>
      </c>
      <c r="G41" s="63" t="str">
        <f>VLOOKUP(H41,유니버스!$C$14:$D$2561,2,0)</f>
        <v>KQ</v>
      </c>
      <c r="H41" s="65" t="str">
        <f>'타임 코스닥액티브'!B47</f>
        <v>파두</v>
      </c>
      <c r="I41" s="65">
        <f>VLOOKUP(H41,'타임 코스닥액티브'!$B$11:$E$1000,4,0)</f>
        <v>0.89</v>
      </c>
      <c r="J41" s="65">
        <f>IFERROR(VLOOKUP(H41,'타임코스닥액티브(과거)'!$B$11:$E$1000,4,0),0)</f>
        <v>1.1200000000000001</v>
      </c>
      <c r="K41" s="20">
        <f t="shared" si="5"/>
        <v>-0.23000000000000009</v>
      </c>
      <c r="L41" s="32">
        <f t="shared" si="6"/>
        <v>-0.2053571428571429</v>
      </c>
      <c r="M41" s="62" t="str">
        <f>VLOOKUP(N41,유니버스!$C$14:$D$2561,2,0)</f>
        <v>KQ</v>
      </c>
      <c r="N41" s="26" t="str">
        <f>플러스코스닥액티브!B47</f>
        <v>파두</v>
      </c>
      <c r="O41" s="26">
        <f>VLOOKUP(N41,플러스코스닥액티브!$B$11:$E$1000,4,0)</f>
        <v>0.82</v>
      </c>
      <c r="P41" s="26">
        <f>IFERROR(VLOOKUP(N41,'플러스코스닥액티브(과거)'!$B$11:$E$1000,4,0),0)</f>
        <v>0.75</v>
      </c>
      <c r="Q41" s="20">
        <f t="shared" si="7"/>
        <v>6.9999999999999951E-2</v>
      </c>
      <c r="R41" s="32">
        <f t="shared" si="8"/>
        <v>9.3333333333333268E-2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디앤디파마텍</v>
      </c>
      <c r="C42" s="65">
        <f>VLOOKUP(B42,'코엑트 코스닥액티브'!$B$11:$E$1000,4,0)</f>
        <v>0.88</v>
      </c>
      <c r="D42" s="65">
        <f>IFERROR(VLOOKUP(B42,'코엑트 코스닥액티브(과거)'!$B$11:$E$1000,4,0),0)</f>
        <v>0.72</v>
      </c>
      <c r="E42" s="20">
        <f t="shared" si="3"/>
        <v>0.16000000000000003</v>
      </c>
      <c r="F42" s="32">
        <f t="shared" si="4"/>
        <v>0.22222222222222232</v>
      </c>
      <c r="G42" s="63" t="str">
        <f>VLOOKUP(H42,유니버스!$C$14:$D$2561,2,0)</f>
        <v>KQ</v>
      </c>
      <c r="H42" s="65" t="str">
        <f>'타임 코스닥액티브'!B48</f>
        <v>대한광통신</v>
      </c>
      <c r="I42" s="65">
        <f>VLOOKUP(H42,'타임 코스닥액티브'!$B$11:$E$1000,4,0)</f>
        <v>0.87</v>
      </c>
      <c r="J42" s="65">
        <f>IFERROR(VLOOKUP(H42,'타임코스닥액티브(과거)'!$B$11:$E$1000,4,0),0)</f>
        <v>1.05</v>
      </c>
      <c r="K42" s="20">
        <f t="shared" si="5"/>
        <v>-0.18000000000000005</v>
      </c>
      <c r="L42" s="32">
        <f t="shared" si="6"/>
        <v>-0.17142857142857149</v>
      </c>
      <c r="M42" s="62" t="str">
        <f>VLOOKUP(N42,유니버스!$C$14:$D$2561,2,0)</f>
        <v>KQ</v>
      </c>
      <c r="N42" s="26" t="str">
        <f>플러스코스닥액티브!B48</f>
        <v>코세스</v>
      </c>
      <c r="O42" s="26">
        <f>VLOOKUP(N42,플러스코스닥액티브!$B$11:$E$1000,4,0)</f>
        <v>0.71</v>
      </c>
      <c r="P42" s="26">
        <f>IFERROR(VLOOKUP(N42,'플러스코스닥액티브(과거)'!$B$11:$E$1000,4,0),0)</f>
        <v>0.66</v>
      </c>
      <c r="Q42" s="20">
        <f t="shared" si="7"/>
        <v>4.9999999999999933E-2</v>
      </c>
      <c r="R42" s="32">
        <f t="shared" si="8"/>
        <v>7.575757575757569E-2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코세스</v>
      </c>
      <c r="C43" s="65">
        <f>VLOOKUP(B43,'코엑트 코스닥액티브'!$B$11:$E$1000,4,0)</f>
        <v>0.87</v>
      </c>
      <c r="D43" s="65">
        <f>IFERROR(VLOOKUP(B43,'코엑트 코스닥액티브(과거)'!$B$11:$E$1000,4,0),0)</f>
        <v>0.89</v>
      </c>
      <c r="E43" s="20">
        <f t="shared" si="3"/>
        <v>-2.0000000000000018E-2</v>
      </c>
      <c r="F43" s="32">
        <f t="shared" si="4"/>
        <v>-2.2471910112359605E-2</v>
      </c>
      <c r="G43" s="63" t="str">
        <f>VLOOKUP(H43,유니버스!$C$14:$D$2561,2,0)</f>
        <v>KQ</v>
      </c>
      <c r="H43" s="65" t="str">
        <f>'타임 코스닥액티브'!B49</f>
        <v>에스피지</v>
      </c>
      <c r="I43" s="65">
        <f>VLOOKUP(H43,'타임 코스닥액티브'!$B$11:$E$1000,4,0)</f>
        <v>0.83</v>
      </c>
      <c r="J43" s="65">
        <f>IFERROR(VLOOKUP(H43,'타임코스닥액티브(과거)'!$B$11:$E$1000,4,0),0)</f>
        <v>0.91</v>
      </c>
      <c r="K43" s="20">
        <f t="shared" si="5"/>
        <v>-8.0000000000000071E-2</v>
      </c>
      <c r="L43" s="32">
        <f t="shared" si="6"/>
        <v>-8.7912087912087933E-2</v>
      </c>
      <c r="M43" s="62" t="str">
        <f>VLOOKUP(N43,유니버스!$C$14:$D$2561,2,0)</f>
        <v>KQ</v>
      </c>
      <c r="N43" s="26" t="str">
        <f>플러스코스닥액티브!B49</f>
        <v>솔브레인홀딩스</v>
      </c>
      <c r="O43" s="26">
        <f>VLOOKUP(N43,플러스코스닥액티브!$B$11:$E$1000,4,0)</f>
        <v>0.66</v>
      </c>
      <c r="P43" s="26">
        <f>IFERROR(VLOOKUP(N43,'플러스코스닥액티브(과거)'!$B$11:$E$1000,4,0),0)</f>
        <v>0.7</v>
      </c>
      <c r="Q43" s="20">
        <f t="shared" si="7"/>
        <v>-3.9999999999999925E-2</v>
      </c>
      <c r="R43" s="32">
        <f t="shared" si="8"/>
        <v>-5.7142857142857051E-2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RFHIC</v>
      </c>
      <c r="C44" s="65">
        <f>VLOOKUP(B44,'코엑트 코스닥액티브'!$B$11:$E$1000,4,0)</f>
        <v>0.85</v>
      </c>
      <c r="D44" s="65">
        <f>IFERROR(VLOOKUP(B44,'코엑트 코스닥액티브(과거)'!$B$11:$E$1000,4,0),0)</f>
        <v>0.97</v>
      </c>
      <c r="E44" s="20">
        <f t="shared" si="3"/>
        <v>-0.12</v>
      </c>
      <c r="F44" s="32">
        <f t="shared" si="4"/>
        <v>-0.12371134020618557</v>
      </c>
      <c r="G44" s="63" t="str">
        <f>VLOOKUP(H44,유니버스!$C$14:$D$2561,2,0)</f>
        <v>KQ</v>
      </c>
      <c r="H44" s="65" t="str">
        <f>'타임 코스닥액티브'!B50</f>
        <v>LS머트리얼즈</v>
      </c>
      <c r="I44" s="65">
        <f>VLOOKUP(H44,'타임 코스닥액티브'!$B$11:$E$1000,4,0)</f>
        <v>0.81</v>
      </c>
      <c r="J44" s="65">
        <f>IFERROR(VLOOKUP(H44,'타임코스닥액티브(과거)'!$B$11:$E$1000,4,0),0)</f>
        <v>0.9</v>
      </c>
      <c r="K44" s="20">
        <f t="shared" si="5"/>
        <v>-8.9999999999999969E-2</v>
      </c>
      <c r="L44" s="32">
        <f t="shared" si="6"/>
        <v>-9.9999999999999978E-2</v>
      </c>
      <c r="M44" s="62" t="str">
        <f>VLOOKUP(N44,유니버스!$C$14:$D$2561,2,0)</f>
        <v>KQ</v>
      </c>
      <c r="N44" s="26" t="str">
        <f>플러스코스닥액티브!B50</f>
        <v>LS증권</v>
      </c>
      <c r="O44" s="26">
        <f>VLOOKUP(N44,플러스코스닥액티브!$B$11:$E$1000,4,0)</f>
        <v>0.61</v>
      </c>
      <c r="P44" s="26">
        <f>IFERROR(VLOOKUP(N44,'플러스코스닥액티브(과거)'!$B$11:$E$1000,4,0),0)</f>
        <v>0.67</v>
      </c>
      <c r="Q44" s="20">
        <f t="shared" si="7"/>
        <v>-6.0000000000000053E-2</v>
      </c>
      <c r="R44" s="32">
        <f t="shared" si="8"/>
        <v>-8.9552238805970186E-2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에코프로</v>
      </c>
      <c r="C45" s="65">
        <f>VLOOKUP(B45,'코엑트 코스닥액티브'!$B$11:$E$1000,4,0)</f>
        <v>0.8</v>
      </c>
      <c r="D45" s="65">
        <f>IFERROR(VLOOKUP(B45,'코엑트 코스닥액티브(과거)'!$B$11:$E$1000,4,0),0)</f>
        <v>1.01</v>
      </c>
      <c r="E45" s="20">
        <f t="shared" si="3"/>
        <v>-0.20999999999999996</v>
      </c>
      <c r="F45" s="32">
        <f t="shared" si="4"/>
        <v>-0.20792079207920788</v>
      </c>
      <c r="G45" s="63" t="str">
        <f>VLOOKUP(H45,유니버스!$C$14:$D$2561,2,0)</f>
        <v>KQ</v>
      </c>
      <c r="H45" s="65" t="str">
        <f>'타임 코스닥액티브'!B51</f>
        <v>리브스메드</v>
      </c>
      <c r="I45" s="65">
        <f>VLOOKUP(H45,'타임 코스닥액티브'!$B$11:$E$1000,4,0)</f>
        <v>0.75</v>
      </c>
      <c r="J45" s="65">
        <f>IFERROR(VLOOKUP(H45,'타임코스닥액티브(과거)'!$B$11:$E$1000,4,0),0)</f>
        <v>0.83</v>
      </c>
      <c r="K45" s="20">
        <f t="shared" si="5"/>
        <v>-7.999999999999996E-2</v>
      </c>
      <c r="L45" s="32">
        <f t="shared" si="6"/>
        <v>-9.6385542168674676E-2</v>
      </c>
      <c r="M45" s="62" t="str">
        <f>VLOOKUP(N45,유니버스!$C$14:$D$2561,2,0)</f>
        <v>KQ</v>
      </c>
      <c r="N45" s="26" t="str">
        <f>플러스코스닥액티브!B51</f>
        <v>실리콘투</v>
      </c>
      <c r="O45" s="26">
        <f>VLOOKUP(N45,플러스코스닥액티브!$B$11:$E$1000,4,0)</f>
        <v>0.61</v>
      </c>
      <c r="P45" s="26">
        <f>IFERROR(VLOOKUP(N45,'플러스코스닥액티브(과거)'!$B$11:$E$1000,4,0),0)</f>
        <v>0.68</v>
      </c>
      <c r="Q45" s="20">
        <f t="shared" si="7"/>
        <v>-7.0000000000000062E-2</v>
      </c>
      <c r="R45" s="32">
        <f t="shared" si="8"/>
        <v>-0.10294117647058831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아모텍</v>
      </c>
      <c r="C46" s="65">
        <f>VLOOKUP(B46,'코엑트 코스닥액티브'!$B$11:$E$1000,4,0)</f>
        <v>0.79</v>
      </c>
      <c r="D46" s="65">
        <f>IFERROR(VLOOKUP(B46,'코엑트 코스닥액티브(과거)'!$B$11:$E$1000,4,0),0)</f>
        <v>0.8</v>
      </c>
      <c r="E46" s="20">
        <f t="shared" si="3"/>
        <v>-1.0000000000000009E-2</v>
      </c>
      <c r="F46" s="32">
        <f t="shared" si="4"/>
        <v>-1.2499999999999956E-2</v>
      </c>
      <c r="G46" s="63" t="str">
        <f>VLOOKUP(H46,유니버스!$C$14:$D$2561,2,0)</f>
        <v>KQ</v>
      </c>
      <c r="H46" s="65" t="str">
        <f>'타임 코스닥액티브'!B52</f>
        <v>알지노믹스</v>
      </c>
      <c r="I46" s="65">
        <f>VLOOKUP(H46,'타임 코스닥액티브'!$B$11:$E$1000,4,0)</f>
        <v>0.72</v>
      </c>
      <c r="J46" s="65">
        <f>IFERROR(VLOOKUP(H46,'타임코스닥액티브(과거)'!$B$11:$E$1000,4,0),0)</f>
        <v>0.76</v>
      </c>
      <c r="K46" s="20">
        <f t="shared" si="5"/>
        <v>-4.0000000000000036E-2</v>
      </c>
      <c r="L46" s="32">
        <f t="shared" si="6"/>
        <v>-5.2631578947368474E-2</v>
      </c>
      <c r="M46" s="62" t="str">
        <f>VLOOKUP(N46,유니버스!$C$14:$D$2561,2,0)</f>
        <v>KQ</v>
      </c>
      <c r="N46" s="26" t="str">
        <f>플러스코스닥액티브!B52</f>
        <v>하나머티리얼즈</v>
      </c>
      <c r="O46" s="26">
        <f>VLOOKUP(N46,플러스코스닥액티브!$B$11:$E$1000,4,0)</f>
        <v>0.57999999999999996</v>
      </c>
      <c r="P46" s="26">
        <f>IFERROR(VLOOKUP(N46,'플러스코스닥액티브(과거)'!$B$11:$E$1000,4,0),0)</f>
        <v>0.56999999999999995</v>
      </c>
      <c r="Q46" s="20">
        <f t="shared" si="7"/>
        <v>1.0000000000000009E-2</v>
      </c>
      <c r="R46" s="32">
        <f t="shared" si="8"/>
        <v>1.7543859649122862E-2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에코프로비엠</v>
      </c>
      <c r="C47" s="65">
        <f>VLOOKUP(B47,'코엑트 코스닥액티브'!$B$11:$E$1000,4,0)</f>
        <v>0.77</v>
      </c>
      <c r="D47" s="65">
        <f>IFERROR(VLOOKUP(B47,'코엑트 코스닥액티브(과거)'!$B$11:$E$1000,4,0),0)</f>
        <v>1</v>
      </c>
      <c r="E47" s="20">
        <f t="shared" si="3"/>
        <v>-0.22999999999999998</v>
      </c>
      <c r="F47" s="32">
        <f t="shared" si="4"/>
        <v>-0.22999999999999998</v>
      </c>
      <c r="G47" s="63" t="str">
        <f>VLOOKUP(H47,유니버스!$C$14:$D$2561,2,0)</f>
        <v>KQ</v>
      </c>
      <c r="H47" s="65" t="str">
        <f>'타임 코스닥액티브'!B53</f>
        <v>서진시스템</v>
      </c>
      <c r="I47" s="65">
        <f>VLOOKUP(H47,'타임 코스닥액티브'!$B$11:$E$1000,4,0)</f>
        <v>0.71</v>
      </c>
      <c r="J47" s="65">
        <f>IFERROR(VLOOKUP(H47,'타임코스닥액티브(과거)'!$B$11:$E$1000,4,0),0)</f>
        <v>2.1</v>
      </c>
      <c r="K47" s="20">
        <f t="shared" si="5"/>
        <v>-1.3900000000000001</v>
      </c>
      <c r="L47" s="32">
        <f t="shared" si="6"/>
        <v>-0.661904761904762</v>
      </c>
      <c r="M47" s="62" t="str">
        <f>VLOOKUP(N47,유니버스!$C$14:$D$2561,2,0)</f>
        <v>KQ</v>
      </c>
      <c r="N47" s="26" t="str">
        <f>플러스코스닥액티브!B53</f>
        <v>덕산하이메탈</v>
      </c>
      <c r="O47" s="26">
        <f>VLOOKUP(N47,플러스코스닥액티브!$B$11:$E$1000,4,0)</f>
        <v>0.57999999999999996</v>
      </c>
      <c r="P47" s="26">
        <f>IFERROR(VLOOKUP(N47,'플러스코스닥액티브(과거)'!$B$11:$E$1000,4,0),0)</f>
        <v>0.59</v>
      </c>
      <c r="Q47" s="20">
        <f t="shared" si="7"/>
        <v>-1.0000000000000009E-2</v>
      </c>
      <c r="R47" s="32">
        <f t="shared" si="8"/>
        <v>-1.6949152542372947E-2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태웅</v>
      </c>
      <c r="C48" s="65">
        <f>VLOOKUP(B48,'코엑트 코스닥액티브'!$B$11:$E$1000,4,0)</f>
        <v>0.76</v>
      </c>
      <c r="D48" s="65">
        <f>IFERROR(VLOOKUP(B48,'코엑트 코스닥액티브(과거)'!$B$11:$E$1000,4,0),0)</f>
        <v>0.84</v>
      </c>
      <c r="E48" s="20">
        <f t="shared" si="3"/>
        <v>-7.999999999999996E-2</v>
      </c>
      <c r="F48" s="32">
        <f t="shared" si="4"/>
        <v>-9.5238095238095233E-2</v>
      </c>
      <c r="G48" s="63" t="str">
        <f>VLOOKUP(H48,유니버스!$C$14:$D$2561,2,0)</f>
        <v>KQ</v>
      </c>
      <c r="H48" s="65" t="str">
        <f>'타임 코스닥액티브'!B54</f>
        <v>RFHIC</v>
      </c>
      <c r="I48" s="65">
        <f>VLOOKUP(H48,'타임 코스닥액티브'!$B$11:$E$1000,4,0)</f>
        <v>0.66</v>
      </c>
      <c r="J48" s="65">
        <f>IFERROR(VLOOKUP(H48,'타임코스닥액티브(과거)'!$B$11:$E$1000,4,0),0)</f>
        <v>0.76</v>
      </c>
      <c r="K48" s="20">
        <f t="shared" si="5"/>
        <v>-9.9999999999999978E-2</v>
      </c>
      <c r="L48" s="32">
        <f t="shared" si="6"/>
        <v>-0.13157894736842102</v>
      </c>
      <c r="M48" s="62" t="str">
        <f>VLOOKUP(N48,유니버스!$C$14:$D$2561,2,0)</f>
        <v>KQ</v>
      </c>
      <c r="N48" s="26" t="str">
        <f>플러스코스닥액티브!B54</f>
        <v>알멕</v>
      </c>
      <c r="O48" s="26">
        <f>VLOOKUP(N48,플러스코스닥액티브!$B$11:$E$1000,4,0)</f>
        <v>0.55000000000000004</v>
      </c>
      <c r="P48" s="26">
        <f>IFERROR(VLOOKUP(N48,'플러스코스닥액티브(과거)'!$B$11:$E$1000,4,0),0)</f>
        <v>0.4</v>
      </c>
      <c r="Q48" s="20">
        <f t="shared" si="7"/>
        <v>0.15000000000000002</v>
      </c>
      <c r="R48" s="32">
        <f t="shared" si="8"/>
        <v>0.375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덕산하이메탈</v>
      </c>
      <c r="C49" s="65">
        <f>VLOOKUP(B49,'코엑트 코스닥액티브'!$B$11:$E$1000,4,0)</f>
        <v>0.72</v>
      </c>
      <c r="D49" s="65">
        <f>IFERROR(VLOOKUP(B49,'코엑트 코스닥액티브(과거)'!$B$11:$E$1000,4,0),0)</f>
        <v>0.98</v>
      </c>
      <c r="E49" s="20">
        <f t="shared" si="3"/>
        <v>-0.26</v>
      </c>
      <c r="F49" s="32">
        <f t="shared" si="4"/>
        <v>-0.26530612244897955</v>
      </c>
      <c r="G49" s="63" t="str">
        <f>VLOOKUP(H49,유니버스!$C$14:$D$2561,2,0)</f>
        <v>KQ</v>
      </c>
      <c r="H49" s="65" t="str">
        <f>'타임 코스닥액티브'!B55</f>
        <v>한선엔지니어링</v>
      </c>
      <c r="I49" s="65">
        <f>VLOOKUP(H49,'타임 코스닥액티브'!$B$11:$E$1000,4,0)</f>
        <v>0.66</v>
      </c>
      <c r="J49" s="65">
        <f>IFERROR(VLOOKUP(H49,'타임코스닥액티브(과거)'!$B$11:$E$1000,4,0),0)</f>
        <v>0.71</v>
      </c>
      <c r="K49" s="20">
        <f t="shared" si="5"/>
        <v>-4.9999999999999933E-2</v>
      </c>
      <c r="L49" s="32">
        <f t="shared" si="6"/>
        <v>-7.0422535211267512E-2</v>
      </c>
      <c r="M49" s="62" t="str">
        <f>VLOOKUP(N49,유니버스!$C$14:$D$2561,2,0)</f>
        <v>KQ</v>
      </c>
      <c r="N49" s="26" t="str">
        <f>플러스코스닥액티브!B55</f>
        <v>클래시스</v>
      </c>
      <c r="O49" s="26">
        <f>VLOOKUP(N49,플러스코스닥액티브!$B$11:$E$1000,4,0)</f>
        <v>0.55000000000000004</v>
      </c>
      <c r="P49" s="26">
        <f>IFERROR(VLOOKUP(N49,'플러스코스닥액티브(과거)'!$B$11:$E$1000,4,0),0)</f>
        <v>0.94</v>
      </c>
      <c r="Q49" s="20">
        <f t="shared" si="7"/>
        <v>-0.3899999999999999</v>
      </c>
      <c r="R49" s="32">
        <f t="shared" si="8"/>
        <v>-0.41489361702127647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에스앤에스텍</v>
      </c>
      <c r="C50" s="65">
        <f>VLOOKUP(B50,'코엑트 코스닥액티브'!$B$11:$E$1000,4,0)</f>
        <v>0.72</v>
      </c>
      <c r="D50" s="65">
        <f>IFERROR(VLOOKUP(B50,'코엑트 코스닥액티브(과거)'!$B$11:$E$1000,4,0),0)</f>
        <v>0.78</v>
      </c>
      <c r="E50" s="20">
        <f t="shared" si="3"/>
        <v>-6.0000000000000053E-2</v>
      </c>
      <c r="F50" s="32">
        <f t="shared" si="4"/>
        <v>-7.6923076923076983E-2</v>
      </c>
      <c r="G50" s="63" t="str">
        <f>VLOOKUP(H50,유니버스!$C$14:$D$2561,2,0)</f>
        <v>KQ</v>
      </c>
      <c r="H50" s="65" t="str">
        <f>'타임 코스닥액티브'!B56</f>
        <v>쎄트렉아이</v>
      </c>
      <c r="I50" s="65">
        <f>VLOOKUP(H50,'타임 코스닥액티브'!$B$11:$E$1000,4,0)</f>
        <v>0.56999999999999995</v>
      </c>
      <c r="J50" s="65">
        <f>IFERROR(VLOOKUP(H50,'타임코스닥액티브(과거)'!$B$11:$E$1000,4,0),0)</f>
        <v>0.67</v>
      </c>
      <c r="K50" s="20">
        <f t="shared" si="5"/>
        <v>-0.10000000000000009</v>
      </c>
      <c r="L50" s="32">
        <f t="shared" si="6"/>
        <v>-0.14925373134328368</v>
      </c>
      <c r="M50" s="62" t="str">
        <f>VLOOKUP(N50,유니버스!$C$14:$D$2561,2,0)</f>
        <v>KQ</v>
      </c>
      <c r="N50" s="26" t="str">
        <f>플러스코스닥액티브!B56</f>
        <v>성호전자</v>
      </c>
      <c r="O50" s="26">
        <f>VLOOKUP(N50,플러스코스닥액티브!$B$11:$E$1000,4,0)</f>
        <v>0.48</v>
      </c>
      <c r="P50" s="26">
        <f>IFERROR(VLOOKUP(N50,'플러스코스닥액티브(과거)'!$B$11:$E$1000,4,0),0)</f>
        <v>0.19</v>
      </c>
      <c r="Q50" s="20">
        <f t="shared" si="7"/>
        <v>0.28999999999999998</v>
      </c>
      <c r="R50" s="32">
        <f t="shared" si="8"/>
        <v>1.5263157894736841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비츠로셀</v>
      </c>
      <c r="C51" s="65">
        <f>VLOOKUP(B51,'코엑트 코스닥액티브'!$B$11:$E$1000,4,0)</f>
        <v>0.66</v>
      </c>
      <c r="D51" s="65">
        <f>IFERROR(VLOOKUP(B51,'코엑트 코스닥액티브(과거)'!$B$11:$E$1000,4,0),0)</f>
        <v>0.7</v>
      </c>
      <c r="E51" s="20">
        <f t="shared" si="3"/>
        <v>-3.9999999999999925E-2</v>
      </c>
      <c r="F51" s="32">
        <f t="shared" si="4"/>
        <v>-5.7142857142857051E-2</v>
      </c>
      <c r="G51" s="63" t="str">
        <f>VLOOKUP(H51,유니버스!$C$14:$D$2561,2,0)</f>
        <v>KQ</v>
      </c>
      <c r="H51" s="65" t="str">
        <f>'타임 코스닥액티브'!B57</f>
        <v>씨어스</v>
      </c>
      <c r="I51" s="65">
        <f>VLOOKUP(H51,'타임 코스닥액티브'!$B$11:$E$1000,4,0)</f>
        <v>0.56999999999999995</v>
      </c>
      <c r="J51" s="65">
        <f>IFERROR(VLOOKUP(H51,'타임코스닥액티브(과거)'!$B$11:$E$1000,4,0),0)</f>
        <v>0.47</v>
      </c>
      <c r="K51" s="20">
        <f t="shared" si="5"/>
        <v>9.9999999999999978E-2</v>
      </c>
      <c r="L51" s="32">
        <f t="shared" si="6"/>
        <v>0.21276595744680837</v>
      </c>
      <c r="M51" s="62" t="str">
        <f>VLOOKUP(N51,유니버스!$C$14:$D$2561,2,0)</f>
        <v>KQ</v>
      </c>
      <c r="N51" s="26" t="str">
        <f>플러스코스닥액티브!B57</f>
        <v>이오테크닉스</v>
      </c>
      <c r="O51" s="26">
        <f>VLOOKUP(N51,플러스코스닥액티브!$B$11:$E$1000,4,0)</f>
        <v>0.44</v>
      </c>
      <c r="P51" s="26">
        <f>IFERROR(VLOOKUP(N51,'플러스코스닥액티브(과거)'!$B$11:$E$1000,4,0),0)</f>
        <v>0.51</v>
      </c>
      <c r="Q51" s="20">
        <f t="shared" si="7"/>
        <v>-7.0000000000000007E-2</v>
      </c>
      <c r="R51" s="32">
        <f t="shared" si="8"/>
        <v>-0.13725490196078427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ISC</v>
      </c>
      <c r="C52" s="65">
        <f>VLOOKUP(B52,'코엑트 코스닥액티브'!$B$11:$E$1000,4,0)</f>
        <v>0.63</v>
      </c>
      <c r="D52" s="65">
        <f>IFERROR(VLOOKUP(B52,'코엑트 코스닥액티브(과거)'!$B$11:$E$1000,4,0),0)</f>
        <v>0.68</v>
      </c>
      <c r="E52" s="20">
        <f t="shared" si="3"/>
        <v>-5.0000000000000044E-2</v>
      </c>
      <c r="F52" s="32">
        <f t="shared" si="4"/>
        <v>-7.3529411764705954E-2</v>
      </c>
      <c r="G52" s="63" t="str">
        <f>VLOOKUP(H52,유니버스!$C$14:$D$2561,2,0)</f>
        <v>KQ</v>
      </c>
      <c r="H52" s="65" t="str">
        <f>'타임 코스닥액티브'!B58</f>
        <v>태성</v>
      </c>
      <c r="I52" s="65">
        <f>VLOOKUP(H52,'타임 코스닥액티브'!$B$11:$E$1000,4,0)</f>
        <v>0.56000000000000005</v>
      </c>
      <c r="J52" s="65">
        <f>IFERROR(VLOOKUP(H52,'타임코스닥액티브(과거)'!$B$11:$E$1000,4,0),0)</f>
        <v>0.62</v>
      </c>
      <c r="K52" s="20">
        <f t="shared" si="5"/>
        <v>-5.9999999999999942E-2</v>
      </c>
      <c r="L52" s="32">
        <f t="shared" si="6"/>
        <v>-9.6774193548387011E-2</v>
      </c>
      <c r="M52" s="62" t="str">
        <f>VLOOKUP(N52,유니버스!$C$14:$D$2561,2,0)</f>
        <v>KQ</v>
      </c>
      <c r="N52" s="26" t="str">
        <f>플러스코스닥액티브!B58</f>
        <v>다우데이타</v>
      </c>
      <c r="O52" s="26">
        <f>VLOOKUP(N52,플러스코스닥액티브!$B$11:$E$1000,4,0)</f>
        <v>0.4</v>
      </c>
      <c r="P52" s="26">
        <f>IFERROR(VLOOKUP(N52,'플러스코스닥액티브(과거)'!$B$11:$E$1000,4,0),0)</f>
        <v>0.41</v>
      </c>
      <c r="Q52" s="20">
        <f t="shared" si="7"/>
        <v>-9.9999999999999534E-3</v>
      </c>
      <c r="R52" s="32">
        <f t="shared" si="8"/>
        <v>-2.4390243902438935E-2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지투지바이오</v>
      </c>
      <c r="C53" s="65">
        <f>VLOOKUP(B53,'코엑트 코스닥액티브'!$B$11:$E$1000,4,0)</f>
        <v>0.63</v>
      </c>
      <c r="D53" s="65">
        <f>IFERROR(VLOOKUP(B53,'코엑트 코스닥액티브(과거)'!$B$11:$E$1000,4,0),0)</f>
        <v>0.63</v>
      </c>
      <c r="E53" s="20">
        <f t="shared" si="3"/>
        <v>0</v>
      </c>
      <c r="F53" s="32">
        <f t="shared" si="4"/>
        <v>0</v>
      </c>
      <c r="G53" s="63" t="str">
        <f>VLOOKUP(H53,유니버스!$C$14:$D$2561,2,0)</f>
        <v>KQ</v>
      </c>
      <c r="H53" s="65" t="str">
        <f>'타임 코스닥액티브'!B59</f>
        <v>켐트로닉스</v>
      </c>
      <c r="I53" s="65">
        <f>VLOOKUP(H53,'타임 코스닥액티브'!$B$11:$E$1000,4,0)</f>
        <v>0.56000000000000005</v>
      </c>
      <c r="J53" s="65">
        <f>IFERROR(VLOOKUP(H53,'타임코스닥액티브(과거)'!$B$11:$E$1000,4,0),0)</f>
        <v>0.63</v>
      </c>
      <c r="K53" s="20">
        <f t="shared" si="5"/>
        <v>-6.9999999999999951E-2</v>
      </c>
      <c r="L53" s="32">
        <f t="shared" si="6"/>
        <v>-0.11111111111111105</v>
      </c>
      <c r="M53" s="62" t="str">
        <f>VLOOKUP(N53,유니버스!$C$14:$D$2561,2,0)</f>
        <v>KQ</v>
      </c>
      <c r="N53" s="26" t="str">
        <f>플러스코스닥액티브!B59</f>
        <v>오로스테크놀로지</v>
      </c>
      <c r="O53" s="26">
        <f>VLOOKUP(N53,플러스코스닥액티브!$B$11:$E$1000,4,0)</f>
        <v>0.4</v>
      </c>
      <c r="P53" s="26">
        <f>IFERROR(VLOOKUP(N53,'플러스코스닥액티브(과거)'!$B$11:$E$1000,4,0),0)</f>
        <v>0.33</v>
      </c>
      <c r="Q53" s="20">
        <f t="shared" si="7"/>
        <v>7.0000000000000007E-2</v>
      </c>
      <c r="R53" s="32">
        <f t="shared" si="8"/>
        <v>0.21212121212121215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솔브레인홀딩스</v>
      </c>
      <c r="C54" s="65">
        <f>VLOOKUP(B54,'코엑트 코스닥액티브'!$B$11:$E$1000,4,0)</f>
        <v>0.53</v>
      </c>
      <c r="D54" s="65">
        <f>IFERROR(VLOOKUP(B54,'코엑트 코스닥액티브(과거)'!$B$11:$E$1000,4,0),0)</f>
        <v>0.56000000000000005</v>
      </c>
      <c r="E54" s="20">
        <f t="shared" si="3"/>
        <v>-3.0000000000000027E-2</v>
      </c>
      <c r="F54" s="32">
        <f t="shared" si="4"/>
        <v>-5.3571428571428603E-2</v>
      </c>
      <c r="G54" s="63" t="str">
        <f>VLOOKUP(H54,유니버스!$C$14:$D$2561,2,0)</f>
        <v>KQ</v>
      </c>
      <c r="H54" s="65" t="str">
        <f>'타임 코스닥액티브'!B60</f>
        <v>미래에셋벤처투자</v>
      </c>
      <c r="I54" s="65">
        <f>VLOOKUP(H54,'타임 코스닥액티브'!$B$11:$E$1000,4,0)</f>
        <v>0.52</v>
      </c>
      <c r="J54" s="65">
        <f>IFERROR(VLOOKUP(H54,'타임코스닥액티브(과거)'!$B$11:$E$1000,4,0),0)</f>
        <v>0.64</v>
      </c>
      <c r="K54" s="20">
        <f t="shared" si="5"/>
        <v>-0.12</v>
      </c>
      <c r="L54" s="32">
        <f t="shared" si="6"/>
        <v>-0.1875</v>
      </c>
      <c r="M54" s="62" t="str">
        <f>VLOOKUP(N54,유니버스!$C$14:$D$2561,2,0)</f>
        <v>KQ</v>
      </c>
      <c r="N54" s="26" t="str">
        <f>플러스코스닥액티브!B60</f>
        <v>RF머트리얼즈</v>
      </c>
      <c r="O54" s="26">
        <f>VLOOKUP(N54,플러스코스닥액티브!$B$11:$E$1000,4,0)</f>
        <v>0.39</v>
      </c>
      <c r="P54" s="26">
        <f>IFERROR(VLOOKUP(N54,'플러스코스닥액티브(과거)'!$B$11:$E$1000,4,0),0)</f>
        <v>0.43</v>
      </c>
      <c r="Q54" s="20">
        <f t="shared" si="7"/>
        <v>-3.999999999999998E-2</v>
      </c>
      <c r="R54" s="32">
        <f t="shared" si="8"/>
        <v>-9.3023255813953432E-2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에스에이엠티</v>
      </c>
      <c r="C55" s="65">
        <f>VLOOKUP(B55,'코엑트 코스닥액티브'!$B$11:$E$1000,4,0)</f>
        <v>0.53</v>
      </c>
      <c r="D55" s="65">
        <f>IFERROR(VLOOKUP(B55,'코엑트 코스닥액티브(과거)'!$B$11:$E$1000,4,0),0)</f>
        <v>0.21</v>
      </c>
      <c r="E55" s="20">
        <f t="shared" si="3"/>
        <v>0.32000000000000006</v>
      </c>
      <c r="F55" s="32">
        <f t="shared" si="4"/>
        <v>1.5238095238095242</v>
      </c>
      <c r="G55" s="63" t="str">
        <f>VLOOKUP(H55,유니버스!$C$14:$D$2561,2,0)</f>
        <v>KQ</v>
      </c>
      <c r="H55" s="65" t="str">
        <f>'타임 코스닥액티브'!B61</f>
        <v>에이비엘바이오</v>
      </c>
      <c r="I55" s="65">
        <f>VLOOKUP(H55,'타임 코스닥액티브'!$B$11:$E$1000,4,0)</f>
        <v>0.52</v>
      </c>
      <c r="J55" s="65">
        <f>IFERROR(VLOOKUP(H55,'타임코스닥액티브(과거)'!$B$11:$E$1000,4,0),0)</f>
        <v>0.52</v>
      </c>
      <c r="K55" s="20">
        <f t="shared" si="5"/>
        <v>0</v>
      </c>
      <c r="L55" s="32">
        <f t="shared" si="6"/>
        <v>0</v>
      </c>
      <c r="M55" s="62" t="str">
        <f>VLOOKUP(N55,유니버스!$C$14:$D$2561,2,0)</f>
        <v>KQ</v>
      </c>
      <c r="N55" s="26" t="str">
        <f>플러스코스닥액티브!B61</f>
        <v>샘씨엔에스</v>
      </c>
      <c r="O55" s="26">
        <f>VLOOKUP(N55,플러스코스닥액티브!$B$11:$E$1000,4,0)</f>
        <v>0.38</v>
      </c>
      <c r="P55" s="26">
        <f>IFERROR(VLOOKUP(N55,'플러스코스닥액티브(과거)'!$B$11:$E$1000,4,0),0)</f>
        <v>0.31</v>
      </c>
      <c r="Q55" s="20">
        <f t="shared" si="7"/>
        <v>7.0000000000000007E-2</v>
      </c>
      <c r="R55" s="32">
        <f t="shared" si="8"/>
        <v>0.22580645161290325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에스엔시스</v>
      </c>
      <c r="C56" s="65">
        <f>VLOOKUP(B56,'코엑트 코스닥액티브'!$B$11:$E$1000,4,0)</f>
        <v>0.51</v>
      </c>
      <c r="D56" s="65">
        <f>IFERROR(VLOOKUP(B56,'코엑트 코스닥액티브(과거)'!$B$11:$E$1000,4,0),0)</f>
        <v>0.68</v>
      </c>
      <c r="E56" s="20">
        <f t="shared" si="3"/>
        <v>-0.17000000000000004</v>
      </c>
      <c r="F56" s="32">
        <f t="shared" si="4"/>
        <v>-0.25</v>
      </c>
      <c r="G56" s="63" t="str">
        <f>VLOOKUP(H56,유니버스!$C$14:$D$2561,2,0)</f>
        <v>KQ</v>
      </c>
      <c r="H56" s="65" t="str">
        <f>'타임 코스닥액티브'!B62</f>
        <v>리노공업</v>
      </c>
      <c r="I56" s="65">
        <f>VLOOKUP(H56,'타임 코스닥액티브'!$B$11:$E$1000,4,0)</f>
        <v>0.48</v>
      </c>
      <c r="J56" s="65">
        <f>IFERROR(VLOOKUP(H56,'타임코스닥액티브(과거)'!$B$11:$E$1000,4,0),0)</f>
        <v>0.56000000000000005</v>
      </c>
      <c r="K56" s="20">
        <f t="shared" si="5"/>
        <v>-8.0000000000000071E-2</v>
      </c>
      <c r="L56" s="32">
        <f t="shared" si="6"/>
        <v>-0.14285714285714302</v>
      </c>
      <c r="M56" s="62" t="str">
        <f>VLOOKUP(N56,유니버스!$C$14:$D$2561,2,0)</f>
        <v>KQ</v>
      </c>
      <c r="N56" s="26" t="str">
        <f>플러스코스닥액티브!B62</f>
        <v>에이프로</v>
      </c>
      <c r="O56" s="26">
        <f>VLOOKUP(N56,플러스코스닥액티브!$B$11:$E$1000,4,0)</f>
        <v>0.37</v>
      </c>
      <c r="P56" s="26">
        <f>IFERROR(VLOOKUP(N56,'플러스코스닥액티브(과거)'!$B$11:$E$1000,4,0),0)</f>
        <v>0.38</v>
      </c>
      <c r="Q56" s="20">
        <f t="shared" si="7"/>
        <v>-1.0000000000000009E-2</v>
      </c>
      <c r="R56" s="32">
        <f t="shared" si="8"/>
        <v>-2.6315789473684181E-2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노바렉스</v>
      </c>
      <c r="C57" s="65">
        <f>VLOOKUP(B57,'코엑트 코스닥액티브'!$B$11:$E$1000,4,0)</f>
        <v>0.49</v>
      </c>
      <c r="D57" s="65">
        <f>IFERROR(VLOOKUP(B57,'코엑트 코스닥액티브(과거)'!$B$11:$E$1000,4,0),0)</f>
        <v>0.5</v>
      </c>
      <c r="E57" s="20">
        <f t="shared" si="3"/>
        <v>-1.0000000000000009E-2</v>
      </c>
      <c r="F57" s="32">
        <f t="shared" si="4"/>
        <v>-2.0000000000000018E-2</v>
      </c>
      <c r="G57" s="63" t="str">
        <f>VLOOKUP(H57,유니버스!$C$14:$D$2561,2,0)</f>
        <v>KQ</v>
      </c>
      <c r="H57" s="65" t="str">
        <f>'타임 코스닥액티브'!B63</f>
        <v>인텔리안테크</v>
      </c>
      <c r="I57" s="65">
        <f>VLOOKUP(H57,'타임 코스닥액티브'!$B$11:$E$1000,4,0)</f>
        <v>0.48</v>
      </c>
      <c r="J57" s="65">
        <f>IFERROR(VLOOKUP(H57,'타임코스닥액티브(과거)'!$B$11:$E$1000,4,0),0)</f>
        <v>0.56999999999999995</v>
      </c>
      <c r="K57" s="20">
        <f t="shared" si="5"/>
        <v>-8.9999999999999969E-2</v>
      </c>
      <c r="L57" s="32">
        <f t="shared" si="6"/>
        <v>-0.1578947368421052</v>
      </c>
      <c r="M57" s="62" t="str">
        <f>VLOOKUP(N57,유니버스!$C$14:$D$2561,2,0)</f>
        <v>KQ</v>
      </c>
      <c r="N57" s="26" t="str">
        <f>플러스코스닥액티브!B63</f>
        <v>액트로</v>
      </c>
      <c r="O57" s="26">
        <f>VLOOKUP(N57,플러스코스닥액티브!$B$11:$E$1000,4,0)</f>
        <v>0.35</v>
      </c>
      <c r="P57" s="26">
        <f>IFERROR(VLOOKUP(N57,'플러스코스닥액티브(과거)'!$B$11:$E$1000,4,0),0)</f>
        <v>0.4</v>
      </c>
      <c r="Q57" s="20">
        <f t="shared" ref="Q57:Q63" si="9">O57-P57</f>
        <v>-5.0000000000000044E-2</v>
      </c>
      <c r="R57" s="32">
        <f t="shared" ref="R57:R63" si="10">IFERROR(O57/P57-1,"신규편입")</f>
        <v>-0.12500000000000011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이엔에프테크놀로지</v>
      </c>
      <c r="C58" s="65">
        <f>VLOOKUP(B58,'코엑트 코스닥액티브'!$B$11:$E$1000,4,0)</f>
        <v>0.48</v>
      </c>
      <c r="D58" s="65">
        <f>IFERROR(VLOOKUP(B58,'코엑트 코스닥액티브(과거)'!$B$11:$E$1000,4,0),0)</f>
        <v>0</v>
      </c>
      <c r="E58" s="20">
        <f t="shared" si="3"/>
        <v>0.48</v>
      </c>
      <c r="F58" s="32" t="str">
        <f t="shared" si="4"/>
        <v>신규편입</v>
      </c>
      <c r="G58" s="63" t="str">
        <f>VLOOKUP(H58,유니버스!$C$14:$D$2561,2,0)</f>
        <v>KQ</v>
      </c>
      <c r="H58" s="65" t="str">
        <f>'타임 코스닥액티브'!B64</f>
        <v>에이치브이엠</v>
      </c>
      <c r="I58" s="65">
        <f>VLOOKUP(H58,'타임 코스닥액티브'!$B$11:$E$1000,4,0)</f>
        <v>0.41</v>
      </c>
      <c r="J58" s="65">
        <f>IFERROR(VLOOKUP(H58,'타임코스닥액티브(과거)'!$B$11:$E$1000,4,0),0)</f>
        <v>0.44</v>
      </c>
      <c r="K58" s="20">
        <f t="shared" ref="K58:K63" si="11">I58-J58</f>
        <v>-3.0000000000000027E-2</v>
      </c>
      <c r="L58" s="32">
        <f t="shared" ref="L58:L63" si="12">IFERROR(I58/J58-1,"신규편입")</f>
        <v>-6.8181818181818232E-2</v>
      </c>
      <c r="M58" s="62" t="str">
        <f>VLOOKUP(N58,유니버스!$C$14:$D$2561,2,0)</f>
        <v>KQ</v>
      </c>
      <c r="N58" s="26" t="str">
        <f>플러스코스닥액티브!B64</f>
        <v>상아프론테크</v>
      </c>
      <c r="O58" s="26">
        <f>VLOOKUP(N58,플러스코스닥액티브!$B$11:$E$1000,4,0)</f>
        <v>0.35</v>
      </c>
      <c r="P58" s="26">
        <f>IFERROR(VLOOKUP(N58,'플러스코스닥액티브(과거)'!$B$11:$E$1000,4,0),0)</f>
        <v>0.4</v>
      </c>
      <c r="Q58" s="20">
        <f t="shared" si="9"/>
        <v>-5.0000000000000044E-2</v>
      </c>
      <c r="R58" s="32">
        <f t="shared" si="10"/>
        <v>-0.12500000000000011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저스템</v>
      </c>
      <c r="C59" s="65">
        <f>VLOOKUP(B59,'코엑트 코스닥액티브'!$B$11:$E$1000,4,0)</f>
        <v>0.47</v>
      </c>
      <c r="D59" s="65">
        <f>IFERROR(VLOOKUP(B59,'코엑트 코스닥액티브(과거)'!$B$11:$E$1000,4,0),0)</f>
        <v>0.43</v>
      </c>
      <c r="E59" s="20">
        <f t="shared" si="3"/>
        <v>3.999999999999998E-2</v>
      </c>
      <c r="F59" s="32">
        <f t="shared" si="4"/>
        <v>9.3023255813953432E-2</v>
      </c>
      <c r="G59" s="63" t="str">
        <f>VLOOKUP(H59,유니버스!$C$14:$D$2561,2,0)</f>
        <v>KQ</v>
      </c>
      <c r="H59" s="65" t="str">
        <f>'타임 코스닥액티브'!B65</f>
        <v>실리콘투</v>
      </c>
      <c r="I59" s="65">
        <f>VLOOKUP(H59,'타임 코스닥액티브'!$B$11:$E$1000,4,0)</f>
        <v>0.38</v>
      </c>
      <c r="J59" s="65">
        <f>IFERROR(VLOOKUP(H59,'타임코스닥액티브(과거)'!$B$11:$E$1000,4,0),0)</f>
        <v>0.37</v>
      </c>
      <c r="K59" s="20">
        <f t="shared" si="11"/>
        <v>1.0000000000000009E-2</v>
      </c>
      <c r="L59" s="32">
        <f t="shared" si="12"/>
        <v>2.7027027027026973E-2</v>
      </c>
      <c r="M59" s="62" t="str">
        <f>VLOOKUP(N59,유니버스!$C$14:$D$2561,2,0)</f>
        <v>KQ</v>
      </c>
      <c r="N59" s="26" t="str">
        <f>플러스코스닥액티브!B65</f>
        <v>올릭스</v>
      </c>
      <c r="O59" s="26">
        <f>VLOOKUP(N59,플러스코스닥액티브!$B$11:$E$1000,4,0)</f>
        <v>0.3</v>
      </c>
      <c r="P59" s="26">
        <f>IFERROR(VLOOKUP(N59,'플러스코스닥액티브(과거)'!$B$11:$E$1000,4,0),0)</f>
        <v>0.54</v>
      </c>
      <c r="Q59" s="20">
        <f t="shared" si="9"/>
        <v>-0.24000000000000005</v>
      </c>
      <c r="R59" s="32">
        <f t="shared" si="10"/>
        <v>-0.44444444444444453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이오테크닉스</v>
      </c>
      <c r="C60" s="65">
        <f>VLOOKUP(B60,'코엑트 코스닥액티브'!$B$11:$E$1000,4,0)</f>
        <v>0.46</v>
      </c>
      <c r="D60" s="65">
        <f>IFERROR(VLOOKUP(B60,'코엑트 코스닥액티브(과거)'!$B$11:$E$1000,4,0),0)</f>
        <v>0.52</v>
      </c>
      <c r="E60" s="20">
        <f t="shared" si="3"/>
        <v>-0.06</v>
      </c>
      <c r="F60" s="32">
        <f t="shared" si="4"/>
        <v>-0.11538461538461542</v>
      </c>
      <c r="G60" s="63" t="str">
        <f>VLOOKUP(H60,유니버스!$C$14:$D$2561,2,0)</f>
        <v>KQ</v>
      </c>
      <c r="H60" s="65" t="str">
        <f>'타임 코스닥액티브'!B66</f>
        <v>케어젠</v>
      </c>
      <c r="I60" s="65">
        <f>VLOOKUP(H60,'타임 코스닥액티브'!$B$11:$E$1000,4,0)</f>
        <v>0.36</v>
      </c>
      <c r="J60" s="65">
        <f>IFERROR(VLOOKUP(H60,'타임코스닥액티브(과거)'!$B$11:$E$1000,4,0),0)</f>
        <v>0.34</v>
      </c>
      <c r="K60" s="20">
        <f t="shared" si="11"/>
        <v>1.9999999999999962E-2</v>
      </c>
      <c r="L60" s="32">
        <f t="shared" si="12"/>
        <v>5.8823529411764497E-2</v>
      </c>
      <c r="M60" s="62" t="str">
        <f>VLOOKUP(N60,유니버스!$C$14:$D$2561,2,0)</f>
        <v>KQ</v>
      </c>
      <c r="N60" s="26" t="str">
        <f>플러스코스닥액티브!B66</f>
        <v>파마리서치</v>
      </c>
      <c r="O60" s="26">
        <f>VLOOKUP(N60,플러스코스닥액티브!$B$11:$E$1000,4,0)</f>
        <v>0.3</v>
      </c>
      <c r="P60" s="26">
        <f>IFERROR(VLOOKUP(N60,'플러스코스닥액티브(과거)'!$B$11:$E$1000,4,0),0)</f>
        <v>0</v>
      </c>
      <c r="Q60" s="20">
        <f t="shared" si="9"/>
        <v>0.3</v>
      </c>
      <c r="R60" s="32" t="str">
        <f t="shared" si="10"/>
        <v>신규편입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티에프이</v>
      </c>
      <c r="C61" s="65">
        <f>VLOOKUP(B61,'코엑트 코스닥액티브'!$B$11:$E$1000,4,0)</f>
        <v>0.45</v>
      </c>
      <c r="D61" s="65">
        <f>IFERROR(VLOOKUP(B61,'코엑트 코스닥액티브(과거)'!$B$11:$E$1000,4,0),0)</f>
        <v>0.65</v>
      </c>
      <c r="E61" s="20">
        <f t="shared" si="3"/>
        <v>-0.2</v>
      </c>
      <c r="F61" s="32">
        <f t="shared" si="4"/>
        <v>-0.30769230769230771</v>
      </c>
      <c r="G61" s="63" t="str">
        <f>VLOOKUP(H61,유니버스!$C$14:$D$2561,2,0)</f>
        <v>KQ</v>
      </c>
      <c r="H61" s="65" t="str">
        <f>'타임 코스닥액티브'!B67</f>
        <v>오킨스전자</v>
      </c>
      <c r="I61" s="65">
        <f>VLOOKUP(H61,'타임 코스닥액티브'!$B$11:$E$1000,4,0)</f>
        <v>0.33</v>
      </c>
      <c r="J61" s="65">
        <f>IFERROR(VLOOKUP(H61,'타임코스닥액티브(과거)'!$B$11:$E$1000,4,0),0)</f>
        <v>0.35</v>
      </c>
      <c r="K61" s="20">
        <f t="shared" si="11"/>
        <v>-1.9999999999999962E-2</v>
      </c>
      <c r="L61" s="32">
        <f t="shared" si="12"/>
        <v>-5.7142857142857051E-2</v>
      </c>
      <c r="M61" s="62" t="str">
        <f>VLOOKUP(N61,유니버스!$C$14:$D$2561,2,0)</f>
        <v>KQ</v>
      </c>
      <c r="N61" s="26" t="str">
        <f>플러스코스닥액티브!B67</f>
        <v>삼현</v>
      </c>
      <c r="O61" s="26">
        <f>VLOOKUP(N61,플러스코스닥액티브!$B$11:$E$1000,4,0)</f>
        <v>0.28999999999999998</v>
      </c>
      <c r="P61" s="26">
        <f>IFERROR(VLOOKUP(N61,'플러스코스닥액티브(과거)'!$B$11:$E$1000,4,0),0)</f>
        <v>0.26</v>
      </c>
      <c r="Q61" s="20">
        <f t="shared" si="9"/>
        <v>2.9999999999999971E-2</v>
      </c>
      <c r="R61" s="32">
        <f t="shared" si="10"/>
        <v>0.1153846153846152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알지노믹스</v>
      </c>
      <c r="C62" s="65">
        <f>VLOOKUP(B62,'코엑트 코스닥액티브'!$B$11:$E$1000,4,0)</f>
        <v>0.43</v>
      </c>
      <c r="D62" s="65">
        <f>IFERROR(VLOOKUP(B62,'코엑트 코스닥액티브(과거)'!$B$11:$E$1000,4,0),0)</f>
        <v>0.46</v>
      </c>
      <c r="E62" s="20">
        <f t="shared" si="3"/>
        <v>-3.0000000000000027E-2</v>
      </c>
      <c r="F62" s="32">
        <f t="shared" si="4"/>
        <v>-6.5217391304347894E-2</v>
      </c>
      <c r="G62" s="63" t="str">
        <f>VLOOKUP(H62,유니버스!$C$14:$D$2561,2,0)</f>
        <v>KQ</v>
      </c>
      <c r="H62" s="65" t="str">
        <f>'타임 코스닥액티브'!B68</f>
        <v>더블유씨피</v>
      </c>
      <c r="I62" s="65">
        <f>VLOOKUP(H62,'타임 코스닥액티브'!$B$11:$E$1000,4,0)</f>
        <v>0.32</v>
      </c>
      <c r="J62" s="65">
        <f>IFERROR(VLOOKUP(H62,'타임코스닥액티브(과거)'!$B$11:$E$1000,4,0),0)</f>
        <v>0.35</v>
      </c>
      <c r="K62" s="20">
        <f t="shared" si="11"/>
        <v>-2.9999999999999971E-2</v>
      </c>
      <c r="L62" s="32">
        <f t="shared" si="12"/>
        <v>-8.5714285714285632E-2</v>
      </c>
      <c r="M62" s="62" t="str">
        <f>VLOOKUP(N62,유니버스!$C$14:$D$2561,2,0)</f>
        <v>KQ</v>
      </c>
      <c r="N62" s="26" t="str">
        <f>플러스코스닥액티브!B68</f>
        <v>선익시스템</v>
      </c>
      <c r="O62" s="26">
        <f>VLOOKUP(N62,플러스코스닥액티브!$B$11:$E$1000,4,0)</f>
        <v>0.23</v>
      </c>
      <c r="P62" s="26">
        <f>IFERROR(VLOOKUP(N62,'플러스코스닥액티브(과거)'!$B$11:$E$1000,4,0),0)</f>
        <v>0.27</v>
      </c>
      <c r="Q62" s="20">
        <f t="shared" si="9"/>
        <v>-4.0000000000000008E-2</v>
      </c>
      <c r="R62" s="32">
        <f t="shared" si="10"/>
        <v>-0.14814814814814814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HPSP</v>
      </c>
      <c r="C63" s="65">
        <f>VLOOKUP(B63,'코엑트 코스닥액티브'!$B$11:$E$1000,4,0)</f>
        <v>0.43</v>
      </c>
      <c r="D63" s="65">
        <f>IFERROR(VLOOKUP(B63,'코엑트 코스닥액티브(과거)'!$B$11:$E$1000,4,0),0)</f>
        <v>0.48</v>
      </c>
      <c r="E63" s="20">
        <f t="shared" si="3"/>
        <v>-4.9999999999999989E-2</v>
      </c>
      <c r="F63" s="32">
        <f t="shared" si="4"/>
        <v>-0.10416666666666663</v>
      </c>
      <c r="G63" s="63" t="e">
        <f>VLOOKUP(H63,유니버스!$C$14:$D$2561,2,0)</f>
        <v>#N/A</v>
      </c>
      <c r="H63" s="65" t="str">
        <f>'타임 코스닥액티브'!B69</f>
        <v>메쥬</v>
      </c>
      <c r="I63" s="65">
        <f>VLOOKUP(H63,'타임 코스닥액티브'!$B$11:$E$1000,4,0)</f>
        <v>0.3</v>
      </c>
      <c r="J63" s="65">
        <f>IFERROR(VLOOKUP(H63,'타임코스닥액티브(과거)'!$B$11:$E$1000,4,0),0)</f>
        <v>0.38</v>
      </c>
      <c r="K63" s="20">
        <f t="shared" si="11"/>
        <v>-8.0000000000000016E-2</v>
      </c>
      <c r="L63" s="32">
        <f t="shared" si="12"/>
        <v>-0.21052631578947367</v>
      </c>
      <c r="M63" s="62" t="str">
        <f>VLOOKUP(N63,유니버스!$C$14:$D$2561,2,0)</f>
        <v>KQ</v>
      </c>
      <c r="N63" s="26" t="str">
        <f>플러스코스닥액티브!B69</f>
        <v>리가켐바이오</v>
      </c>
      <c r="O63" s="26">
        <f>VLOOKUP(N63,플러스코스닥액티브!$B$11:$E$1000,4,0)</f>
        <v>0.21</v>
      </c>
      <c r="P63" s="26">
        <f>IFERROR(VLOOKUP(N63,'플러스코스닥액티브(과거)'!$B$11:$E$1000,4,0),0)</f>
        <v>0.57999999999999996</v>
      </c>
      <c r="Q63" s="20">
        <f t="shared" si="9"/>
        <v>-0.37</v>
      </c>
      <c r="R63" s="32">
        <f t="shared" si="10"/>
        <v>-0.63793103448275867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인텔리안테크</v>
      </c>
      <c r="C64" s="65">
        <f>VLOOKUP(B64,'코엑트 코스닥액티브'!$B$11:$E$1000,4,0)</f>
        <v>0.43</v>
      </c>
      <c r="D64" s="65">
        <f>IFERROR(VLOOKUP(B64,'코엑트 코스닥액티브(과거)'!$B$11:$E$1000,4,0),0)</f>
        <v>0.49</v>
      </c>
      <c r="E64" s="20">
        <f t="shared" si="3"/>
        <v>-0.06</v>
      </c>
      <c r="F64" s="32">
        <f t="shared" si="4"/>
        <v>-0.12244897959183676</v>
      </c>
      <c r="G64" s="63" t="str">
        <f>VLOOKUP(H64,유니버스!$C$14:$D$2561,2,0)</f>
        <v>KQ</v>
      </c>
      <c r="H64" s="65" t="str">
        <f>'타임 코스닥액티브'!B70</f>
        <v>RF머트리얼즈</v>
      </c>
      <c r="I64" s="65">
        <f>VLOOKUP(H64,'타임 코스닥액티브'!$B$11:$E$1000,4,0)</f>
        <v>0.28999999999999998</v>
      </c>
      <c r="J64" s="65">
        <f>IFERROR(VLOOKUP(H64,'타임코스닥액티브(과거)'!$B$11:$E$1000,4,0),0)</f>
        <v>0</v>
      </c>
      <c r="K64" s="20">
        <f t="shared" ref="K64:K65" si="13">I64-J64</f>
        <v>0.28999999999999998</v>
      </c>
      <c r="L64" s="32" t="str">
        <f t="shared" ref="L64:L65" si="14">IFERROR(I64/J64-1,"신규편입")</f>
        <v>신규편입</v>
      </c>
      <c r="M64" s="62" t="str">
        <f>VLOOKUP(N64,유니버스!$C$14:$D$2561,2,0)</f>
        <v>KQ</v>
      </c>
      <c r="N64" s="26" t="str">
        <f>플러스코스닥액티브!B70</f>
        <v>더핑크퐁컴퍼니</v>
      </c>
      <c r="O64" s="26">
        <f>VLOOKUP(N64,플러스코스닥액티브!$B$11:$E$1000,4,0)</f>
        <v>0.18</v>
      </c>
      <c r="P64" s="26">
        <f>IFERROR(VLOOKUP(N64,'플러스코스닥액티브(과거)'!$B$11:$E$1000,4,0),0)</f>
        <v>0.19</v>
      </c>
      <c r="Q64" s="20">
        <f t="shared" ref="Q64:Q68" si="15">O64-P64</f>
        <v>-1.0000000000000009E-2</v>
      </c>
      <c r="R64" s="32">
        <f t="shared" ref="R64:R68" si="16">IFERROR(O64/P64-1,"신규편입")</f>
        <v>-5.2631578947368474E-2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씨어스</v>
      </c>
      <c r="C65" s="65">
        <f>VLOOKUP(B65,'코엑트 코스닥액티브'!$B$11:$E$1000,4,0)</f>
        <v>0.4</v>
      </c>
      <c r="D65" s="65">
        <f>IFERROR(VLOOKUP(B65,'코엑트 코스닥액티브(과거)'!$B$11:$E$1000,4,0),0)</f>
        <v>0.33</v>
      </c>
      <c r="E65" s="20">
        <f t="shared" si="3"/>
        <v>7.0000000000000007E-2</v>
      </c>
      <c r="F65" s="32">
        <f t="shared" si="4"/>
        <v>0.21212121212121215</v>
      </c>
      <c r="G65" s="63" t="str">
        <f>VLOOKUP(H65,유니버스!$C$14:$D$2561,2,0)</f>
        <v>KQ</v>
      </c>
      <c r="H65" s="65" t="str">
        <f>'타임 코스닥액티브'!B71</f>
        <v>보로노이</v>
      </c>
      <c r="I65" s="65">
        <f>VLOOKUP(H65,'타임 코스닥액티브'!$B$11:$E$1000,4,0)</f>
        <v>0.27</v>
      </c>
      <c r="J65" s="65">
        <f>IFERROR(VLOOKUP(H65,'타임코스닥액티브(과거)'!$B$11:$E$1000,4,0),0)</f>
        <v>0.28000000000000003</v>
      </c>
      <c r="K65" s="20">
        <f t="shared" si="13"/>
        <v>-1.0000000000000009E-2</v>
      </c>
      <c r="L65" s="32">
        <f t="shared" si="14"/>
        <v>-3.5714285714285698E-2</v>
      </c>
      <c r="M65" s="62" t="str">
        <f>VLOOKUP(N65,유니버스!$C$14:$D$2561,2,0)</f>
        <v>KQ</v>
      </c>
      <c r="N65" s="26" t="str">
        <f>플러스코스닥액티브!B71</f>
        <v>하이록코리아</v>
      </c>
      <c r="O65" s="26">
        <f>VLOOKUP(N65,플러스코스닥액티브!$B$11:$E$1000,4,0)</f>
        <v>0.18</v>
      </c>
      <c r="P65" s="26">
        <f>IFERROR(VLOOKUP(N65,'플러스코스닥액티브(과거)'!$B$11:$E$1000,4,0),0)</f>
        <v>0.19</v>
      </c>
      <c r="Q65" s="20">
        <f t="shared" si="15"/>
        <v>-1.0000000000000009E-2</v>
      </c>
      <c r="R65" s="32">
        <f t="shared" si="16"/>
        <v>-5.2631578947368474E-2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에이치브이엠</v>
      </c>
      <c r="C66" s="65">
        <f>VLOOKUP(B66,'코엑트 코스닥액티브'!$B$11:$E$1000,4,0)</f>
        <v>0.38</v>
      </c>
      <c r="D66" s="65">
        <f>IFERROR(VLOOKUP(B66,'코엑트 코스닥액티브(과거)'!$B$11:$E$1000,4,0),0)</f>
        <v>0.5</v>
      </c>
      <c r="E66" s="20">
        <f t="shared" si="3"/>
        <v>-0.12</v>
      </c>
      <c r="F66" s="32">
        <f t="shared" si="4"/>
        <v>-0.24</v>
      </c>
      <c r="G66" s="63" t="e">
        <f>VLOOKUP(H66,유니버스!$C$14:$D$2561,2,0)</f>
        <v>#N/A</v>
      </c>
      <c r="H66" s="65" t="str">
        <f>'타임 코스닥액티브'!B72</f>
        <v>원화현금</v>
      </c>
      <c r="I66" s="65">
        <f>VLOOKUP(H66,'타임 코스닥액티브'!$B$11:$E$1000,4,0)</f>
        <v>1.37</v>
      </c>
      <c r="J66" s="65">
        <f>IFERROR(VLOOKUP(H66,'타임코스닥액티브(과거)'!$B$11:$E$1000,4,0),0)</f>
        <v>1.69</v>
      </c>
      <c r="K66" s="20">
        <f t="shared" ref="K66" si="17">I66-J66</f>
        <v>-0.31999999999999984</v>
      </c>
      <c r="L66" s="32">
        <f t="shared" ref="L66" si="18">IFERROR(I66/J66-1,"신규편입")</f>
        <v>-0.18934911242603536</v>
      </c>
      <c r="M66" s="62" t="str">
        <f>VLOOKUP(N66,유니버스!$C$14:$D$2561,2,0)</f>
        <v>KQ</v>
      </c>
      <c r="N66" s="26" t="str">
        <f>플러스코스닥액티브!B72</f>
        <v>서부T&amp;D</v>
      </c>
      <c r="O66" s="26">
        <f>VLOOKUP(N66,플러스코스닥액티브!$B$11:$E$1000,4,0)</f>
        <v>0.15</v>
      </c>
      <c r="P66" s="26">
        <f>IFERROR(VLOOKUP(N66,'플러스코스닥액티브(과거)'!$B$11:$E$1000,4,0),0)</f>
        <v>0.15</v>
      </c>
      <c r="Q66" s="20">
        <f t="shared" si="15"/>
        <v>0</v>
      </c>
      <c r="R66" s="32">
        <f t="shared" si="16"/>
        <v>0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보로노이</v>
      </c>
      <c r="C67" s="65">
        <f>VLOOKUP(B67,'코엑트 코스닥액티브'!$B$11:$E$1000,4,0)</f>
        <v>0.37</v>
      </c>
      <c r="D67" s="65">
        <f>IFERROR(VLOOKUP(B67,'코엑트 코스닥액티브(과거)'!$B$11:$E$1000,4,0),0)</f>
        <v>0.37</v>
      </c>
      <c r="E67" s="20">
        <f t="shared" si="3"/>
        <v>0</v>
      </c>
      <c r="F67" s="32">
        <f t="shared" si="4"/>
        <v>0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에스티팜</v>
      </c>
      <c r="O67" s="26">
        <f>VLOOKUP(N67,플러스코스닥액티브!$B$11:$E$1000,4,0)</f>
        <v>0.11</v>
      </c>
      <c r="P67" s="26">
        <f>IFERROR(VLOOKUP(N67,'플러스코스닥액티브(과거)'!$B$11:$E$1000,4,0),0)</f>
        <v>0.1</v>
      </c>
      <c r="Q67" s="20">
        <f t="shared" si="15"/>
        <v>9.999999999999995E-3</v>
      </c>
      <c r="R67" s="32">
        <f t="shared" si="16"/>
        <v>9.9999999999999867E-2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선익시스템</v>
      </c>
      <c r="C68" s="65">
        <f>VLOOKUP(B68,'코엑트 코스닥액티브'!$B$11:$E$1000,4,0)</f>
        <v>0.36</v>
      </c>
      <c r="D68" s="65">
        <f>IFERROR(VLOOKUP(B68,'코엑트 코스닥액티브(과거)'!$B$11:$E$1000,4,0),0)</f>
        <v>0.5</v>
      </c>
      <c r="E68" s="20">
        <f t="shared" si="3"/>
        <v>-0.14000000000000001</v>
      </c>
      <c r="F68" s="32">
        <f t="shared" si="4"/>
        <v>-0.28000000000000003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씨젠</v>
      </c>
      <c r="O68" s="26">
        <f>VLOOKUP(N68,플러스코스닥액티브!$B$11:$E$1000,4,0)</f>
        <v>0.09</v>
      </c>
      <c r="P68" s="26">
        <f>IFERROR(VLOOKUP(N68,'플러스코스닥액티브(과거)'!$B$11:$E$1000,4,0),0)</f>
        <v>0.35</v>
      </c>
      <c r="Q68" s="20">
        <f t="shared" si="15"/>
        <v>-0.26</v>
      </c>
      <c r="R68" s="32">
        <f t="shared" si="16"/>
        <v>-0.74285714285714288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코오롱생명과학</v>
      </c>
      <c r="C69" s="65">
        <f>VLOOKUP(B69,'코엑트 코스닥액티브'!$B$11:$E$1000,4,0)</f>
        <v>0.35</v>
      </c>
      <c r="D69" s="65">
        <f>IFERROR(VLOOKUP(B69,'코엑트 코스닥액티브(과거)'!$B$11:$E$1000,4,0),0)</f>
        <v>0.38</v>
      </c>
      <c r="E69" s="20">
        <f t="shared" si="3"/>
        <v>-3.0000000000000027E-2</v>
      </c>
      <c r="F69" s="32">
        <f t="shared" si="4"/>
        <v>-7.8947368421052655E-2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HK이노엔</v>
      </c>
      <c r="O69" s="26">
        <f>VLOOKUP(N69,플러스코스닥액티브!$B$11:$E$1000,4,0)</f>
        <v>0.09</v>
      </c>
      <c r="P69" s="26">
        <f>IFERROR(VLOOKUP(N69,'플러스코스닥액티브(과거)'!$B$11:$E$1000,4,0),0)</f>
        <v>0</v>
      </c>
      <c r="Q69" s="20">
        <f t="shared" ref="Q69:Q73" si="19">O69-P69</f>
        <v>0.09</v>
      </c>
      <c r="R69" s="32" t="str">
        <f t="shared" ref="R69:R73" si="20">IFERROR(O69/P69-1,"신규편입")</f>
        <v>신규편입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씨메스로보틱스</v>
      </c>
      <c r="C70" s="65">
        <f>VLOOKUP(B70,'코엑트 코스닥액티브'!$B$11:$E$1000,4,0)</f>
        <v>0.35</v>
      </c>
      <c r="D70" s="65">
        <f>IFERROR(VLOOKUP(B70,'코엑트 코스닥액티브(과거)'!$B$11:$E$1000,4,0),0)</f>
        <v>0.38</v>
      </c>
      <c r="E70" s="20">
        <f t="shared" ref="E70:E78" si="21">C70-D70</f>
        <v>-3.0000000000000027E-2</v>
      </c>
      <c r="F70" s="32">
        <f t="shared" ref="F70:F78" si="22">IFERROR(C70/D70-1,"신규편입")</f>
        <v>-7.8947368421052655E-2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덕산네오룩스</v>
      </c>
      <c r="O70" s="26">
        <f>VLOOKUP(N70,플러스코스닥액티브!$B$11:$E$1000,4,0)</f>
        <v>0.09</v>
      </c>
      <c r="P70" s="26">
        <f>IFERROR(VLOOKUP(N70,'플러스코스닥액티브(과거)'!$B$11:$E$1000,4,0),0)</f>
        <v>0.31</v>
      </c>
      <c r="Q70" s="20">
        <f t="shared" si="19"/>
        <v>-0.22</v>
      </c>
      <c r="R70" s="32">
        <f t="shared" si="20"/>
        <v>-0.70967741935483875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이랜텍</v>
      </c>
      <c r="C71" s="65">
        <f>VLOOKUP(B71,'코엑트 코스닥액티브'!$B$11:$E$1000,4,0)</f>
        <v>0.35</v>
      </c>
      <c r="D71" s="65">
        <f>IFERROR(VLOOKUP(B71,'코엑트 코스닥액티브(과거)'!$B$11:$E$1000,4,0),0)</f>
        <v>0.36</v>
      </c>
      <c r="E71" s="20">
        <f t="shared" si="21"/>
        <v>-1.0000000000000009E-2</v>
      </c>
      <c r="F71" s="32">
        <f t="shared" si="22"/>
        <v>-2.777777777777779E-2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레이크머티리얼즈</v>
      </c>
      <c r="O71" s="26">
        <f>VLOOKUP(N71,플러스코스닥액티브!$B$11:$E$1000,4,0)</f>
        <v>0.09</v>
      </c>
      <c r="P71" s="26">
        <f>IFERROR(VLOOKUP(N71,'플러스코스닥액티브(과거)'!$B$11:$E$1000,4,0),0)</f>
        <v>0.24</v>
      </c>
      <c r="Q71" s="20">
        <f t="shared" si="19"/>
        <v>-0.15</v>
      </c>
      <c r="R71" s="32">
        <f t="shared" si="20"/>
        <v>-0.625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덕산네오룩스</v>
      </c>
      <c r="C72" s="65">
        <f>VLOOKUP(B72,'코엑트 코스닥액티브'!$B$11:$E$1000,4,0)</f>
        <v>0.33</v>
      </c>
      <c r="D72" s="65">
        <f>IFERROR(VLOOKUP(B72,'코엑트 코스닥액티브(과거)'!$B$11:$E$1000,4,0),0)</f>
        <v>0.35</v>
      </c>
      <c r="E72" s="20">
        <f t="shared" si="21"/>
        <v>-1.9999999999999962E-2</v>
      </c>
      <c r="F72" s="32">
        <f t="shared" si="22"/>
        <v>-5.7142857142857051E-2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나노신소재</v>
      </c>
      <c r="O72" s="26">
        <f>VLOOKUP(N72,플러스코스닥액티브!$B$11:$E$1000,4,0)</f>
        <v>0.08</v>
      </c>
      <c r="P72" s="26">
        <f>IFERROR(VLOOKUP(N72,'플러스코스닥액티브(과거)'!$B$11:$E$1000,4,0),0)</f>
        <v>0.09</v>
      </c>
      <c r="Q72" s="20">
        <f t="shared" si="19"/>
        <v>-9.999999999999995E-3</v>
      </c>
      <c r="R72" s="32">
        <f t="shared" si="20"/>
        <v>-0.11111111111111105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파두</v>
      </c>
      <c r="C73" s="65">
        <f>VLOOKUP(B73,'코엑트 코스닥액티브'!$B$11:$E$1000,4,0)</f>
        <v>0.28000000000000003</v>
      </c>
      <c r="D73" s="65">
        <f>IFERROR(VLOOKUP(B73,'코엑트 코스닥액티브(과거)'!$B$11:$E$1000,4,0),0)</f>
        <v>2.66</v>
      </c>
      <c r="E73" s="20">
        <f t="shared" si="21"/>
        <v>-2.38</v>
      </c>
      <c r="F73" s="32">
        <f t="shared" si="22"/>
        <v>-0.89473684210526316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오이솔루션</v>
      </c>
      <c r="O73" s="26">
        <f>VLOOKUP(N73,플러스코스닥액티브!$B$11:$E$1000,4,0)</f>
        <v>7.0000000000000007E-2</v>
      </c>
      <c r="P73" s="26">
        <f>IFERROR(VLOOKUP(N73,'플러스코스닥액티브(과거)'!$B$11:$E$1000,4,0),0)</f>
        <v>0.08</v>
      </c>
      <c r="Q73" s="20">
        <f t="shared" si="19"/>
        <v>-9.999999999999995E-3</v>
      </c>
      <c r="R73" s="32">
        <f t="shared" si="20"/>
        <v>-0.12499999999999989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엠케이전자</v>
      </c>
      <c r="C74" s="65">
        <f>VLOOKUP(B74,'코엑트 코스닥액티브'!$B$11:$E$1000,4,0)</f>
        <v>0.25</v>
      </c>
      <c r="D74" s="65">
        <f>IFERROR(VLOOKUP(B74,'코엑트 코스닥액티브(과거)'!$B$11:$E$1000,4,0),0)</f>
        <v>0.19</v>
      </c>
      <c r="E74" s="20">
        <f t="shared" si="21"/>
        <v>0.06</v>
      </c>
      <c r="F74" s="32">
        <f t="shared" si="22"/>
        <v>0.31578947368421062</v>
      </c>
      <c r="H74" s="65"/>
      <c r="I74" s="65"/>
      <c r="J74" s="65"/>
      <c r="K74" s="20"/>
      <c r="L74" s="32"/>
      <c r="M74" s="62" t="e">
        <f>VLOOKUP(N74,유니버스!$C$14:$D$2561,2,0)</f>
        <v>#N/A</v>
      </c>
      <c r="N74" s="26" t="str">
        <f>플러스코스닥액티브!B80</f>
        <v>채비</v>
      </c>
      <c r="O74" s="26">
        <f>VLOOKUP(N74,플러스코스닥액티브!$B$11:$E$1000,4,0)</f>
        <v>0.05</v>
      </c>
      <c r="P74" s="26">
        <f>IFERROR(VLOOKUP(N74,'플러스코스닥액티브(과거)'!$B$11:$E$1000,4,0),0)</f>
        <v>0.05</v>
      </c>
      <c r="Q74" s="20">
        <f t="shared" ref="Q74:Q75" si="23">O74-P74</f>
        <v>0</v>
      </c>
      <c r="R74" s="32">
        <f t="shared" ref="R74:R75" si="24">IFERROR(O74/P74-1,"신규편입")</f>
        <v>0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와이지엔터테인먼트</v>
      </c>
      <c r="C75" s="65">
        <f>VLOOKUP(B75,'코엑트 코스닥액티브'!$B$11:$E$1000,4,0)</f>
        <v>0.21</v>
      </c>
      <c r="D75" s="65">
        <f>IFERROR(VLOOKUP(B75,'코엑트 코스닥액티브(과거)'!$B$11:$E$1000,4,0),0)</f>
        <v>0.12</v>
      </c>
      <c r="E75" s="20">
        <f t="shared" si="21"/>
        <v>0.09</v>
      </c>
      <c r="F75" s="32">
        <f t="shared" si="22"/>
        <v>0.75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원화현금</v>
      </c>
      <c r="O75" s="26">
        <f>VLOOKUP(N75,플러스코스닥액티브!$B$11:$E$1000,4,0)</f>
        <v>0.49</v>
      </c>
      <c r="P75" s="26">
        <f>IFERROR(VLOOKUP(N75,'플러스코스닥액티브(과거)'!$B$11:$E$1000,4,0),0)</f>
        <v>0.74</v>
      </c>
      <c r="Q75" s="20">
        <f t="shared" si="23"/>
        <v>-0.25</v>
      </c>
      <c r="R75" s="32">
        <f t="shared" si="24"/>
        <v>-0.33783783783783783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LS머트리얼즈</v>
      </c>
      <c r="C76" s="65">
        <f>VLOOKUP(B76,'코엑트 코스닥액티브'!$B$11:$E$1000,4,0)</f>
        <v>0.19</v>
      </c>
      <c r="D76" s="65">
        <f>IFERROR(VLOOKUP(B76,'코엑트 코스닥액티브(과거)'!$B$11:$E$1000,4,0),0)</f>
        <v>0.26</v>
      </c>
      <c r="E76" s="20">
        <f t="shared" si="21"/>
        <v>-7.0000000000000007E-2</v>
      </c>
      <c r="F76" s="32">
        <f t="shared" si="22"/>
        <v>-0.26923076923076927</v>
      </c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알멕</v>
      </c>
      <c r="C77" s="65">
        <f>VLOOKUP(B77,'코엑트 코스닥액티브'!$B$11:$E$1000,4,0)</f>
        <v>0.18</v>
      </c>
      <c r="D77" s="65">
        <f>IFERROR(VLOOKUP(B77,'코엑트 코스닥액티브(과거)'!$B$11:$E$1000,4,0),0)</f>
        <v>0.56000000000000005</v>
      </c>
      <c r="E77" s="20">
        <f t="shared" si="21"/>
        <v>-0.38000000000000006</v>
      </c>
      <c r="F77" s="32">
        <f t="shared" si="22"/>
        <v>-0.6785714285714286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레이크머티리얼즈</v>
      </c>
      <c r="C78" s="65">
        <f>VLOOKUP(B78,'코엑트 코스닥액티브'!$B$11:$E$1000,4,0)</f>
        <v>0.13</v>
      </c>
      <c r="D78" s="65">
        <f>IFERROR(VLOOKUP(B78,'코엑트 코스닥액티브(과거)'!$B$11:$E$1000,4,0),0)</f>
        <v>0.28999999999999998</v>
      </c>
      <c r="E78" s="20">
        <f t="shared" si="21"/>
        <v>-0.15999999999999998</v>
      </c>
      <c r="F78" s="32">
        <f t="shared" si="22"/>
        <v>-0.55172413793103448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O1" zoomScaleNormal="100" workbookViewId="0">
      <selection activeCell="R16" sqref="R16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[20260701]</v>
      </c>
      <c r="D4" s="66" t="str">
        <f>'UNICORN SK하이닉스밸류체인액티브(과거)'!B4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[20260701]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21.64</v>
      </c>
      <c r="D5" s="65">
        <f>IFERROR(VLOOKUP(B5,'UNICORN SK하이닉스밸류체인액티브(과거)'!$B$11:$E$1000,4,0),0)</f>
        <v>25.47</v>
      </c>
      <c r="E5" s="20">
        <f t="shared" ref="E5" si="0">C5-D5</f>
        <v>-3.8299999999999983</v>
      </c>
      <c r="F5" s="32">
        <f t="shared" ref="F5" si="1">IFERROR(C5/D5-1,"신규편입")</f>
        <v>-0.15037298782881814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24.76</v>
      </c>
      <c r="J5" s="65">
        <f>IFERROR(VLOOKUP(H5,'WON 반도체밸류체인액티브(과거)'!$B$11:$E$1000,4,0),0)</f>
        <v>27.1</v>
      </c>
      <c r="K5" s="20">
        <f t="shared" ref="K5" si="2">I5-J5</f>
        <v>-2.34</v>
      </c>
      <c r="L5" s="32">
        <f t="shared" ref="L5" si="3">IFERROR(I5/J5-1,"신규편입")</f>
        <v>-8.6346863468634627E-2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23.94</v>
      </c>
      <c r="P5" s="26">
        <f>IFERROR(VLOOKUP(N5,'RISE 비메모리반도체액티브(과거)'!$B$11:$E$1000,4,0),0)</f>
        <v>26.03</v>
      </c>
      <c r="Q5" s="20">
        <f t="shared" ref="Q5" si="4">O5-P5</f>
        <v>-2.09</v>
      </c>
      <c r="R5" s="32">
        <f t="shared" ref="R5" si="5">IFERROR(O5/P5-1,"신규편입")</f>
        <v>-8.0291970802919721E-2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21.2</v>
      </c>
      <c r="D6" s="65">
        <f>IFERROR(VLOOKUP(B6,'UNICORN SK하이닉스밸류체인액티브(과거)'!$B$11:$E$1000,4,0),0)</f>
        <v>24.78</v>
      </c>
      <c r="E6" s="20">
        <f t="shared" ref="E6:E15" si="6">C6-D6</f>
        <v>-3.5800000000000018</v>
      </c>
      <c r="F6" s="32">
        <f t="shared" ref="F6:F15" si="7">IFERROR(C6/D6-1,"신규편입")</f>
        <v>-0.14447134786117843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20.67</v>
      </c>
      <c r="J6" s="65">
        <f>IFERROR(VLOOKUP(H6,'WON 반도체밸류체인액티브(과거)'!$B$11:$E$1000,4,0),0)</f>
        <v>23.58</v>
      </c>
      <c r="K6" s="20">
        <f t="shared" ref="K6:K21" si="8">I6-J6</f>
        <v>-2.9099999999999966</v>
      </c>
      <c r="L6" s="32">
        <f t="shared" ref="L6:L21" si="9">IFERROR(I6/J6-1,"신규편입")</f>
        <v>-0.12340966921119578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20.72</v>
      </c>
      <c r="P6" s="26">
        <f>IFERROR(VLOOKUP(N6,'RISE 비메모리반도체액티브(과거)'!$B$11:$E$1000,4,0),0)</f>
        <v>21.62</v>
      </c>
      <c r="Q6" s="20">
        <f t="shared" ref="Q6:Q18" si="10">O6-P6</f>
        <v>-0.90000000000000213</v>
      </c>
      <c r="R6" s="32">
        <f t="shared" ref="R6:R18" si="11">IFERROR(O6/P6-1,"신규편입")</f>
        <v>-4.1628122109158339E-2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브이엠</v>
      </c>
      <c r="C7" s="65">
        <f>VLOOKUP(B7,'UNICORN SK하이닉스밸류체인액티브'!$B$11:$E$1000,4,0)</f>
        <v>5.1100000000000003</v>
      </c>
      <c r="D7" s="65">
        <f>IFERROR(VLOOKUP(B7,'UNICORN SK하이닉스밸류체인액티브(과거)'!$B$11:$E$1000,4,0),0)</f>
        <v>3.85</v>
      </c>
      <c r="E7" s="20">
        <f t="shared" si="6"/>
        <v>1.2600000000000002</v>
      </c>
      <c r="F7" s="32">
        <f t="shared" si="7"/>
        <v>0.32727272727272738</v>
      </c>
      <c r="G7" s="63" t="str">
        <f>VLOOKUP(H7,유니버스!$C$14:$D$2561,2,0)</f>
        <v>KQ</v>
      </c>
      <c r="H7" s="65" t="str">
        <f>'WON 반도체밸류체인액티브'!B13</f>
        <v>기가비스</v>
      </c>
      <c r="I7" s="65">
        <f>VLOOKUP(H7,'WON 반도체밸류체인액티브'!$B$11:$E$1000,4,0)</f>
        <v>5.52</v>
      </c>
      <c r="J7" s="65">
        <f>IFERROR(VLOOKUP(H7,'WON 반도체밸류체인액티브(과거)'!$B$11:$E$1000,4,0),0)</f>
        <v>4.1100000000000003</v>
      </c>
      <c r="K7" s="20">
        <f t="shared" si="8"/>
        <v>1.4099999999999993</v>
      </c>
      <c r="L7" s="32">
        <f t="shared" si="9"/>
        <v>0.34306569343065663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7.82</v>
      </c>
      <c r="P7" s="26">
        <f>IFERROR(VLOOKUP(N7,'RISE 비메모리반도체액티브(과거)'!$B$11:$E$1000,4,0),0)</f>
        <v>5.97</v>
      </c>
      <c r="Q7" s="20">
        <f t="shared" si="10"/>
        <v>1.8500000000000005</v>
      </c>
      <c r="R7" s="32">
        <f t="shared" si="11"/>
        <v>0.30988274706867691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피에스케이</v>
      </c>
      <c r="C8" s="65">
        <f>VLOOKUP(B8,'UNICORN SK하이닉스밸류체인액티브'!$B$11:$E$1000,4,0)</f>
        <v>4.9400000000000004</v>
      </c>
      <c r="D8" s="65">
        <f>IFERROR(VLOOKUP(B8,'UNICORN SK하이닉스밸류체인액티브(과거)'!$B$11:$E$1000,4,0),0)</f>
        <v>3.93</v>
      </c>
      <c r="E8" s="20">
        <f t="shared" si="6"/>
        <v>1.0100000000000002</v>
      </c>
      <c r="F8" s="32">
        <f t="shared" si="7"/>
        <v>0.25699745547073793</v>
      </c>
      <c r="G8" s="63" t="str">
        <f>VLOOKUP(H8,유니버스!$C$14:$D$2561,2,0)</f>
        <v>KS</v>
      </c>
      <c r="H8" s="65" t="str">
        <f>'WON 반도체밸류체인액티브'!B14</f>
        <v>SK스퀘어</v>
      </c>
      <c r="I8" s="65">
        <f>VLOOKUP(H8,'WON 반도체밸류체인액티브'!$B$11:$E$1000,4,0)</f>
        <v>5.16</v>
      </c>
      <c r="J8" s="65">
        <f>IFERROR(VLOOKUP(H8,'WON 반도체밸류체인액티브(과거)'!$B$11:$E$1000,4,0),0)</f>
        <v>5.3</v>
      </c>
      <c r="K8" s="20">
        <f t="shared" si="8"/>
        <v>-0.13999999999999968</v>
      </c>
      <c r="L8" s="32">
        <f t="shared" si="9"/>
        <v>-2.6415094339622636E-2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6.62</v>
      </c>
      <c r="P8" s="26">
        <f>IFERROR(VLOOKUP(N8,'RISE 비메모리반도체액티브(과거)'!$B$11:$E$1000,4,0),0)</f>
        <v>6.59</v>
      </c>
      <c r="Q8" s="20">
        <f t="shared" si="10"/>
        <v>3.0000000000000249E-2</v>
      </c>
      <c r="R8" s="32">
        <f t="shared" si="11"/>
        <v>4.5523520485584168E-3</v>
      </c>
    </row>
    <row r="9" spans="1:18" x14ac:dyDescent="0.4">
      <c r="A9" s="63" t="str">
        <f>VLOOKUP(B9,유니버스!$C$14:$D$2561,2,0)</f>
        <v>KS</v>
      </c>
      <c r="B9" s="65" t="str">
        <f>'UNICORN SK하이닉스밸류체인액티브'!B15</f>
        <v>삼성전기</v>
      </c>
      <c r="C9" s="65">
        <f>VLOOKUP(B9,'UNICORN SK하이닉스밸류체인액티브'!$B$11:$E$1000,4,0)</f>
        <v>4.71</v>
      </c>
      <c r="D9" s="65">
        <f>IFERROR(VLOOKUP(B9,'UNICORN SK하이닉스밸류체인액티브(과거)'!$B$11:$E$1000,4,0),0)</f>
        <v>4.1100000000000003</v>
      </c>
      <c r="E9" s="20">
        <f t="shared" si="6"/>
        <v>0.59999999999999964</v>
      </c>
      <c r="F9" s="32">
        <f t="shared" si="7"/>
        <v>0.14598540145985384</v>
      </c>
      <c r="G9" s="63" t="str">
        <f>VLOOKUP(H9,유니버스!$C$14:$D$2561,2,0)</f>
        <v>KS</v>
      </c>
      <c r="H9" s="65" t="str">
        <f>'WON 반도체밸류체인액티브'!B15</f>
        <v>삼성전기</v>
      </c>
      <c r="I9" s="65">
        <f>VLOOKUP(H9,'WON 반도체밸류체인액티브'!$B$11:$E$1000,4,0)</f>
        <v>5.05</v>
      </c>
      <c r="J9" s="65">
        <f>IFERROR(VLOOKUP(H9,'WON 반도체밸류체인액티브(과거)'!$B$11:$E$1000,4,0),0)</f>
        <v>5.27</v>
      </c>
      <c r="K9" s="20">
        <f t="shared" si="8"/>
        <v>-0.21999999999999975</v>
      </c>
      <c r="L9" s="32">
        <f t="shared" si="9"/>
        <v>-4.1745730550284632E-2</v>
      </c>
      <c r="M9" s="62" t="str">
        <f>VLOOKUP(N9,유니버스!$C$14:$D$2561,2,0)</f>
        <v>KQ</v>
      </c>
      <c r="N9" s="26" t="str">
        <f>'RISE 비메모리반도체액티브'!B15</f>
        <v>브이엠</v>
      </c>
      <c r="O9" s="26">
        <f>VLOOKUP(N9,'RISE 비메모리반도체액티브'!$B$11:$E$1000,4,0)</f>
        <v>5.92</v>
      </c>
      <c r="P9" s="26">
        <f>IFERROR(VLOOKUP(N9,'RISE 비메모리반도체액티브(과거)'!$B$11:$E$1000,4,0),0)</f>
        <v>3.88</v>
      </c>
      <c r="Q9" s="20">
        <f t="shared" si="10"/>
        <v>2.04</v>
      </c>
      <c r="R9" s="32">
        <f t="shared" si="11"/>
        <v>0.52577319587628879</v>
      </c>
    </row>
    <row r="10" spans="1:18" x14ac:dyDescent="0.4">
      <c r="A10" s="63" t="str">
        <f>VLOOKUP(B10,유니버스!$C$14:$D$2561,2,0)</f>
        <v>KQ</v>
      </c>
      <c r="B10" s="65" t="str">
        <f>'UNICORN SK하이닉스밸류체인액티브'!B16</f>
        <v>피에스케이홀딩스</v>
      </c>
      <c r="C10" s="65">
        <f>VLOOKUP(B10,'UNICORN SK하이닉스밸류체인액티브'!$B$11:$E$1000,4,0)</f>
        <v>4.41</v>
      </c>
      <c r="D10" s="65">
        <f>IFERROR(VLOOKUP(B10,'UNICORN SK하이닉스밸류체인액티브(과거)'!$B$11:$E$1000,4,0),0)</f>
        <v>3.04</v>
      </c>
      <c r="E10" s="20">
        <f t="shared" si="6"/>
        <v>1.37</v>
      </c>
      <c r="F10" s="32">
        <f t="shared" si="7"/>
        <v>0.45065789473684204</v>
      </c>
      <c r="G10" s="63" t="str">
        <f>VLOOKUP(H10,유니버스!$C$14:$D$2561,2,0)</f>
        <v>KQ</v>
      </c>
      <c r="H10" s="65" t="str">
        <f>'WON 반도체밸류체인액티브'!B16</f>
        <v>피에스케이홀딩스</v>
      </c>
      <c r="I10" s="65">
        <f>VLOOKUP(H10,'WON 반도체밸류체인액티브'!$B$11:$E$1000,4,0)</f>
        <v>4.7699999999999996</v>
      </c>
      <c r="J10" s="65">
        <f>IFERROR(VLOOKUP(H10,'WON 반도체밸류체인액티브(과거)'!$B$11:$E$1000,4,0),0)</f>
        <v>3.27</v>
      </c>
      <c r="K10" s="20">
        <f t="shared" si="8"/>
        <v>1.4999999999999996</v>
      </c>
      <c r="L10" s="32">
        <f t="shared" si="9"/>
        <v>0.45871559633027514</v>
      </c>
      <c r="M10" s="62" t="str">
        <f>VLOOKUP(N10,유니버스!$C$14:$D$2561,2,0)</f>
        <v>KS</v>
      </c>
      <c r="N10" s="26" t="str">
        <f>'RISE 비메모리반도체액티브'!B16</f>
        <v>대덕전자</v>
      </c>
      <c r="O10" s="26">
        <f>VLOOKUP(N10,'RISE 비메모리반도체액티브'!$B$11:$E$1000,4,0)</f>
        <v>4.54</v>
      </c>
      <c r="P10" s="26">
        <f>IFERROR(VLOOKUP(N10,'RISE 비메모리반도체액티브(과거)'!$B$11:$E$1000,4,0),0)</f>
        <v>4.4400000000000004</v>
      </c>
      <c r="Q10" s="20">
        <f t="shared" si="10"/>
        <v>9.9999999999999645E-2</v>
      </c>
      <c r="R10" s="32">
        <f t="shared" si="11"/>
        <v>2.2522522522522515E-2</v>
      </c>
    </row>
    <row r="11" spans="1:18" x14ac:dyDescent="0.4">
      <c r="A11" s="63" t="str">
        <f>VLOOKUP(B11,유니버스!$C$14:$D$2561,2,0)</f>
        <v>KS</v>
      </c>
      <c r="B11" s="65" t="str">
        <f>'UNICORN SK하이닉스밸류체인액티브'!B17</f>
        <v>LG이노텍</v>
      </c>
      <c r="C11" s="65">
        <f>VLOOKUP(B11,'UNICORN SK하이닉스밸류체인액티브'!$B$11:$E$1000,4,0)</f>
        <v>4.12</v>
      </c>
      <c r="D11" s="65">
        <f>IFERROR(VLOOKUP(B11,'UNICORN SK하이닉스밸류체인액티브(과거)'!$B$11:$E$1000,4,0),0)</f>
        <v>3.45</v>
      </c>
      <c r="E11" s="20">
        <f t="shared" si="6"/>
        <v>0.66999999999999993</v>
      </c>
      <c r="F11" s="32">
        <f t="shared" si="7"/>
        <v>0.1942028985507247</v>
      </c>
      <c r="G11" s="63" t="str">
        <f>VLOOKUP(H11,유니버스!$C$14:$D$2561,2,0)</f>
        <v>KQ</v>
      </c>
      <c r="H11" s="65" t="str">
        <f>'WON 반도체밸류체인액티브'!B17</f>
        <v>피에스케이</v>
      </c>
      <c r="I11" s="65">
        <f>VLOOKUP(H11,'WON 반도체밸류체인액티브'!$B$11:$E$1000,4,0)</f>
        <v>4.6399999999999997</v>
      </c>
      <c r="J11" s="65">
        <f>IFERROR(VLOOKUP(H11,'WON 반도체밸류체인액티브(과거)'!$B$11:$E$1000,4,0),0)</f>
        <v>3.67</v>
      </c>
      <c r="K11" s="20">
        <f t="shared" si="8"/>
        <v>0.96999999999999975</v>
      </c>
      <c r="L11" s="32">
        <f t="shared" si="9"/>
        <v>0.26430517711171664</v>
      </c>
      <c r="M11" s="62" t="str">
        <f>VLOOKUP(N11,유니버스!$C$14:$D$2561,2,0)</f>
        <v>KQ</v>
      </c>
      <c r="N11" s="26" t="str">
        <f>'RISE 비메모리반도체액티브'!B17</f>
        <v>리노공업</v>
      </c>
      <c r="O11" s="26">
        <f>VLOOKUP(N11,'RISE 비메모리반도체액티브'!$B$11:$E$1000,4,0)</f>
        <v>4.4400000000000004</v>
      </c>
      <c r="P11" s="26">
        <f>IFERROR(VLOOKUP(N11,'RISE 비메모리반도체액티브(과거)'!$B$11:$E$1000,4,0),0)</f>
        <v>4.8600000000000003</v>
      </c>
      <c r="Q11" s="20">
        <f t="shared" si="10"/>
        <v>-0.41999999999999993</v>
      </c>
      <c r="R11" s="32">
        <f t="shared" si="11"/>
        <v>-8.6419753086419693E-2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유진테크</v>
      </c>
      <c r="C12" s="65">
        <f>VLOOKUP(B12,'UNICORN SK하이닉스밸류체인액티브'!$B$11:$E$1000,4,0)</f>
        <v>3.5</v>
      </c>
      <c r="D12" s="65">
        <f>IFERROR(VLOOKUP(B12,'UNICORN SK하이닉스밸류체인액티브(과거)'!$B$11:$E$1000,4,0),0)</f>
        <v>2.9</v>
      </c>
      <c r="E12" s="20">
        <f t="shared" si="6"/>
        <v>0.60000000000000009</v>
      </c>
      <c r="F12" s="32">
        <f t="shared" si="7"/>
        <v>0.2068965517241379</v>
      </c>
      <c r="G12" s="63" t="str">
        <f>VLOOKUP(H12,유니버스!$C$14:$D$2561,2,0)</f>
        <v>KQ</v>
      </c>
      <c r="H12" s="65" t="str">
        <f>'WON 반도체밸류체인액티브'!B18</f>
        <v>브이엠</v>
      </c>
      <c r="I12" s="65">
        <f>VLOOKUP(H12,'WON 반도체밸류체인액티브'!$B$11:$E$1000,4,0)</f>
        <v>4.55</v>
      </c>
      <c r="J12" s="65">
        <f>IFERROR(VLOOKUP(H12,'WON 반도체밸류체인액티브(과거)'!$B$11:$E$1000,4,0),0)</f>
        <v>3.4</v>
      </c>
      <c r="K12" s="20">
        <f t="shared" si="8"/>
        <v>1.1499999999999999</v>
      </c>
      <c r="L12" s="32">
        <f t="shared" si="9"/>
        <v>0.33823529411764697</v>
      </c>
      <c r="M12" s="62" t="str">
        <f>VLOOKUP(N12,유니버스!$C$14:$D$2561,2,0)</f>
        <v>KQ</v>
      </c>
      <c r="N12" s="26" t="str">
        <f>'RISE 비메모리반도체액티브'!B18</f>
        <v>원익QnC</v>
      </c>
      <c r="O12" s="26">
        <f>VLOOKUP(N12,'RISE 비메모리반도체액티브'!$B$11:$E$1000,4,0)</f>
        <v>4.1100000000000003</v>
      </c>
      <c r="P12" s="26">
        <f>IFERROR(VLOOKUP(N12,'RISE 비메모리반도체액티브(과거)'!$B$11:$E$1000,4,0),0)</f>
        <v>3.85</v>
      </c>
      <c r="Q12" s="20">
        <f t="shared" si="10"/>
        <v>0.26000000000000023</v>
      </c>
      <c r="R12" s="32">
        <f t="shared" si="11"/>
        <v>6.7532467532467555E-2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심텍</v>
      </c>
      <c r="C13" s="65">
        <f>VLOOKUP(B13,'UNICORN SK하이닉스밸류체인액티브'!$B$11:$E$1000,4,0)</f>
        <v>3.35</v>
      </c>
      <c r="D13" s="65">
        <f>IFERROR(VLOOKUP(B13,'UNICORN SK하이닉스밸류체인액티브(과거)'!$B$11:$E$1000,4,0),0)</f>
        <v>2.7</v>
      </c>
      <c r="E13" s="20">
        <f t="shared" si="6"/>
        <v>0.64999999999999991</v>
      </c>
      <c r="F13" s="32">
        <f t="shared" si="7"/>
        <v>0.2407407407407407</v>
      </c>
      <c r="G13" s="63" t="str">
        <f>VLOOKUP(H13,유니버스!$C$14:$D$2561,2,0)</f>
        <v>KS</v>
      </c>
      <c r="H13" s="65" t="str">
        <f>'WON 반도체밸류체인액티브'!B19</f>
        <v>대덕전자</v>
      </c>
      <c r="I13" s="65">
        <f>VLOOKUP(H13,'WON 반도체밸류체인액티브'!$B$11:$E$1000,4,0)</f>
        <v>4.04</v>
      </c>
      <c r="J13" s="65">
        <f>IFERROR(VLOOKUP(H13,'WON 반도체밸류체인액티브(과거)'!$B$11:$E$1000,4,0),0)</f>
        <v>4.1500000000000004</v>
      </c>
      <c r="K13" s="20">
        <f t="shared" si="8"/>
        <v>-0.11000000000000032</v>
      </c>
      <c r="L13" s="32">
        <f t="shared" si="9"/>
        <v>-2.6506024096385583E-2</v>
      </c>
      <c r="M13" s="62" t="str">
        <f>VLOOKUP(N13,유니버스!$C$14:$D$2561,2,0)</f>
        <v>KS</v>
      </c>
      <c r="N13" s="26" t="str">
        <f>'RISE 비메모리반도체액티브'!B19</f>
        <v>이수페타시스</v>
      </c>
      <c r="O13" s="26">
        <f>VLOOKUP(N13,'RISE 비메모리반도체액티브'!$B$11:$E$1000,4,0)</f>
        <v>3.75</v>
      </c>
      <c r="P13" s="26">
        <f>IFERROR(VLOOKUP(N13,'RISE 비메모리반도체액티브(과거)'!$B$11:$E$1000,4,0),0)</f>
        <v>3.79</v>
      </c>
      <c r="Q13" s="20">
        <f t="shared" si="10"/>
        <v>-4.0000000000000036E-2</v>
      </c>
      <c r="R13" s="32">
        <f t="shared" si="11"/>
        <v>-1.0554089709762571E-2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티씨케이</v>
      </c>
      <c r="C14" s="65">
        <f>VLOOKUP(B14,'UNICORN SK하이닉스밸류체인액티브'!$B$11:$E$1000,4,0)</f>
        <v>3.28</v>
      </c>
      <c r="D14" s="65">
        <f>IFERROR(VLOOKUP(B14,'UNICORN SK하이닉스밸류체인액티브(과거)'!$B$11:$E$1000,4,0),0)</f>
        <v>3.01</v>
      </c>
      <c r="E14" s="20">
        <f t="shared" si="6"/>
        <v>0.27</v>
      </c>
      <c r="F14" s="32">
        <f t="shared" si="7"/>
        <v>8.9700996677740896E-2</v>
      </c>
      <c r="G14" s="63" t="str">
        <f>VLOOKUP(H14,유니버스!$C$14:$D$2561,2,0)</f>
        <v>KQ</v>
      </c>
      <c r="H14" s="65" t="str">
        <f>'WON 반도체밸류체인액티브'!B20</f>
        <v>주성엔지니어링</v>
      </c>
      <c r="I14" s="65">
        <f>VLOOKUP(H14,'WON 반도체밸류체인액티브'!$B$11:$E$1000,4,0)</f>
        <v>3.33</v>
      </c>
      <c r="J14" s="65">
        <f>IFERROR(VLOOKUP(H14,'WON 반도체밸류체인액티브(과거)'!$B$11:$E$1000,4,0),0)</f>
        <v>2.7</v>
      </c>
      <c r="K14" s="20">
        <f t="shared" si="8"/>
        <v>0.62999999999999989</v>
      </c>
      <c r="L14" s="32">
        <f t="shared" si="9"/>
        <v>0.23333333333333317</v>
      </c>
      <c r="M14" s="62" t="str">
        <f>VLOOKUP(N14,유니버스!$C$14:$D$2561,2,0)</f>
        <v>KQ</v>
      </c>
      <c r="N14" s="26" t="str">
        <f>'RISE 비메모리반도체액티브'!B20</f>
        <v>피에스케이</v>
      </c>
      <c r="O14" s="26">
        <f>VLOOKUP(N14,'RISE 비메모리반도체액티브'!$B$11:$E$1000,4,0)</f>
        <v>3.62</v>
      </c>
      <c r="P14" s="26">
        <f>IFERROR(VLOOKUP(N14,'RISE 비메모리반도체액티브(과거)'!$B$11:$E$1000,4,0),0)</f>
        <v>0</v>
      </c>
      <c r="Q14" s="20">
        <f t="shared" si="10"/>
        <v>3.62</v>
      </c>
      <c r="R14" s="32" t="str">
        <f t="shared" si="11"/>
        <v>신규편입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샘씨엔에스</v>
      </c>
      <c r="C15" s="65">
        <f>VLOOKUP(B15,'UNICORN SK하이닉스밸류체인액티브'!$B$11:$E$1000,4,0)</f>
        <v>2.98</v>
      </c>
      <c r="D15" s="65">
        <f>IFERROR(VLOOKUP(B15,'UNICORN SK하이닉스밸류체인액티브(과거)'!$B$11:$E$1000,4,0),0)</f>
        <v>3.11</v>
      </c>
      <c r="E15" s="20">
        <f t="shared" si="6"/>
        <v>-0.12999999999999989</v>
      </c>
      <c r="F15" s="32">
        <f t="shared" si="7"/>
        <v>-4.1800643086816636E-2</v>
      </c>
      <c r="G15" s="63" t="str">
        <f>VLOOKUP(H15,유니버스!$C$14:$D$2561,2,0)</f>
        <v>KQ</v>
      </c>
      <c r="H15" s="65" t="str">
        <f>'WON 반도체밸류체인액티브'!B21</f>
        <v>이오테크닉스</v>
      </c>
      <c r="I15" s="65">
        <f>VLOOKUP(H15,'WON 반도체밸류체인액티브'!$B$11:$E$1000,4,0)</f>
        <v>2.94</v>
      </c>
      <c r="J15" s="65">
        <f>IFERROR(VLOOKUP(H15,'WON 반도체밸류체인액티브(과거)'!$B$11:$E$1000,4,0),0)</f>
        <v>3.42</v>
      </c>
      <c r="K15" s="20">
        <f t="shared" si="8"/>
        <v>-0.48</v>
      </c>
      <c r="L15" s="32">
        <f t="shared" si="9"/>
        <v>-0.14035087719298245</v>
      </c>
      <c r="M15" s="62" t="str">
        <f>VLOOKUP(N15,유니버스!$C$14:$D$2561,2,0)</f>
        <v>KQ</v>
      </c>
      <c r="N15" s="26" t="str">
        <f>'RISE 비메모리반도체액티브'!B21</f>
        <v>코미코</v>
      </c>
      <c r="O15" s="26">
        <f>VLOOKUP(N15,'RISE 비메모리반도체액티브'!$B$11:$E$1000,4,0)</f>
        <v>3.46</v>
      </c>
      <c r="P15" s="26">
        <f>IFERROR(VLOOKUP(N15,'RISE 비메모리반도체액티브(과거)'!$B$11:$E$1000,4,0),0)</f>
        <v>3.85</v>
      </c>
      <c r="Q15" s="20">
        <f t="shared" si="10"/>
        <v>-0.39000000000000012</v>
      </c>
      <c r="R15" s="32">
        <f t="shared" si="11"/>
        <v>-0.10129870129870133</v>
      </c>
    </row>
    <row r="16" spans="1:18" x14ac:dyDescent="0.4">
      <c r="A16" s="63" t="str">
        <f>VLOOKUP(B16,유니버스!$C$14:$D$2561,2,0)</f>
        <v>KS</v>
      </c>
      <c r="B16" s="65" t="str">
        <f>'UNICORN SK하이닉스밸류체인액티브'!B22</f>
        <v>디아이</v>
      </c>
      <c r="C16" s="65">
        <f>VLOOKUP(B16,'UNICORN SK하이닉스밸류체인액티브'!$B$11:$E$1000,4,0)</f>
        <v>2.56</v>
      </c>
      <c r="D16" s="65">
        <f>IFERROR(VLOOKUP(B16,'UNICORN SK하이닉스밸류체인액티브(과거)'!$B$11:$E$1000,4,0),0)</f>
        <v>1.85</v>
      </c>
      <c r="E16" s="20">
        <f t="shared" ref="E16:E24" si="12">C16-D16</f>
        <v>0.71</v>
      </c>
      <c r="F16" s="32">
        <f t="shared" ref="F16:F24" si="13">IFERROR(C16/D16-1,"신규편입")</f>
        <v>0.38378378378378364</v>
      </c>
      <c r="G16" s="63" t="str">
        <f>VLOOKUP(H16,유니버스!$C$14:$D$2561,2,0)</f>
        <v>KQ</v>
      </c>
      <c r="H16" s="65" t="str">
        <f>'WON 반도체밸류체인액티브'!B22</f>
        <v>테스</v>
      </c>
      <c r="I16" s="65">
        <f>VLOOKUP(H16,'WON 반도체밸류체인액티브'!$B$11:$E$1000,4,0)</f>
        <v>2.86</v>
      </c>
      <c r="J16" s="65">
        <f>IFERROR(VLOOKUP(H16,'WON 반도체밸류체인액티브(과거)'!$B$11:$E$1000,4,0),0)</f>
        <v>2.2599999999999998</v>
      </c>
      <c r="K16" s="20">
        <f t="shared" si="8"/>
        <v>0.60000000000000009</v>
      </c>
      <c r="L16" s="32">
        <f t="shared" si="9"/>
        <v>0.26548672566371678</v>
      </c>
      <c r="M16" s="62" t="str">
        <f>VLOOKUP(N16,유니버스!$C$14:$D$2561,2,0)</f>
        <v>KQ</v>
      </c>
      <c r="N16" s="26" t="str">
        <f>'RISE 비메모리반도체액티브'!B22</f>
        <v>기가비스</v>
      </c>
      <c r="O16" s="26">
        <f>VLOOKUP(N16,'RISE 비메모리반도체액티브'!$B$11:$E$1000,4,0)</f>
        <v>3.41</v>
      </c>
      <c r="P16" s="26">
        <f>IFERROR(VLOOKUP(N16,'RISE 비메모리반도체액티브(과거)'!$B$11:$E$1000,4,0),0)</f>
        <v>0</v>
      </c>
      <c r="Q16" s="20">
        <f t="shared" si="10"/>
        <v>3.41</v>
      </c>
      <c r="R16" s="32" t="str">
        <f t="shared" si="11"/>
        <v>신규편입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테스</v>
      </c>
      <c r="C17" s="65">
        <f>VLOOKUP(B17,'UNICORN SK하이닉스밸류체인액티브'!$B$11:$E$1000,4,0)</f>
        <v>2.5299999999999998</v>
      </c>
      <c r="D17" s="65">
        <f>IFERROR(VLOOKUP(B17,'UNICORN SK하이닉스밸류체인액티브(과거)'!$B$11:$E$1000,4,0),0)</f>
        <v>2.0099999999999998</v>
      </c>
      <c r="E17" s="20">
        <f t="shared" si="12"/>
        <v>0.52</v>
      </c>
      <c r="F17" s="32">
        <f t="shared" si="13"/>
        <v>0.25870646766169147</v>
      </c>
      <c r="G17" s="63" t="str">
        <f>VLOOKUP(H17,유니버스!$C$14:$D$2561,2,0)</f>
        <v>KQ</v>
      </c>
      <c r="H17" s="65" t="str">
        <f>'WON 반도체밸류체인액티브'!B23</f>
        <v>파크시스템스</v>
      </c>
      <c r="I17" s="65">
        <f>VLOOKUP(H17,'WON 반도체밸류체인액티브'!$B$11:$E$1000,4,0)</f>
        <v>2.25</v>
      </c>
      <c r="J17" s="65">
        <f>IFERROR(VLOOKUP(H17,'WON 반도체밸류체인액티브(과거)'!$B$11:$E$1000,4,0),0)</f>
        <v>2.1800000000000002</v>
      </c>
      <c r="K17" s="20">
        <f t="shared" si="8"/>
        <v>6.999999999999984E-2</v>
      </c>
      <c r="L17" s="32">
        <f t="shared" si="9"/>
        <v>3.2110091743119185E-2</v>
      </c>
      <c r="M17" s="62" t="str">
        <f>VLOOKUP(N17,유니버스!$C$14:$D$2561,2,0)</f>
        <v>KQ</v>
      </c>
      <c r="N17" s="26" t="str">
        <f>'RISE 비메모리반도체액티브'!B23</f>
        <v>네패스아크</v>
      </c>
      <c r="O17" s="26">
        <f>VLOOKUP(N17,'RISE 비메모리반도체액티브'!$B$11:$E$1000,4,0)</f>
        <v>3.23</v>
      </c>
      <c r="P17" s="26">
        <f>IFERROR(VLOOKUP(N17,'RISE 비메모리반도체액티브(과거)'!$B$11:$E$1000,4,0),0)</f>
        <v>4.04</v>
      </c>
      <c r="Q17" s="20">
        <f t="shared" si="10"/>
        <v>-0.81</v>
      </c>
      <c r="R17" s="32">
        <f t="shared" si="11"/>
        <v>-0.20049504950495045</v>
      </c>
    </row>
    <row r="18" spans="1:18" x14ac:dyDescent="0.4">
      <c r="A18" s="63" t="str">
        <f>VLOOKUP(B18,유니버스!$C$14:$D$2561,2,0)</f>
        <v>KS</v>
      </c>
      <c r="B18" s="65" t="str">
        <f>'UNICORN SK하이닉스밸류체인액티브'!B24</f>
        <v>두산</v>
      </c>
      <c r="C18" s="65">
        <f>VLOOKUP(B18,'UNICORN SK하이닉스밸류체인액티브'!$B$11:$E$1000,4,0)</f>
        <v>2.44</v>
      </c>
      <c r="D18" s="65">
        <f>IFERROR(VLOOKUP(B18,'UNICORN SK하이닉스밸류체인액티브(과거)'!$B$11:$E$1000,4,0),0)</f>
        <v>2.5499999999999998</v>
      </c>
      <c r="E18" s="20">
        <f t="shared" si="12"/>
        <v>-0.10999999999999988</v>
      </c>
      <c r="F18" s="32">
        <f t="shared" si="13"/>
        <v>-4.3137254901960742E-2</v>
      </c>
      <c r="G18" s="63" t="str">
        <f>VLOOKUP(H18,유니버스!$C$14:$D$2561,2,0)</f>
        <v>KQ</v>
      </c>
      <c r="H18" s="65" t="str">
        <f>'WON 반도체밸류체인액티브'!B24</f>
        <v>심텍</v>
      </c>
      <c r="I18" s="65">
        <f>VLOOKUP(H18,'WON 반도체밸류체인액티브'!$B$11:$E$1000,4,0)</f>
        <v>2.1800000000000002</v>
      </c>
      <c r="J18" s="65">
        <f>IFERROR(VLOOKUP(H18,'WON 반도체밸류체인액티브(과거)'!$B$11:$E$1000,4,0),0)</f>
        <v>1.75</v>
      </c>
      <c r="K18" s="20">
        <f t="shared" si="8"/>
        <v>0.43000000000000016</v>
      </c>
      <c r="L18" s="32">
        <f t="shared" si="9"/>
        <v>0.24571428571428577</v>
      </c>
      <c r="M18" s="62" t="str">
        <f>VLOOKUP(N18,유니버스!$C$14:$D$2561,2,0)</f>
        <v>KQ</v>
      </c>
      <c r="N18" s="26" t="str">
        <f>'RISE 비메모리반도체액티브'!B24</f>
        <v>두산테스나</v>
      </c>
      <c r="O18" s="26">
        <f>VLOOKUP(N18,'RISE 비메모리반도체액티브'!$B$11:$E$1000,4,0)</f>
        <v>3.19</v>
      </c>
      <c r="P18" s="26">
        <f>IFERROR(VLOOKUP(N18,'RISE 비메모리반도체액티브(과거)'!$B$11:$E$1000,4,0),0)</f>
        <v>3.68</v>
      </c>
      <c r="Q18" s="20">
        <f t="shared" si="10"/>
        <v>-0.49000000000000021</v>
      </c>
      <c r="R18" s="32">
        <f t="shared" si="11"/>
        <v>-0.13315217391304357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하나마이크론</v>
      </c>
      <c r="C19" s="65">
        <f>VLOOKUP(B19,'UNICORN SK하이닉스밸류체인액티브'!$B$11:$E$1000,4,0)</f>
        <v>2.39</v>
      </c>
      <c r="D19" s="65">
        <f>IFERROR(VLOOKUP(B19,'UNICORN SK하이닉스밸류체인액티브(과거)'!$B$11:$E$1000,4,0),0)</f>
        <v>0</v>
      </c>
      <c r="E19" s="20">
        <f t="shared" si="12"/>
        <v>2.39</v>
      </c>
      <c r="F19" s="32" t="str">
        <f t="shared" si="13"/>
        <v>신규편입</v>
      </c>
      <c r="G19" s="63" t="str">
        <f>VLOOKUP(H19,유니버스!$C$14:$D$2561,2,0)</f>
        <v>KQ</v>
      </c>
      <c r="H19" s="65" t="str">
        <f>'WON 반도체밸류체인액티브'!B25</f>
        <v>인텍플러스</v>
      </c>
      <c r="I19" s="65">
        <f>VLOOKUP(H19,'WON 반도체밸류체인액티브'!$B$11:$E$1000,4,0)</f>
        <v>1.8</v>
      </c>
      <c r="J19" s="65">
        <f>IFERROR(VLOOKUP(H19,'WON 반도체밸류체인액티브(과거)'!$B$11:$E$1000,4,0),0)</f>
        <v>1.74</v>
      </c>
      <c r="K19" s="20">
        <f t="shared" si="8"/>
        <v>6.0000000000000053E-2</v>
      </c>
      <c r="L19" s="32">
        <f t="shared" si="9"/>
        <v>3.4482758620689724E-2</v>
      </c>
      <c r="M19" s="62" t="str">
        <f>VLOOKUP(N19,유니버스!$C$14:$D$2561,2,0)</f>
        <v>KQ</v>
      </c>
      <c r="N19" s="26" t="str">
        <f>'RISE 비메모리반도체액티브'!B25</f>
        <v>HPSP</v>
      </c>
      <c r="O19" s="26">
        <f>VLOOKUP(N19,'RISE 비메모리반도체액티브'!$B$11:$E$1000,4,0)</f>
        <v>1.24</v>
      </c>
      <c r="P19" s="26">
        <f>IFERROR(VLOOKUP(N19,'RISE 비메모리반도체액티브(과거)'!$B$11:$E$1000,4,0),0)</f>
        <v>3.86</v>
      </c>
      <c r="Q19" s="20">
        <f t="shared" ref="Q19:Q21" si="14">O19-P19</f>
        <v>-2.62</v>
      </c>
      <c r="R19" s="32">
        <f t="shared" ref="R19:R21" si="15">IFERROR(O19/P19-1,"신규편입")</f>
        <v>-0.67875647668393779</v>
      </c>
    </row>
    <row r="20" spans="1:18" x14ac:dyDescent="0.4">
      <c r="A20" s="63" t="str">
        <f>VLOOKUP(B20,유니버스!$C$14:$D$2561,2,0)</f>
        <v>KQ</v>
      </c>
      <c r="B20" s="65" t="str">
        <f>'UNICORN SK하이닉스밸류체인액티브'!B26</f>
        <v>제주반도체</v>
      </c>
      <c r="C20" s="65">
        <f>VLOOKUP(B20,'UNICORN SK하이닉스밸류체인액티브'!$B$11:$E$1000,4,0)</f>
        <v>2.31</v>
      </c>
      <c r="D20" s="65">
        <f>IFERROR(VLOOKUP(B20,'UNICORN SK하이닉스밸류체인액티브(과거)'!$B$11:$E$1000,4,0),0)</f>
        <v>0</v>
      </c>
      <c r="E20" s="20">
        <f t="shared" si="12"/>
        <v>2.31</v>
      </c>
      <c r="F20" s="32" t="str">
        <f t="shared" si="13"/>
        <v>신규편입</v>
      </c>
      <c r="G20" s="63" t="str">
        <f>VLOOKUP(H20,유니버스!$C$14:$D$2561,2,0)</f>
        <v>KQ</v>
      </c>
      <c r="H20" s="65" t="str">
        <f>'WON 반도체밸류체인액티브'!B26</f>
        <v>네패스아크</v>
      </c>
      <c r="I20" s="65">
        <f>VLOOKUP(H20,'WON 반도체밸류체인액티브'!$B$11:$E$1000,4,0)</f>
        <v>1.72</v>
      </c>
      <c r="J20" s="65">
        <f>IFERROR(VLOOKUP(H20,'WON 반도체밸류체인액티브(과거)'!$B$11:$E$1000,4,0),0)</f>
        <v>2.25</v>
      </c>
      <c r="K20" s="20">
        <f t="shared" si="8"/>
        <v>-0.53</v>
      </c>
      <c r="L20" s="32">
        <f t="shared" si="9"/>
        <v>-0.23555555555555552</v>
      </c>
      <c r="M20" s="62" t="e">
        <f>VLOOKUP(N20,유니버스!$C$14:$D$2561,2,0)</f>
        <v>#N/A</v>
      </c>
      <c r="N20" s="26" t="str">
        <f>'RISE 비메모리반도체액티브'!B26</f>
        <v>원화현금</v>
      </c>
      <c r="O20" s="26">
        <f>VLOOKUP(N20,'RISE 비메모리반도체액티브'!$B$11:$E$1000,4,0)</f>
        <v>0</v>
      </c>
      <c r="P20" s="26">
        <f>IFERROR(VLOOKUP(N20,'RISE 비메모리반도체액티브(과거)'!$B$11:$E$1000,4,0),0)</f>
        <v>0.13</v>
      </c>
      <c r="Q20" s="20">
        <f t="shared" si="14"/>
        <v>-0.13</v>
      </c>
      <c r="R20" s="32">
        <f t="shared" si="15"/>
        <v>-1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이오테크닉스</v>
      </c>
      <c r="C21" s="65">
        <f>VLOOKUP(B21,'UNICORN SK하이닉스밸류체인액티브'!$B$11:$E$1000,4,0)</f>
        <v>2.23</v>
      </c>
      <c r="D21" s="65">
        <f>IFERROR(VLOOKUP(B21,'UNICORN SK하이닉스밸류체인액티브(과거)'!$B$11:$E$1000,4,0),0)</f>
        <v>2.6</v>
      </c>
      <c r="E21" s="20">
        <f t="shared" si="12"/>
        <v>-0.37000000000000011</v>
      </c>
      <c r="F21" s="32">
        <f t="shared" si="13"/>
        <v>-0.14230769230769236</v>
      </c>
      <c r="G21" s="63" t="str">
        <f>VLOOKUP(H21,유니버스!$C$14:$D$2561,2,0)</f>
        <v>KQ</v>
      </c>
      <c r="H21" s="65" t="str">
        <f>'WON 반도체밸류체인액티브'!B27</f>
        <v>원익IPS</v>
      </c>
      <c r="I21" s="65">
        <f>VLOOKUP(H21,'WON 반도체밸류체인액티브'!$B$11:$E$1000,4,0)</f>
        <v>1.2</v>
      </c>
      <c r="J21" s="65">
        <f>IFERROR(VLOOKUP(H21,'WON 반도체밸류체인액티브(과거)'!$B$11:$E$1000,4,0),0)</f>
        <v>1.1499999999999999</v>
      </c>
      <c r="K21" s="20">
        <f t="shared" si="8"/>
        <v>5.0000000000000044E-2</v>
      </c>
      <c r="L21" s="32">
        <f t="shared" si="9"/>
        <v>4.3478260869565188E-2</v>
      </c>
      <c r="M21" s="62" t="e">
        <f>VLOOKUP(N21,유니버스!$C$14:$D$2561,2,0)</f>
        <v>#N/A</v>
      </c>
      <c r="N21" s="26">
        <f>'RISE 비메모리반도체액티브'!B27</f>
        <v>0</v>
      </c>
      <c r="O21" s="26" t="e">
        <f>VLOOKUP(N21,'RISE 비메모리반도체액티브'!$B$11:$E$1000,4,0)</f>
        <v>#N/A</v>
      </c>
      <c r="P21" s="26">
        <f>IFERROR(VLOOKUP(N21,'RISE 비메모리반도체액티브(과거)'!$B$11:$E$1000,4,0),0)</f>
        <v>0</v>
      </c>
      <c r="Q21" s="20" t="e">
        <f t="shared" si="14"/>
        <v>#N/A</v>
      </c>
      <c r="R21" s="32" t="str">
        <f t="shared" si="15"/>
        <v>신규편입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테크윙</v>
      </c>
      <c r="C22" s="65">
        <f>VLOOKUP(B22,'UNICORN SK하이닉스밸류체인액티브'!$B$11:$E$1000,4,0)</f>
        <v>2.0499999999999998</v>
      </c>
      <c r="D22" s="65">
        <f>IFERROR(VLOOKUP(B22,'UNICORN SK하이닉스밸류체인액티브(과거)'!$B$11:$E$1000,4,0),0)</f>
        <v>2.16</v>
      </c>
      <c r="E22" s="20">
        <f t="shared" si="12"/>
        <v>-0.11000000000000032</v>
      </c>
      <c r="F22" s="32">
        <f t="shared" si="13"/>
        <v>-5.0925925925926041E-2</v>
      </c>
      <c r="G22" s="63" t="str">
        <f>VLOOKUP(H22,유니버스!$C$14:$D$2561,2,0)</f>
        <v>KQ</v>
      </c>
      <c r="H22" s="65" t="str">
        <f>'WON 반도체밸류체인액티브'!B28</f>
        <v>코미코</v>
      </c>
      <c r="I22" s="65">
        <f>VLOOKUP(H22,'WON 반도체밸류체인액티브'!$B$11:$E$1000,4,0)</f>
        <v>0.9</v>
      </c>
      <c r="J22" s="65">
        <f>IFERROR(VLOOKUP(H22,'WON 반도체밸류체인액티브(과거)'!$B$11:$E$1000,4,0),0)</f>
        <v>0.81</v>
      </c>
      <c r="K22" s="20">
        <f t="shared" ref="K22:K24" si="16">I22-J22</f>
        <v>8.9999999999999969E-2</v>
      </c>
      <c r="L22" s="32">
        <f t="shared" ref="L22:L24" si="17">IFERROR(I22/J22-1,"신규편입")</f>
        <v>0.11111111111111116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HPSP</v>
      </c>
      <c r="C23" s="65">
        <f>VLOOKUP(B23,'UNICORN SK하이닉스밸류체인액티브'!$B$11:$E$1000,4,0)</f>
        <v>1.21</v>
      </c>
      <c r="D23" s="65">
        <f>IFERROR(VLOOKUP(B23,'UNICORN SK하이닉스밸류체인액티브(과거)'!$B$11:$E$1000,4,0),0)</f>
        <v>1.4</v>
      </c>
      <c r="E23" s="20">
        <f t="shared" si="12"/>
        <v>-0.18999999999999995</v>
      </c>
      <c r="F23" s="32">
        <f t="shared" si="13"/>
        <v>-0.13571428571428568</v>
      </c>
      <c r="G23" s="63" t="str">
        <f>VLOOKUP(H23,유니버스!$C$14:$D$2561,2,0)</f>
        <v>KS</v>
      </c>
      <c r="H23" s="65" t="str">
        <f>'WON 반도체밸류체인액티브'!B29</f>
        <v>삼화콘덴서</v>
      </c>
      <c r="I23" s="65">
        <f>VLOOKUP(H23,'WON 반도체밸류체인액티브'!$B$11:$E$1000,4,0)</f>
        <v>0.76</v>
      </c>
      <c r="J23" s="65">
        <f>IFERROR(VLOOKUP(H23,'WON 반도체밸류체인액티브(과거)'!$B$11:$E$1000,4,0),0)</f>
        <v>0.85</v>
      </c>
      <c r="K23" s="20">
        <f t="shared" si="16"/>
        <v>-8.9999999999999969E-2</v>
      </c>
      <c r="L23" s="32">
        <f t="shared" si="17"/>
        <v>-0.10588235294117643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이엔에프테크놀로지</v>
      </c>
      <c r="C24" s="65">
        <f>VLOOKUP(B24,'UNICORN SK하이닉스밸류체인액티브'!$B$11:$E$1000,4,0)</f>
        <v>0.98</v>
      </c>
      <c r="D24" s="65">
        <f>IFERROR(VLOOKUP(B24,'UNICORN SK하이닉스밸류체인액티브(과거)'!$B$11:$E$1000,4,0),0)</f>
        <v>0.99</v>
      </c>
      <c r="E24" s="20">
        <f t="shared" si="12"/>
        <v>-1.0000000000000009E-2</v>
      </c>
      <c r="F24" s="32">
        <f t="shared" si="13"/>
        <v>-1.0101010101010055E-2</v>
      </c>
      <c r="G24" s="63" t="str">
        <f>VLOOKUP(H24,유니버스!$C$14:$D$2561,2,0)</f>
        <v>KQ</v>
      </c>
      <c r="H24" s="65" t="str">
        <f>'WON 반도체밸류체인액티브'!B30</f>
        <v>에치에프알</v>
      </c>
      <c r="I24" s="65">
        <f>VLOOKUP(H24,'WON 반도체밸류체인액티브'!$B$11:$E$1000,4,0)</f>
        <v>0.49</v>
      </c>
      <c r="J24" s="65">
        <f>IFERROR(VLOOKUP(H24,'WON 반도체밸류체인액티브(과거)'!$B$11:$E$1000,4,0),0)</f>
        <v>0.59</v>
      </c>
      <c r="K24" s="20">
        <f t="shared" si="16"/>
        <v>-9.9999999999999978E-2</v>
      </c>
      <c r="L24" s="32">
        <f t="shared" si="17"/>
        <v>-0.16949152542372881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GST</v>
      </c>
      <c r="C25" s="65">
        <f>VLOOKUP(B25,'UNICORN SK하이닉스밸류체인액티브'!$B$11:$E$1000,4,0)</f>
        <v>0.84</v>
      </c>
      <c r="D25" s="65">
        <f>IFERROR(VLOOKUP(B25,'UNICORN SK하이닉스밸류체인액티브(과거)'!$B$11:$E$1000,4,0),0)</f>
        <v>0.86</v>
      </c>
      <c r="E25" s="20">
        <f t="shared" ref="E25:E28" si="18">C25-D25</f>
        <v>-2.0000000000000018E-2</v>
      </c>
      <c r="F25" s="32">
        <f t="shared" ref="F25:F28" si="19">IFERROR(C25/D25-1,"신규편입")</f>
        <v>-2.3255813953488413E-2</v>
      </c>
      <c r="G25" s="63" t="str">
        <f>VLOOKUP(H25,유니버스!$C$14:$D$2561,2,0)</f>
        <v>KQ</v>
      </c>
      <c r="H25" s="65" t="str">
        <f>'WON 반도체밸류체인액티브'!B31</f>
        <v>RFHIC</v>
      </c>
      <c r="I25" s="65">
        <f>VLOOKUP(H25,'WON 반도체밸류체인액티브'!$B$11:$E$1000,4,0)</f>
        <v>0.4</v>
      </c>
      <c r="J25" s="65">
        <f>IFERROR(VLOOKUP(H25,'WON 반도체밸류체인액티브(과거)'!$B$11:$E$1000,4,0),0)</f>
        <v>0.46</v>
      </c>
      <c r="K25" s="20">
        <f t="shared" ref="K25:K26" si="20">I25-J25</f>
        <v>-0.06</v>
      </c>
      <c r="L25" s="32">
        <f t="shared" ref="L25:L26" si="21">IFERROR(I25/J25-1,"신규편입")</f>
        <v>-0.13043478260869568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0.69</v>
      </c>
      <c r="D26" s="65">
        <f>IFERROR(VLOOKUP(B26,'UNICORN SK하이닉스밸류체인액티브(과거)'!$B$11:$E$1000,4,0),0)</f>
        <v>0.85</v>
      </c>
      <c r="E26" s="20">
        <f t="shared" si="18"/>
        <v>-0.16000000000000003</v>
      </c>
      <c r="F26" s="32">
        <f t="shared" si="19"/>
        <v>-0.18823529411764706</v>
      </c>
      <c r="G26" s="63" t="e">
        <f>VLOOKUP(H26,유니버스!$C$14:$D$2561,2,0)</f>
        <v>#N/A</v>
      </c>
      <c r="H26" s="65" t="str">
        <f>'WON 반도체밸류체인액티브'!B32</f>
        <v>원화예금</v>
      </c>
      <c r="I26" s="65">
        <f>VLOOKUP(H26,'WON 반도체밸류체인액티브'!$B$11:$E$1000,4,0)</f>
        <v>0</v>
      </c>
      <c r="J26" s="65">
        <f>IFERROR(VLOOKUP(H26,'WON 반도체밸류체인액티브(과거)'!$B$11:$E$1000,4,0),0)</f>
        <v>0</v>
      </c>
      <c r="K26" s="20">
        <f t="shared" si="20"/>
        <v>0</v>
      </c>
      <c r="L26" s="32" t="str">
        <f t="shared" si="21"/>
        <v>신규편입</v>
      </c>
      <c r="N26" s="26"/>
      <c r="O26" s="26"/>
      <c r="P26" s="26"/>
      <c r="Q26" s="20"/>
      <c r="R26" s="32"/>
    </row>
    <row r="27" spans="1:18" x14ac:dyDescent="0.4">
      <c r="A27" s="63" t="e">
        <f>VLOOKUP(B27,유니버스!$C$14:$D$2561,2,0)</f>
        <v>#N/A</v>
      </c>
      <c r="B27" s="65" t="str">
        <f>'UNICORN SK하이닉스밸류체인액티브'!B33</f>
        <v>원화현금</v>
      </c>
      <c r="C27" s="65">
        <f>VLOOKUP(B27,'UNICORN SK하이닉스밸류체인액티브'!$B$11:$E$1000,4,0)</f>
        <v>0.52</v>
      </c>
      <c r="D27" s="65">
        <f>IFERROR(VLOOKUP(B27,'UNICORN SK하이닉스밸류체인액티브(과거)'!$B$11:$E$1000,4,0),0)</f>
        <v>1.38</v>
      </c>
      <c r="E27" s="20">
        <f t="shared" si="18"/>
        <v>-0.85999999999999988</v>
      </c>
      <c r="F27" s="32">
        <f t="shared" si="19"/>
        <v>-0.62318840579710133</v>
      </c>
      <c r="H27" s="65"/>
      <c r="I27" s="65"/>
      <c r="J27" s="65"/>
      <c r="K27" s="20"/>
      <c r="L27" s="32"/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>
        <f>'UNICORN SK하이닉스밸류체인액티브'!B34</f>
        <v>0</v>
      </c>
      <c r="C28" s="65" t="e">
        <f>VLOOKUP(B28,'UNICORN SK하이닉스밸류체인액티브'!$B$11:$E$1000,4,0)</f>
        <v>#N/A</v>
      </c>
      <c r="D28" s="65">
        <f>IFERROR(VLOOKUP(B28,'UNICORN SK하이닉스밸류체인액티브(과거)'!$B$11:$E$1000,4,0),0)</f>
        <v>0</v>
      </c>
      <c r="E28" s="20" t="e">
        <f t="shared" si="18"/>
        <v>#N/A</v>
      </c>
      <c r="F28" s="32" t="str">
        <f t="shared" si="19"/>
        <v>신규편입</v>
      </c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8" zoomScaleNormal="100" workbookViewId="0">
      <selection activeCell="H27" sqref="H2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코스닥액티브'!A9</f>
        <v>TIGER 코스닥액티브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'KoAct 코스닥액티브'!B4</f>
        <v>CPD [20260701]</v>
      </c>
      <c r="D4" s="66" t="str">
        <f>'KoAct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'KoAct 코스닥액티브'!B11</f>
        <v>심텍</v>
      </c>
      <c r="C5" s="65">
        <f>VLOOKUP(B5,'KoAct 코스닥액티브'!$B$11:$E$1000,4,0)</f>
        <v>6.62</v>
      </c>
      <c r="D5" s="65">
        <f>IFERROR(VLOOKUP(B5,'KoAct 코스닥액티브(과거)'!$B$11:$E$1000,4,0),0)</f>
        <v>3.48</v>
      </c>
      <c r="E5" s="20">
        <f>C5-D5</f>
        <v>3.14</v>
      </c>
      <c r="F5" s="21">
        <f>IFERROR(C5/D5-1,"신규편입")</f>
        <v>0.90229885057471271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22.68</v>
      </c>
      <c r="J5" s="65">
        <f>IFERROR(VLOOKUP(H5,'KoAct 배당성장액티브(과거)'!$B$11:$E$1000,4,0),0)</f>
        <v>24.74</v>
      </c>
      <c r="K5" s="20">
        <f>I5-J5</f>
        <v>-2.0599999999999987</v>
      </c>
      <c r="L5" s="21">
        <f>IFERROR(I5/J5-1,"신규편입")</f>
        <v>-8.3265966046887629E-2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18.87</v>
      </c>
      <c r="P5" s="20">
        <f>IFERROR(VLOOKUP(N5,'TIMEFOLIO Korea플러스배당액티브(과거)'!$B$11:$E$1000,4,0),0)</f>
        <v>18.829999999999998</v>
      </c>
      <c r="Q5" s="20">
        <f>O5-P5</f>
        <v>4.00000000000027E-2</v>
      </c>
      <c r="R5" s="21">
        <f>IFERROR(O5/P5-1,"신규편입")</f>
        <v>2.1242697822625445E-3</v>
      </c>
    </row>
    <row r="6" spans="1:18" x14ac:dyDescent="0.4">
      <c r="A6" s="63" t="str">
        <f>VLOOKUP(B6,유니버스!$C$14:$D$2561,2,0)</f>
        <v>KQ</v>
      </c>
      <c r="B6" s="65" t="str">
        <f>'KoAct 코스닥액티브'!B12</f>
        <v>브이엠</v>
      </c>
      <c r="C6" s="65">
        <f>VLOOKUP(B6,'KoAct 코스닥액티브'!$B$11:$E$1000,4,0)</f>
        <v>6.4</v>
      </c>
      <c r="D6" s="65">
        <f>IFERROR(VLOOKUP(B6,'KoAct 코스닥액티브(과거)'!$B$11:$E$1000,4,0),0)</f>
        <v>4.66</v>
      </c>
      <c r="E6" s="20">
        <f t="shared" ref="E6:E44" si="0">C6-D6</f>
        <v>1.7400000000000002</v>
      </c>
      <c r="F6" s="21">
        <f t="shared" ref="F6:F44" si="1">IFERROR(C6/D6-1,"신규편입")</f>
        <v>0.37339055793991416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22.49</v>
      </c>
      <c r="J6" s="65">
        <f>IFERROR(VLOOKUP(H6,'KoAct 배당성장액티브(과거)'!$B$11:$E$1000,4,0),0)</f>
        <v>22.65</v>
      </c>
      <c r="K6" s="20">
        <f t="shared" ref="K6:K64" si="2">I6-J6</f>
        <v>-0.16000000000000014</v>
      </c>
      <c r="L6" s="21">
        <f t="shared" ref="L6:L64" si="3">IFERROR(I6/J6-1,"신규편입")</f>
        <v>-7.064017660044164E-3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13.86</v>
      </c>
      <c r="P6" s="20">
        <f>IFERROR(VLOOKUP(N6,'TIMEFOLIO Korea플러스배당액티브(과거)'!$B$11:$E$1000,4,0),0)</f>
        <v>14.42</v>
      </c>
      <c r="Q6" s="20">
        <f t="shared" ref="Q6:Q25" si="4">O6-P6</f>
        <v>-0.5600000000000005</v>
      </c>
      <c r="R6" s="21">
        <f t="shared" ref="R6:R25" si="5">IFERROR(O6/P6-1,"신규편입")</f>
        <v>-3.8834951456310662E-2</v>
      </c>
    </row>
    <row r="7" spans="1:18" x14ac:dyDescent="0.4">
      <c r="A7" s="63" t="str">
        <f>VLOOKUP(B7,유니버스!$C$14:$D$2561,2,0)</f>
        <v>KQ</v>
      </c>
      <c r="B7" s="65" t="str">
        <f>'KoAct 코스닥액티브'!B13</f>
        <v>엘티씨</v>
      </c>
      <c r="C7" s="65">
        <f>VLOOKUP(B7,'KoAct 코스닥액티브'!$B$11:$E$1000,4,0)</f>
        <v>6.16</v>
      </c>
      <c r="D7" s="65">
        <f>IFERROR(VLOOKUP(B7,'KoAct 코스닥액티브(과거)'!$B$11:$E$1000,4,0),0)</f>
        <v>6.25</v>
      </c>
      <c r="E7" s="20">
        <f t="shared" si="0"/>
        <v>-8.9999999999999858E-2</v>
      </c>
      <c r="F7" s="21">
        <f t="shared" si="1"/>
        <v>-1.4399999999999968E-2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4.29</v>
      </c>
      <c r="J7" s="65">
        <f>IFERROR(VLOOKUP(H7,'KoAct 배당성장액티브(과거)'!$B$11:$E$1000,4,0),0)</f>
        <v>3.91</v>
      </c>
      <c r="K7" s="20">
        <f t="shared" si="2"/>
        <v>0.37999999999999989</v>
      </c>
      <c r="L7" s="21">
        <f t="shared" si="3"/>
        <v>9.7186700767263323E-2</v>
      </c>
      <c r="M7" s="62" t="str">
        <f>VLOOKUP(N7,유니버스!$C$14:$D$2561,2,0)</f>
        <v>KS</v>
      </c>
      <c r="N7" s="26" t="str">
        <f>'TIMEFOLIO Korea플러스배당액티브'!B13</f>
        <v>SK스퀘어</v>
      </c>
      <c r="O7" s="20">
        <f>VLOOKUP(N7,'TIMEFOLIO Korea플러스배당액티브'!$B$11:$E$1000,4,0)</f>
        <v>5.08</v>
      </c>
      <c r="P7" s="20">
        <f>IFERROR(VLOOKUP(N7,'TIMEFOLIO Korea플러스배당액티브(과거)'!$B$11:$E$1000,4,0),0)</f>
        <v>3.8</v>
      </c>
      <c r="Q7" s="20">
        <f t="shared" si="4"/>
        <v>1.2800000000000002</v>
      </c>
      <c r="R7" s="21">
        <f t="shared" si="5"/>
        <v>0.33684210526315805</v>
      </c>
    </row>
    <row r="8" spans="1:18" x14ac:dyDescent="0.4">
      <c r="A8" s="63" t="str">
        <f>VLOOKUP(B8,유니버스!$C$14:$D$2561,2,0)</f>
        <v>KQ</v>
      </c>
      <c r="B8" s="65" t="str">
        <f>'KoAct 코스닥액티브'!B14</f>
        <v>제주반도체</v>
      </c>
      <c r="C8" s="65">
        <f>VLOOKUP(B8,'KoAct 코스닥액티브'!$B$11:$E$1000,4,0)</f>
        <v>5.64</v>
      </c>
      <c r="D8" s="65">
        <f>IFERROR(VLOOKUP(B8,'KoAct 코스닥액티브(과거)'!$B$11:$E$1000,4,0),0)</f>
        <v>5.76</v>
      </c>
      <c r="E8" s="20">
        <f t="shared" si="0"/>
        <v>-0.12000000000000011</v>
      </c>
      <c r="F8" s="21">
        <f t="shared" si="1"/>
        <v>-2.083333333333337E-2</v>
      </c>
      <c r="G8" s="63" t="str">
        <f>VLOOKUP(H8,유니버스!$C$14:$D$2561,2,0)</f>
        <v>KS</v>
      </c>
      <c r="H8" s="65" t="str">
        <f>'KoAct 배당성장액티브'!B14</f>
        <v>SK스퀘어</v>
      </c>
      <c r="I8" s="65">
        <f>VLOOKUP(H8,'KoAct 배당성장액티브'!$B$11:$E$1000,4,0)</f>
        <v>3.58</v>
      </c>
      <c r="J8" s="65">
        <f>IFERROR(VLOOKUP(H8,'KoAct 배당성장액티브(과거)'!$B$11:$E$1000,4,0),0)</f>
        <v>3.39</v>
      </c>
      <c r="K8" s="20">
        <f t="shared" si="2"/>
        <v>0.18999999999999995</v>
      </c>
      <c r="L8" s="21">
        <f t="shared" si="3"/>
        <v>5.6047197640118007E-2</v>
      </c>
      <c r="M8" s="62" t="str">
        <f>VLOOKUP(N8,유니버스!$C$14:$D$2561,2,0)</f>
        <v>KS</v>
      </c>
      <c r="N8" s="26" t="str">
        <f>'TIMEFOLIO Korea플러스배당액티브'!B14</f>
        <v>삼성전기</v>
      </c>
      <c r="O8" s="20">
        <f>VLOOKUP(N8,'TIMEFOLIO Korea플러스배당액티브'!$B$11:$E$1000,4,0)</f>
        <v>4.46</v>
      </c>
      <c r="P8" s="20">
        <f>IFERROR(VLOOKUP(N8,'TIMEFOLIO Korea플러스배당액티브(과거)'!$B$11:$E$1000,4,0),0)</f>
        <v>6.67</v>
      </c>
      <c r="Q8" s="20">
        <f t="shared" si="4"/>
        <v>-2.21</v>
      </c>
      <c r="R8" s="21">
        <f t="shared" si="5"/>
        <v>-0.33133433283358316</v>
      </c>
    </row>
    <row r="9" spans="1:18" x14ac:dyDescent="0.4">
      <c r="A9" s="63" t="str">
        <f>VLOOKUP(B9,유니버스!$C$14:$D$2561,2,0)</f>
        <v>KQ</v>
      </c>
      <c r="B9" s="65" t="str">
        <f>'KoAct 코스닥액티브'!B15</f>
        <v>테스</v>
      </c>
      <c r="C9" s="65">
        <f>VLOOKUP(B9,'KoAct 코스닥액티브'!$B$11:$E$1000,4,0)</f>
        <v>5.57</v>
      </c>
      <c r="D9" s="65">
        <f>IFERROR(VLOOKUP(B9,'KoAct 코스닥액티브(과거)'!$B$11:$E$1000,4,0),0)</f>
        <v>2.98</v>
      </c>
      <c r="E9" s="20">
        <f t="shared" si="0"/>
        <v>2.5900000000000003</v>
      </c>
      <c r="F9" s="21">
        <f t="shared" si="1"/>
        <v>0.86912751677852351</v>
      </c>
      <c r="G9" s="63" t="str">
        <f>VLOOKUP(H9,유니버스!$C$14:$D$2561,2,0)</f>
        <v>KS</v>
      </c>
      <c r="H9" s="65" t="str">
        <f>'KoAct 배당성장액티브'!B15</f>
        <v>한국금융지주</v>
      </c>
      <c r="I9" s="65">
        <f>VLOOKUP(H9,'KoAct 배당성장액티브'!$B$11:$E$1000,4,0)</f>
        <v>2.38</v>
      </c>
      <c r="J9" s="65">
        <f>IFERROR(VLOOKUP(H9,'KoAct 배당성장액티브(과거)'!$B$11:$E$1000,4,0),0)</f>
        <v>2.25</v>
      </c>
      <c r="K9" s="20">
        <f t="shared" si="2"/>
        <v>0.12999999999999989</v>
      </c>
      <c r="L9" s="21">
        <f t="shared" si="3"/>
        <v>5.7777777777777706E-2</v>
      </c>
      <c r="M9" s="62" t="str">
        <f>VLOOKUP(N9,유니버스!$C$14:$D$2561,2,0)</f>
        <v>KS</v>
      </c>
      <c r="N9" s="26" t="str">
        <f>'TIMEFOLIO Korea플러스배당액티브'!B15</f>
        <v>삼양식품</v>
      </c>
      <c r="O9" s="20">
        <f>VLOOKUP(N9,'TIMEFOLIO Korea플러스배당액티브'!$B$11:$E$1000,4,0)</f>
        <v>4.03</v>
      </c>
      <c r="P9" s="20">
        <f>IFERROR(VLOOKUP(N9,'TIMEFOLIO Korea플러스배당액티브(과거)'!$B$11:$E$1000,4,0),0)</f>
        <v>3.68</v>
      </c>
      <c r="Q9" s="20">
        <f t="shared" si="4"/>
        <v>0.35000000000000009</v>
      </c>
      <c r="R9" s="21">
        <f t="shared" si="5"/>
        <v>9.5108695652173836E-2</v>
      </c>
    </row>
    <row r="10" spans="1:18" x14ac:dyDescent="0.4">
      <c r="A10" s="63" t="str">
        <f>VLOOKUP(B10,유니버스!$C$14:$D$2561,2,0)</f>
        <v>KQ</v>
      </c>
      <c r="B10" s="65" t="str">
        <f>'KoAct 코스닥액티브'!B16</f>
        <v>엘앤씨바이오</v>
      </c>
      <c r="C10" s="65">
        <f>VLOOKUP(B10,'KoAct 코스닥액티브'!$B$11:$E$1000,4,0)</f>
        <v>4.4400000000000004</v>
      </c>
      <c r="D10" s="65">
        <f>IFERROR(VLOOKUP(B10,'KoAct 코스닥액티브(과거)'!$B$11:$E$1000,4,0),0)</f>
        <v>2.1800000000000002</v>
      </c>
      <c r="E10" s="20">
        <f t="shared" si="0"/>
        <v>2.2600000000000002</v>
      </c>
      <c r="F10" s="21">
        <f t="shared" si="1"/>
        <v>1.0366972477064222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2.25</v>
      </c>
      <c r="J10" s="65">
        <f>IFERROR(VLOOKUP(H10,'KoAct 배당성장액티브(과거)'!$B$11:$E$1000,4,0),0)</f>
        <v>2.33</v>
      </c>
      <c r="K10" s="20">
        <f t="shared" si="2"/>
        <v>-8.0000000000000071E-2</v>
      </c>
      <c r="L10" s="21">
        <f t="shared" si="3"/>
        <v>-3.4334763948497882E-2</v>
      </c>
      <c r="M10" s="62" t="str">
        <f>VLOOKUP(N10,유니버스!$C$14:$D$2561,2,0)</f>
        <v>KS</v>
      </c>
      <c r="N10" s="26" t="str">
        <f>'TIMEFOLIO Korea플러스배당액티브'!B16</f>
        <v>키움증권</v>
      </c>
      <c r="O10" s="20">
        <f>VLOOKUP(N10,'TIMEFOLIO Korea플러스배당액티브'!$B$11:$E$1000,4,0)</f>
        <v>3.52</v>
      </c>
      <c r="P10" s="20">
        <f>IFERROR(VLOOKUP(N10,'TIMEFOLIO Korea플러스배당액티브(과거)'!$B$11:$E$1000,4,0),0)</f>
        <v>2.54</v>
      </c>
      <c r="Q10" s="20">
        <f t="shared" si="4"/>
        <v>0.98</v>
      </c>
      <c r="R10" s="21">
        <f t="shared" si="5"/>
        <v>0.38582677165354329</v>
      </c>
    </row>
    <row r="11" spans="1:18" x14ac:dyDescent="0.4">
      <c r="A11" s="63" t="str">
        <f>VLOOKUP(B11,유니버스!$C$14:$D$2561,2,0)</f>
        <v>KQ</v>
      </c>
      <c r="B11" s="65" t="str">
        <f>'KoAct 코스닥액티브'!B17</f>
        <v>샘씨엔에스</v>
      </c>
      <c r="C11" s="65">
        <f>VLOOKUP(B11,'KoAct 코스닥액티브'!$B$11:$E$1000,4,0)</f>
        <v>4.41</v>
      </c>
      <c r="D11" s="65">
        <f>IFERROR(VLOOKUP(B11,'KoAct 코스닥액티브(과거)'!$B$11:$E$1000,4,0),0)</f>
        <v>4.4400000000000004</v>
      </c>
      <c r="E11" s="20">
        <f t="shared" si="0"/>
        <v>-3.0000000000000249E-2</v>
      </c>
      <c r="F11" s="21">
        <f t="shared" si="1"/>
        <v>-6.7567567567567988E-3</v>
      </c>
      <c r="G11" s="63" t="str">
        <f>VLOOKUP(H11,유니버스!$C$14:$D$2561,2,0)</f>
        <v>KS</v>
      </c>
      <c r="H11" s="65" t="str">
        <f>'KoAct 배당성장액티브'!B17</f>
        <v>KB금융</v>
      </c>
      <c r="I11" s="65">
        <f>VLOOKUP(H11,'KoAct 배당성장액티브'!$B$11:$E$1000,4,0)</f>
        <v>1.95</v>
      </c>
      <c r="J11" s="65">
        <f>IFERROR(VLOOKUP(H11,'KoAct 배당성장액티브(과거)'!$B$11:$E$1000,4,0),0)</f>
        <v>1.32</v>
      </c>
      <c r="K11" s="20">
        <f t="shared" si="2"/>
        <v>0.62999999999999989</v>
      </c>
      <c r="L11" s="21">
        <f t="shared" si="3"/>
        <v>0.47727272727272707</v>
      </c>
      <c r="M11" s="62" t="str">
        <f>VLOOKUP(N11,유니버스!$C$14:$D$2561,2,0)</f>
        <v>KS</v>
      </c>
      <c r="N11" s="26" t="str">
        <f>'TIMEFOLIO Korea플러스배당액티브'!B17</f>
        <v>삼성물산</v>
      </c>
      <c r="O11" s="20">
        <f>VLOOKUP(N11,'TIMEFOLIO Korea플러스배당액티브'!$B$11:$E$1000,4,0)</f>
        <v>3.45</v>
      </c>
      <c r="P11" s="20">
        <f>IFERROR(VLOOKUP(N11,'TIMEFOLIO Korea플러스배당액티브(과거)'!$B$11:$E$1000,4,0),0)</f>
        <v>3.61</v>
      </c>
      <c r="Q11" s="20">
        <f t="shared" si="4"/>
        <v>-0.1599999999999997</v>
      </c>
      <c r="R11" s="21">
        <f t="shared" si="5"/>
        <v>-4.4321329639889107E-2</v>
      </c>
    </row>
    <row r="12" spans="1:18" x14ac:dyDescent="0.4">
      <c r="A12" s="63" t="str">
        <f>VLOOKUP(B12,유니버스!$C$14:$D$2561,2,0)</f>
        <v>KQ</v>
      </c>
      <c r="B12" s="65" t="str">
        <f>'KoAct 코스닥액티브'!B18</f>
        <v>디앤디파마텍</v>
      </c>
      <c r="C12" s="65">
        <f>VLOOKUP(B12,'KoAct 코스닥액티브'!$B$11:$E$1000,4,0)</f>
        <v>4.2</v>
      </c>
      <c r="D12" s="65">
        <f>IFERROR(VLOOKUP(B12,'KoAct 코스닥액티브(과거)'!$B$11:$E$1000,4,0),0)</f>
        <v>4.9800000000000004</v>
      </c>
      <c r="E12" s="20">
        <f t="shared" si="0"/>
        <v>-0.78000000000000025</v>
      </c>
      <c r="F12" s="21">
        <f t="shared" si="1"/>
        <v>-0.15662650602409645</v>
      </c>
      <c r="G12" s="63" t="str">
        <f>VLOOKUP(H12,유니버스!$C$14:$D$2561,2,0)</f>
        <v>KS</v>
      </c>
      <c r="H12" s="65" t="str">
        <f>'KoAct 배당성장액티브'!B18</f>
        <v>키움증권</v>
      </c>
      <c r="I12" s="65">
        <f>VLOOKUP(H12,'KoAct 배당성장액티브'!$B$11:$E$1000,4,0)</f>
        <v>1.66</v>
      </c>
      <c r="J12" s="65">
        <f>IFERROR(VLOOKUP(H12,'KoAct 배당성장액티브(과거)'!$B$11:$E$1000,4,0),0)</f>
        <v>1.55</v>
      </c>
      <c r="K12" s="20">
        <f t="shared" si="2"/>
        <v>0.10999999999999988</v>
      </c>
      <c r="L12" s="21">
        <f t="shared" si="3"/>
        <v>7.0967741935483719E-2</v>
      </c>
      <c r="M12" s="62" t="str">
        <f>VLOOKUP(N12,유니버스!$C$14:$D$2561,2,0)</f>
        <v>KS</v>
      </c>
      <c r="N12" s="26" t="str">
        <f>'TIMEFOLIO Korea플러스배당액티브'!B18</f>
        <v>SK</v>
      </c>
      <c r="O12" s="20">
        <f>VLOOKUP(N12,'TIMEFOLIO Korea플러스배당액티브'!$B$11:$E$1000,4,0)</f>
        <v>3.31</v>
      </c>
      <c r="P12" s="20">
        <f>IFERROR(VLOOKUP(N12,'TIMEFOLIO Korea플러스배당액티브(과거)'!$B$11:$E$1000,4,0),0)</f>
        <v>2.9</v>
      </c>
      <c r="Q12" s="20">
        <f t="shared" si="4"/>
        <v>0.41000000000000014</v>
      </c>
      <c r="R12" s="21">
        <f t="shared" si="5"/>
        <v>0.14137931034482754</v>
      </c>
    </row>
    <row r="13" spans="1:18" x14ac:dyDescent="0.4">
      <c r="A13" s="63" t="str">
        <f>VLOOKUP(B13,유니버스!$C$14:$D$2561,2,0)</f>
        <v>KQ</v>
      </c>
      <c r="B13" s="65" t="str">
        <f>'KoAct 코스닥액티브'!B19</f>
        <v>알테오젠</v>
      </c>
      <c r="C13" s="65">
        <f>VLOOKUP(B13,'KoAct 코스닥액티브'!$B$11:$E$1000,4,0)</f>
        <v>4.07</v>
      </c>
      <c r="D13" s="65">
        <f>IFERROR(VLOOKUP(B13,'KoAct 코스닥액티브(과거)'!$B$11:$E$1000,4,0),0)</f>
        <v>4.3600000000000003</v>
      </c>
      <c r="E13" s="20">
        <f t="shared" si="0"/>
        <v>-0.29000000000000004</v>
      </c>
      <c r="F13" s="21">
        <f t="shared" si="1"/>
        <v>-6.6513761467889898E-2</v>
      </c>
      <c r="G13" s="63" t="str">
        <f>VLOOKUP(H13,유니버스!$C$14:$D$2561,2,0)</f>
        <v>KS</v>
      </c>
      <c r="H13" s="65" t="str">
        <f>'KoAct 배당성장액티브'!B19</f>
        <v>HD한국조선해양</v>
      </c>
      <c r="I13" s="65">
        <f>VLOOKUP(H13,'KoAct 배당성장액티브'!$B$11:$E$1000,4,0)</f>
        <v>1.6</v>
      </c>
      <c r="J13" s="65">
        <f>IFERROR(VLOOKUP(H13,'KoAct 배당성장액티브(과거)'!$B$11:$E$1000,4,0),0)</f>
        <v>1.75</v>
      </c>
      <c r="K13" s="20">
        <f t="shared" si="2"/>
        <v>-0.14999999999999991</v>
      </c>
      <c r="L13" s="21">
        <f t="shared" si="3"/>
        <v>-8.5714285714285632E-2</v>
      </c>
      <c r="M13" s="62" t="str">
        <f>VLOOKUP(N13,유니버스!$C$14:$D$2561,2,0)</f>
        <v>KS</v>
      </c>
      <c r="N13" s="26" t="str">
        <f>'TIMEFOLIO Korea플러스배당액티브'!B19</f>
        <v>NH투자증권</v>
      </c>
      <c r="O13" s="20">
        <f>VLOOKUP(N13,'TIMEFOLIO Korea플러스배당액티브'!$B$11:$E$1000,4,0)</f>
        <v>3.2</v>
      </c>
      <c r="P13" s="20">
        <f>IFERROR(VLOOKUP(N13,'TIMEFOLIO Korea플러스배당액티브(과거)'!$B$11:$E$1000,4,0),0)</f>
        <v>2.99</v>
      </c>
      <c r="Q13" s="20">
        <f t="shared" si="4"/>
        <v>0.20999999999999996</v>
      </c>
      <c r="R13" s="21">
        <f t="shared" si="5"/>
        <v>7.0234113712374535E-2</v>
      </c>
    </row>
    <row r="14" spans="1:18" x14ac:dyDescent="0.4">
      <c r="A14" s="63" t="str">
        <f>VLOOKUP(B14,유니버스!$C$14:$D$2561,2,0)</f>
        <v>KQ</v>
      </c>
      <c r="B14" s="65" t="str">
        <f>'KoAct 코스닥액티브'!B20</f>
        <v>엠케이전자</v>
      </c>
      <c r="C14" s="65">
        <f>VLOOKUP(B14,'KoAct 코스닥액티브'!$B$11:$E$1000,4,0)</f>
        <v>3.22</v>
      </c>
      <c r="D14" s="65">
        <f>IFERROR(VLOOKUP(B14,'KoAct 코스닥액티브(과거)'!$B$11:$E$1000,4,0),0)</f>
        <v>4.83</v>
      </c>
      <c r="E14" s="20">
        <f t="shared" si="0"/>
        <v>-1.6099999999999999</v>
      </c>
      <c r="F14" s="21">
        <f t="shared" si="1"/>
        <v>-0.33333333333333326</v>
      </c>
      <c r="G14" s="63" t="str">
        <f>VLOOKUP(H14,유니버스!$C$14:$D$2561,2,0)</f>
        <v>KS</v>
      </c>
      <c r="H14" s="65" t="str">
        <f>'KoAct 배당성장액티브'!B20</f>
        <v>F&amp;F</v>
      </c>
      <c r="I14" s="65">
        <f>VLOOKUP(H14,'KoAct 배당성장액티브'!$B$11:$E$1000,4,0)</f>
        <v>1.6</v>
      </c>
      <c r="J14" s="65">
        <f>IFERROR(VLOOKUP(H14,'KoAct 배당성장액티브(과거)'!$B$11:$E$1000,4,0),0)</f>
        <v>1.47</v>
      </c>
      <c r="K14" s="20">
        <f t="shared" si="2"/>
        <v>0.13000000000000012</v>
      </c>
      <c r="L14" s="21">
        <f t="shared" si="3"/>
        <v>8.8435374149659962E-2</v>
      </c>
      <c r="M14" s="62" t="str">
        <f>VLOOKUP(N14,유니버스!$C$14:$D$2561,2,0)</f>
        <v>KS</v>
      </c>
      <c r="N14" s="26" t="str">
        <f>'TIMEFOLIO Korea플러스배당액티브'!B20</f>
        <v>메리츠금융지주</v>
      </c>
      <c r="O14" s="20">
        <f>VLOOKUP(N14,'TIMEFOLIO Korea플러스배당액티브'!$B$11:$E$1000,4,0)</f>
        <v>3.09</v>
      </c>
      <c r="P14" s="20">
        <f>IFERROR(VLOOKUP(N14,'TIMEFOLIO Korea플러스배당액티브(과거)'!$B$11:$E$1000,4,0),0)</f>
        <v>1.59</v>
      </c>
      <c r="Q14" s="20">
        <f t="shared" si="4"/>
        <v>1.4999999999999998</v>
      </c>
      <c r="R14" s="21">
        <f t="shared" si="5"/>
        <v>0.94339622641509413</v>
      </c>
    </row>
    <row r="15" spans="1:18" x14ac:dyDescent="0.4">
      <c r="A15" s="63" t="str">
        <f>VLOOKUP(B15,유니버스!$C$14:$D$2561,2,0)</f>
        <v>KQ</v>
      </c>
      <c r="B15" s="65" t="str">
        <f>'KoAct 코스닥액티브'!B21</f>
        <v>피에스케이</v>
      </c>
      <c r="C15" s="65">
        <f>VLOOKUP(B15,'KoAct 코스닥액티브'!$B$11:$E$1000,4,0)</f>
        <v>2.65</v>
      </c>
      <c r="D15" s="65">
        <f>IFERROR(VLOOKUP(B15,'KoAct 코스닥액티브(과거)'!$B$11:$E$1000,4,0),0)</f>
        <v>2.59</v>
      </c>
      <c r="E15" s="20">
        <f t="shared" si="0"/>
        <v>6.0000000000000053E-2</v>
      </c>
      <c r="F15" s="21">
        <f t="shared" si="1"/>
        <v>2.316602316602312E-2</v>
      </c>
      <c r="G15" s="63" t="str">
        <f>VLOOKUP(H15,유니버스!$C$14:$D$2561,2,0)</f>
        <v>KS</v>
      </c>
      <c r="H15" s="65" t="str">
        <f>'KoAct 배당성장액티브'!B21</f>
        <v>삼성물산</v>
      </c>
      <c r="I15" s="65">
        <f>VLOOKUP(H15,'KoAct 배당성장액티브'!$B$11:$E$1000,4,0)</f>
        <v>1.57</v>
      </c>
      <c r="J15" s="65">
        <f>IFERROR(VLOOKUP(H15,'KoAct 배당성장액티브(과거)'!$B$11:$E$1000,4,0),0)</f>
        <v>1.19</v>
      </c>
      <c r="K15" s="20">
        <f t="shared" si="2"/>
        <v>0.38000000000000012</v>
      </c>
      <c r="L15" s="21">
        <f t="shared" si="3"/>
        <v>0.31932773109243717</v>
      </c>
      <c r="M15" s="62" t="str">
        <f>VLOOKUP(N15,유니버스!$C$14:$D$2561,2,0)</f>
        <v>KS</v>
      </c>
      <c r="N15" s="26" t="str">
        <f>'TIMEFOLIO Korea플러스배당액티브'!B21</f>
        <v>한국금융지주</v>
      </c>
      <c r="O15" s="20">
        <f>VLOOKUP(N15,'TIMEFOLIO Korea플러스배당액티브'!$B$11:$E$1000,4,0)</f>
        <v>2.97</v>
      </c>
      <c r="P15" s="20">
        <f>IFERROR(VLOOKUP(N15,'TIMEFOLIO Korea플러스배당액티브(과거)'!$B$11:$E$1000,4,0),0)</f>
        <v>1.85</v>
      </c>
      <c r="Q15" s="20">
        <f t="shared" si="4"/>
        <v>1.1200000000000001</v>
      </c>
      <c r="R15" s="21">
        <f t="shared" si="5"/>
        <v>0.60540540540540544</v>
      </c>
    </row>
    <row r="16" spans="1:18" x14ac:dyDescent="0.4">
      <c r="A16" s="63" t="str">
        <f>VLOOKUP(B16,유니버스!$C$14:$D$2561,2,0)</f>
        <v>KQ</v>
      </c>
      <c r="B16" s="65" t="str">
        <f>'KoAct 코스닥액티브'!B22</f>
        <v>리가켐바이오</v>
      </c>
      <c r="C16" s="65">
        <f>VLOOKUP(B16,'KoAct 코스닥액티브'!$B$11:$E$1000,4,0)</f>
        <v>2.39</v>
      </c>
      <c r="D16" s="65">
        <f>IFERROR(VLOOKUP(B16,'KoAct 코스닥액티브(과거)'!$B$11:$E$1000,4,0),0)</f>
        <v>0.9</v>
      </c>
      <c r="E16" s="20">
        <f t="shared" si="0"/>
        <v>1.4900000000000002</v>
      </c>
      <c r="F16" s="21">
        <f t="shared" si="1"/>
        <v>1.6555555555555554</v>
      </c>
      <c r="G16" s="63" t="str">
        <f>VLOOKUP(H16,유니버스!$C$14:$D$2561,2,0)</f>
        <v>KS</v>
      </c>
      <c r="H16" s="65" t="str">
        <f>'KoAct 배당성장액티브'!B22</f>
        <v>더블유게임즈</v>
      </c>
      <c r="I16" s="65">
        <f>VLOOKUP(H16,'KoAct 배당성장액티브'!$B$11:$E$1000,4,0)</f>
        <v>1.51</v>
      </c>
      <c r="J16" s="65">
        <f>IFERROR(VLOOKUP(H16,'KoAct 배당성장액티브(과거)'!$B$11:$E$1000,4,0),0)</f>
        <v>1.41</v>
      </c>
      <c r="K16" s="20">
        <f t="shared" si="2"/>
        <v>0.10000000000000009</v>
      </c>
      <c r="L16" s="21">
        <f t="shared" si="3"/>
        <v>7.0921985815602939E-2</v>
      </c>
      <c r="M16" s="62" t="str">
        <f>VLOOKUP(N16,유니버스!$C$14:$D$2561,2,0)</f>
        <v>KS</v>
      </c>
      <c r="N16" s="26" t="str">
        <f>'TIMEFOLIO Korea플러스배당액티브'!B22</f>
        <v>삼성증권</v>
      </c>
      <c r="O16" s="20">
        <f>VLOOKUP(N16,'TIMEFOLIO Korea플러스배당액티브'!$B$11:$E$1000,4,0)</f>
        <v>2.93</v>
      </c>
      <c r="P16" s="20">
        <f>IFERROR(VLOOKUP(N16,'TIMEFOLIO Korea플러스배당액티브(과거)'!$B$11:$E$1000,4,0),0)</f>
        <v>3.21</v>
      </c>
      <c r="Q16" s="20">
        <f t="shared" si="4"/>
        <v>-0.2799999999999998</v>
      </c>
      <c r="R16" s="21">
        <f t="shared" si="5"/>
        <v>-8.7227414330217967E-2</v>
      </c>
    </row>
    <row r="17" spans="1:18" x14ac:dyDescent="0.4">
      <c r="A17" s="63" t="str">
        <f>VLOOKUP(B17,유니버스!$C$14:$D$2561,2,0)</f>
        <v>KQ</v>
      </c>
      <c r="B17" s="65" t="str">
        <f>'KoAct 코스닥액티브'!B23</f>
        <v>ISC</v>
      </c>
      <c r="C17" s="65">
        <f>VLOOKUP(B17,'KoAct 코스닥액티브'!$B$11:$E$1000,4,0)</f>
        <v>2.33</v>
      </c>
      <c r="D17" s="65">
        <f>IFERROR(VLOOKUP(B17,'KoAct 코스닥액티브(과거)'!$B$11:$E$1000,4,0),0)</f>
        <v>3.54</v>
      </c>
      <c r="E17" s="20">
        <f t="shared" si="0"/>
        <v>-1.21</v>
      </c>
      <c r="F17" s="21">
        <f t="shared" si="1"/>
        <v>-0.34180790960451979</v>
      </c>
      <c r="G17" s="63" t="str">
        <f>VLOOKUP(H17,유니버스!$C$14:$D$2561,2,0)</f>
        <v>KQ</v>
      </c>
      <c r="H17" s="65" t="str">
        <f>'KoAct 배당성장액티브'!B23</f>
        <v>리노공업</v>
      </c>
      <c r="I17" s="65">
        <f>VLOOKUP(H17,'KoAct 배당성장액티브'!$B$11:$E$1000,4,0)</f>
        <v>1.48</v>
      </c>
      <c r="J17" s="65">
        <f>IFERROR(VLOOKUP(H17,'KoAct 배당성장액티브(과거)'!$B$11:$E$1000,4,0),0)</f>
        <v>1.57</v>
      </c>
      <c r="K17" s="20">
        <f t="shared" si="2"/>
        <v>-9.000000000000008E-2</v>
      </c>
      <c r="L17" s="21">
        <f t="shared" si="3"/>
        <v>-5.7324840764331308E-2</v>
      </c>
      <c r="M17" s="62" t="str">
        <f>VLOOKUP(N17,유니버스!$C$14:$D$2561,2,0)</f>
        <v>KS</v>
      </c>
      <c r="N17" s="26" t="str">
        <f>'TIMEFOLIO Korea플러스배당액티브'!B23</f>
        <v>삼성생명</v>
      </c>
      <c r="O17" s="20">
        <f>VLOOKUP(N17,'TIMEFOLIO Korea플러스배당액티브'!$B$11:$E$1000,4,0)</f>
        <v>2.74</v>
      </c>
      <c r="P17" s="20">
        <f>IFERROR(VLOOKUP(N17,'TIMEFOLIO Korea플러스배당액티브(과거)'!$B$11:$E$1000,4,0),0)</f>
        <v>3.25</v>
      </c>
      <c r="Q17" s="20">
        <f t="shared" si="4"/>
        <v>-0.50999999999999979</v>
      </c>
      <c r="R17" s="21">
        <f t="shared" si="5"/>
        <v>-0.15692307692307683</v>
      </c>
    </row>
    <row r="18" spans="1:18" x14ac:dyDescent="0.4">
      <c r="A18" s="63" t="str">
        <f>VLOOKUP(B18,유니버스!$C$14:$D$2561,2,0)</f>
        <v>KQ</v>
      </c>
      <c r="B18" s="65" t="str">
        <f>'KoAct 코스닥액티브'!B24</f>
        <v>피에스케이홀딩스</v>
      </c>
      <c r="C18" s="65">
        <f>VLOOKUP(B18,'KoAct 코스닥액티브'!$B$11:$E$1000,4,0)</f>
        <v>2.27</v>
      </c>
      <c r="D18" s="65">
        <f>IFERROR(VLOOKUP(B18,'KoAct 코스닥액티브(과거)'!$B$11:$E$1000,4,0),0)</f>
        <v>0</v>
      </c>
      <c r="E18" s="20">
        <f t="shared" si="0"/>
        <v>2.27</v>
      </c>
      <c r="F18" s="21" t="str">
        <f t="shared" si="1"/>
        <v>신규편입</v>
      </c>
      <c r="G18" s="63" t="str">
        <f>VLOOKUP(H18,유니버스!$C$14:$D$2561,2,0)</f>
        <v>KQ</v>
      </c>
      <c r="H18" s="65" t="str">
        <f>'KoAct 배당성장액티브'!B24</f>
        <v>테스</v>
      </c>
      <c r="I18" s="65">
        <f>VLOOKUP(H18,'KoAct 배당성장액티브'!$B$11:$E$1000,4,0)</f>
        <v>1.3</v>
      </c>
      <c r="J18" s="65">
        <f>IFERROR(VLOOKUP(H18,'KoAct 배당성장액티브(과거)'!$B$11:$E$1000,4,0),0)</f>
        <v>0.89</v>
      </c>
      <c r="K18" s="20">
        <f t="shared" si="2"/>
        <v>0.41000000000000003</v>
      </c>
      <c r="L18" s="21">
        <f t="shared" si="3"/>
        <v>0.4606741573033708</v>
      </c>
      <c r="M18" s="62" t="str">
        <f>VLOOKUP(N18,유니버스!$C$14:$D$2561,2,0)</f>
        <v>KS</v>
      </c>
      <c r="N18" s="26" t="str">
        <f>'TIMEFOLIO Korea플러스배당액티브'!B24</f>
        <v>KB금융</v>
      </c>
      <c r="O18" s="20">
        <f>VLOOKUP(N18,'TIMEFOLIO Korea플러스배당액티브'!$B$11:$E$1000,4,0)</f>
        <v>2.27</v>
      </c>
      <c r="P18" s="20">
        <f>IFERROR(VLOOKUP(N18,'TIMEFOLIO Korea플러스배당액티브(과거)'!$B$11:$E$1000,4,0),0)</f>
        <v>2.33</v>
      </c>
      <c r="Q18" s="20">
        <f t="shared" si="4"/>
        <v>-6.0000000000000053E-2</v>
      </c>
      <c r="R18" s="21">
        <f t="shared" si="5"/>
        <v>-2.5751072961373467E-2</v>
      </c>
    </row>
    <row r="19" spans="1:18" x14ac:dyDescent="0.4">
      <c r="A19" s="63" t="str">
        <f>VLOOKUP(B19,유니버스!$C$14:$D$2561,2,0)</f>
        <v>KQ</v>
      </c>
      <c r="B19" s="65" t="str">
        <f>'KoAct 코스닥액티브'!B25</f>
        <v>네오티스</v>
      </c>
      <c r="C19" s="65">
        <f>VLOOKUP(B19,'KoAct 코스닥액티브'!$B$11:$E$1000,4,0)</f>
        <v>2.25</v>
      </c>
      <c r="D19" s="65">
        <f>IFERROR(VLOOKUP(B19,'KoAct 코스닥액티브(과거)'!$B$11:$E$1000,4,0),0)</f>
        <v>2.85</v>
      </c>
      <c r="E19" s="20">
        <f t="shared" si="0"/>
        <v>-0.60000000000000009</v>
      </c>
      <c r="F19" s="21">
        <f t="shared" si="1"/>
        <v>-0.21052631578947367</v>
      </c>
      <c r="G19" s="63" t="str">
        <f>VLOOKUP(H19,유니버스!$C$14:$D$2561,2,0)</f>
        <v>KQ</v>
      </c>
      <c r="H19" s="65" t="str">
        <f>'KoAct 배당성장액티브'!B25</f>
        <v>코나아이</v>
      </c>
      <c r="I19" s="65">
        <f>VLOOKUP(H19,'KoAct 배당성장액티브'!$B$11:$E$1000,4,0)</f>
        <v>1.27</v>
      </c>
      <c r="J19" s="65">
        <f>IFERROR(VLOOKUP(H19,'KoAct 배당성장액티브(과거)'!$B$11:$E$1000,4,0),0)</f>
        <v>1.17</v>
      </c>
      <c r="K19" s="20">
        <f t="shared" si="2"/>
        <v>0.10000000000000009</v>
      </c>
      <c r="L19" s="21">
        <f t="shared" si="3"/>
        <v>8.5470085470085611E-2</v>
      </c>
      <c r="M19" s="62" t="str">
        <f>VLOOKUP(N19,유니버스!$C$14:$D$2561,2,0)</f>
        <v>KS</v>
      </c>
      <c r="N19" s="26" t="str">
        <f>'TIMEFOLIO Korea플러스배당액티브'!B25</f>
        <v>우리금융지주</v>
      </c>
      <c r="O19" s="20">
        <f>VLOOKUP(N19,'TIMEFOLIO Korea플러스배당액티브'!$B$11:$E$1000,4,0)</f>
        <v>2.11</v>
      </c>
      <c r="P19" s="20">
        <f>IFERROR(VLOOKUP(N19,'TIMEFOLIO Korea플러스배당액티브(과거)'!$B$11:$E$1000,4,0),0)</f>
        <v>2.08</v>
      </c>
      <c r="Q19" s="20">
        <f t="shared" si="4"/>
        <v>2.9999999999999805E-2</v>
      </c>
      <c r="R19" s="21">
        <f t="shared" si="5"/>
        <v>1.4423076923076872E-2</v>
      </c>
    </row>
    <row r="20" spans="1:18" x14ac:dyDescent="0.4">
      <c r="A20" s="63" t="str">
        <f>VLOOKUP(B20,유니버스!$C$14:$D$2561,2,0)</f>
        <v>KQ</v>
      </c>
      <c r="B20" s="65" t="str">
        <f>'KoAct 코스닥액티브'!B26</f>
        <v>올릭스</v>
      </c>
      <c r="C20" s="65">
        <f>VLOOKUP(B20,'KoAct 코스닥액티브'!$B$11:$E$1000,4,0)</f>
        <v>2.09</v>
      </c>
      <c r="D20" s="65">
        <f>IFERROR(VLOOKUP(B20,'KoAct 코스닥액티브(과거)'!$B$11:$E$1000,4,0),0)</f>
        <v>1.77</v>
      </c>
      <c r="E20" s="20">
        <f t="shared" si="0"/>
        <v>0.31999999999999984</v>
      </c>
      <c r="F20" s="21">
        <f t="shared" si="1"/>
        <v>0.18079096045197729</v>
      </c>
      <c r="G20" s="63" t="str">
        <f>VLOOKUP(H20,유니버스!$C$14:$D$2561,2,0)</f>
        <v>KS</v>
      </c>
      <c r="H20" s="65" t="str">
        <f>'KoAct 배당성장액티브'!B26</f>
        <v>NAVER</v>
      </c>
      <c r="I20" s="65">
        <f>VLOOKUP(H20,'KoAct 배당성장액티브'!$B$11:$E$1000,4,0)</f>
        <v>1.25</v>
      </c>
      <c r="J20" s="65">
        <f>IFERROR(VLOOKUP(H20,'KoAct 배당성장액티브(과거)'!$B$11:$E$1000,4,0),0)</f>
        <v>1.36</v>
      </c>
      <c r="K20" s="20">
        <f t="shared" si="2"/>
        <v>-0.1100000000000001</v>
      </c>
      <c r="L20" s="21">
        <f t="shared" si="3"/>
        <v>-8.0882352941176516E-2</v>
      </c>
      <c r="M20" s="62" t="str">
        <f>VLOOKUP(N20,유니버스!$C$14:$D$2561,2,0)</f>
        <v>KS</v>
      </c>
      <c r="N20" s="26" t="str">
        <f>'TIMEFOLIO Korea플러스배당액티브'!B26</f>
        <v>현대차</v>
      </c>
      <c r="O20" s="20">
        <f>VLOOKUP(N20,'TIMEFOLIO Korea플러스배당액티브'!$B$11:$E$1000,4,0)</f>
        <v>2.04</v>
      </c>
      <c r="P20" s="20">
        <f>IFERROR(VLOOKUP(N20,'TIMEFOLIO Korea플러스배당액티브(과거)'!$B$11:$E$1000,4,0),0)</f>
        <v>2.37</v>
      </c>
      <c r="Q20" s="20">
        <f t="shared" si="4"/>
        <v>-0.33000000000000007</v>
      </c>
      <c r="R20" s="21">
        <f t="shared" si="5"/>
        <v>-0.139240506329114</v>
      </c>
    </row>
    <row r="21" spans="1:18" x14ac:dyDescent="0.4">
      <c r="A21" s="63" t="str">
        <f>VLOOKUP(B21,유니버스!$C$14:$D$2561,2,0)</f>
        <v>KQ</v>
      </c>
      <c r="B21" s="65" t="str">
        <f>'KoAct 코스닥액티브'!B27</f>
        <v>에프앤가이드</v>
      </c>
      <c r="C21" s="65">
        <f>VLOOKUP(B21,'KoAct 코스닥액티브'!$B$11:$E$1000,4,0)</f>
        <v>2.09</v>
      </c>
      <c r="D21" s="65">
        <f>IFERROR(VLOOKUP(B21,'KoAct 코스닥액티브(과거)'!$B$11:$E$1000,4,0),0)</f>
        <v>1.89</v>
      </c>
      <c r="E21" s="20">
        <f t="shared" si="0"/>
        <v>0.19999999999999996</v>
      </c>
      <c r="F21" s="21">
        <f t="shared" si="1"/>
        <v>0.10582010582010581</v>
      </c>
      <c r="G21" s="63" t="str">
        <f>VLOOKUP(H21,유니버스!$C$14:$D$2561,2,0)</f>
        <v>KS</v>
      </c>
      <c r="H21" s="65" t="str">
        <f>'KoAct 배당성장액티브'!B27</f>
        <v>KT&amp;G</v>
      </c>
      <c r="I21" s="65">
        <f>VLOOKUP(H21,'KoAct 배당성장액티브'!$B$11:$E$1000,4,0)</f>
        <v>1.22</v>
      </c>
      <c r="J21" s="65">
        <f>IFERROR(VLOOKUP(H21,'KoAct 배당성장액티브(과거)'!$B$11:$E$1000,4,0),0)</f>
        <v>0.73</v>
      </c>
      <c r="K21" s="20">
        <f t="shared" si="2"/>
        <v>0.49</v>
      </c>
      <c r="L21" s="21">
        <f t="shared" si="3"/>
        <v>0.67123287671232879</v>
      </c>
      <c r="M21" s="62" t="str">
        <f>VLOOKUP(N21,유니버스!$C$14:$D$2561,2,0)</f>
        <v>KS</v>
      </c>
      <c r="N21" s="26" t="str">
        <f>'TIMEFOLIO Korea플러스배당액티브'!B27</f>
        <v>DB손해보험</v>
      </c>
      <c r="O21" s="20">
        <f>VLOOKUP(N21,'TIMEFOLIO Korea플러스배당액티브'!$B$11:$E$1000,4,0)</f>
        <v>1.97</v>
      </c>
      <c r="P21" s="20">
        <f>IFERROR(VLOOKUP(N21,'TIMEFOLIO Korea플러스배당액티브(과거)'!$B$11:$E$1000,4,0),0)</f>
        <v>1.94</v>
      </c>
      <c r="Q21" s="20">
        <f t="shared" si="4"/>
        <v>3.0000000000000027E-2</v>
      </c>
      <c r="R21" s="21">
        <f t="shared" si="5"/>
        <v>1.5463917525773141E-2</v>
      </c>
    </row>
    <row r="22" spans="1:18" x14ac:dyDescent="0.4">
      <c r="A22" s="63" t="str">
        <f>VLOOKUP(B22,유니버스!$C$14:$D$2561,2,0)</f>
        <v>KQ</v>
      </c>
      <c r="B22" s="65" t="str">
        <f>'KoAct 코스닥액티브'!B28</f>
        <v>제닉</v>
      </c>
      <c r="C22" s="65">
        <f>VLOOKUP(B22,'KoAct 코스닥액티브'!$B$11:$E$1000,4,0)</f>
        <v>2.06</v>
      </c>
      <c r="D22" s="65">
        <f>IFERROR(VLOOKUP(B22,'KoAct 코스닥액티브(과거)'!$B$11:$E$1000,4,0),0)</f>
        <v>0</v>
      </c>
      <c r="E22" s="20">
        <f t="shared" si="0"/>
        <v>2.06</v>
      </c>
      <c r="F22" s="21" t="str">
        <f t="shared" si="1"/>
        <v>신규편입</v>
      </c>
      <c r="G22" s="63" t="str">
        <f>VLOOKUP(H22,유니버스!$C$14:$D$2561,2,0)</f>
        <v>KS</v>
      </c>
      <c r="H22" s="65" t="str">
        <f>'KoAct 배당성장액티브'!B28</f>
        <v>삼성생명</v>
      </c>
      <c r="I22" s="65">
        <f>VLOOKUP(H22,'KoAct 배당성장액티브'!$B$11:$E$1000,4,0)</f>
        <v>1.18</v>
      </c>
      <c r="J22" s="65">
        <f>IFERROR(VLOOKUP(H22,'KoAct 배당성장액티브(과거)'!$B$11:$E$1000,4,0),0)</f>
        <v>1.1299999999999999</v>
      </c>
      <c r="K22" s="20">
        <f t="shared" si="2"/>
        <v>5.0000000000000044E-2</v>
      </c>
      <c r="L22" s="21">
        <f t="shared" si="3"/>
        <v>4.4247787610619538E-2</v>
      </c>
      <c r="M22" s="62" t="str">
        <f>VLOOKUP(N22,유니버스!$C$14:$D$2561,2,0)</f>
        <v>KS</v>
      </c>
      <c r="N22" s="26" t="str">
        <f>'TIMEFOLIO Korea플러스배당액티브'!B28</f>
        <v>하나금융지주</v>
      </c>
      <c r="O22" s="20">
        <f>VLOOKUP(N22,'TIMEFOLIO Korea플러스배당액티브'!$B$11:$E$1000,4,0)</f>
        <v>1.68</v>
      </c>
      <c r="P22" s="20">
        <f>IFERROR(VLOOKUP(N22,'TIMEFOLIO Korea플러스배당액티브(과거)'!$B$11:$E$1000,4,0),0)</f>
        <v>1.65</v>
      </c>
      <c r="Q22" s="20">
        <f t="shared" si="4"/>
        <v>3.0000000000000027E-2</v>
      </c>
      <c r="R22" s="21">
        <f t="shared" si="5"/>
        <v>1.8181818181818299E-2</v>
      </c>
    </row>
    <row r="23" spans="1:18" x14ac:dyDescent="0.4">
      <c r="A23" s="63" t="str">
        <f>VLOOKUP(B23,유니버스!$C$14:$D$2561,2,0)</f>
        <v>KQ</v>
      </c>
      <c r="B23" s="65" t="str">
        <f>'KoAct 코스닥액티브'!B29</f>
        <v>로보티즈</v>
      </c>
      <c r="C23" s="65">
        <f>VLOOKUP(B23,'KoAct 코스닥액티브'!$B$11:$E$1000,4,0)</f>
        <v>2</v>
      </c>
      <c r="D23" s="65">
        <f>IFERROR(VLOOKUP(B23,'KoAct 코스닥액티브(과거)'!$B$11:$E$1000,4,0),0)</f>
        <v>1.29</v>
      </c>
      <c r="E23" s="20">
        <f t="shared" si="0"/>
        <v>0.71</v>
      </c>
      <c r="F23" s="21">
        <f t="shared" si="1"/>
        <v>0.55038759689922467</v>
      </c>
      <c r="G23" s="63" t="str">
        <f>VLOOKUP(H23,유니버스!$C$14:$D$2561,2,0)</f>
        <v>KS</v>
      </c>
      <c r="H23" s="65" t="str">
        <f>'KoAct 배당성장액티브'!B29</f>
        <v>제이에스코퍼레이션</v>
      </c>
      <c r="I23" s="65">
        <f>VLOOKUP(H23,'KoAct 배당성장액티브'!$B$11:$E$1000,4,0)</f>
        <v>1.1200000000000001</v>
      </c>
      <c r="J23" s="65">
        <f>IFERROR(VLOOKUP(H23,'KoAct 배당성장액티브(과거)'!$B$11:$E$1000,4,0),0)</f>
        <v>1.06</v>
      </c>
      <c r="K23" s="20">
        <f t="shared" si="2"/>
        <v>6.0000000000000053E-2</v>
      </c>
      <c r="L23" s="21">
        <f t="shared" si="3"/>
        <v>5.6603773584905648E-2</v>
      </c>
      <c r="M23" s="62" t="str">
        <f>VLOOKUP(N23,유니버스!$C$14:$D$2561,2,0)</f>
        <v>KS</v>
      </c>
      <c r="N23" s="26" t="str">
        <f>'TIMEFOLIO Korea플러스배당액티브'!B29</f>
        <v>BNK금융지주</v>
      </c>
      <c r="O23" s="20">
        <f>VLOOKUP(N23,'TIMEFOLIO Korea플러스배당액티브'!$B$11:$E$1000,4,0)</f>
        <v>1.62</v>
      </c>
      <c r="P23" s="20">
        <f>IFERROR(VLOOKUP(N23,'TIMEFOLIO Korea플러스배당액티브(과거)'!$B$11:$E$1000,4,0),0)</f>
        <v>1.53</v>
      </c>
      <c r="Q23" s="20">
        <f t="shared" si="4"/>
        <v>9.000000000000008E-2</v>
      </c>
      <c r="R23" s="21">
        <f t="shared" si="5"/>
        <v>5.8823529411764719E-2</v>
      </c>
    </row>
    <row r="24" spans="1:18" x14ac:dyDescent="0.4">
      <c r="A24" s="63" t="str">
        <f>VLOOKUP(B24,유니버스!$C$14:$D$2561,2,0)</f>
        <v>KQ</v>
      </c>
      <c r="B24" s="65" t="str">
        <f>'KoAct 코스닥액티브'!B30</f>
        <v>고영</v>
      </c>
      <c r="C24" s="65">
        <f>VLOOKUP(B24,'KoAct 코스닥액티브'!$B$11:$E$1000,4,0)</f>
        <v>1.95</v>
      </c>
      <c r="D24" s="65">
        <f>IFERROR(VLOOKUP(B24,'KoAct 코스닥액티브(과거)'!$B$11:$E$1000,4,0),0)</f>
        <v>1.89</v>
      </c>
      <c r="E24" s="20">
        <f t="shared" si="0"/>
        <v>6.0000000000000053E-2</v>
      </c>
      <c r="F24" s="21">
        <f t="shared" si="1"/>
        <v>3.1746031746031855E-2</v>
      </c>
      <c r="G24" s="63" t="str">
        <f>VLOOKUP(H24,유니버스!$C$14:$D$2561,2,0)</f>
        <v>KS</v>
      </c>
      <c r="H24" s="65" t="str">
        <f>'KoAct 배당성장액티브'!B30</f>
        <v>한화에어로스페이스</v>
      </c>
      <c r="I24" s="65">
        <f>VLOOKUP(H24,'KoAct 배당성장액티브'!$B$11:$E$1000,4,0)</f>
        <v>1.1100000000000001</v>
      </c>
      <c r="J24" s="65">
        <f>IFERROR(VLOOKUP(H24,'KoAct 배당성장액티브(과거)'!$B$11:$E$1000,4,0),0)</f>
        <v>0.57999999999999996</v>
      </c>
      <c r="K24" s="20">
        <f t="shared" si="2"/>
        <v>0.53000000000000014</v>
      </c>
      <c r="L24" s="21">
        <f t="shared" si="3"/>
        <v>0.91379310344827624</v>
      </c>
      <c r="M24" s="62" t="str">
        <f>VLOOKUP(N24,유니버스!$C$14:$D$2561,2,0)</f>
        <v>KS</v>
      </c>
      <c r="N24" s="26" t="str">
        <f>'TIMEFOLIO Korea플러스배당액티브'!B30</f>
        <v>한화투자증권</v>
      </c>
      <c r="O24" s="20">
        <f>VLOOKUP(N24,'TIMEFOLIO Korea플러스배당액티브'!$B$11:$E$1000,4,0)</f>
        <v>1.29</v>
      </c>
      <c r="P24" s="20">
        <f>IFERROR(VLOOKUP(N24,'TIMEFOLIO Korea플러스배당액티브(과거)'!$B$11:$E$1000,4,0),0)</f>
        <v>1.34</v>
      </c>
      <c r="Q24" s="20">
        <f t="shared" si="4"/>
        <v>-5.0000000000000044E-2</v>
      </c>
      <c r="R24" s="21">
        <f t="shared" si="5"/>
        <v>-3.7313432835820892E-2</v>
      </c>
    </row>
    <row r="25" spans="1:18" x14ac:dyDescent="0.4">
      <c r="A25" s="63" t="str">
        <f>VLOOKUP(B25,유니버스!$C$14:$D$2561,2,0)</f>
        <v>KQ</v>
      </c>
      <c r="B25" s="65" t="str">
        <f>'KoAct 코스닥액티브'!B31</f>
        <v>인텍플러스</v>
      </c>
      <c r="C25" s="65">
        <f>VLOOKUP(B25,'KoAct 코스닥액티브'!$B$11:$E$1000,4,0)</f>
        <v>1.93</v>
      </c>
      <c r="D25" s="65">
        <f>IFERROR(VLOOKUP(B25,'KoAct 코스닥액티브(과거)'!$B$11:$E$1000,4,0),0)</f>
        <v>1.81</v>
      </c>
      <c r="E25" s="20">
        <f t="shared" si="0"/>
        <v>0.11999999999999988</v>
      </c>
      <c r="F25" s="21">
        <f t="shared" si="1"/>
        <v>6.6298342541436295E-2</v>
      </c>
      <c r="G25" s="63" t="str">
        <f>VLOOKUP(H25,유니버스!$C$14:$D$2561,2,0)</f>
        <v>KS</v>
      </c>
      <c r="H25" s="65" t="str">
        <f>'KoAct 배당성장액티브'!B31</f>
        <v>하나금융지주</v>
      </c>
      <c r="I25" s="65">
        <f>VLOOKUP(H25,'KoAct 배당성장액티브'!$B$11:$E$1000,4,0)</f>
        <v>1.1000000000000001</v>
      </c>
      <c r="J25" s="65">
        <f>IFERROR(VLOOKUP(H25,'KoAct 배당성장액티브(과거)'!$B$11:$E$1000,4,0),0)</f>
        <v>0.91</v>
      </c>
      <c r="K25" s="20">
        <f t="shared" si="2"/>
        <v>0.19000000000000006</v>
      </c>
      <c r="L25" s="21">
        <f t="shared" si="3"/>
        <v>0.20879120879120894</v>
      </c>
      <c r="M25" s="62" t="str">
        <f>VLOOKUP(N25,유니버스!$C$14:$D$2561,2,0)</f>
        <v>KS</v>
      </c>
      <c r="N25" s="26" t="str">
        <f>'TIMEFOLIO Korea플러스배당액티브'!B31</f>
        <v>현대백화점</v>
      </c>
      <c r="O25" s="20">
        <f>VLOOKUP(N25,'TIMEFOLIO Korea플러스배당액티브'!$B$11:$E$1000,4,0)</f>
        <v>1.26</v>
      </c>
      <c r="P25" s="20">
        <f>IFERROR(VLOOKUP(N25,'TIMEFOLIO Korea플러스배당액티브(과거)'!$B$11:$E$1000,4,0),0)</f>
        <v>2.4700000000000002</v>
      </c>
      <c r="Q25" s="20">
        <f t="shared" si="4"/>
        <v>-1.2100000000000002</v>
      </c>
      <c r="R25" s="21">
        <f t="shared" si="5"/>
        <v>-0.48987854251012153</v>
      </c>
    </row>
    <row r="26" spans="1:18" x14ac:dyDescent="0.4">
      <c r="A26" s="63" t="str">
        <f>VLOOKUP(B26,유니버스!$C$14:$D$2561,2,0)</f>
        <v>KQ</v>
      </c>
      <c r="B26" s="65" t="str">
        <f>'KoAct 코스닥액티브'!B32</f>
        <v>티엘비</v>
      </c>
      <c r="C26" s="65">
        <f>VLOOKUP(B26,'KoAct 코스닥액티브'!$B$11:$E$1000,4,0)</f>
        <v>1.76</v>
      </c>
      <c r="D26" s="65">
        <f>IFERROR(VLOOKUP(B26,'KoAct 코스닥액티브(과거)'!$B$11:$E$1000,4,0),0)</f>
        <v>3.69</v>
      </c>
      <c r="E26" s="20">
        <f t="shared" si="0"/>
        <v>-1.93</v>
      </c>
      <c r="F26" s="21">
        <f t="shared" si="1"/>
        <v>-0.52303523035230359</v>
      </c>
      <c r="G26" s="63" t="str">
        <f>VLOOKUP(H26,유니버스!$C$14:$D$2561,2,0)</f>
        <v>KS</v>
      </c>
      <c r="H26" s="65" t="str">
        <f>'KoAct 배당성장액티브'!B32</f>
        <v>현대차</v>
      </c>
      <c r="I26" s="65">
        <f>VLOOKUP(H26,'KoAct 배당성장액티브'!$B$11:$E$1000,4,0)</f>
        <v>1.03</v>
      </c>
      <c r="J26" s="65">
        <f>IFERROR(VLOOKUP(H26,'KoAct 배당성장액티브(과거)'!$B$11:$E$1000,4,0),0)</f>
        <v>1.21</v>
      </c>
      <c r="K26" s="20">
        <f t="shared" si="2"/>
        <v>-0.17999999999999994</v>
      </c>
      <c r="L26" s="21">
        <f t="shared" si="3"/>
        <v>-0.14876033057851235</v>
      </c>
      <c r="M26" s="62" t="str">
        <f>VLOOKUP(N26,유니버스!$C$14:$D$2561,2,0)</f>
        <v>KS</v>
      </c>
      <c r="N26" s="26" t="str">
        <f>'TIMEFOLIO Korea플러스배당액티브'!B32</f>
        <v>KT&amp;G</v>
      </c>
      <c r="O26" s="20">
        <f>VLOOKUP(N26,'TIMEFOLIO Korea플러스배당액티브'!$B$11:$E$1000,4,0)</f>
        <v>1.21</v>
      </c>
      <c r="P26" s="20">
        <f>IFERROR(VLOOKUP(N26,'TIMEFOLIO Korea플러스배당액티브(과거)'!$B$11:$E$1000,4,0),0)</f>
        <v>1.2</v>
      </c>
      <c r="Q26" s="20">
        <f t="shared" ref="Q26:Q34" si="6">O26-P26</f>
        <v>1.0000000000000009E-2</v>
      </c>
      <c r="R26" s="21">
        <f t="shared" ref="R26:R34" si="7">IFERROR(O26/P26-1,"신규편입")</f>
        <v>8.3333333333333037E-3</v>
      </c>
    </row>
    <row r="27" spans="1:18" x14ac:dyDescent="0.4">
      <c r="A27" s="63" t="str">
        <f>VLOOKUP(B27,유니버스!$C$14:$D$2561,2,0)</f>
        <v>KQ</v>
      </c>
      <c r="B27" s="65" t="str">
        <f>'KoAct 코스닥액티브'!B33</f>
        <v>덕산하이메탈</v>
      </c>
      <c r="C27" s="65">
        <f>VLOOKUP(B27,'KoAct 코스닥액티브'!$B$11:$E$1000,4,0)</f>
        <v>1.75</v>
      </c>
      <c r="D27" s="65">
        <f>IFERROR(VLOOKUP(B27,'KoAct 코스닥액티브(과거)'!$B$11:$E$1000,4,0),0)</f>
        <v>1.74</v>
      </c>
      <c r="E27" s="20">
        <f t="shared" si="0"/>
        <v>1.0000000000000009E-2</v>
      </c>
      <c r="F27" s="21">
        <f t="shared" si="1"/>
        <v>5.7471264367816577E-3</v>
      </c>
      <c r="G27" s="63" t="str">
        <f>VLOOKUP(H27,유니버스!$C$14:$D$2561,2,0)</f>
        <v>KQ</v>
      </c>
      <c r="H27" s="65" t="str">
        <f>'KoAct 배당성장액티브'!B33</f>
        <v>에스에이엠티</v>
      </c>
      <c r="I27" s="65">
        <f>VLOOKUP(H27,'KoAct 배당성장액티브'!$B$11:$E$1000,4,0)</f>
        <v>0.95</v>
      </c>
      <c r="J27" s="65">
        <f>IFERROR(VLOOKUP(H27,'KoAct 배당성장액티브(과거)'!$B$11:$E$1000,4,0),0)</f>
        <v>0.51</v>
      </c>
      <c r="K27" s="20">
        <f t="shared" si="2"/>
        <v>0.43999999999999995</v>
      </c>
      <c r="L27" s="21">
        <f t="shared" si="3"/>
        <v>0.86274509803921551</v>
      </c>
      <c r="M27" s="62" t="str">
        <f>VLOOKUP(N27,유니버스!$C$14:$D$2561,2,0)</f>
        <v>KS</v>
      </c>
      <c r="N27" s="26" t="str">
        <f>'TIMEFOLIO Korea플러스배당액티브'!B33</f>
        <v>한화</v>
      </c>
      <c r="O27" s="20">
        <f>VLOOKUP(N27,'TIMEFOLIO Korea플러스배당액티브'!$B$11:$E$1000,4,0)</f>
        <v>1.18</v>
      </c>
      <c r="P27" s="20">
        <f>IFERROR(VLOOKUP(N27,'TIMEFOLIO Korea플러스배당액티브(과거)'!$B$11:$E$1000,4,0),0)</f>
        <v>1.23</v>
      </c>
      <c r="Q27" s="20">
        <f t="shared" si="6"/>
        <v>-5.0000000000000044E-2</v>
      </c>
      <c r="R27" s="21">
        <f t="shared" si="7"/>
        <v>-4.065040650406504E-2</v>
      </c>
    </row>
    <row r="28" spans="1:18" x14ac:dyDescent="0.4">
      <c r="A28" s="63" t="str">
        <f>VLOOKUP(B28,유니버스!$C$14:$D$2561,2,0)</f>
        <v>KQ</v>
      </c>
      <c r="B28" s="65" t="str">
        <f>'KoAct 코스닥액티브'!B34</f>
        <v>덕산네오룩스</v>
      </c>
      <c r="C28" s="65">
        <f>VLOOKUP(B28,'KoAct 코스닥액티브'!$B$11:$E$1000,4,0)</f>
        <v>1.7</v>
      </c>
      <c r="D28" s="65">
        <f>IFERROR(VLOOKUP(B28,'KoAct 코스닥액티브(과거)'!$B$11:$E$1000,4,0),0)</f>
        <v>1.83</v>
      </c>
      <c r="E28" s="20">
        <f t="shared" si="0"/>
        <v>-0.13000000000000012</v>
      </c>
      <c r="F28" s="21">
        <f t="shared" si="1"/>
        <v>-7.1038251366120297E-2</v>
      </c>
      <c r="G28" s="63" t="str">
        <f>VLOOKUP(H28,유니버스!$C$14:$D$2561,2,0)</f>
        <v>KS</v>
      </c>
      <c r="H28" s="65" t="str">
        <f>'KoAct 배당성장액티브'!B34</f>
        <v>대덕</v>
      </c>
      <c r="I28" s="65">
        <f>VLOOKUP(H28,'KoAct 배당성장액티브'!$B$11:$E$1000,4,0)</f>
        <v>0.92</v>
      </c>
      <c r="J28" s="65">
        <f>IFERROR(VLOOKUP(H28,'KoAct 배당성장액티브(과거)'!$B$11:$E$1000,4,0),0)</f>
        <v>0.99</v>
      </c>
      <c r="K28" s="20">
        <f t="shared" si="2"/>
        <v>-6.9999999999999951E-2</v>
      </c>
      <c r="L28" s="21">
        <f t="shared" si="3"/>
        <v>-7.0707070707070607E-2</v>
      </c>
      <c r="M28" s="62" t="str">
        <f>VLOOKUP(N28,유니버스!$C$14:$D$2561,2,0)</f>
        <v>KS</v>
      </c>
      <c r="N28" s="26" t="str">
        <f>'TIMEFOLIO Korea플러스배당액티브'!B34</f>
        <v>LS</v>
      </c>
      <c r="O28" s="20">
        <f>VLOOKUP(N28,'TIMEFOLIO Korea플러스배당액티브'!$B$11:$E$1000,4,0)</f>
        <v>1.1000000000000001</v>
      </c>
      <c r="P28" s="20">
        <f>IFERROR(VLOOKUP(N28,'TIMEFOLIO Korea플러스배당액티브(과거)'!$B$11:$E$1000,4,0),0)</f>
        <v>1.04</v>
      </c>
      <c r="Q28" s="20">
        <f t="shared" si="6"/>
        <v>6.0000000000000053E-2</v>
      </c>
      <c r="R28" s="21">
        <f t="shared" si="7"/>
        <v>5.7692307692307709E-2</v>
      </c>
    </row>
    <row r="29" spans="1:18" x14ac:dyDescent="0.4">
      <c r="A29" s="63" t="str">
        <f>VLOOKUP(B29,유니버스!$C$14:$D$2561,2,0)</f>
        <v>KQ</v>
      </c>
      <c r="B29" s="65" t="str">
        <f>'KoAct 코스닥액티브'!B35</f>
        <v>대주전자재료</v>
      </c>
      <c r="C29" s="65">
        <f>VLOOKUP(B29,'KoAct 코스닥액티브'!$B$11:$E$1000,4,0)</f>
        <v>1.42</v>
      </c>
      <c r="D29" s="65">
        <f>IFERROR(VLOOKUP(B29,'KoAct 코스닥액티브(과거)'!$B$11:$E$1000,4,0),0)</f>
        <v>1.63</v>
      </c>
      <c r="E29" s="20">
        <f t="shared" si="0"/>
        <v>-0.20999999999999996</v>
      </c>
      <c r="F29" s="21">
        <f t="shared" si="1"/>
        <v>-0.12883435582822089</v>
      </c>
      <c r="G29" s="63" t="str">
        <f>VLOOKUP(H29,유니버스!$C$14:$D$2561,2,0)</f>
        <v>KS</v>
      </c>
      <c r="H29" s="65" t="str">
        <f>'KoAct 배당성장액티브'!B35</f>
        <v>효성중공업</v>
      </c>
      <c r="I29" s="65">
        <f>VLOOKUP(H29,'KoAct 배당성장액티브'!$B$11:$E$1000,4,0)</f>
        <v>0.87</v>
      </c>
      <c r="J29" s="65">
        <f>IFERROR(VLOOKUP(H29,'KoAct 배당성장액티브(과거)'!$B$11:$E$1000,4,0),0)</f>
        <v>0.56999999999999995</v>
      </c>
      <c r="K29" s="20">
        <f t="shared" si="2"/>
        <v>0.30000000000000004</v>
      </c>
      <c r="L29" s="21">
        <f t="shared" si="3"/>
        <v>0.52631578947368429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1</v>
      </c>
      <c r="P29" s="20">
        <f>IFERROR(VLOOKUP(N29,'TIMEFOLIO Korea플러스배당액티브(과거)'!$B$11:$E$1000,4,0),0)</f>
        <v>0.98</v>
      </c>
      <c r="Q29" s="20">
        <f t="shared" si="6"/>
        <v>2.0000000000000018E-2</v>
      </c>
      <c r="R29" s="21">
        <f t="shared" si="7"/>
        <v>2.0408163265306145E-2</v>
      </c>
    </row>
    <row r="30" spans="1:18" x14ac:dyDescent="0.4">
      <c r="A30" s="63" t="str">
        <f>VLOOKUP(B30,유니버스!$C$14:$D$2561,2,0)</f>
        <v>KQ</v>
      </c>
      <c r="B30" s="65" t="str">
        <f>'KoAct 코스닥액티브'!B36</f>
        <v>덕산테코피아</v>
      </c>
      <c r="C30" s="65">
        <f>VLOOKUP(B30,'KoAct 코스닥액티브'!$B$11:$E$1000,4,0)</f>
        <v>1.41</v>
      </c>
      <c r="D30" s="65">
        <f>IFERROR(VLOOKUP(B30,'KoAct 코스닥액티브(과거)'!$B$11:$E$1000,4,0),0)</f>
        <v>1.66</v>
      </c>
      <c r="E30" s="20">
        <f t="shared" si="0"/>
        <v>-0.25</v>
      </c>
      <c r="F30" s="21">
        <f t="shared" si="1"/>
        <v>-0.1506024096385542</v>
      </c>
      <c r="G30" s="63" t="str">
        <f>VLOOKUP(H30,유니버스!$C$14:$D$2561,2,0)</f>
        <v>KS</v>
      </c>
      <c r="H30" s="65" t="str">
        <f>'KoAct 배당성장액티브'!B36</f>
        <v>에이피알</v>
      </c>
      <c r="I30" s="65">
        <f>VLOOKUP(H30,'KoAct 배당성장액티브'!$B$11:$E$1000,4,0)</f>
        <v>0.86</v>
      </c>
      <c r="J30" s="65">
        <f>IFERROR(VLOOKUP(H30,'KoAct 배당성장액티브(과거)'!$B$11:$E$1000,4,0),0)</f>
        <v>0.76</v>
      </c>
      <c r="K30" s="20">
        <f t="shared" si="2"/>
        <v>9.9999999999999978E-2</v>
      </c>
      <c r="L30" s="21">
        <f t="shared" si="3"/>
        <v>0.13157894736842102</v>
      </c>
      <c r="M30" s="62" t="str">
        <f>VLOOKUP(N30,유니버스!$C$14:$D$2561,2,0)</f>
        <v>KS</v>
      </c>
      <c r="N30" s="26" t="str">
        <f>'TIMEFOLIO Korea플러스배당액티브'!B36</f>
        <v>유안타증권</v>
      </c>
      <c r="O30" s="20">
        <f>VLOOKUP(N30,'TIMEFOLIO Korea플러스배당액티브'!$B$11:$E$1000,4,0)</f>
        <v>0.98</v>
      </c>
      <c r="P30" s="20">
        <f>IFERROR(VLOOKUP(N30,'TIMEFOLIO Korea플러스배당액티브(과거)'!$B$11:$E$1000,4,0),0)</f>
        <v>0.98</v>
      </c>
      <c r="Q30" s="20">
        <f t="shared" si="6"/>
        <v>0</v>
      </c>
      <c r="R30" s="21">
        <f t="shared" si="7"/>
        <v>0</v>
      </c>
    </row>
    <row r="31" spans="1:18" x14ac:dyDescent="0.4">
      <c r="A31" s="63" t="str">
        <f>VLOOKUP(B31,유니버스!$C$14:$D$2561,2,0)</f>
        <v>KQ</v>
      </c>
      <c r="B31" s="65" t="str">
        <f>'KoAct 코스닥액티브'!B37</f>
        <v>디바이스</v>
      </c>
      <c r="C31" s="65">
        <f>VLOOKUP(B31,'KoAct 코스닥액티브'!$B$11:$E$1000,4,0)</f>
        <v>1.4</v>
      </c>
      <c r="D31" s="65">
        <f>IFERROR(VLOOKUP(B31,'KoAct 코스닥액티브(과거)'!$B$11:$E$1000,4,0),0)</f>
        <v>2.1</v>
      </c>
      <c r="E31" s="20">
        <f t="shared" si="0"/>
        <v>-0.70000000000000018</v>
      </c>
      <c r="F31" s="21">
        <f t="shared" si="1"/>
        <v>-0.33333333333333337</v>
      </c>
      <c r="G31" s="63" t="str">
        <f>VLOOKUP(H31,유니버스!$C$14:$D$2561,2,0)</f>
        <v>KS</v>
      </c>
      <c r="H31" s="65" t="str">
        <f>'KoAct 배당성장액티브'!B37</f>
        <v>CJ</v>
      </c>
      <c r="I31" s="65">
        <f>VLOOKUP(H31,'KoAct 배당성장액티브'!$B$11:$E$1000,4,0)</f>
        <v>0.79</v>
      </c>
      <c r="J31" s="65">
        <f>IFERROR(VLOOKUP(H31,'KoAct 배당성장액티브(과거)'!$B$11:$E$1000,4,0),0)</f>
        <v>0.82</v>
      </c>
      <c r="K31" s="20">
        <f t="shared" si="2"/>
        <v>-2.9999999999999916E-2</v>
      </c>
      <c r="L31" s="21">
        <f t="shared" si="3"/>
        <v>-3.6585365853658458E-2</v>
      </c>
      <c r="M31" s="62" t="str">
        <f>VLOOKUP(N31,유니버스!$C$14:$D$2561,2,0)</f>
        <v>KS</v>
      </c>
      <c r="N31" s="26" t="str">
        <f>'TIMEFOLIO Korea플러스배당액티브'!B37</f>
        <v>미래에셋증권</v>
      </c>
      <c r="O31" s="20">
        <f>VLOOKUP(N31,'TIMEFOLIO Korea플러스배당액티브'!$B$11:$E$1000,4,0)</f>
        <v>0.93</v>
      </c>
      <c r="P31" s="20">
        <f>IFERROR(VLOOKUP(N31,'TIMEFOLIO Korea플러스배당액티브(과거)'!$B$11:$E$1000,4,0),0)</f>
        <v>0.96</v>
      </c>
      <c r="Q31" s="20">
        <f t="shared" si="6"/>
        <v>-2.9999999999999916E-2</v>
      </c>
      <c r="R31" s="21">
        <f t="shared" si="7"/>
        <v>-3.1249999999999889E-2</v>
      </c>
    </row>
    <row r="32" spans="1:18" x14ac:dyDescent="0.4">
      <c r="A32" s="63" t="str">
        <f>VLOOKUP(B32,유니버스!$C$14:$D$2561,2,0)</f>
        <v>KQ</v>
      </c>
      <c r="B32" s="65" t="str">
        <f>'KoAct 코스닥액티브'!B38</f>
        <v>저스템</v>
      </c>
      <c r="C32" s="65">
        <f>VLOOKUP(B32,'KoAct 코스닥액티브'!$B$11:$E$1000,4,0)</f>
        <v>1.2</v>
      </c>
      <c r="D32" s="65">
        <f>IFERROR(VLOOKUP(B32,'KoAct 코스닥액티브(과거)'!$B$11:$E$1000,4,0),0)</f>
        <v>1.68</v>
      </c>
      <c r="E32" s="20">
        <f t="shared" si="0"/>
        <v>-0.48</v>
      </c>
      <c r="F32" s="21">
        <f t="shared" si="1"/>
        <v>-0.2857142857142857</v>
      </c>
      <c r="G32" s="63" t="str">
        <f>VLOOKUP(H32,유니버스!$C$14:$D$2561,2,0)</f>
        <v>KQ</v>
      </c>
      <c r="H32" s="65" t="str">
        <f>'KoAct 배당성장액티브'!B38</f>
        <v>다우데이타</v>
      </c>
      <c r="I32" s="65">
        <f>VLOOKUP(H32,'KoAct 배당성장액티브'!$B$11:$E$1000,4,0)</f>
        <v>0.78</v>
      </c>
      <c r="J32" s="65">
        <f>IFERROR(VLOOKUP(H32,'KoAct 배당성장액티브(과거)'!$B$11:$E$1000,4,0),0)</f>
        <v>0.74</v>
      </c>
      <c r="K32" s="20">
        <f t="shared" si="2"/>
        <v>4.0000000000000036E-2</v>
      </c>
      <c r="L32" s="21">
        <f t="shared" si="3"/>
        <v>5.4054054054054168E-2</v>
      </c>
      <c r="M32" s="62" t="e">
        <f>VLOOKUP(N32,유니버스!$C$14:$D$2561,2,0)</f>
        <v>#N/A</v>
      </c>
      <c r="N32" s="26" t="str">
        <f>'TIMEFOLIO Korea플러스배당액티브'!B38</f>
        <v>현대차2우B</v>
      </c>
      <c r="O32" s="20">
        <f>VLOOKUP(N32,'TIMEFOLIO Korea플러스배당액티브'!$B$11:$E$1000,4,0)</f>
        <v>0.92</v>
      </c>
      <c r="P32" s="20">
        <f>IFERROR(VLOOKUP(N32,'TIMEFOLIO Korea플러스배당액티브(과거)'!$B$11:$E$1000,4,0),0)</f>
        <v>0.93</v>
      </c>
      <c r="Q32" s="20">
        <f t="shared" si="6"/>
        <v>-1.0000000000000009E-2</v>
      </c>
      <c r="R32" s="21">
        <f t="shared" si="7"/>
        <v>-1.0752688172043001E-2</v>
      </c>
    </row>
    <row r="33" spans="1:18" x14ac:dyDescent="0.4">
      <c r="A33" s="63" t="str">
        <f>VLOOKUP(B33,유니버스!$C$14:$D$2561,2,0)</f>
        <v>KQ</v>
      </c>
      <c r="B33" s="65" t="str">
        <f>'KoAct 코스닥액티브'!B39</f>
        <v>오킨스전자</v>
      </c>
      <c r="C33" s="65">
        <f>VLOOKUP(B33,'KoAct 코스닥액티브'!$B$11:$E$1000,4,0)</f>
        <v>1.18</v>
      </c>
      <c r="D33" s="65">
        <f>IFERROR(VLOOKUP(B33,'KoAct 코스닥액티브(과거)'!$B$11:$E$1000,4,0),0)</f>
        <v>1.9</v>
      </c>
      <c r="E33" s="20">
        <f t="shared" si="0"/>
        <v>-0.72</v>
      </c>
      <c r="F33" s="21">
        <f t="shared" si="1"/>
        <v>-0.37894736842105259</v>
      </c>
      <c r="G33" s="63" t="str">
        <f>VLOOKUP(H33,유니버스!$C$14:$D$2561,2,0)</f>
        <v>KS</v>
      </c>
      <c r="H33" s="65" t="str">
        <f>'KoAct 배당성장액티브'!B39</f>
        <v>이노션</v>
      </c>
      <c r="I33" s="65">
        <f>VLOOKUP(H33,'KoAct 배당성장액티브'!$B$11:$E$1000,4,0)</f>
        <v>0.76</v>
      </c>
      <c r="J33" s="65">
        <f>IFERROR(VLOOKUP(H33,'KoAct 배당성장액티브(과거)'!$B$11:$E$1000,4,0),0)</f>
        <v>0.94</v>
      </c>
      <c r="K33" s="20">
        <f t="shared" si="2"/>
        <v>-0.17999999999999994</v>
      </c>
      <c r="L33" s="21">
        <f t="shared" si="3"/>
        <v>-0.1914893617021276</v>
      </c>
      <c r="M33" s="62" t="str">
        <f>VLOOKUP(N33,유니버스!$C$14:$D$2561,2,0)</f>
        <v>KS</v>
      </c>
      <c r="N33" s="26" t="str">
        <f>'TIMEFOLIO Korea플러스배당액티브'!B39</f>
        <v>두산</v>
      </c>
      <c r="O33" s="20">
        <f>VLOOKUP(N33,'TIMEFOLIO Korea플러스배당액티브'!$B$11:$E$1000,4,0)</f>
        <v>0.92</v>
      </c>
      <c r="P33" s="20">
        <f>IFERROR(VLOOKUP(N33,'TIMEFOLIO Korea플러스배당액티브(과거)'!$B$11:$E$1000,4,0),0)</f>
        <v>1.96</v>
      </c>
      <c r="Q33" s="20">
        <f t="shared" si="6"/>
        <v>-1.04</v>
      </c>
      <c r="R33" s="21">
        <f t="shared" si="7"/>
        <v>-0.53061224489795911</v>
      </c>
    </row>
    <row r="34" spans="1:18" x14ac:dyDescent="0.4">
      <c r="A34" s="63" t="str">
        <f>VLOOKUP(B34,유니버스!$C$14:$D$2561,2,0)</f>
        <v>KQ</v>
      </c>
      <c r="B34" s="65" t="str">
        <f>'KoAct 코스닥액티브'!B40</f>
        <v>노바렉스</v>
      </c>
      <c r="C34" s="65">
        <f>VLOOKUP(B34,'KoAct 코스닥액티브'!$B$11:$E$1000,4,0)</f>
        <v>1.1100000000000001</v>
      </c>
      <c r="D34" s="65">
        <f>IFERROR(VLOOKUP(B34,'KoAct 코스닥액티브(과거)'!$B$11:$E$1000,4,0),0)</f>
        <v>1.1100000000000001</v>
      </c>
      <c r="E34" s="20">
        <f t="shared" si="0"/>
        <v>0</v>
      </c>
      <c r="F34" s="21">
        <f t="shared" si="1"/>
        <v>0</v>
      </c>
      <c r="G34" s="63" t="str">
        <f>VLOOKUP(H34,유니버스!$C$14:$D$2561,2,0)</f>
        <v>KS</v>
      </c>
      <c r="H34" s="65" t="str">
        <f>'KoAct 배당성장액티브'!B40</f>
        <v>HD현대</v>
      </c>
      <c r="I34" s="65">
        <f>VLOOKUP(H34,'KoAct 배당성장액티브'!$B$11:$E$1000,4,0)</f>
        <v>0.76</v>
      </c>
      <c r="J34" s="65">
        <f>IFERROR(VLOOKUP(H34,'KoAct 배당성장액티브(과거)'!$B$11:$E$1000,4,0),0)</f>
        <v>1.3</v>
      </c>
      <c r="K34" s="20">
        <f t="shared" si="2"/>
        <v>-0.54</v>
      </c>
      <c r="L34" s="21">
        <f t="shared" si="3"/>
        <v>-0.41538461538461535</v>
      </c>
      <c r="M34" s="62" t="str">
        <f>VLOOKUP(N34,유니버스!$C$14:$D$2561,2,0)</f>
        <v>KS</v>
      </c>
      <c r="N34" s="26" t="str">
        <f>'TIMEFOLIO Korea플러스배당액티브'!B40</f>
        <v>신한지주</v>
      </c>
      <c r="O34" s="20">
        <f>VLOOKUP(N34,'TIMEFOLIO Korea플러스배당액티브'!$B$11:$E$1000,4,0)</f>
        <v>0.84</v>
      </c>
      <c r="P34" s="20">
        <f>IFERROR(VLOOKUP(N34,'TIMEFOLIO Korea플러스배당액티브(과거)'!$B$11:$E$1000,4,0),0)</f>
        <v>0.81</v>
      </c>
      <c r="Q34" s="20">
        <f t="shared" si="6"/>
        <v>2.9999999999999916E-2</v>
      </c>
      <c r="R34" s="21">
        <f t="shared" si="7"/>
        <v>3.7037037037036979E-2</v>
      </c>
    </row>
    <row r="35" spans="1:18" x14ac:dyDescent="0.4">
      <c r="A35" s="63" t="str">
        <f>VLOOKUP(B35,유니버스!$C$14:$D$2561,2,0)</f>
        <v>KQ</v>
      </c>
      <c r="B35" s="65" t="str">
        <f>'KoAct 코스닥액티브'!B41</f>
        <v>예스티</v>
      </c>
      <c r="C35" s="65">
        <f>VLOOKUP(B35,'KoAct 코스닥액티브'!$B$11:$E$1000,4,0)</f>
        <v>1.07</v>
      </c>
      <c r="D35" s="65">
        <f>IFERROR(VLOOKUP(B35,'KoAct 코스닥액티브(과거)'!$B$11:$E$1000,4,0),0)</f>
        <v>0</v>
      </c>
      <c r="E35" s="20">
        <f t="shared" si="0"/>
        <v>1.07</v>
      </c>
      <c r="F35" s="21" t="str">
        <f t="shared" si="1"/>
        <v>신규편입</v>
      </c>
      <c r="G35" s="63" t="str">
        <f>VLOOKUP(H35,유니버스!$C$14:$D$2561,2,0)</f>
        <v>KQ</v>
      </c>
      <c r="H35" s="65" t="str">
        <f>'KoAct 배당성장액티브'!B41</f>
        <v>하나마이크론</v>
      </c>
      <c r="I35" s="65">
        <f>VLOOKUP(H35,'KoAct 배당성장액티브'!$B$11:$E$1000,4,0)</f>
        <v>0.69</v>
      </c>
      <c r="J35" s="65">
        <f>IFERROR(VLOOKUP(H35,'KoAct 배당성장액티브(과거)'!$B$11:$E$1000,4,0),0)</f>
        <v>0.61</v>
      </c>
      <c r="K35" s="20">
        <f t="shared" si="2"/>
        <v>7.999999999999996E-2</v>
      </c>
      <c r="L35" s="21">
        <f t="shared" si="3"/>
        <v>0.13114754098360648</v>
      </c>
      <c r="M35" s="62" t="str">
        <f>VLOOKUP(N35,유니버스!$C$14:$D$2561,2,0)</f>
        <v>KS</v>
      </c>
      <c r="N35" s="26" t="str">
        <f>'TIMEFOLIO Korea플러스배당액티브'!B41</f>
        <v>KT</v>
      </c>
      <c r="O35" s="20">
        <f>VLOOKUP(N35,'TIMEFOLIO Korea플러스배당액티브'!$B$11:$E$1000,4,0)</f>
        <v>0.77</v>
      </c>
      <c r="P35" s="20">
        <f>IFERROR(VLOOKUP(N35,'TIMEFOLIO Korea플러스배당액티브(과거)'!$B$11:$E$1000,4,0),0)</f>
        <v>0.7</v>
      </c>
      <c r="Q35" s="20">
        <f t="shared" ref="Q35:Q37" si="8">O35-P35</f>
        <v>7.0000000000000062E-2</v>
      </c>
      <c r="R35" s="21">
        <f t="shared" ref="R35:R37" si="9">IFERROR(O35/P35-1,"신규편입")</f>
        <v>0.10000000000000009</v>
      </c>
    </row>
    <row r="36" spans="1:18" x14ac:dyDescent="0.4">
      <c r="A36" s="63" t="str">
        <f>VLOOKUP(B36,유니버스!$C$14:$D$2561,2,0)</f>
        <v>KQ</v>
      </c>
      <c r="B36" s="65" t="str">
        <f>'KoAct 코스닥액티브'!B42</f>
        <v>RF머트리얼즈</v>
      </c>
      <c r="C36" s="65">
        <f>VLOOKUP(B36,'KoAct 코스닥액티브'!$B$11:$E$1000,4,0)</f>
        <v>1.05</v>
      </c>
      <c r="D36" s="65">
        <f>IFERROR(VLOOKUP(B36,'KoAct 코스닥액티브(과거)'!$B$11:$E$1000,4,0),0)</f>
        <v>1.1200000000000001</v>
      </c>
      <c r="E36" s="20">
        <f t="shared" si="0"/>
        <v>-7.0000000000000062E-2</v>
      </c>
      <c r="F36" s="21">
        <f t="shared" si="1"/>
        <v>-6.25E-2</v>
      </c>
      <c r="G36" s="63" t="str">
        <f>VLOOKUP(H36,유니버스!$C$14:$D$2561,2,0)</f>
        <v>KS</v>
      </c>
      <c r="H36" s="65" t="str">
        <f>'KoAct 배당성장액티브'!B42</f>
        <v>코리안리</v>
      </c>
      <c r="I36" s="65">
        <f>VLOOKUP(H36,'KoAct 배당성장액티브'!$B$11:$E$1000,4,0)</f>
        <v>0.66</v>
      </c>
      <c r="J36" s="65">
        <f>IFERROR(VLOOKUP(H36,'KoAct 배당성장액티브(과거)'!$B$11:$E$1000,4,0),0)</f>
        <v>0.85</v>
      </c>
      <c r="K36" s="20">
        <f t="shared" si="2"/>
        <v>-0.18999999999999995</v>
      </c>
      <c r="L36" s="21">
        <f t="shared" si="3"/>
        <v>-0.22352941176470587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0.71</v>
      </c>
      <c r="P36" s="20">
        <f>IFERROR(VLOOKUP(N36,'TIMEFOLIO Korea플러스배당액티브(과거)'!$B$11:$E$1000,4,0),0)</f>
        <v>0.82</v>
      </c>
      <c r="Q36" s="20">
        <f t="shared" si="8"/>
        <v>-0.10999999999999999</v>
      </c>
      <c r="R36" s="21">
        <f t="shared" si="9"/>
        <v>-0.13414634146341464</v>
      </c>
    </row>
    <row r="37" spans="1:18" x14ac:dyDescent="0.4">
      <c r="A37" s="63" t="str">
        <f>VLOOKUP(B37,유니버스!$C$14:$D$2561,2,0)</f>
        <v>KQ</v>
      </c>
      <c r="B37" s="65" t="str">
        <f>'KoAct 코스닥액티브'!B43</f>
        <v>티씨케이</v>
      </c>
      <c r="C37" s="65">
        <f>VLOOKUP(B37,'KoAct 코스닥액티브'!$B$11:$E$1000,4,0)</f>
        <v>0.98</v>
      </c>
      <c r="D37" s="65">
        <f>IFERROR(VLOOKUP(B37,'KoAct 코스닥액티브(과거)'!$B$11:$E$1000,4,0),0)</f>
        <v>0.87</v>
      </c>
      <c r="E37" s="20">
        <f t="shared" si="0"/>
        <v>0.10999999999999999</v>
      </c>
      <c r="F37" s="21">
        <f t="shared" si="1"/>
        <v>0.12643678160919536</v>
      </c>
      <c r="G37" s="63" t="str">
        <f>VLOOKUP(H37,유니버스!$C$14:$D$2561,2,0)</f>
        <v>KS</v>
      </c>
      <c r="H37" s="65" t="str">
        <f>'KoAct 배당성장액티브'!B43</f>
        <v>현대백화점</v>
      </c>
      <c r="I37" s="65">
        <f>VLOOKUP(H37,'KoAct 배당성장액티브'!$B$11:$E$1000,4,0)</f>
        <v>0.65</v>
      </c>
      <c r="J37" s="65">
        <f>IFERROR(VLOOKUP(H37,'KoAct 배당성장액티브(과거)'!$B$11:$E$1000,4,0),0)</f>
        <v>0.79</v>
      </c>
      <c r="K37" s="20">
        <f t="shared" si="2"/>
        <v>-0.14000000000000001</v>
      </c>
      <c r="L37" s="21">
        <f t="shared" si="3"/>
        <v>-0.17721518987341778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0.69</v>
      </c>
      <c r="P37" s="20">
        <f>IFERROR(VLOOKUP(N37,'TIMEFOLIO Korea플러스배당액티브(과거)'!$B$11:$E$1000,4,0),0)</f>
        <v>0.71</v>
      </c>
      <c r="Q37" s="20">
        <f t="shared" si="8"/>
        <v>-2.0000000000000018E-2</v>
      </c>
      <c r="R37" s="21">
        <f t="shared" si="9"/>
        <v>-2.8169014084507116E-2</v>
      </c>
    </row>
    <row r="38" spans="1:18" x14ac:dyDescent="0.4">
      <c r="A38" s="63" t="str">
        <f>VLOOKUP(B38,유니버스!$C$14:$D$2561,2,0)</f>
        <v>KQ</v>
      </c>
      <c r="B38" s="65" t="str">
        <f>'KoAct 코스닥액티브'!B44</f>
        <v>슈프리마</v>
      </c>
      <c r="C38" s="65">
        <f>VLOOKUP(B38,'KoAct 코스닥액티브'!$B$11:$E$1000,4,0)</f>
        <v>0.95</v>
      </c>
      <c r="D38" s="65">
        <f>IFERROR(VLOOKUP(B38,'KoAct 코스닥액티브(과거)'!$B$11:$E$1000,4,0),0)</f>
        <v>1.46</v>
      </c>
      <c r="E38" s="20">
        <f t="shared" si="0"/>
        <v>-0.51</v>
      </c>
      <c r="F38" s="21">
        <f t="shared" si="1"/>
        <v>-0.34931506849315075</v>
      </c>
      <c r="G38" s="63" t="str">
        <f>VLOOKUP(H38,유니버스!$C$14:$D$2561,2,0)</f>
        <v>KS</v>
      </c>
      <c r="H38" s="65" t="str">
        <f>'KoAct 배당성장액티브'!B44</f>
        <v>롯데쇼핑</v>
      </c>
      <c r="I38" s="65">
        <f>VLOOKUP(H38,'KoAct 배당성장액티브'!$B$11:$E$1000,4,0)</f>
        <v>0.64</v>
      </c>
      <c r="J38" s="65">
        <f>IFERROR(VLOOKUP(H38,'KoAct 배당성장액티브(과거)'!$B$11:$E$1000,4,0),0)</f>
        <v>0.57999999999999996</v>
      </c>
      <c r="K38" s="20">
        <f t="shared" si="2"/>
        <v>6.0000000000000053E-2</v>
      </c>
      <c r="L38" s="21">
        <f t="shared" si="3"/>
        <v>0.10344827586206917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0.64</v>
      </c>
      <c r="P38" s="20">
        <f>IFERROR(VLOOKUP(N38,'TIMEFOLIO Korea플러스배당액티브(과거)'!$B$11:$E$1000,4,0),0)</f>
        <v>0.63</v>
      </c>
      <c r="Q38" s="20">
        <f t="shared" ref="Q38:Q40" si="10">O38-P38</f>
        <v>1.0000000000000009E-2</v>
      </c>
      <c r="R38" s="21">
        <f t="shared" ref="R38:R40" si="11">IFERROR(O38/P38-1,"신규편입")</f>
        <v>1.5873015873015817E-2</v>
      </c>
    </row>
    <row r="39" spans="1:18" x14ac:dyDescent="0.4">
      <c r="A39" s="63" t="str">
        <f>VLOOKUP(B39,유니버스!$C$14:$D$2561,2,0)</f>
        <v>KQ</v>
      </c>
      <c r="B39" s="65" t="str">
        <f>'KoAct 코스닥액티브'!B45</f>
        <v>파두</v>
      </c>
      <c r="C39" s="65">
        <f>VLOOKUP(B39,'KoAct 코스닥액티브'!$B$11:$E$1000,4,0)</f>
        <v>0.94</v>
      </c>
      <c r="D39" s="65">
        <f>IFERROR(VLOOKUP(B39,'KoAct 코스닥액티브(과거)'!$B$11:$E$1000,4,0),0)</f>
        <v>2.39</v>
      </c>
      <c r="E39" s="20">
        <f t="shared" si="0"/>
        <v>-1.4500000000000002</v>
      </c>
      <c r="F39" s="21">
        <f t="shared" si="1"/>
        <v>-0.60669456066945604</v>
      </c>
      <c r="G39" s="63" t="str">
        <f>VLOOKUP(H39,유니버스!$C$14:$D$2561,2,0)</f>
        <v>KS</v>
      </c>
      <c r="H39" s="65" t="str">
        <f>'KoAct 배당성장액티브'!B45</f>
        <v>삼성화재</v>
      </c>
      <c r="I39" s="65">
        <f>VLOOKUP(H39,'KoAct 배당성장액티브'!$B$11:$E$1000,4,0)</f>
        <v>0.63</v>
      </c>
      <c r="J39" s="65">
        <f>IFERROR(VLOOKUP(H39,'KoAct 배당성장액티브(과거)'!$B$11:$E$1000,4,0),0)</f>
        <v>0.67</v>
      </c>
      <c r="K39" s="20">
        <f t="shared" si="2"/>
        <v>-4.0000000000000036E-2</v>
      </c>
      <c r="L39" s="21">
        <f t="shared" si="3"/>
        <v>-5.9701492537313494E-2</v>
      </c>
      <c r="M39" s="62" t="str">
        <f>VLOOKUP(N39,유니버스!$C$14:$D$2561,2,0)</f>
        <v>KS</v>
      </c>
      <c r="N39" s="26" t="str">
        <f>'TIMEFOLIO Korea플러스배당액티브'!B45</f>
        <v>POSCO홀딩스</v>
      </c>
      <c r="O39" s="20">
        <f>VLOOKUP(N39,'TIMEFOLIO Korea플러스배당액티브'!$B$11:$E$1000,4,0)</f>
        <v>0.46</v>
      </c>
      <c r="P39" s="20">
        <f>IFERROR(VLOOKUP(N39,'TIMEFOLIO Korea플러스배당액티브(과거)'!$B$11:$E$1000,4,0),0)</f>
        <v>1</v>
      </c>
      <c r="Q39" s="20">
        <f t="shared" si="10"/>
        <v>-0.54</v>
      </c>
      <c r="R39" s="21">
        <f t="shared" si="11"/>
        <v>-0.54</v>
      </c>
    </row>
    <row r="40" spans="1:18" x14ac:dyDescent="0.4">
      <c r="A40" s="63" t="str">
        <f>VLOOKUP(B40,유니버스!$C$14:$D$2561,2,0)</f>
        <v>KQ</v>
      </c>
      <c r="B40" s="65" t="str">
        <f>'KoAct 코스닥액티브'!B46</f>
        <v>에이비엘바이오</v>
      </c>
      <c r="C40" s="65">
        <f>VLOOKUP(B40,'KoAct 코스닥액티브'!$B$11:$E$1000,4,0)</f>
        <v>0.92</v>
      </c>
      <c r="D40" s="65">
        <f>IFERROR(VLOOKUP(B40,'KoAct 코스닥액티브(과거)'!$B$11:$E$1000,4,0),0)</f>
        <v>0.89</v>
      </c>
      <c r="E40" s="20">
        <f t="shared" si="0"/>
        <v>3.0000000000000027E-2</v>
      </c>
      <c r="F40" s="21">
        <f t="shared" si="1"/>
        <v>3.3707865168539408E-2</v>
      </c>
      <c r="G40" s="63" t="str">
        <f>VLOOKUP(H40,유니버스!$C$14:$D$2561,2,0)</f>
        <v>KS</v>
      </c>
      <c r="H40" s="65" t="str">
        <f>'KoAct 배당성장액티브'!B46</f>
        <v>SK</v>
      </c>
      <c r="I40" s="65">
        <f>VLOOKUP(H40,'KoAct 배당성장액티브'!$B$11:$E$1000,4,0)</f>
        <v>0.6</v>
      </c>
      <c r="J40" s="65">
        <f>IFERROR(VLOOKUP(H40,'KoAct 배당성장액티브(과거)'!$B$11:$E$1000,4,0),0)</f>
        <v>0.74</v>
      </c>
      <c r="K40" s="20">
        <f t="shared" si="2"/>
        <v>-0.14000000000000001</v>
      </c>
      <c r="L40" s="21">
        <f t="shared" si="3"/>
        <v>-0.18918918918918926</v>
      </c>
      <c r="M40" s="62" t="e">
        <f>VLOOKUP(N40,유니버스!$C$14:$D$2561,2,0)</f>
        <v>#N/A</v>
      </c>
      <c r="N40" s="26" t="str">
        <f>'TIMEFOLIO Korea플러스배당액티브'!B46</f>
        <v>원화현금</v>
      </c>
      <c r="O40" s="20">
        <f>VLOOKUP(N40,'TIMEFOLIO Korea플러스배당액티브'!$B$11:$E$1000,4,0)</f>
        <v>1.89</v>
      </c>
      <c r="P40" s="20">
        <f>IFERROR(VLOOKUP(N40,'TIMEFOLIO Korea플러스배당액티브(과거)'!$B$11:$E$1000,4,0),0)</f>
        <v>0.96</v>
      </c>
      <c r="Q40" s="20">
        <f t="shared" si="10"/>
        <v>0.92999999999999994</v>
      </c>
      <c r="R40" s="21">
        <f t="shared" si="11"/>
        <v>0.96875</v>
      </c>
    </row>
    <row r="41" spans="1:18" x14ac:dyDescent="0.4">
      <c r="A41" s="63" t="str">
        <f>VLOOKUP(B41,유니버스!$C$14:$D$2561,2,0)</f>
        <v>KQ</v>
      </c>
      <c r="B41" s="65" t="str">
        <f>'KoAct 코스닥액티브'!B47</f>
        <v>두산테스나</v>
      </c>
      <c r="C41" s="65">
        <f>VLOOKUP(B41,'KoAct 코스닥액티브'!$B$11:$E$1000,4,0)</f>
        <v>0.9</v>
      </c>
      <c r="D41" s="65">
        <f>IFERROR(VLOOKUP(B41,'KoAct 코스닥액티브(과거)'!$B$11:$E$1000,4,0),0)</f>
        <v>3.46</v>
      </c>
      <c r="E41" s="20">
        <f t="shared" si="0"/>
        <v>-2.56</v>
      </c>
      <c r="F41" s="21">
        <f t="shared" si="1"/>
        <v>-0.73988439306358378</v>
      </c>
      <c r="G41" s="63" t="str">
        <f>VLOOKUP(H41,유니버스!$C$14:$D$2561,2,0)</f>
        <v>KS</v>
      </c>
      <c r="H41" s="65" t="str">
        <f>'KoAct 배당성장액티브'!B47</f>
        <v>미스토홀딩스</v>
      </c>
      <c r="I41" s="65">
        <f>VLOOKUP(H41,'KoAct 배당성장액티브'!$B$11:$E$1000,4,0)</f>
        <v>0.56000000000000005</v>
      </c>
      <c r="J41" s="65">
        <f>IFERROR(VLOOKUP(H41,'KoAct 배당성장액티브(과거)'!$B$11:$E$1000,4,0),0)</f>
        <v>0.28999999999999998</v>
      </c>
      <c r="K41" s="20">
        <f t="shared" si="2"/>
        <v>0.27000000000000007</v>
      </c>
      <c r="L41" s="21">
        <f t="shared" si="3"/>
        <v>0.931034482758621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'KoAct 코스닥액티브'!B48</f>
        <v>다우데이타</v>
      </c>
      <c r="C42" s="65">
        <f>VLOOKUP(B42,'KoAct 코스닥액티브'!$B$11:$E$1000,4,0)</f>
        <v>0.88</v>
      </c>
      <c r="D42" s="65">
        <f>IFERROR(VLOOKUP(B42,'KoAct 코스닥액티브(과거)'!$B$11:$E$1000,4,0),0)</f>
        <v>1.53</v>
      </c>
      <c r="E42" s="20">
        <f t="shared" si="0"/>
        <v>-0.65</v>
      </c>
      <c r="F42" s="21">
        <f t="shared" si="1"/>
        <v>-0.42483660130718959</v>
      </c>
      <c r="G42" s="63" t="str">
        <f>VLOOKUP(H42,유니버스!$C$14:$D$2561,2,0)</f>
        <v>KS</v>
      </c>
      <c r="H42" s="65" t="str">
        <f>'KoAct 배당성장액티브'!B48</f>
        <v>HD현대일렉트릭</v>
      </c>
      <c r="I42" s="65">
        <f>VLOOKUP(H42,'KoAct 배당성장액티브'!$B$11:$E$1000,4,0)</f>
        <v>0.56000000000000005</v>
      </c>
      <c r="J42" s="65">
        <f>IFERROR(VLOOKUP(H42,'KoAct 배당성장액티브(과거)'!$B$11:$E$1000,4,0),0)</f>
        <v>0.55000000000000004</v>
      </c>
      <c r="K42" s="20">
        <f t="shared" si="2"/>
        <v>1.0000000000000009E-2</v>
      </c>
      <c r="L42" s="21">
        <f t="shared" si="3"/>
        <v>1.8181818181818299E-2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'KoAct 코스닥액티브'!B49</f>
        <v>에이프릴바이오</v>
      </c>
      <c r="C43" s="65">
        <f>VLOOKUP(B43,'KoAct 코스닥액티브'!$B$11:$E$1000,4,0)</f>
        <v>0.75</v>
      </c>
      <c r="D43" s="65">
        <f>IFERROR(VLOOKUP(B43,'KoAct 코스닥액티브(과거)'!$B$11:$E$1000,4,0),0)</f>
        <v>1.23</v>
      </c>
      <c r="E43" s="20">
        <f t="shared" si="0"/>
        <v>-0.48</v>
      </c>
      <c r="F43" s="21">
        <f t="shared" si="1"/>
        <v>-0.3902439024390244</v>
      </c>
      <c r="G43" s="63" t="str">
        <f>VLOOKUP(H43,유니버스!$C$14:$D$2561,2,0)</f>
        <v>KS</v>
      </c>
      <c r="H43" s="65" t="str">
        <f>'KoAct 배당성장액티브'!B49</f>
        <v>케이씨</v>
      </c>
      <c r="I43" s="65">
        <f>VLOOKUP(H43,'KoAct 배당성장액티브'!$B$11:$E$1000,4,0)</f>
        <v>0.54</v>
      </c>
      <c r="J43" s="65">
        <f>IFERROR(VLOOKUP(H43,'KoAct 배당성장액티브(과거)'!$B$11:$E$1000,4,0),0)</f>
        <v>0.46</v>
      </c>
      <c r="K43" s="20">
        <f t="shared" si="2"/>
        <v>8.0000000000000016E-2</v>
      </c>
      <c r="L43" s="21">
        <f t="shared" si="3"/>
        <v>0.17391304347826098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'KoAct 코스닥액티브'!B50</f>
        <v>알지노믹스</v>
      </c>
      <c r="C44" s="65">
        <f>VLOOKUP(B44,'KoAct 코스닥액티브'!$B$11:$E$1000,4,0)</f>
        <v>0.7</v>
      </c>
      <c r="D44" s="65">
        <f>IFERROR(VLOOKUP(B44,'KoAct 코스닥액티브(과거)'!$B$11:$E$1000,4,0),0)</f>
        <v>0.72</v>
      </c>
      <c r="E44" s="20">
        <f t="shared" si="0"/>
        <v>-2.0000000000000018E-2</v>
      </c>
      <c r="F44" s="21">
        <f t="shared" si="1"/>
        <v>-2.777777777777779E-2</v>
      </c>
      <c r="G44" s="63" t="str">
        <f>VLOOKUP(H44,유니버스!$C$14:$D$2561,2,0)</f>
        <v>KS</v>
      </c>
      <c r="H44" s="65" t="str">
        <f>'KoAct 배당성장액티브'!B50</f>
        <v>한미약품</v>
      </c>
      <c r="I44" s="65">
        <f>VLOOKUP(H44,'KoAct 배당성장액티브'!$B$11:$E$1000,4,0)</f>
        <v>0.53</v>
      </c>
      <c r="J44" s="65">
        <f>IFERROR(VLOOKUP(H44,'KoAct 배당성장액티브(과거)'!$B$11:$E$1000,4,0),0)</f>
        <v>0.48</v>
      </c>
      <c r="K44" s="20">
        <f t="shared" si="2"/>
        <v>5.0000000000000044E-2</v>
      </c>
      <c r="L44" s="21">
        <f t="shared" si="3"/>
        <v>0.10416666666666674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'KoAct 코스닥액티브'!B51</f>
        <v>나노</v>
      </c>
      <c r="C45" s="65">
        <f>VLOOKUP(B45,'KoAct 코스닥액티브'!$B$11:$E$1000,4,0)</f>
        <v>0.68</v>
      </c>
      <c r="D45" s="65">
        <f>IFERROR(VLOOKUP(B45,'KoAct 코스닥액티브(과거)'!$B$11:$E$1000,4,0),0)</f>
        <v>0.72</v>
      </c>
      <c r="E45" s="20">
        <f t="shared" ref="E45:E46" si="12">C45-D45</f>
        <v>-3.9999999999999925E-2</v>
      </c>
      <c r="F45" s="21">
        <f t="shared" ref="F45:F46" si="13">IFERROR(C45/D45-1,"신규편입")</f>
        <v>-5.5555555555555469E-2</v>
      </c>
      <c r="G45" s="63" t="str">
        <f>VLOOKUP(H45,유니버스!$C$14:$D$2561,2,0)</f>
        <v>KS</v>
      </c>
      <c r="H45" s="65" t="str">
        <f>'KoAct 배당성장액티브'!B51</f>
        <v>GS</v>
      </c>
      <c r="I45" s="65">
        <f>VLOOKUP(H45,'KoAct 배당성장액티브'!$B$11:$E$1000,4,0)</f>
        <v>0.51</v>
      </c>
      <c r="J45" s="65">
        <f>IFERROR(VLOOKUP(H45,'KoAct 배당성장액티브(과거)'!$B$11:$E$1000,4,0),0)</f>
        <v>0.46</v>
      </c>
      <c r="K45" s="20">
        <f t="shared" si="2"/>
        <v>4.9999999999999989E-2</v>
      </c>
      <c r="L45" s="21">
        <f t="shared" si="3"/>
        <v>0.10869565217391308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'KoAct 코스닥액티브'!B52</f>
        <v>RFHIC</v>
      </c>
      <c r="C46" s="65">
        <f>VLOOKUP(B46,'KoAct 코스닥액티브'!$B$11:$E$1000,4,0)</f>
        <v>0.59</v>
      </c>
      <c r="D46" s="65">
        <f>IFERROR(VLOOKUP(B46,'KoAct 코스닥액티브(과거)'!$B$11:$E$1000,4,0),0)</f>
        <v>0.66</v>
      </c>
      <c r="E46" s="20">
        <f t="shared" si="12"/>
        <v>-7.0000000000000062E-2</v>
      </c>
      <c r="F46" s="21">
        <f t="shared" si="13"/>
        <v>-0.10606060606060619</v>
      </c>
      <c r="G46" s="63" t="str">
        <f>VLOOKUP(H46,유니버스!$C$14:$D$2561,2,0)</f>
        <v>KS</v>
      </c>
      <c r="H46" s="65" t="str">
        <f>'KoAct 배당성장액티브'!B52</f>
        <v>대한항공</v>
      </c>
      <c r="I46" s="65">
        <f>VLOOKUP(H46,'KoAct 배당성장액티브'!$B$11:$E$1000,4,0)</f>
        <v>0.51</v>
      </c>
      <c r="J46" s="65">
        <f>IFERROR(VLOOKUP(H46,'KoAct 배당성장액티브(과거)'!$B$11:$E$1000,4,0),0)</f>
        <v>0</v>
      </c>
      <c r="K46" s="20">
        <f t="shared" si="2"/>
        <v>0.51</v>
      </c>
      <c r="L46" s="21" t="str">
        <f t="shared" si="3"/>
        <v>신규편입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'KoAct 코스닥액티브'!B53</f>
        <v>성호전자</v>
      </c>
      <c r="C47" s="65">
        <f>VLOOKUP(B47,'KoAct 코스닥액티브'!$B$11:$E$1000,4,0)</f>
        <v>0.52</v>
      </c>
      <c r="D47" s="65">
        <f>IFERROR(VLOOKUP(B47,'KoAct 코스닥액티브(과거)'!$B$11:$E$1000,4,0),0)</f>
        <v>0.64</v>
      </c>
      <c r="E47" s="20">
        <f t="shared" ref="E47:E50" si="14">C47-D47</f>
        <v>-0.12</v>
      </c>
      <c r="F47" s="21">
        <f t="shared" ref="F47:F50" si="15">IFERROR(C47/D47-1,"신규편입")</f>
        <v>-0.1875</v>
      </c>
      <c r="G47" s="63" t="str">
        <f>VLOOKUP(H47,유니버스!$C$14:$D$2561,2,0)</f>
        <v>KS</v>
      </c>
      <c r="H47" s="65" t="str">
        <f>'KoAct 배당성장액티브'!B53</f>
        <v>두산</v>
      </c>
      <c r="I47" s="65">
        <f>VLOOKUP(H47,'KoAct 배당성장액티브'!$B$11:$E$1000,4,0)</f>
        <v>0.5</v>
      </c>
      <c r="J47" s="65">
        <f>IFERROR(VLOOKUP(H47,'KoAct 배당성장액티브(과거)'!$B$11:$E$1000,4,0),0)</f>
        <v>0.48</v>
      </c>
      <c r="K47" s="20">
        <f t="shared" si="2"/>
        <v>2.0000000000000018E-2</v>
      </c>
      <c r="L47" s="21">
        <f t="shared" si="3"/>
        <v>4.1666666666666741E-2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'KoAct 코스닥액티브'!B54</f>
        <v>비나텍</v>
      </c>
      <c r="C48" s="65">
        <f>VLOOKUP(B48,'KoAct 코스닥액티브'!$B$11:$E$1000,4,0)</f>
        <v>0.49</v>
      </c>
      <c r="D48" s="65">
        <f>IFERROR(VLOOKUP(B48,'KoAct 코스닥액티브(과거)'!$B$11:$E$1000,4,0),0)</f>
        <v>1.36</v>
      </c>
      <c r="E48" s="20">
        <f t="shared" si="14"/>
        <v>-0.87000000000000011</v>
      </c>
      <c r="F48" s="21">
        <f t="shared" si="15"/>
        <v>-0.63970588235294124</v>
      </c>
      <c r="G48" s="63" t="str">
        <f>VLOOKUP(H48,유니버스!$C$14:$D$2561,2,0)</f>
        <v>KS</v>
      </c>
      <c r="H48" s="65" t="str">
        <f>'KoAct 배당성장액티브'!B54</f>
        <v>현대엘리베이터</v>
      </c>
      <c r="I48" s="65">
        <f>VLOOKUP(H48,'KoAct 배당성장액티브'!$B$11:$E$1000,4,0)</f>
        <v>0.48</v>
      </c>
      <c r="J48" s="65">
        <f>IFERROR(VLOOKUP(H48,'KoAct 배당성장액티브(과거)'!$B$11:$E$1000,4,0),0)</f>
        <v>0.47</v>
      </c>
      <c r="K48" s="20">
        <f t="shared" si="2"/>
        <v>1.0000000000000009E-2</v>
      </c>
      <c r="L48" s="21">
        <f t="shared" si="3"/>
        <v>2.1276595744680771E-2</v>
      </c>
      <c r="N48" s="26"/>
      <c r="O48" s="20"/>
      <c r="P48" s="20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'KoAct 코스닥액티브'!B55</f>
        <v>코스텍시스</v>
      </c>
      <c r="C49" s="65">
        <f>VLOOKUP(B49,'KoAct 코스닥액티브'!$B$11:$E$1000,4,0)</f>
        <v>0.47</v>
      </c>
      <c r="D49" s="65">
        <f>IFERROR(VLOOKUP(B49,'KoAct 코스닥액티브(과거)'!$B$11:$E$1000,4,0),0)</f>
        <v>0.53</v>
      </c>
      <c r="E49" s="20">
        <f t="shared" si="14"/>
        <v>-6.0000000000000053E-2</v>
      </c>
      <c r="F49" s="21">
        <f t="shared" si="15"/>
        <v>-0.11320754716981141</v>
      </c>
      <c r="G49" s="63" t="str">
        <f>VLOOKUP(H49,유니버스!$C$14:$D$2561,2,0)</f>
        <v>KQ</v>
      </c>
      <c r="H49" s="65" t="str">
        <f>'KoAct 배당성장액티브'!B55</f>
        <v>이지홀딩스</v>
      </c>
      <c r="I49" s="65">
        <f>VLOOKUP(H49,'KoAct 배당성장액티브'!$B$11:$E$1000,4,0)</f>
        <v>0.46</v>
      </c>
      <c r="J49" s="65">
        <f>IFERROR(VLOOKUP(H49,'KoAct 배당성장액티브(과거)'!$B$11:$E$1000,4,0),0)</f>
        <v>0.45</v>
      </c>
      <c r="K49" s="20">
        <f t="shared" si="2"/>
        <v>1.0000000000000009E-2</v>
      </c>
      <c r="L49" s="21">
        <f t="shared" si="3"/>
        <v>2.2222222222222143E-2</v>
      </c>
      <c r="N49" s="26"/>
      <c r="O49" s="20"/>
      <c r="P49" s="20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'KoAct 코스닥액티브'!B56</f>
        <v>지앤비에스 에코</v>
      </c>
      <c r="C50" s="65">
        <f>VLOOKUP(B50,'KoAct 코스닥액티브'!$B$11:$E$1000,4,0)</f>
        <v>0.43</v>
      </c>
      <c r="D50" s="65">
        <f>IFERROR(VLOOKUP(B50,'KoAct 코스닥액티브(과거)'!$B$11:$E$1000,4,0),0)</f>
        <v>0.48</v>
      </c>
      <c r="E50" s="20">
        <f t="shared" si="14"/>
        <v>-4.9999999999999989E-2</v>
      </c>
      <c r="F50" s="21">
        <f t="shared" si="15"/>
        <v>-0.10416666666666663</v>
      </c>
      <c r="G50" s="63" t="str">
        <f>VLOOKUP(H50,유니버스!$C$14:$D$2561,2,0)</f>
        <v>KS</v>
      </c>
      <c r="H50" s="65" t="str">
        <f>'KoAct 배당성장액티브'!B56</f>
        <v>삼양식품</v>
      </c>
      <c r="I50" s="65">
        <f>VLOOKUP(H50,'KoAct 배당성장액티브'!$B$11:$E$1000,4,0)</f>
        <v>0.46</v>
      </c>
      <c r="J50" s="65">
        <f>IFERROR(VLOOKUP(H50,'KoAct 배당성장액티브(과거)'!$B$11:$E$1000,4,0),0)</f>
        <v>0.56999999999999995</v>
      </c>
      <c r="K50" s="20">
        <f t="shared" si="2"/>
        <v>-0.10999999999999993</v>
      </c>
      <c r="L50" s="21">
        <f t="shared" si="3"/>
        <v>-0.19298245614035081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SK텔레콤</v>
      </c>
      <c r="I51" s="65">
        <f>VLOOKUP(H51,'KoAct 배당성장액티브'!$B$11:$E$1000,4,0)</f>
        <v>0.45</v>
      </c>
      <c r="J51" s="65">
        <f>IFERROR(VLOOKUP(H51,'KoAct 배당성장액티브(과거)'!$B$11:$E$1000,4,0),0)</f>
        <v>0.55000000000000004</v>
      </c>
      <c r="K51" s="20">
        <f t="shared" si="2"/>
        <v>-0.10000000000000003</v>
      </c>
      <c r="L51" s="21">
        <f t="shared" si="3"/>
        <v>-0.18181818181818188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DB손해보험</v>
      </c>
      <c r="I52" s="65">
        <f>VLOOKUP(H52,'KoAct 배당성장액티브'!$B$11:$E$1000,4,0)</f>
        <v>0.45</v>
      </c>
      <c r="J52" s="65">
        <f>IFERROR(VLOOKUP(H52,'KoAct 배당성장액티브(과거)'!$B$11:$E$1000,4,0),0)</f>
        <v>0.45</v>
      </c>
      <c r="K52" s="20">
        <f t="shared" si="2"/>
        <v>0</v>
      </c>
      <c r="L52" s="21">
        <f t="shared" si="3"/>
        <v>0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한국토지신탁</v>
      </c>
      <c r="I53" s="65">
        <f>VLOOKUP(H53,'KoAct 배당성장액티브'!$B$11:$E$1000,4,0)</f>
        <v>0.42</v>
      </c>
      <c r="J53" s="65">
        <f>IFERROR(VLOOKUP(H53,'KoAct 배당성장액티브(과거)'!$B$11:$E$1000,4,0),0)</f>
        <v>0.41</v>
      </c>
      <c r="K53" s="20">
        <f t="shared" si="2"/>
        <v>1.0000000000000009E-2</v>
      </c>
      <c r="L53" s="21">
        <f t="shared" si="3"/>
        <v>2.4390243902439046E-2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HL홀딩스</v>
      </c>
      <c r="I54" s="65">
        <f>VLOOKUP(H54,'KoAct 배당성장액티브'!$B$11:$E$1000,4,0)</f>
        <v>0.4</v>
      </c>
      <c r="J54" s="65">
        <f>IFERROR(VLOOKUP(H54,'KoAct 배당성장액티브(과거)'!$B$11:$E$1000,4,0),0)</f>
        <v>0.41</v>
      </c>
      <c r="K54" s="20">
        <f t="shared" si="2"/>
        <v>-9.9999999999999534E-3</v>
      </c>
      <c r="L54" s="21">
        <f t="shared" si="3"/>
        <v>-2.4390243902438935E-2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KQ</v>
      </c>
      <c r="H55" s="65" t="str">
        <f>'KoAct 배당성장액티브'!B61</f>
        <v>고영</v>
      </c>
      <c r="I55" s="65">
        <f>VLOOKUP(H55,'KoAct 배당성장액티브'!$B$11:$E$1000,4,0)</f>
        <v>0.37</v>
      </c>
      <c r="J55" s="65">
        <f>IFERROR(VLOOKUP(H55,'KoAct 배당성장액티브(과거)'!$B$11:$E$1000,4,0),0)</f>
        <v>0.88</v>
      </c>
      <c r="K55" s="20">
        <f t="shared" si="2"/>
        <v>-0.51</v>
      </c>
      <c r="L55" s="21">
        <f t="shared" si="3"/>
        <v>-0.57954545454545459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KQ</v>
      </c>
      <c r="H56" s="65" t="str">
        <f>'KoAct 배당성장액티브'!B62</f>
        <v>한텍</v>
      </c>
      <c r="I56" s="65">
        <f>VLOOKUP(H56,'KoAct 배당성장액티브'!$B$11:$E$1000,4,0)</f>
        <v>0.33</v>
      </c>
      <c r="J56" s="65">
        <f>IFERROR(VLOOKUP(H56,'KoAct 배당성장액티브(과거)'!$B$11:$E$1000,4,0),0)</f>
        <v>0.54</v>
      </c>
      <c r="K56" s="20">
        <f t="shared" si="2"/>
        <v>-0.21000000000000002</v>
      </c>
      <c r="L56" s="21">
        <f t="shared" si="3"/>
        <v>-0.38888888888888895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LIG디펜스앤에어로스페이스</v>
      </c>
      <c r="I57" s="65">
        <f>VLOOKUP(H57,'KoAct 배당성장액티브'!$B$11:$E$1000,4,0)</f>
        <v>0.3</v>
      </c>
      <c r="J57" s="65">
        <f>IFERROR(VLOOKUP(H57,'KoAct 배당성장액티브(과거)'!$B$11:$E$1000,4,0),0)</f>
        <v>0.25</v>
      </c>
      <c r="K57" s="20">
        <f t="shared" si="2"/>
        <v>4.9999999999999989E-2</v>
      </c>
      <c r="L57" s="21">
        <f t="shared" si="3"/>
        <v>0.19999999999999996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JB금융지주</v>
      </c>
      <c r="I58" s="65">
        <f>VLOOKUP(H58,'KoAct 배당성장액티브'!$B$11:$E$1000,4,0)</f>
        <v>0.28000000000000003</v>
      </c>
      <c r="J58" s="65">
        <f>IFERROR(VLOOKUP(H58,'KoAct 배당성장액티브(과거)'!$B$11:$E$1000,4,0),0)</f>
        <v>0.28000000000000003</v>
      </c>
      <c r="K58" s="20">
        <f t="shared" si="2"/>
        <v>0</v>
      </c>
      <c r="L58" s="21">
        <f t="shared" si="3"/>
        <v>0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한화솔루션</v>
      </c>
      <c r="I59" s="65">
        <f>VLOOKUP(H59,'KoAct 배당성장액티브'!$B$11:$E$1000,4,0)</f>
        <v>0.23</v>
      </c>
      <c r="J59" s="65">
        <f>IFERROR(VLOOKUP(H59,'KoAct 배당성장액티브(과거)'!$B$11:$E$1000,4,0),0)</f>
        <v>0.23</v>
      </c>
      <c r="K59" s="20">
        <f t="shared" si="2"/>
        <v>0</v>
      </c>
      <c r="L59" s="21">
        <f t="shared" si="3"/>
        <v>0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비에이치</v>
      </c>
      <c r="I60" s="65">
        <f>VLOOKUP(H60,'KoAct 배당성장액티브'!$B$11:$E$1000,4,0)</f>
        <v>0.22</v>
      </c>
      <c r="J60" s="65">
        <f>IFERROR(VLOOKUP(H60,'KoAct 배당성장액티브(과거)'!$B$11:$E$1000,4,0),0)</f>
        <v>1.19</v>
      </c>
      <c r="K60" s="20">
        <f t="shared" si="2"/>
        <v>-0.97</v>
      </c>
      <c r="L60" s="21">
        <f t="shared" si="3"/>
        <v>-0.81512605042016806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오리온홀딩스</v>
      </c>
      <c r="I61" s="65">
        <f>VLOOKUP(H61,'KoAct 배당성장액티브'!$B$11:$E$1000,4,0)</f>
        <v>0.22</v>
      </c>
      <c r="J61" s="65">
        <f>IFERROR(VLOOKUP(H61,'KoAct 배당성장액티브(과거)'!$B$11:$E$1000,4,0),0)</f>
        <v>0.2</v>
      </c>
      <c r="K61" s="20">
        <f t="shared" si="2"/>
        <v>1.999999999999999E-2</v>
      </c>
      <c r="L61" s="21">
        <f t="shared" si="3"/>
        <v>9.9999999999999867E-2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포스코인터내셔널</v>
      </c>
      <c r="I62" s="65">
        <f>VLOOKUP(H62,'KoAct 배당성장액티브'!$B$11:$E$1000,4,0)</f>
        <v>0.19</v>
      </c>
      <c r="J62" s="65">
        <f>IFERROR(VLOOKUP(H62,'KoAct 배당성장액티브(과거)'!$B$11:$E$1000,4,0),0)</f>
        <v>0.19</v>
      </c>
      <c r="K62" s="20">
        <f t="shared" si="2"/>
        <v>0</v>
      </c>
      <c r="L62" s="21">
        <f t="shared" si="3"/>
        <v>0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KQ</v>
      </c>
      <c r="H63" s="65" t="str">
        <f>'KoAct 배당성장액티브'!B69</f>
        <v>서부T&amp;D</v>
      </c>
      <c r="I63" s="65">
        <f>VLOOKUP(H63,'KoAct 배당성장액티브'!$B$11:$E$1000,4,0)</f>
        <v>0.17</v>
      </c>
      <c r="J63" s="65">
        <f>IFERROR(VLOOKUP(H63,'KoAct 배당성장액티브(과거)'!$B$11:$E$1000,4,0),0)</f>
        <v>0.15</v>
      </c>
      <c r="K63" s="20">
        <f t="shared" si="2"/>
        <v>2.0000000000000018E-2</v>
      </c>
      <c r="L63" s="21">
        <f t="shared" si="3"/>
        <v>0.13333333333333353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e">
        <f>VLOOKUP(H64,유니버스!$C$14:$D$2561,2,0)</f>
        <v>#N/A</v>
      </c>
      <c r="H64" s="65" t="str">
        <f>'KoAct 배당성장액티브'!B70</f>
        <v>원화현금</v>
      </c>
      <c r="I64" s="65">
        <f>VLOOKUP(H64,'KoAct 배당성장액티브'!$B$11:$E$1000,4,0)</f>
        <v>0.7</v>
      </c>
      <c r="J64" s="65">
        <f>IFERROR(VLOOKUP(H64,'KoAct 배당성장액티브(과거)'!$B$11:$E$1000,4,0),0)</f>
        <v>0.22</v>
      </c>
      <c r="K64" s="20">
        <f t="shared" si="2"/>
        <v>0.48</v>
      </c>
      <c r="L64" s="21">
        <f t="shared" si="3"/>
        <v>2.1818181818181817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e">
        <f>VLOOKUP(H65,유니버스!$C$14:$D$2561,2,0)</f>
        <v>#N/A</v>
      </c>
      <c r="H65" s="65">
        <f>'KoAct 배당성장액티브'!B71</f>
        <v>0</v>
      </c>
      <c r="I65" s="65" t="e">
        <f>VLOOKUP(H65,'KoAct 배당성장액티브'!$B$11:$E$1000,4,0)</f>
        <v>#N/A</v>
      </c>
      <c r="J65" s="65">
        <f>IFERROR(VLOOKUP(H65,'KoAct 배당성장액티브(과거)'!$B$11:$E$1000,4,0),0)</f>
        <v>0</v>
      </c>
      <c r="K65" s="20" t="e">
        <f t="shared" ref="K65" si="16">I65-J65</f>
        <v>#N/A</v>
      </c>
      <c r="L65" s="21" t="str">
        <f t="shared" ref="L65" si="17">IFERROR(I65/J65-1,"신규편입")</f>
        <v>신규편입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zoomScaleNormal="100" workbookViewId="0">
      <selection activeCell="F17" sqref="F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[20260701]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[20260701]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SK이터닉스</v>
      </c>
      <c r="C5" s="65">
        <f>VLOOKUP(B5,'KODEX 신재생에너지액티브'!$B$11:$E$1000,4,0)</f>
        <v>7.15</v>
      </c>
      <c r="D5" s="65">
        <f>IFERROR(VLOOKUP(B5,'KODEX 신재생에너지액티브(과거)'!$B$11:$E$1000,4,0),0)</f>
        <v>5.05</v>
      </c>
      <c r="E5" s="20">
        <f>C5-D5</f>
        <v>2.1000000000000005</v>
      </c>
      <c r="F5" s="21">
        <f>IFERROR(C5/D5-1,"신규편입")</f>
        <v>0.41584158415841599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9.69</v>
      </c>
      <c r="J5" s="65">
        <f>IFERROR(VLOOKUP(H5,'TIMEFOLIO K신재생에너지액티브(과거)'!$B$11:$E$1000,4,0),0)</f>
        <v>14.05</v>
      </c>
      <c r="K5" s="20">
        <f>I5-J5</f>
        <v>-4.3600000000000012</v>
      </c>
      <c r="L5" s="21">
        <f>IFERROR(I5/J5-1,"신규편입")</f>
        <v>-0.31032028469750894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14.22</v>
      </c>
      <c r="P5" s="26">
        <f>IFERROR(VLOOKUP(N5,'RISE 2차전지액티브(과거)'!$B$11:$E$1000,4,0),0)</f>
        <v>13.93</v>
      </c>
      <c r="Q5" s="20">
        <f>O5-P5</f>
        <v>0.29000000000000092</v>
      </c>
      <c r="R5" s="21">
        <f>IFERROR(O5/P5-1,"신규편입")</f>
        <v>2.0818377602297211E-2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HD현대에너지솔루션</v>
      </c>
      <c r="C6" s="65">
        <f>VLOOKUP(B6,'KODEX 신재생에너지액티브'!$B$11:$E$1000,4,0)</f>
        <v>6.45</v>
      </c>
      <c r="D6" s="65">
        <f>IFERROR(VLOOKUP(B6,'KODEX 신재생에너지액티브(과거)'!$B$11:$E$1000,4,0),0)</f>
        <v>6.46</v>
      </c>
      <c r="E6" s="20">
        <f t="shared" ref="E6:E67" si="0">C6-D6</f>
        <v>-9.9999999999997868E-3</v>
      </c>
      <c r="F6" s="21">
        <f t="shared" ref="F6:F67" si="1">IFERROR(C6/D6-1,"신규편입")</f>
        <v>-1.5479876160990891E-3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9.1999999999999993</v>
      </c>
      <c r="J6" s="65">
        <f>IFERROR(VLOOKUP(H6,'TIMEFOLIO K신재생에너지액티브(과거)'!$B$11:$E$1000,4,0),0)</f>
        <v>11.24</v>
      </c>
      <c r="K6" s="20">
        <f t="shared" ref="K6:K24" si="2">I6-J6</f>
        <v>-2.0400000000000009</v>
      </c>
      <c r="L6" s="21">
        <f t="shared" ref="L6:L24" si="3">IFERROR(I6/J6-1,"신규편입")</f>
        <v>-0.18149466192170827</v>
      </c>
      <c r="M6" s="62" t="str">
        <f>VLOOKUP(N6,유니버스!$C$14:$D$2561,2,0)</f>
        <v>KS</v>
      </c>
      <c r="N6" s="26" t="str">
        <f>'RISE 2차전지액티브'!B12</f>
        <v>LG에너지솔루션</v>
      </c>
      <c r="O6" s="26">
        <f>VLOOKUP(N6,'RISE 2차전지액티브'!$B$11:$E$1000,4,0)</f>
        <v>9.83</v>
      </c>
      <c r="P6" s="26">
        <f>IFERROR(VLOOKUP(N6,'RISE 2차전지액티브(과거)'!$B$11:$E$1000,4,0),0)</f>
        <v>9.91</v>
      </c>
      <c r="Q6" s="20">
        <f t="shared" ref="Q6:Q19" si="4">O6-P6</f>
        <v>-8.0000000000000071E-2</v>
      </c>
      <c r="R6" s="21">
        <f t="shared" ref="R6:R19" si="5">IFERROR(O6/P6-1,"신규편입")</f>
        <v>-8.0726538849646978E-3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OCI홀딩스</v>
      </c>
      <c r="C7" s="65">
        <f>VLOOKUP(B7,'KODEX 신재생에너지액티브'!$B$11:$E$1000,4,0)</f>
        <v>6.15</v>
      </c>
      <c r="D7" s="65">
        <f>IFERROR(VLOOKUP(B7,'KODEX 신재생에너지액티브(과거)'!$B$11:$E$1000,4,0),0)</f>
        <v>6.88</v>
      </c>
      <c r="E7" s="20">
        <f t="shared" si="0"/>
        <v>-0.72999999999999954</v>
      </c>
      <c r="F7" s="21">
        <f t="shared" si="1"/>
        <v>-0.10610465116279066</v>
      </c>
      <c r="G7" s="63" t="str">
        <f>VLOOKUP(H7,유니버스!$C$14:$D$2561,2,0)</f>
        <v>KS</v>
      </c>
      <c r="H7" s="65" t="str">
        <f>'TIMEFOLIO K신재생에너지액티브'!B13</f>
        <v>삼성전기</v>
      </c>
      <c r="I7" s="65">
        <f>VLOOKUP(H7,'TIMEFOLIO K신재생에너지액티브'!$B$11:$E$1000,4,0)</f>
        <v>8.9499999999999993</v>
      </c>
      <c r="J7" s="65">
        <f>IFERROR(VLOOKUP(H7,'TIMEFOLIO K신재생에너지액티브(과거)'!$B$11:$E$1000,4,0),0)</f>
        <v>8.51</v>
      </c>
      <c r="K7" s="20">
        <f t="shared" si="2"/>
        <v>0.4399999999999995</v>
      </c>
      <c r="L7" s="21">
        <f t="shared" si="3"/>
        <v>5.1703877790834296E-2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9.7899999999999991</v>
      </c>
      <c r="P7" s="26">
        <f>IFERROR(VLOOKUP(N7,'RISE 2차전지액티브(과거)'!$B$11:$E$1000,4,0),0)</f>
        <v>9.6</v>
      </c>
      <c r="Q7" s="20">
        <f t="shared" si="4"/>
        <v>0.1899999999999995</v>
      </c>
      <c r="R7" s="21">
        <f t="shared" si="5"/>
        <v>1.9791666666666652E-2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삼성SDI</v>
      </c>
      <c r="C8" s="65">
        <f>VLOOKUP(B8,'KODEX 신재생에너지액티브'!$B$11:$E$1000,4,0)</f>
        <v>5.89</v>
      </c>
      <c r="D8" s="65">
        <f>IFERROR(VLOOKUP(B8,'KODEX 신재생에너지액티브(과거)'!$B$11:$E$1000,4,0),0)</f>
        <v>6.67</v>
      </c>
      <c r="E8" s="20">
        <f t="shared" si="0"/>
        <v>-0.78000000000000025</v>
      </c>
      <c r="F8" s="21">
        <f t="shared" si="1"/>
        <v>-0.11694152923538237</v>
      </c>
      <c r="G8" s="63" t="str">
        <f>VLOOKUP(H8,유니버스!$C$14:$D$2561,2,0)</f>
        <v>KS</v>
      </c>
      <c r="H8" s="65" t="str">
        <f>'TIMEFOLIO K신재생에너지액티브'!B14</f>
        <v>한화솔루션</v>
      </c>
      <c r="I8" s="65">
        <f>VLOOKUP(H8,'TIMEFOLIO K신재생에너지액티브'!$B$11:$E$1000,4,0)</f>
        <v>8.75</v>
      </c>
      <c r="J8" s="65">
        <f>IFERROR(VLOOKUP(H8,'TIMEFOLIO K신재생에너지액티브(과거)'!$B$11:$E$1000,4,0),0)</f>
        <v>8.52</v>
      </c>
      <c r="K8" s="20">
        <f t="shared" si="2"/>
        <v>0.23000000000000043</v>
      </c>
      <c r="L8" s="21">
        <f t="shared" si="3"/>
        <v>2.699530516431925E-2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8.31</v>
      </c>
      <c r="P8" s="26">
        <f>IFERROR(VLOOKUP(N8,'RISE 2차전지액티브(과거)'!$B$11:$E$1000,4,0),0)</f>
        <v>8.42</v>
      </c>
      <c r="Q8" s="20">
        <f t="shared" si="4"/>
        <v>-0.10999999999999943</v>
      </c>
      <c r="R8" s="21">
        <f t="shared" si="5"/>
        <v>-1.3064133016627011E-2</v>
      </c>
    </row>
    <row r="9" spans="1:18" x14ac:dyDescent="0.4">
      <c r="A9" s="63" t="str">
        <f>VLOOKUP(B9,유니버스!$C$14:$D$2561,2,0)</f>
        <v>KQ</v>
      </c>
      <c r="B9" s="65" t="str">
        <f>'KODEX 신재생에너지액티브'!B15</f>
        <v>서진시스템</v>
      </c>
      <c r="C9" s="65">
        <f>VLOOKUP(B9,'KODEX 신재생에너지액티브'!$B$11:$E$1000,4,0)</f>
        <v>5.67</v>
      </c>
      <c r="D9" s="65">
        <f>IFERROR(VLOOKUP(B9,'KODEX 신재생에너지액티브(과거)'!$B$11:$E$1000,4,0),0)</f>
        <v>7.13</v>
      </c>
      <c r="E9" s="20">
        <f t="shared" si="0"/>
        <v>-1.46</v>
      </c>
      <c r="F9" s="21">
        <f t="shared" si="1"/>
        <v>-0.20476858345021043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7.77</v>
      </c>
      <c r="J9" s="65">
        <f>IFERROR(VLOOKUP(H9,'TIMEFOLIO K신재생에너지액티브(과거)'!$B$11:$E$1000,4,0),0)</f>
        <v>6.86</v>
      </c>
      <c r="K9" s="20">
        <f t="shared" si="2"/>
        <v>0.90999999999999925</v>
      </c>
      <c r="L9" s="21">
        <f t="shared" si="3"/>
        <v>0.13265306122448961</v>
      </c>
      <c r="M9" s="62" t="str">
        <f>VLOOKUP(N9,유니버스!$C$14:$D$2561,2,0)</f>
        <v>KS</v>
      </c>
      <c r="N9" s="26" t="str">
        <f>'RISE 2차전지액티브'!B15</f>
        <v>포스코퓨처엠</v>
      </c>
      <c r="O9" s="26">
        <f>VLOOKUP(N9,'RISE 2차전지액티브'!$B$11:$E$1000,4,0)</f>
        <v>7.94</v>
      </c>
      <c r="P9" s="26">
        <f>IFERROR(VLOOKUP(N9,'RISE 2차전지액티브(과거)'!$B$11:$E$1000,4,0),0)</f>
        <v>8.06</v>
      </c>
      <c r="Q9" s="20">
        <f t="shared" si="4"/>
        <v>-0.12000000000000011</v>
      </c>
      <c r="R9" s="21">
        <f t="shared" si="5"/>
        <v>-1.488833746898266E-2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한화솔루션</v>
      </c>
      <c r="C10" s="65">
        <f>VLOOKUP(B10,'KODEX 신재생에너지액티브'!$B$11:$E$1000,4,0)</f>
        <v>5.15</v>
      </c>
      <c r="D10" s="65">
        <f>IFERROR(VLOOKUP(B10,'KODEX 신재생에너지액티브(과거)'!$B$11:$E$1000,4,0),0)</f>
        <v>5.28</v>
      </c>
      <c r="E10" s="20">
        <f t="shared" si="0"/>
        <v>-0.12999999999999989</v>
      </c>
      <c r="F10" s="21">
        <f t="shared" si="1"/>
        <v>-2.4621212121212155E-2</v>
      </c>
      <c r="G10" s="63" t="str">
        <f>VLOOKUP(H10,유니버스!$C$14:$D$2561,2,0)</f>
        <v>KS</v>
      </c>
      <c r="H10" s="65" t="str">
        <f>'TIMEFOLIO K신재생에너지액티브'!B16</f>
        <v>씨에스윈드</v>
      </c>
      <c r="I10" s="65">
        <f>VLOOKUP(H10,'TIMEFOLIO K신재생에너지액티브'!$B$11:$E$1000,4,0)</f>
        <v>6.04</v>
      </c>
      <c r="J10" s="65">
        <f>IFERROR(VLOOKUP(H10,'TIMEFOLIO K신재생에너지액티브(과거)'!$B$11:$E$1000,4,0),0)</f>
        <v>4.99</v>
      </c>
      <c r="K10" s="20">
        <f t="shared" si="2"/>
        <v>1.0499999999999998</v>
      </c>
      <c r="L10" s="21">
        <f t="shared" si="3"/>
        <v>0.21042084168336661</v>
      </c>
      <c r="M10" s="62" t="str">
        <f>VLOOKUP(N10,유니버스!$C$14:$D$2561,2,0)</f>
        <v>KQ</v>
      </c>
      <c r="N10" s="26" t="str">
        <f>'RISE 2차전지액티브'!B16</f>
        <v>대주전자재료</v>
      </c>
      <c r="O10" s="26">
        <f>VLOOKUP(N10,'RISE 2차전지액티브'!$B$11:$E$1000,4,0)</f>
        <v>7.23</v>
      </c>
      <c r="P10" s="26">
        <f>IFERROR(VLOOKUP(N10,'RISE 2차전지액티브(과거)'!$B$11:$E$1000,4,0),0)</f>
        <v>7.31</v>
      </c>
      <c r="Q10" s="20">
        <f t="shared" si="4"/>
        <v>-7.9999999999999183E-2</v>
      </c>
      <c r="R10" s="21">
        <f t="shared" si="5"/>
        <v>-1.0943912448700299E-2</v>
      </c>
    </row>
    <row r="11" spans="1:18" x14ac:dyDescent="0.4">
      <c r="A11" s="63" t="str">
        <f>VLOOKUP(B11,유니버스!$C$14:$D$2561,2,0)</f>
        <v>KQ</v>
      </c>
      <c r="B11" s="65" t="str">
        <f>'KODEX 신재생에너지액티브'!B17</f>
        <v>비나텍</v>
      </c>
      <c r="C11" s="65">
        <f>VLOOKUP(B11,'KODEX 신재생에너지액티브'!$B$11:$E$1000,4,0)</f>
        <v>4.5</v>
      </c>
      <c r="D11" s="65">
        <f>IFERROR(VLOOKUP(B11,'KODEX 신재생에너지액티브(과거)'!$B$11:$E$1000,4,0),0)</f>
        <v>4.9400000000000004</v>
      </c>
      <c r="E11" s="20">
        <f t="shared" si="0"/>
        <v>-0.44000000000000039</v>
      </c>
      <c r="F11" s="21">
        <f t="shared" si="1"/>
        <v>-8.9068825910931237E-2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4.1900000000000004</v>
      </c>
      <c r="J11" s="65">
        <f>IFERROR(VLOOKUP(H11,'TIMEFOLIO K신재생에너지액티브(과거)'!$B$11:$E$1000,4,0),0)</f>
        <v>4.3899999999999997</v>
      </c>
      <c r="K11" s="20">
        <f t="shared" si="2"/>
        <v>-0.19999999999999929</v>
      </c>
      <c r="L11" s="21">
        <f t="shared" si="3"/>
        <v>-4.5558086560364308E-2</v>
      </c>
      <c r="M11" s="62" t="str">
        <f>VLOOKUP(N11,유니버스!$C$14:$D$2561,2,0)</f>
        <v>KQ</v>
      </c>
      <c r="N11" s="26" t="str">
        <f>'RISE 2차전지액티브'!B17</f>
        <v>에코프로비엠</v>
      </c>
      <c r="O11" s="26">
        <f>VLOOKUP(N11,'RISE 2차전지액티브'!$B$11:$E$1000,4,0)</f>
        <v>7.12</v>
      </c>
      <c r="P11" s="26">
        <f>IFERROR(VLOOKUP(N11,'RISE 2차전지액티브(과거)'!$B$11:$E$1000,4,0),0)</f>
        <v>7.88</v>
      </c>
      <c r="Q11" s="20">
        <f t="shared" si="4"/>
        <v>-0.75999999999999979</v>
      </c>
      <c r="R11" s="21">
        <f t="shared" si="5"/>
        <v>-9.6446700507614169E-2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산일전기</v>
      </c>
      <c r="C12" s="65">
        <f>VLOOKUP(B12,'KODEX 신재생에너지액티브'!$B$11:$E$1000,4,0)</f>
        <v>4.3099999999999996</v>
      </c>
      <c r="D12" s="65">
        <f>IFERROR(VLOOKUP(B12,'KODEX 신재생에너지액티브(과거)'!$B$11:$E$1000,4,0),0)</f>
        <v>3.95</v>
      </c>
      <c r="E12" s="20">
        <f t="shared" si="0"/>
        <v>0.35999999999999943</v>
      </c>
      <c r="F12" s="21">
        <f t="shared" si="1"/>
        <v>9.1139240506328933E-2</v>
      </c>
      <c r="G12" s="63" t="str">
        <f>VLOOKUP(H12,유니버스!$C$14:$D$2561,2,0)</f>
        <v>KQ</v>
      </c>
      <c r="H12" s="65" t="str">
        <f>'TIMEFOLIO K신재생에너지액티브'!B18</f>
        <v>동진쎄미켐</v>
      </c>
      <c r="I12" s="65">
        <f>VLOOKUP(H12,'TIMEFOLIO K신재생에너지액티브'!$B$11:$E$1000,4,0)</f>
        <v>3.4</v>
      </c>
      <c r="J12" s="65">
        <f>IFERROR(VLOOKUP(H12,'TIMEFOLIO K신재생에너지액티브(과거)'!$B$11:$E$1000,4,0),0)</f>
        <v>3.35</v>
      </c>
      <c r="K12" s="20">
        <f t="shared" si="2"/>
        <v>4.9999999999999822E-2</v>
      </c>
      <c r="L12" s="21">
        <f t="shared" si="3"/>
        <v>1.4925373134328401E-2</v>
      </c>
      <c r="M12" s="62" t="str">
        <f>VLOOKUP(N12,유니버스!$C$14:$D$2561,2,0)</f>
        <v>KQ</v>
      </c>
      <c r="N12" s="26" t="str">
        <f>'RISE 2차전지액티브'!B18</f>
        <v>에코프로</v>
      </c>
      <c r="O12" s="26">
        <f>VLOOKUP(N12,'RISE 2차전지액티브'!$B$11:$E$1000,4,0)</f>
        <v>6.5</v>
      </c>
      <c r="P12" s="26">
        <f>IFERROR(VLOOKUP(N12,'RISE 2차전지액티브(과거)'!$B$11:$E$1000,4,0),0)</f>
        <v>7.03</v>
      </c>
      <c r="Q12" s="20">
        <f t="shared" si="4"/>
        <v>-0.53000000000000025</v>
      </c>
      <c r="R12" s="21">
        <f t="shared" si="5"/>
        <v>-7.5391180654338585E-2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4.3</v>
      </c>
      <c r="D13" s="65">
        <f>IFERROR(VLOOKUP(B13,'KODEX 신재생에너지액티브(과거)'!$B$11:$E$1000,4,0),0)</f>
        <v>3.9</v>
      </c>
      <c r="E13" s="20">
        <f t="shared" si="0"/>
        <v>0.39999999999999991</v>
      </c>
      <c r="F13" s="21">
        <f t="shared" si="1"/>
        <v>0.10256410256410264</v>
      </c>
      <c r="G13" s="63" t="str">
        <f>VLOOKUP(H13,유니버스!$C$14:$D$2561,2,0)</f>
        <v>KS</v>
      </c>
      <c r="H13" s="65" t="str">
        <f>'TIMEFOLIO K신재생에너지액티브'!B19</f>
        <v>현대차</v>
      </c>
      <c r="I13" s="65">
        <f>VLOOKUP(H13,'TIMEFOLIO K신재생에너지액티브'!$B$11:$E$1000,4,0)</f>
        <v>3.35</v>
      </c>
      <c r="J13" s="65">
        <f>IFERROR(VLOOKUP(H13,'TIMEFOLIO K신재생에너지액티브(과거)'!$B$11:$E$1000,4,0),0)</f>
        <v>5.71</v>
      </c>
      <c r="K13" s="20">
        <f t="shared" si="2"/>
        <v>-2.36</v>
      </c>
      <c r="L13" s="21">
        <f t="shared" si="3"/>
        <v>-0.41330998248686512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6.17</v>
      </c>
      <c r="P13" s="26">
        <f>IFERROR(VLOOKUP(N13,'RISE 2차전지액티브(과거)'!$B$11:$E$1000,4,0),0)</f>
        <v>6.02</v>
      </c>
      <c r="Q13" s="20">
        <f t="shared" si="4"/>
        <v>0.15000000000000036</v>
      </c>
      <c r="R13" s="21">
        <f t="shared" si="5"/>
        <v>2.4916943521594792E-2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LS ELECTRIC</v>
      </c>
      <c r="C14" s="65">
        <f>VLOOKUP(B14,'KODEX 신재생에너지액티브'!$B$11:$E$1000,4,0)</f>
        <v>4.07</v>
      </c>
      <c r="D14" s="65">
        <f>IFERROR(VLOOKUP(B14,'KODEX 신재생에너지액티브(과거)'!$B$11:$E$1000,4,0),0)</f>
        <v>3.98</v>
      </c>
      <c r="E14" s="20">
        <f t="shared" si="0"/>
        <v>9.0000000000000302E-2</v>
      </c>
      <c r="F14" s="21">
        <f t="shared" si="1"/>
        <v>2.2613065326633208E-2</v>
      </c>
      <c r="G14" s="63" t="str">
        <f>VLOOKUP(H14,유니버스!$C$14:$D$2561,2,0)</f>
        <v>KQ</v>
      </c>
      <c r="H14" s="65" t="str">
        <f>'TIMEFOLIO K신재생에너지액티브'!B20</f>
        <v>대주전자재료</v>
      </c>
      <c r="I14" s="65">
        <f>VLOOKUP(H14,'TIMEFOLIO K신재생에너지액티브'!$B$11:$E$1000,4,0)</f>
        <v>3.29</v>
      </c>
      <c r="J14" s="65">
        <f>IFERROR(VLOOKUP(H14,'TIMEFOLIO K신재생에너지액티브(과거)'!$B$11:$E$1000,4,0),0)</f>
        <v>3.54</v>
      </c>
      <c r="K14" s="20">
        <f t="shared" si="2"/>
        <v>-0.25</v>
      </c>
      <c r="L14" s="21">
        <f t="shared" si="3"/>
        <v>-7.0621468926553632E-2</v>
      </c>
      <c r="M14" s="62" t="str">
        <f>VLOOKUP(N14,유니버스!$C$14:$D$2561,2,0)</f>
        <v>KS</v>
      </c>
      <c r="N14" s="26" t="str">
        <f>'RISE 2차전지액티브'!B20</f>
        <v>LS</v>
      </c>
      <c r="O14" s="26">
        <f>VLOOKUP(N14,'RISE 2차전지액티브'!$B$11:$E$1000,4,0)</f>
        <v>5.07</v>
      </c>
      <c r="P14" s="26">
        <f>IFERROR(VLOOKUP(N14,'RISE 2차전지액티브(과거)'!$B$11:$E$1000,4,0),0)</f>
        <v>3.01</v>
      </c>
      <c r="Q14" s="20">
        <f t="shared" si="4"/>
        <v>2.0600000000000005</v>
      </c>
      <c r="R14" s="21">
        <f t="shared" si="5"/>
        <v>0.68438538205980093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효성중공업</v>
      </c>
      <c r="C15" s="65">
        <f>VLOOKUP(B15,'KODEX 신재생에너지액티브'!$B$11:$E$1000,4,0)</f>
        <v>3.81</v>
      </c>
      <c r="D15" s="65">
        <f>IFERROR(VLOOKUP(B15,'KODEX 신재생에너지액티브(과거)'!$B$11:$E$1000,4,0),0)</f>
        <v>4.01</v>
      </c>
      <c r="E15" s="20">
        <f t="shared" si="0"/>
        <v>-0.19999999999999973</v>
      </c>
      <c r="F15" s="21">
        <f t="shared" si="1"/>
        <v>-4.9875311720698146E-2</v>
      </c>
      <c r="G15" s="63" t="str">
        <f>VLOOKUP(H15,유니버스!$C$14:$D$2561,2,0)</f>
        <v>KS</v>
      </c>
      <c r="H15" s="65" t="str">
        <f>'TIMEFOLIO K신재생에너지액티브'!B21</f>
        <v>SK오션플랜트</v>
      </c>
      <c r="I15" s="65">
        <f>VLOOKUP(H15,'TIMEFOLIO K신재생에너지액티브'!$B$11:$E$1000,4,0)</f>
        <v>3.18</v>
      </c>
      <c r="J15" s="65">
        <f>IFERROR(VLOOKUP(H15,'TIMEFOLIO K신재생에너지액티브(과거)'!$B$11:$E$1000,4,0),0)</f>
        <v>3.61</v>
      </c>
      <c r="K15" s="20">
        <f t="shared" si="2"/>
        <v>-0.42999999999999972</v>
      </c>
      <c r="L15" s="21">
        <f t="shared" si="3"/>
        <v>-0.11911357340720219</v>
      </c>
      <c r="M15" s="62" t="str">
        <f>VLOOKUP(N15,유니버스!$C$14:$D$2561,2,0)</f>
        <v>KS</v>
      </c>
      <c r="N15" s="26" t="str">
        <f>'RISE 2차전지액티브'!B21</f>
        <v>SKC</v>
      </c>
      <c r="O15" s="26">
        <f>VLOOKUP(N15,'RISE 2차전지액티브'!$B$11:$E$1000,4,0)</f>
        <v>4.88</v>
      </c>
      <c r="P15" s="26">
        <f>IFERROR(VLOOKUP(N15,'RISE 2차전지액티브(과거)'!$B$11:$E$1000,4,0),0)</f>
        <v>4.83</v>
      </c>
      <c r="Q15" s="20">
        <f t="shared" si="4"/>
        <v>4.9999999999999822E-2</v>
      </c>
      <c r="R15" s="21">
        <f t="shared" si="5"/>
        <v>1.0351966873705987E-2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SK오션플랜트</v>
      </c>
      <c r="C16" s="65">
        <f>VLOOKUP(B16,'KODEX 신재생에너지액티브'!$B$11:$E$1000,4,0)</f>
        <v>3.79</v>
      </c>
      <c r="D16" s="65">
        <f>IFERROR(VLOOKUP(B16,'KODEX 신재생에너지액티브(과거)'!$B$11:$E$1000,4,0),0)</f>
        <v>3.69</v>
      </c>
      <c r="E16" s="20">
        <f t="shared" si="0"/>
        <v>0.10000000000000009</v>
      </c>
      <c r="F16" s="21">
        <f t="shared" si="1"/>
        <v>2.7100271002709952E-2</v>
      </c>
      <c r="G16" s="63" t="str">
        <f>VLOOKUP(H16,유니버스!$C$14:$D$2561,2,0)</f>
        <v>KS</v>
      </c>
      <c r="H16" s="65" t="str">
        <f>'TIMEFOLIO K신재생에너지액티브'!B22</f>
        <v>LS ELECTRIC</v>
      </c>
      <c r="I16" s="65">
        <f>VLOOKUP(H16,'TIMEFOLIO K신재생에너지액티브'!$B$11:$E$1000,4,0)</f>
        <v>3.08</v>
      </c>
      <c r="J16" s="65">
        <f>IFERROR(VLOOKUP(H16,'TIMEFOLIO K신재생에너지액티브(과거)'!$B$11:$E$1000,4,0),0)</f>
        <v>2.8</v>
      </c>
      <c r="K16" s="20">
        <f t="shared" si="2"/>
        <v>0.28000000000000025</v>
      </c>
      <c r="L16" s="21">
        <f t="shared" si="3"/>
        <v>0.10000000000000009</v>
      </c>
      <c r="M16" s="62" t="str">
        <f>VLOOKUP(N16,유니버스!$C$14:$D$2561,2,0)</f>
        <v>KS</v>
      </c>
      <c r="N16" s="26" t="str">
        <f>'RISE 2차전지액티브'!B22</f>
        <v>에코프로머티</v>
      </c>
      <c r="O16" s="26">
        <f>VLOOKUP(N16,'RISE 2차전지액티브'!$B$11:$E$1000,4,0)</f>
        <v>3.64</v>
      </c>
      <c r="P16" s="26">
        <f>IFERROR(VLOOKUP(N16,'RISE 2차전지액티브(과거)'!$B$11:$E$1000,4,0),0)</f>
        <v>4</v>
      </c>
      <c r="Q16" s="20">
        <f t="shared" si="4"/>
        <v>-0.35999999999999988</v>
      </c>
      <c r="R16" s="21">
        <f t="shared" si="5"/>
        <v>-8.9999999999999969E-2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HD현대일렉트릭</v>
      </c>
      <c r="C17" s="65">
        <f>VLOOKUP(B17,'KODEX 신재생에너지액티브'!$B$11:$E$1000,4,0)</f>
        <v>3.25</v>
      </c>
      <c r="D17" s="65">
        <f>IFERROR(VLOOKUP(B17,'KODEX 신재생에너지액티브(과거)'!$B$11:$E$1000,4,0),0)</f>
        <v>3.36</v>
      </c>
      <c r="E17" s="20">
        <f t="shared" si="0"/>
        <v>-0.10999999999999988</v>
      </c>
      <c r="F17" s="21">
        <f t="shared" si="1"/>
        <v>-3.2738095238095233E-2</v>
      </c>
      <c r="G17" s="63" t="str">
        <f>VLOOKUP(H17,유니버스!$C$14:$D$2561,2,0)</f>
        <v>KS</v>
      </c>
      <c r="H17" s="65" t="str">
        <f>'TIMEFOLIO K신재생에너지액티브'!B23</f>
        <v>삼성물산</v>
      </c>
      <c r="I17" s="65">
        <f>VLOOKUP(H17,'TIMEFOLIO K신재생에너지액티브'!$B$11:$E$1000,4,0)</f>
        <v>2.99</v>
      </c>
      <c r="J17" s="65">
        <f>IFERROR(VLOOKUP(H17,'TIMEFOLIO K신재생에너지액티브(과거)'!$B$11:$E$1000,4,0),0)</f>
        <v>3.12</v>
      </c>
      <c r="K17" s="20">
        <f t="shared" si="2"/>
        <v>-0.12999999999999989</v>
      </c>
      <c r="L17" s="21">
        <f t="shared" si="3"/>
        <v>-4.166666666666663E-2</v>
      </c>
      <c r="M17" s="62" t="str">
        <f>VLOOKUP(N17,유니버스!$C$14:$D$2561,2,0)</f>
        <v>KQ</v>
      </c>
      <c r="N17" s="26" t="str">
        <f>'RISE 2차전지액티브'!B23</f>
        <v>솔브레인</v>
      </c>
      <c r="O17" s="26">
        <f>VLOOKUP(N17,'RISE 2차전지액티브'!$B$11:$E$1000,4,0)</f>
        <v>3.11</v>
      </c>
      <c r="P17" s="26">
        <f>IFERROR(VLOOKUP(N17,'RISE 2차전지액티브(과거)'!$B$11:$E$1000,4,0),0)</f>
        <v>2.91</v>
      </c>
      <c r="Q17" s="20">
        <f t="shared" si="4"/>
        <v>0.19999999999999973</v>
      </c>
      <c r="R17" s="21">
        <f t="shared" si="5"/>
        <v>6.8728522336769737E-2</v>
      </c>
    </row>
    <row r="18" spans="1:18" x14ac:dyDescent="0.4">
      <c r="A18" s="63" t="str">
        <f>VLOOKUP(B18,유니버스!$C$14:$D$2561,2,0)</f>
        <v>KS</v>
      </c>
      <c r="B18" s="65" t="str">
        <f>'KODEX 신재생에너지액티브'!B24</f>
        <v>LG에너지솔루션</v>
      </c>
      <c r="C18" s="65">
        <f>VLOOKUP(B18,'KODEX 신재생에너지액티브'!$B$11:$E$1000,4,0)</f>
        <v>2.96</v>
      </c>
      <c r="D18" s="65">
        <f>IFERROR(VLOOKUP(B18,'KODEX 신재생에너지액티브(과거)'!$B$11:$E$1000,4,0),0)</f>
        <v>0.56999999999999995</v>
      </c>
      <c r="E18" s="20">
        <f t="shared" si="0"/>
        <v>2.39</v>
      </c>
      <c r="F18" s="21">
        <f t="shared" si="1"/>
        <v>4.192982456140351</v>
      </c>
      <c r="G18" s="63" t="str">
        <f>VLOOKUP(H18,유니버스!$C$14:$D$2561,2,0)</f>
        <v>KS</v>
      </c>
      <c r="H18" s="65" t="str">
        <f>'TIMEFOLIO K신재생에너지액티브'!B24</f>
        <v>기아</v>
      </c>
      <c r="I18" s="65">
        <f>VLOOKUP(H18,'TIMEFOLIO K신재생에너지액티브'!$B$11:$E$1000,4,0)</f>
        <v>2.92</v>
      </c>
      <c r="J18" s="65">
        <f>IFERROR(VLOOKUP(H18,'TIMEFOLIO K신재생에너지액티브(과거)'!$B$11:$E$1000,4,0),0)</f>
        <v>2.95</v>
      </c>
      <c r="K18" s="20">
        <f t="shared" si="2"/>
        <v>-3.0000000000000249E-2</v>
      </c>
      <c r="L18" s="21">
        <f t="shared" si="3"/>
        <v>-1.0169491525423791E-2</v>
      </c>
      <c r="M18" s="62" t="str">
        <f>VLOOKUP(N18,유니버스!$C$14:$D$2561,2,0)</f>
        <v>KQ</v>
      </c>
      <c r="N18" s="26" t="str">
        <f>'RISE 2차전지액티브'!B24</f>
        <v>레이크머티리얼즈</v>
      </c>
      <c r="O18" s="26">
        <f>VLOOKUP(N18,'RISE 2차전지액티브'!$B$11:$E$1000,4,0)</f>
        <v>1.61</v>
      </c>
      <c r="P18" s="26">
        <f>IFERROR(VLOOKUP(N18,'RISE 2차전지액티브(과거)'!$B$11:$E$1000,4,0),0)</f>
        <v>1.56</v>
      </c>
      <c r="Q18" s="20">
        <f t="shared" si="4"/>
        <v>5.0000000000000044E-2</v>
      </c>
      <c r="R18" s="21">
        <f t="shared" si="5"/>
        <v>3.2051282051282159E-2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포스코퓨처엠</v>
      </c>
      <c r="C19" s="65">
        <f>VLOOKUP(B19,'KODEX 신재생에너지액티브'!$B$11:$E$1000,4,0)</f>
        <v>2.1800000000000002</v>
      </c>
      <c r="D19" s="65">
        <f>IFERROR(VLOOKUP(B19,'KODEX 신재생에너지액티브(과거)'!$B$11:$E$1000,4,0),0)</f>
        <v>2.48</v>
      </c>
      <c r="E19" s="20">
        <f t="shared" si="0"/>
        <v>-0.29999999999999982</v>
      </c>
      <c r="F19" s="21">
        <f t="shared" si="1"/>
        <v>-0.12096774193548376</v>
      </c>
      <c r="G19" s="63" t="str">
        <f>VLOOKUP(H19,유니버스!$C$14:$D$2561,2,0)</f>
        <v>KQ</v>
      </c>
      <c r="H19" s="65" t="str">
        <f>'TIMEFOLIO K신재생에너지액티브'!B25</f>
        <v>원익IPS</v>
      </c>
      <c r="I19" s="65">
        <f>VLOOKUP(H19,'TIMEFOLIO K신재생에너지액티브'!$B$11:$E$1000,4,0)</f>
        <v>2.85</v>
      </c>
      <c r="J19" s="65">
        <f>IFERROR(VLOOKUP(H19,'TIMEFOLIO K신재생에너지액티브(과거)'!$B$11:$E$1000,4,0),0)</f>
        <v>0</v>
      </c>
      <c r="K19" s="20">
        <f t="shared" si="2"/>
        <v>2.85</v>
      </c>
      <c r="L19" s="21" t="str">
        <f t="shared" si="3"/>
        <v>신규편입</v>
      </c>
      <c r="M19" s="62" t="str">
        <f>VLOOKUP(N19,유니버스!$C$14:$D$2561,2,0)</f>
        <v>KS</v>
      </c>
      <c r="N19" s="26" t="str">
        <f>'RISE 2차전지액티브'!B25</f>
        <v>한솔케미칼</v>
      </c>
      <c r="O19" s="26">
        <f>VLOOKUP(N19,'RISE 2차전지액티브'!$B$11:$E$1000,4,0)</f>
        <v>1.29</v>
      </c>
      <c r="P19" s="26">
        <f>IFERROR(VLOOKUP(N19,'RISE 2차전지액티브(과거)'!$B$11:$E$1000,4,0),0)</f>
        <v>1.03</v>
      </c>
      <c r="Q19" s="20">
        <f t="shared" si="4"/>
        <v>0.26</v>
      </c>
      <c r="R19" s="21">
        <f t="shared" si="5"/>
        <v>0.25242718446601953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일진전기</v>
      </c>
      <c r="C20" s="65">
        <f>VLOOKUP(B20,'KODEX 신재생에너지액티브'!$B$11:$E$1000,4,0)</f>
        <v>1.68</v>
      </c>
      <c r="D20" s="65">
        <f>IFERROR(VLOOKUP(B20,'KODEX 신재생에너지액티브(과거)'!$B$11:$E$1000,4,0),0)</f>
        <v>2.16</v>
      </c>
      <c r="E20" s="20">
        <f t="shared" si="0"/>
        <v>-0.4800000000000002</v>
      </c>
      <c r="F20" s="21">
        <f t="shared" si="1"/>
        <v>-0.22222222222222232</v>
      </c>
      <c r="G20" s="63" t="str">
        <f>VLOOKUP(H20,유니버스!$C$14:$D$2561,2,0)</f>
        <v>KS</v>
      </c>
      <c r="H20" s="65" t="str">
        <f>'TIMEFOLIO K신재생에너지액티브'!B26</f>
        <v>POSCO홀딩스</v>
      </c>
      <c r="I20" s="65">
        <f>VLOOKUP(H20,'TIMEFOLIO K신재생에너지액티브'!$B$11:$E$1000,4,0)</f>
        <v>2.71</v>
      </c>
      <c r="J20" s="65">
        <f>IFERROR(VLOOKUP(H20,'TIMEFOLIO K신재생에너지액티브(과거)'!$B$11:$E$1000,4,0),0)</f>
        <v>1.04</v>
      </c>
      <c r="K20" s="20">
        <f t="shared" si="2"/>
        <v>1.67</v>
      </c>
      <c r="L20" s="21">
        <f t="shared" si="3"/>
        <v>1.6057692307692308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1.26</v>
      </c>
      <c r="P20" s="26">
        <f>IFERROR(VLOOKUP(N20,'RISE 2차전지액티브(과거)'!$B$11:$E$1000,4,0),0)</f>
        <v>1.3</v>
      </c>
      <c r="Q20" s="20">
        <f t="shared" ref="Q20:Q21" si="6">O20-P20</f>
        <v>-4.0000000000000036E-2</v>
      </c>
      <c r="R20" s="21">
        <f t="shared" ref="R20:R21" si="7">IFERROR(O20/P20-1,"신규편입")</f>
        <v>-3.0769230769230771E-2</v>
      </c>
    </row>
    <row r="21" spans="1:18" x14ac:dyDescent="0.4">
      <c r="A21" s="63" t="str">
        <f>VLOOKUP(B21,유니버스!$C$14:$D$2561,2,0)</f>
        <v>KQ</v>
      </c>
      <c r="B21" s="65" t="str">
        <f>'KODEX 신재생에너지액티브'!B27</f>
        <v>비에이치아이</v>
      </c>
      <c r="C21" s="65">
        <f>VLOOKUP(B21,'KODEX 신재생에너지액티브'!$B$11:$E$1000,4,0)</f>
        <v>1.62</v>
      </c>
      <c r="D21" s="65">
        <f>IFERROR(VLOOKUP(B21,'KODEX 신재생에너지액티브(과거)'!$B$11:$E$1000,4,0),0)</f>
        <v>2.2400000000000002</v>
      </c>
      <c r="E21" s="20">
        <f t="shared" si="0"/>
        <v>-0.62000000000000011</v>
      </c>
      <c r="F21" s="21">
        <f t="shared" si="1"/>
        <v>-0.2767857142857143</v>
      </c>
      <c r="G21" s="63" t="str">
        <f>VLOOKUP(H21,유니버스!$C$14:$D$2561,2,0)</f>
        <v>KS</v>
      </c>
      <c r="H21" s="65" t="str">
        <f>'TIMEFOLIO K신재생에너지액티브'!B27</f>
        <v>현대모비스</v>
      </c>
      <c r="I21" s="65">
        <f>VLOOKUP(H21,'TIMEFOLIO K신재생에너지액티브'!$B$11:$E$1000,4,0)</f>
        <v>2.5499999999999998</v>
      </c>
      <c r="J21" s="65">
        <f>IFERROR(VLOOKUP(H21,'TIMEFOLIO K신재생에너지액티브(과거)'!$B$11:$E$1000,4,0),0)</f>
        <v>2.92</v>
      </c>
      <c r="K21" s="20">
        <f t="shared" si="2"/>
        <v>-0.37000000000000011</v>
      </c>
      <c r="L21" s="21">
        <f t="shared" si="3"/>
        <v>-0.12671232876712335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0.82</v>
      </c>
      <c r="P21" s="26">
        <f>IFERROR(VLOOKUP(N21,'RISE 2차전지액티브(과거)'!$B$11:$E$1000,4,0),0)</f>
        <v>0.75</v>
      </c>
      <c r="Q21" s="20">
        <f t="shared" si="6"/>
        <v>6.9999999999999951E-2</v>
      </c>
      <c r="R21" s="21">
        <f t="shared" si="7"/>
        <v>9.3333333333333268E-2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엘앤에프</v>
      </c>
      <c r="C22" s="65">
        <f>VLOOKUP(B22,'KODEX 신재생에너지액티브'!$B$11:$E$1000,4,0)</f>
        <v>1.61</v>
      </c>
      <c r="D22" s="65">
        <f>IFERROR(VLOOKUP(B22,'KODEX 신재생에너지액티브(과거)'!$B$11:$E$1000,4,0),0)</f>
        <v>1.83</v>
      </c>
      <c r="E22" s="20">
        <f t="shared" si="0"/>
        <v>-0.21999999999999997</v>
      </c>
      <c r="F22" s="21">
        <f t="shared" si="1"/>
        <v>-0.1202185792349727</v>
      </c>
      <c r="G22" s="63" t="str">
        <f>VLOOKUP(H22,유니버스!$C$14:$D$2561,2,0)</f>
        <v>KS</v>
      </c>
      <c r="H22" s="65" t="str">
        <f>'TIMEFOLIO K신재생에너지액티브'!B28</f>
        <v>SK</v>
      </c>
      <c r="I22" s="65">
        <f>VLOOKUP(H22,'TIMEFOLIO K신재생에너지액티브'!$B$11:$E$1000,4,0)</f>
        <v>2.4900000000000002</v>
      </c>
      <c r="J22" s="65">
        <f>IFERROR(VLOOKUP(H22,'TIMEFOLIO K신재생에너지액티브(과거)'!$B$11:$E$1000,4,0),0)</f>
        <v>2.1800000000000002</v>
      </c>
      <c r="K22" s="20">
        <f t="shared" si="2"/>
        <v>0.31000000000000005</v>
      </c>
      <c r="L22" s="21">
        <f t="shared" si="3"/>
        <v>0.14220183486238525</v>
      </c>
      <c r="M22" s="62" t="str">
        <f>VLOOKUP(N22,유니버스!$C$14:$D$2561,2,0)</f>
        <v>KS</v>
      </c>
      <c r="N22" s="26" t="str">
        <f>'RISE 2차전지액티브'!B28</f>
        <v>SK이노베이션</v>
      </c>
      <c r="O22" s="26">
        <f>VLOOKUP(N22,'RISE 2차전지액티브'!$B$11:$E$1000,4,0)</f>
        <v>0.48</v>
      </c>
      <c r="P22" s="26">
        <f>IFERROR(VLOOKUP(N22,'RISE 2차전지액티브(과거)'!$B$11:$E$1000,4,0),0)</f>
        <v>2.38</v>
      </c>
      <c r="Q22" s="20">
        <f t="shared" ref="Q22:Q23" si="8">O22-P22</f>
        <v>-1.9</v>
      </c>
      <c r="R22" s="21">
        <f t="shared" ref="R22:R23" si="9">IFERROR(O22/P22-1,"신규편입")</f>
        <v>-0.79831932773109249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1.6</v>
      </c>
      <c r="D23" s="65">
        <f>IFERROR(VLOOKUP(B23,'KODEX 신재생에너지액티브(과거)'!$B$11:$E$1000,4,0),0)</f>
        <v>1.59</v>
      </c>
      <c r="E23" s="20">
        <f t="shared" si="0"/>
        <v>1.0000000000000009E-2</v>
      </c>
      <c r="F23" s="21">
        <f t="shared" si="1"/>
        <v>6.2893081761006275E-3</v>
      </c>
      <c r="G23" s="63" t="str">
        <f>VLOOKUP(H23,유니버스!$C$14:$D$2561,2,0)</f>
        <v>KS</v>
      </c>
      <c r="H23" s="65" t="str">
        <f>'TIMEFOLIO K신재생에너지액티브'!B29</f>
        <v>HD한국조선해양</v>
      </c>
      <c r="I23" s="65">
        <f>VLOOKUP(H23,'TIMEFOLIO K신재생에너지액티브'!$B$11:$E$1000,4,0)</f>
        <v>2.38</v>
      </c>
      <c r="J23" s="65">
        <f>IFERROR(VLOOKUP(H23,'TIMEFOLIO K신재생에너지액티브(과거)'!$B$11:$E$1000,4,0),0)</f>
        <v>2.57</v>
      </c>
      <c r="K23" s="20">
        <f t="shared" si="2"/>
        <v>-0.18999999999999995</v>
      </c>
      <c r="L23" s="21">
        <f t="shared" si="3"/>
        <v>-7.3929961089494123E-2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0.7</v>
      </c>
      <c r="P23" s="26">
        <f>IFERROR(VLOOKUP(N23,'RISE 2차전지액티브(과거)'!$B$11:$E$1000,4,0),0)</f>
        <v>0.05</v>
      </c>
      <c r="Q23" s="20">
        <f t="shared" si="8"/>
        <v>0.64999999999999991</v>
      </c>
      <c r="R23" s="21">
        <f t="shared" si="9"/>
        <v>12.999999999999998</v>
      </c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대원전선</v>
      </c>
      <c r="C24" s="65">
        <f>VLOOKUP(B24,'KODEX 신재생에너지액티브'!$B$11:$E$1000,4,0)</f>
        <v>1.48</v>
      </c>
      <c r="D24" s="65">
        <f>IFERROR(VLOOKUP(B24,'KODEX 신재생에너지액티브(과거)'!$B$11:$E$1000,4,0),0)</f>
        <v>1.19</v>
      </c>
      <c r="E24" s="20">
        <f t="shared" si="0"/>
        <v>0.29000000000000004</v>
      </c>
      <c r="F24" s="21">
        <f t="shared" si="1"/>
        <v>0.24369747899159666</v>
      </c>
      <c r="G24" s="63" t="str">
        <f>VLOOKUP(H24,유니버스!$C$14:$D$2561,2,0)</f>
        <v>KS</v>
      </c>
      <c r="H24" s="65" t="str">
        <f>'TIMEFOLIO K신재생에너지액티브'!B30</f>
        <v>LS</v>
      </c>
      <c r="I24" s="65">
        <f>VLOOKUP(H24,'TIMEFOLIO K신재생에너지액티브'!$B$11:$E$1000,4,0)</f>
        <v>1.78</v>
      </c>
      <c r="J24" s="65">
        <f>IFERROR(VLOOKUP(H24,'TIMEFOLIO K신재생에너지액티브(과거)'!$B$11:$E$1000,4,0),0)</f>
        <v>1.69</v>
      </c>
      <c r="K24" s="20">
        <f t="shared" si="2"/>
        <v>9.000000000000008E-2</v>
      </c>
      <c r="L24" s="21">
        <f t="shared" si="3"/>
        <v>5.3254437869822535E-2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KS</v>
      </c>
      <c r="B25" s="65" t="str">
        <f>'KODEX 신재생에너지액티브'!B31</f>
        <v>SNT에너지</v>
      </c>
      <c r="C25" s="65">
        <f>VLOOKUP(B25,'KODEX 신재생에너지액티브'!$B$11:$E$1000,4,0)</f>
        <v>1.44</v>
      </c>
      <c r="D25" s="65">
        <f>IFERROR(VLOOKUP(B25,'KODEX 신재생에너지액티브(과거)'!$B$11:$E$1000,4,0),0)</f>
        <v>1.75</v>
      </c>
      <c r="E25" s="20">
        <f t="shared" si="0"/>
        <v>-0.31000000000000005</v>
      </c>
      <c r="F25" s="21">
        <f t="shared" si="1"/>
        <v>-0.17714285714285716</v>
      </c>
      <c r="G25" s="63" t="str">
        <f>VLOOKUP(H25,유니버스!$C$14:$D$2561,2,0)</f>
        <v>KS</v>
      </c>
      <c r="H25" s="65" t="str">
        <f>'TIMEFOLIO K신재생에너지액티브'!B31</f>
        <v>포스코DX</v>
      </c>
      <c r="I25" s="65">
        <f>VLOOKUP(H25,'TIMEFOLIO K신재생에너지액티브'!$B$11:$E$1000,4,0)</f>
        <v>1.69</v>
      </c>
      <c r="J25" s="65">
        <f>IFERROR(VLOOKUP(H25,'TIMEFOLIO K신재생에너지액티브(과거)'!$B$11:$E$1000,4,0),0)</f>
        <v>1.89</v>
      </c>
      <c r="K25" s="20">
        <f t="shared" ref="K25:K29" si="10">I25-J25</f>
        <v>-0.19999999999999996</v>
      </c>
      <c r="L25" s="21">
        <f t="shared" ref="L25:L29" si="11">IFERROR(I25/J25-1,"신규편입")</f>
        <v>-0.10582010582010581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태웅</v>
      </c>
      <c r="C26" s="65">
        <f>VLOOKUP(B26,'KODEX 신재생에너지액티브'!$B$11:$E$1000,4,0)</f>
        <v>1.36</v>
      </c>
      <c r="D26" s="65">
        <f>IFERROR(VLOOKUP(B26,'KODEX 신재생에너지액티브(과거)'!$B$11:$E$1000,4,0),0)</f>
        <v>1.42</v>
      </c>
      <c r="E26" s="20">
        <f t="shared" si="0"/>
        <v>-5.9999999999999831E-2</v>
      </c>
      <c r="F26" s="21">
        <f t="shared" si="1"/>
        <v>-4.2253521126760396E-2</v>
      </c>
      <c r="G26" s="63" t="str">
        <f>VLOOKUP(H26,유니버스!$C$14:$D$2561,2,0)</f>
        <v>KS</v>
      </c>
      <c r="H26" s="65" t="str">
        <f>'TIMEFOLIO K신재생에너지액티브'!B32</f>
        <v>SK이노베이션</v>
      </c>
      <c r="I26" s="65">
        <f>VLOOKUP(H26,'TIMEFOLIO K신재생에너지액티브'!$B$11:$E$1000,4,0)</f>
        <v>1.35</v>
      </c>
      <c r="J26" s="65">
        <f>IFERROR(VLOOKUP(H26,'TIMEFOLIO K신재생에너지액티브(과거)'!$B$11:$E$1000,4,0),0)</f>
        <v>1.3</v>
      </c>
      <c r="K26" s="20">
        <f t="shared" si="10"/>
        <v>5.0000000000000044E-2</v>
      </c>
      <c r="L26" s="21">
        <f t="shared" si="11"/>
        <v>3.8461538461538547E-2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비츠로셀</v>
      </c>
      <c r="C27" s="65">
        <f>VLOOKUP(B27,'KODEX 신재생에너지액티브'!$B$11:$E$1000,4,0)</f>
        <v>1.2</v>
      </c>
      <c r="D27" s="65">
        <f>IFERROR(VLOOKUP(B27,'KODEX 신재생에너지액티브(과거)'!$B$11:$E$1000,4,0),0)</f>
        <v>1.22</v>
      </c>
      <c r="E27" s="20">
        <f t="shared" si="0"/>
        <v>-2.0000000000000018E-2</v>
      </c>
      <c r="F27" s="21">
        <f t="shared" si="1"/>
        <v>-1.6393442622950838E-2</v>
      </c>
      <c r="G27" s="63" t="str">
        <f>VLOOKUP(H27,유니버스!$C$14:$D$2561,2,0)</f>
        <v>KS</v>
      </c>
      <c r="H27" s="65" t="str">
        <f>'TIMEFOLIO K신재생에너지액티브'!B33</f>
        <v>두산퓨얼셀</v>
      </c>
      <c r="I27" s="65">
        <f>VLOOKUP(H27,'TIMEFOLIO K신재생에너지액티브'!$B$11:$E$1000,4,0)</f>
        <v>1.32</v>
      </c>
      <c r="J27" s="65">
        <f>IFERROR(VLOOKUP(H27,'TIMEFOLIO K신재생에너지액티브(과거)'!$B$11:$E$1000,4,0),0)</f>
        <v>1.34</v>
      </c>
      <c r="K27" s="20">
        <f t="shared" si="10"/>
        <v>-2.0000000000000018E-2</v>
      </c>
      <c r="L27" s="21">
        <f t="shared" si="11"/>
        <v>-1.4925373134328401E-2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미코</v>
      </c>
      <c r="C28" s="65">
        <f>VLOOKUP(B28,'KODEX 신재생에너지액티브'!$B$11:$E$1000,4,0)</f>
        <v>1.1200000000000001</v>
      </c>
      <c r="D28" s="65">
        <f>IFERROR(VLOOKUP(B28,'KODEX 신재생에너지액티브(과거)'!$B$11:$E$1000,4,0),0)</f>
        <v>1.1499999999999999</v>
      </c>
      <c r="E28" s="20">
        <f t="shared" si="0"/>
        <v>-2.9999999999999805E-2</v>
      </c>
      <c r="F28" s="21">
        <f t="shared" si="1"/>
        <v>-2.608695652173898E-2</v>
      </c>
      <c r="G28" s="63" t="str">
        <f>VLOOKUP(H28,유니버스!$C$14:$D$2561,2,0)</f>
        <v>KS</v>
      </c>
      <c r="H28" s="65" t="str">
        <f>'TIMEFOLIO K신재생에너지액티브'!B34</f>
        <v>LG전자</v>
      </c>
      <c r="I28" s="65">
        <f>VLOOKUP(H28,'TIMEFOLIO K신재생에너지액티브'!$B$11:$E$1000,4,0)</f>
        <v>1.1200000000000001</v>
      </c>
      <c r="J28" s="65">
        <f>IFERROR(VLOOKUP(H28,'TIMEFOLIO K신재생에너지액티브(과거)'!$B$11:$E$1000,4,0),0)</f>
        <v>0.13</v>
      </c>
      <c r="K28" s="20">
        <f t="shared" si="10"/>
        <v>0.9900000000000001</v>
      </c>
      <c r="L28" s="21">
        <f t="shared" si="11"/>
        <v>7.6153846153846168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코세스</v>
      </c>
      <c r="C29" s="65">
        <f>VLOOKUP(B29,'KODEX 신재생에너지액티브'!$B$11:$E$1000,4,0)</f>
        <v>0.98</v>
      </c>
      <c r="D29" s="65">
        <f>IFERROR(VLOOKUP(B29,'KODEX 신재생에너지액티브(과거)'!$B$11:$E$1000,4,0),0)</f>
        <v>0.87</v>
      </c>
      <c r="E29" s="20">
        <f t="shared" si="0"/>
        <v>0.10999999999999999</v>
      </c>
      <c r="F29" s="21">
        <f t="shared" si="1"/>
        <v>0.12643678160919536</v>
      </c>
      <c r="G29" s="63" t="e">
        <f>VLOOKUP(H29,유니버스!$C$14:$D$2561,2,0)</f>
        <v>#N/A</v>
      </c>
      <c r="H29" s="65" t="str">
        <f>'TIMEFOLIO K신재생에너지액티브'!B35</f>
        <v>원화현금</v>
      </c>
      <c r="I29" s="65">
        <f>VLOOKUP(H29,'TIMEFOLIO K신재생에너지액티브'!$B$11:$E$1000,4,0)</f>
        <v>2.95</v>
      </c>
      <c r="J29" s="65">
        <f>IFERROR(VLOOKUP(H29,'TIMEFOLIO K신재생에너지액티브(과거)'!$B$11:$E$1000,4,0),0)</f>
        <v>1.31</v>
      </c>
      <c r="K29" s="20">
        <f t="shared" si="10"/>
        <v>1.6400000000000001</v>
      </c>
      <c r="L29" s="21">
        <f t="shared" si="11"/>
        <v>1.2519083969465647</v>
      </c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에코프로비엠</v>
      </c>
      <c r="C30" s="65">
        <f>VLOOKUP(B30,'KODEX 신재생에너지액티브'!$B$11:$E$1000,4,0)</f>
        <v>0.92</v>
      </c>
      <c r="D30" s="65">
        <f>IFERROR(VLOOKUP(B30,'KODEX 신재생에너지액티브(과거)'!$B$11:$E$1000,4,0),0)</f>
        <v>1.1399999999999999</v>
      </c>
      <c r="E30" s="20">
        <f t="shared" si="0"/>
        <v>-0.21999999999999986</v>
      </c>
      <c r="F30" s="21">
        <f t="shared" si="1"/>
        <v>-0.19298245614035081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KS</v>
      </c>
      <c r="B31" s="65" t="str">
        <f>'KODEX 신재생에너지액티브'!B37</f>
        <v>후성</v>
      </c>
      <c r="C31" s="65">
        <f>VLOOKUP(B31,'KODEX 신재생에너지액티브'!$B$11:$E$1000,4,0)</f>
        <v>0.92</v>
      </c>
      <c r="D31" s="65">
        <f>IFERROR(VLOOKUP(B31,'KODEX 신재생에너지액티브(과거)'!$B$11:$E$1000,4,0),0)</f>
        <v>0.87</v>
      </c>
      <c r="E31" s="20">
        <f t="shared" si="0"/>
        <v>5.0000000000000044E-2</v>
      </c>
      <c r="F31" s="21">
        <f t="shared" si="1"/>
        <v>5.7471264367816133E-2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'KODEX 신재생에너지액티브'!B38</f>
        <v>한텍</v>
      </c>
      <c r="C32" s="65">
        <f>VLOOKUP(B32,'KODEX 신재생에너지액티브'!$B$11:$E$1000,4,0)</f>
        <v>0.91</v>
      </c>
      <c r="D32" s="65">
        <f>IFERROR(VLOOKUP(B32,'KODEX 신재생에너지액티브(과거)'!$B$11:$E$1000,4,0),0)</f>
        <v>0.95</v>
      </c>
      <c r="E32" s="20">
        <f t="shared" si="0"/>
        <v>-3.9999999999999925E-2</v>
      </c>
      <c r="F32" s="21">
        <f t="shared" si="1"/>
        <v>-4.2105263157894646E-2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'KODEX 신재생에너지액티브'!B39</f>
        <v>삼아알미늄</v>
      </c>
      <c r="C33" s="65">
        <f>VLOOKUP(B33,'KODEX 신재생에너지액티브'!$B$11:$E$1000,4,0)</f>
        <v>0.87</v>
      </c>
      <c r="D33" s="65">
        <f>IFERROR(VLOOKUP(B33,'KODEX 신재생에너지액티브(과거)'!$B$11:$E$1000,4,0),0)</f>
        <v>1.01</v>
      </c>
      <c r="E33" s="20">
        <f t="shared" si="0"/>
        <v>-0.14000000000000001</v>
      </c>
      <c r="F33" s="21">
        <f t="shared" si="1"/>
        <v>-0.13861386138613863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한선엔지니어링</v>
      </c>
      <c r="C34" s="65">
        <f>VLOOKUP(B34,'KODEX 신재생에너지액티브'!$B$11:$E$1000,4,0)</f>
        <v>0.83</v>
      </c>
      <c r="D34" s="65">
        <f>IFERROR(VLOOKUP(B34,'KODEX 신재생에너지액티브(과거)'!$B$11:$E$1000,4,0),0)</f>
        <v>0.82</v>
      </c>
      <c r="E34" s="20">
        <f t="shared" si="0"/>
        <v>1.0000000000000009E-2</v>
      </c>
      <c r="F34" s="21">
        <f t="shared" si="1"/>
        <v>1.2195121951219523E-2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대명에너지</v>
      </c>
      <c r="C35" s="65">
        <f>VLOOKUP(B35,'KODEX 신재생에너지액티브'!$B$11:$E$1000,4,0)</f>
        <v>0.75</v>
      </c>
      <c r="D35" s="65">
        <f>IFERROR(VLOOKUP(B35,'KODEX 신재생에너지액티브(과거)'!$B$11:$E$1000,4,0),0)</f>
        <v>0.66</v>
      </c>
      <c r="E35" s="20">
        <f t="shared" si="0"/>
        <v>8.9999999999999969E-2</v>
      </c>
      <c r="F35" s="21">
        <f t="shared" si="1"/>
        <v>0.13636363636363624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한중엔시에스</v>
      </c>
      <c r="C36" s="65">
        <f>VLOOKUP(B36,'KODEX 신재생에너지액티브'!$B$11:$E$1000,4,0)</f>
        <v>0.7</v>
      </c>
      <c r="D36" s="65">
        <f>IFERROR(VLOOKUP(B36,'KODEX 신재생에너지액티브(과거)'!$B$11:$E$1000,4,0),0)</f>
        <v>0.41</v>
      </c>
      <c r="E36" s="20">
        <f t="shared" si="0"/>
        <v>0.28999999999999998</v>
      </c>
      <c r="F36" s="21">
        <f t="shared" si="1"/>
        <v>0.70731707317073167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레이크머티리얼즈</v>
      </c>
      <c r="C37" s="65">
        <f>VLOOKUP(B37,'KODEX 신재생에너지액티브'!$B$11:$E$1000,4,0)</f>
        <v>0.69</v>
      </c>
      <c r="D37" s="65">
        <f>IFERROR(VLOOKUP(B37,'KODEX 신재생에너지액티브(과거)'!$B$11:$E$1000,4,0),0)</f>
        <v>0.75</v>
      </c>
      <c r="E37" s="20">
        <f t="shared" si="0"/>
        <v>-6.0000000000000053E-2</v>
      </c>
      <c r="F37" s="21">
        <f t="shared" si="1"/>
        <v>-8.0000000000000071E-2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상신이디피</v>
      </c>
      <c r="C38" s="65">
        <f>VLOOKUP(B38,'KODEX 신재생에너지액티브'!$B$11:$E$1000,4,0)</f>
        <v>0.68</v>
      </c>
      <c r="D38" s="65">
        <f>IFERROR(VLOOKUP(B38,'KODEX 신재생에너지액티브(과거)'!$B$11:$E$1000,4,0),0)</f>
        <v>0.68</v>
      </c>
      <c r="E38" s="20">
        <f t="shared" si="0"/>
        <v>0</v>
      </c>
      <c r="F38" s="21">
        <f t="shared" si="1"/>
        <v>0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대한전선</v>
      </c>
      <c r="C39" s="65">
        <f>VLOOKUP(B39,'KODEX 신재생에너지액티브'!$B$11:$E$1000,4,0)</f>
        <v>0.62</v>
      </c>
      <c r="D39" s="65">
        <f>IFERROR(VLOOKUP(B39,'KODEX 신재생에너지액티브(과거)'!$B$11:$E$1000,4,0),0)</f>
        <v>0.62</v>
      </c>
      <c r="E39" s="20">
        <f t="shared" si="0"/>
        <v>0</v>
      </c>
      <c r="F39" s="21">
        <f t="shared" si="1"/>
        <v>0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KQ</v>
      </c>
      <c r="B40" s="65" t="str">
        <f>'KODEX 신재생에너지액티브'!B46</f>
        <v>강원에너지</v>
      </c>
      <c r="C40" s="65">
        <f>VLOOKUP(B40,'KODEX 신재생에너지액티브'!$B$11:$E$1000,4,0)</f>
        <v>0.6</v>
      </c>
      <c r="D40" s="65">
        <f>IFERROR(VLOOKUP(B40,'KODEX 신재생에너지액티브(과거)'!$B$11:$E$1000,4,0),0)</f>
        <v>0.69</v>
      </c>
      <c r="E40" s="20">
        <f t="shared" si="0"/>
        <v>-8.9999999999999969E-2</v>
      </c>
      <c r="F40" s="21">
        <f t="shared" si="1"/>
        <v>-0.13043478260869557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세아베스틸지주</v>
      </c>
      <c r="C41" s="65">
        <f>VLOOKUP(B41,'KODEX 신재생에너지액티브'!$B$11:$E$1000,4,0)</f>
        <v>0.59</v>
      </c>
      <c r="D41" s="65">
        <f>IFERROR(VLOOKUP(B41,'KODEX 신재생에너지액티브(과거)'!$B$11:$E$1000,4,0),0)</f>
        <v>0.68</v>
      </c>
      <c r="E41" s="20">
        <f t="shared" si="0"/>
        <v>-9.000000000000008E-2</v>
      </c>
      <c r="F41" s="21">
        <f t="shared" si="1"/>
        <v>-0.13235294117647067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성일하이텍</v>
      </c>
      <c r="C42" s="65">
        <f>VLOOKUP(B42,'KODEX 신재생에너지액티브'!$B$11:$E$1000,4,0)</f>
        <v>0.56000000000000005</v>
      </c>
      <c r="D42" s="65">
        <f>IFERROR(VLOOKUP(B42,'KODEX 신재생에너지액티브(과거)'!$B$11:$E$1000,4,0),0)</f>
        <v>0.65</v>
      </c>
      <c r="E42" s="20">
        <f t="shared" si="0"/>
        <v>-8.9999999999999969E-2</v>
      </c>
      <c r="F42" s="21">
        <f t="shared" si="1"/>
        <v>-0.13846153846153841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KS</v>
      </c>
      <c r="B43" s="65" t="str">
        <f>'KODEX 신재생에너지액티브'!B49</f>
        <v>에코프로머티</v>
      </c>
      <c r="C43" s="65">
        <f>VLOOKUP(B43,'KODEX 신재생에너지액티브'!$B$11:$E$1000,4,0)</f>
        <v>0.44</v>
      </c>
      <c r="D43" s="65">
        <f>IFERROR(VLOOKUP(B43,'KODEX 신재생에너지액티브(과거)'!$B$11:$E$1000,4,0),0)</f>
        <v>0.54</v>
      </c>
      <c r="E43" s="20">
        <f t="shared" si="0"/>
        <v>-0.10000000000000003</v>
      </c>
      <c r="F43" s="21">
        <f t="shared" si="1"/>
        <v>-0.18518518518518523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선익시스템</v>
      </c>
      <c r="C44" s="65">
        <f>VLOOKUP(B44,'KODEX 신재생에너지액티브'!$B$11:$E$1000,4,0)</f>
        <v>0.42</v>
      </c>
      <c r="D44" s="65">
        <f>IFERROR(VLOOKUP(B44,'KODEX 신재생에너지액티브(과거)'!$B$11:$E$1000,4,0),0)</f>
        <v>0.45</v>
      </c>
      <c r="E44" s="20">
        <f t="shared" si="0"/>
        <v>-3.0000000000000027E-2</v>
      </c>
      <c r="F44" s="21">
        <f t="shared" si="1"/>
        <v>-6.6666666666666763E-2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지엔씨에너지</v>
      </c>
      <c r="C45" s="65">
        <f>VLOOKUP(B45,'KODEX 신재생에너지액티브'!$B$11:$E$1000,4,0)</f>
        <v>0.41</v>
      </c>
      <c r="D45" s="65">
        <f>IFERROR(VLOOKUP(B45,'KODEX 신재생에너지액티브(과거)'!$B$11:$E$1000,4,0),0)</f>
        <v>0.31</v>
      </c>
      <c r="E45" s="20">
        <f t="shared" si="0"/>
        <v>9.9999999999999978E-2</v>
      </c>
      <c r="F45" s="21">
        <f t="shared" si="1"/>
        <v>0.32258064516129026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'KODEX 신재생에너지액티브'!B52</f>
        <v>천보</v>
      </c>
      <c r="C46" s="65">
        <f>VLOOKUP(B46,'KODEX 신재생에너지액티브'!$B$11:$E$1000,4,0)</f>
        <v>0.4</v>
      </c>
      <c r="D46" s="65">
        <f>IFERROR(VLOOKUP(B46,'KODEX 신재생에너지액티브(과거)'!$B$11:$E$1000,4,0),0)</f>
        <v>0.42</v>
      </c>
      <c r="E46" s="20">
        <f t="shared" si="0"/>
        <v>-1.9999999999999962E-2</v>
      </c>
      <c r="F46" s="21">
        <f t="shared" si="1"/>
        <v>-4.7619047619047561E-2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'KODEX 신재생에너지액티브'!B53</f>
        <v>대우건설</v>
      </c>
      <c r="C47" s="65">
        <f>VLOOKUP(B47,'KODEX 신재생에너지액티브'!$B$11:$E$1000,4,0)</f>
        <v>0.36</v>
      </c>
      <c r="D47" s="65">
        <f>IFERROR(VLOOKUP(B47,'KODEX 신재생에너지액티브(과거)'!$B$11:$E$1000,4,0),0)</f>
        <v>0.39</v>
      </c>
      <c r="E47" s="20">
        <f t="shared" si="0"/>
        <v>-3.0000000000000027E-2</v>
      </c>
      <c r="F47" s="21">
        <f t="shared" si="1"/>
        <v>-7.6923076923076983E-2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나노</v>
      </c>
      <c r="C48" s="65">
        <f>VLOOKUP(B48,'KODEX 신재생에너지액티브'!$B$11:$E$1000,4,0)</f>
        <v>0.31</v>
      </c>
      <c r="D48" s="65">
        <f>IFERROR(VLOOKUP(B48,'KODEX 신재생에너지액티브(과거)'!$B$11:$E$1000,4,0),0)</f>
        <v>0.31</v>
      </c>
      <c r="E48" s="20">
        <f t="shared" si="0"/>
        <v>0</v>
      </c>
      <c r="F48" s="21">
        <f t="shared" si="1"/>
        <v>0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씨에스베어링</v>
      </c>
      <c r="C49" s="65">
        <f>VLOOKUP(B49,'KODEX 신재생에너지액티브'!$B$11:$E$1000,4,0)</f>
        <v>0.3</v>
      </c>
      <c r="D49" s="65">
        <f>IFERROR(VLOOKUP(B49,'KODEX 신재생에너지액티브(과거)'!$B$11:$E$1000,4,0),0)</f>
        <v>0.28999999999999998</v>
      </c>
      <c r="E49" s="20">
        <f t="shared" si="0"/>
        <v>1.0000000000000009E-2</v>
      </c>
      <c r="F49" s="21">
        <f t="shared" si="1"/>
        <v>3.4482758620689724E-2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KS</v>
      </c>
      <c r="B50" s="65" t="str">
        <f>'KODEX 신재생에너지액티브'!B56</f>
        <v>DI동일</v>
      </c>
      <c r="C50" s="65">
        <f>VLOOKUP(B50,'KODEX 신재생에너지액티브'!$B$11:$E$1000,4,0)</f>
        <v>0.3</v>
      </c>
      <c r="D50" s="65">
        <f>IFERROR(VLOOKUP(B50,'KODEX 신재생에너지액티브(과거)'!$B$11:$E$1000,4,0),0)</f>
        <v>0.28000000000000003</v>
      </c>
      <c r="E50" s="20">
        <f t="shared" si="0"/>
        <v>1.9999999999999962E-2</v>
      </c>
      <c r="F50" s="21">
        <f t="shared" si="1"/>
        <v>7.1428571428571397E-2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아모센스</v>
      </c>
      <c r="C51" s="65">
        <f>VLOOKUP(B51,'KODEX 신재생에너지액티브'!$B$11:$E$1000,4,0)</f>
        <v>0.24</v>
      </c>
      <c r="D51" s="65">
        <f>IFERROR(VLOOKUP(B51,'KODEX 신재생에너지액티브(과거)'!$B$11:$E$1000,4,0),0)</f>
        <v>0.23</v>
      </c>
      <c r="E51" s="20">
        <f t="shared" si="0"/>
        <v>9.9999999999999811E-3</v>
      </c>
      <c r="F51" s="21">
        <f t="shared" si="1"/>
        <v>4.3478260869565188E-2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주성엔지니어링</v>
      </c>
      <c r="C52" s="65">
        <f>VLOOKUP(B52,'KODEX 신재생에너지액티브'!$B$11:$E$1000,4,0)</f>
        <v>0.23</v>
      </c>
      <c r="D52" s="65">
        <f>IFERROR(VLOOKUP(B52,'KODEX 신재생에너지액티브(과거)'!$B$11:$E$1000,4,0),0)</f>
        <v>0.17</v>
      </c>
      <c r="E52" s="20">
        <f t="shared" si="0"/>
        <v>0.06</v>
      </c>
      <c r="F52" s="21">
        <f t="shared" si="1"/>
        <v>0.35294117647058809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신성에스티</v>
      </c>
      <c r="C53" s="65">
        <f>VLOOKUP(B53,'KODEX 신재생에너지액티브'!$B$11:$E$1000,4,0)</f>
        <v>0.21</v>
      </c>
      <c r="D53" s="65">
        <f>IFERROR(VLOOKUP(B53,'KODEX 신재생에너지액티브(과거)'!$B$11:$E$1000,4,0),0)</f>
        <v>0</v>
      </c>
      <c r="E53" s="20">
        <f t="shared" si="0"/>
        <v>0.21</v>
      </c>
      <c r="F53" s="21" t="str">
        <f t="shared" si="1"/>
        <v>신규편입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우양에이치씨</v>
      </c>
      <c r="C54" s="65">
        <f>VLOOKUP(B54,'KODEX 신재생에너지액티브'!$B$11:$E$1000,4,0)</f>
        <v>0.2</v>
      </c>
      <c r="D54" s="65">
        <f>IFERROR(VLOOKUP(B54,'KODEX 신재생에너지액티브(과거)'!$B$11:$E$1000,4,0),0)</f>
        <v>0.15</v>
      </c>
      <c r="E54" s="20">
        <f t="shared" si="0"/>
        <v>5.0000000000000017E-2</v>
      </c>
      <c r="F54" s="21">
        <f t="shared" si="1"/>
        <v>0.33333333333333348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유니슨</v>
      </c>
      <c r="C55" s="65">
        <f>VLOOKUP(B55,'KODEX 신재생에너지액티브'!$B$11:$E$1000,4,0)</f>
        <v>0.19</v>
      </c>
      <c r="D55" s="65">
        <f>IFERROR(VLOOKUP(B55,'KODEX 신재생에너지액티브(과거)'!$B$11:$E$1000,4,0),0)</f>
        <v>0.18</v>
      </c>
      <c r="E55" s="20">
        <f t="shared" si="0"/>
        <v>1.0000000000000009E-2</v>
      </c>
      <c r="F55" s="21">
        <f t="shared" si="1"/>
        <v>5.555555555555558E-2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0.13</v>
      </c>
      <c r="D56" s="65">
        <f>IFERROR(VLOOKUP(B56,'KODEX 신재생에너지액티브(과거)'!$B$11:$E$1000,4,0),0)</f>
        <v>0.14000000000000001</v>
      </c>
      <c r="E56" s="20">
        <f t="shared" si="0"/>
        <v>-1.0000000000000009E-2</v>
      </c>
      <c r="F56" s="21">
        <f t="shared" si="1"/>
        <v>-7.1428571428571508E-2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0.11</v>
      </c>
      <c r="D57" s="65">
        <f>IFERROR(VLOOKUP(B57,'KODEX 신재생에너지액티브(과거)'!$B$11:$E$1000,4,0),0)</f>
        <v>0.14000000000000001</v>
      </c>
      <c r="E57" s="20">
        <f t="shared" si="0"/>
        <v>-3.0000000000000013E-2</v>
      </c>
      <c r="F57" s="21">
        <f t="shared" si="1"/>
        <v>-0.2142857142857143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LS에코에너지</v>
      </c>
      <c r="C58" s="65">
        <f>VLOOKUP(B58,'KODEX 신재생에너지액티브'!$B$11:$E$1000,4,0)</f>
        <v>0.1</v>
      </c>
      <c r="D58" s="65">
        <f>IFERROR(VLOOKUP(B58,'KODEX 신재생에너지액티브(과거)'!$B$11:$E$1000,4,0),0)</f>
        <v>0.09</v>
      </c>
      <c r="E58" s="20">
        <f t="shared" si="0"/>
        <v>1.0000000000000009E-2</v>
      </c>
      <c r="F58" s="21">
        <f t="shared" si="1"/>
        <v>0.11111111111111116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SK이노베이션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</v>
      </c>
      <c r="E59" s="20">
        <f t="shared" si="0"/>
        <v>0</v>
      </c>
      <c r="F59" s="21">
        <f t="shared" si="1"/>
        <v>0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현대모비스</v>
      </c>
      <c r="C60" s="65">
        <f>VLOOKUP(B60,'KODEX 신재생에너지액티브'!$B$11:$E$1000,4,0)</f>
        <v>0.09</v>
      </c>
      <c r="D60" s="65">
        <f>IFERROR(VLOOKUP(B60,'KODEX 신재생에너지액티브(과거)'!$B$11:$E$1000,4,0),0)</f>
        <v>0.11</v>
      </c>
      <c r="E60" s="20">
        <f t="shared" si="0"/>
        <v>-2.0000000000000004E-2</v>
      </c>
      <c r="F60" s="21">
        <f t="shared" si="1"/>
        <v>-0.18181818181818188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KQ</v>
      </c>
      <c r="B61" s="65" t="str">
        <f>'KODEX 신재생에너지액티브'!B67</f>
        <v>덕산네오룩스</v>
      </c>
      <c r="C61" s="65">
        <f>VLOOKUP(B61,'KODEX 신재생에너지액티브'!$B$11:$E$1000,4,0)</f>
        <v>0.09</v>
      </c>
      <c r="D61" s="65">
        <f>IFERROR(VLOOKUP(B61,'KODEX 신재생에너지액티브(과거)'!$B$11:$E$1000,4,0),0)</f>
        <v>0.1</v>
      </c>
      <c r="E61" s="20">
        <f t="shared" si="0"/>
        <v>-1.0000000000000009E-2</v>
      </c>
      <c r="F61" s="21">
        <f t="shared" si="1"/>
        <v>-0.10000000000000009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LG전자</v>
      </c>
      <c r="C62" s="65">
        <f>VLOOKUP(B62,'KODEX 신재생에너지액티브'!$B$11:$E$1000,4,0)</f>
        <v>0.09</v>
      </c>
      <c r="D62" s="65">
        <f>IFERROR(VLOOKUP(B62,'KODEX 신재생에너지액티브(과거)'!$B$11:$E$1000,4,0),0)</f>
        <v>0.1</v>
      </c>
      <c r="E62" s="20">
        <f t="shared" si="0"/>
        <v>-1.0000000000000009E-2</v>
      </c>
      <c r="F62" s="21">
        <f t="shared" si="1"/>
        <v>-0.10000000000000009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POSCO홀딩스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0.1</v>
      </c>
      <c r="E63" s="20">
        <f t="shared" si="0"/>
        <v>-1.0000000000000009E-2</v>
      </c>
      <c r="F63" s="21">
        <f t="shared" si="1"/>
        <v>-0.10000000000000009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KS</v>
      </c>
      <c r="B64" s="65" t="str">
        <f>'KODEX 신재생에너지액티브'!B70</f>
        <v>삼성E&amp;A</v>
      </c>
      <c r="C64" s="65">
        <f>VLOOKUP(B64,'KODEX 신재생에너지액티브'!$B$11:$E$1000,4,0)</f>
        <v>0.09</v>
      </c>
      <c r="D64" s="65">
        <f>IFERROR(VLOOKUP(B64,'KODEX 신재생에너지액티브(과거)'!$B$11:$E$1000,4,0),0)</f>
        <v>0.08</v>
      </c>
      <c r="E64" s="20">
        <f t="shared" si="0"/>
        <v>9.999999999999995E-3</v>
      </c>
      <c r="F64" s="21">
        <f t="shared" si="1"/>
        <v>0.125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한솔케미칼</v>
      </c>
      <c r="C65" s="65">
        <f>VLOOKUP(B65,'KODEX 신재생에너지액티브'!$B$11:$E$1000,4,0)</f>
        <v>0.08</v>
      </c>
      <c r="D65" s="65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S-Oil</v>
      </c>
      <c r="C66" s="65">
        <f>VLOOKUP(B66,'KODEX 신재생에너지액티브'!$B$11:$E$1000,4,0)</f>
        <v>0.08</v>
      </c>
      <c r="D66" s="65">
        <f>IFERROR(VLOOKUP(B66,'KODEX 신재생에너지액티브(과거)'!$B$11:$E$1000,4,0),0)</f>
        <v>0.08</v>
      </c>
      <c r="E66" s="20">
        <f t="shared" si="0"/>
        <v>0</v>
      </c>
      <c r="F66" s="21">
        <f t="shared" si="1"/>
        <v>0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KQ</v>
      </c>
      <c r="B67" s="65" t="str">
        <f>'KODEX 신재생에너지액티브'!B73</f>
        <v>에어레인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0.08</v>
      </c>
      <c r="E67" s="20">
        <f t="shared" si="0"/>
        <v>0</v>
      </c>
      <c r="F67" s="21">
        <f t="shared" si="1"/>
        <v>0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두산퓨얼셀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0.18</v>
      </c>
      <c r="E68" s="20">
        <f t="shared" ref="E68:E82" si="12">C68-D68</f>
        <v>-0.10999999999999999</v>
      </c>
      <c r="F68" s="21">
        <f t="shared" ref="F68:F82" si="13">IFERROR(C68/D68-1,"신규편입")</f>
        <v>-0.61111111111111105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기아</v>
      </c>
      <c r="C69" s="65">
        <f>VLOOKUP(B69,'KODEX 신재생에너지액티브'!$B$11:$E$1000,4,0)</f>
        <v>7.0000000000000007E-2</v>
      </c>
      <c r="D69" s="65">
        <f>IFERROR(VLOOKUP(B69,'KODEX 신재생에너지액티브(과거)'!$B$11:$E$1000,4,0),0)</f>
        <v>7.0000000000000007E-2</v>
      </c>
      <c r="E69" s="20">
        <f t="shared" si="12"/>
        <v>0</v>
      </c>
      <c r="F69" s="21">
        <f t="shared" si="13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KQ</v>
      </c>
      <c r="B70" s="65" t="str">
        <f>'KODEX 신재생에너지액티브'!B76</f>
        <v>제일일렉트릭</v>
      </c>
      <c r="C70" s="65">
        <f>VLOOKUP(B70,'KODEX 신재생에너지액티브'!$B$11:$E$1000,4,0)</f>
        <v>0.06</v>
      </c>
      <c r="D70" s="65">
        <f>IFERROR(VLOOKUP(B70,'KODEX 신재생에너지액티브(과거)'!$B$11:$E$1000,4,0),0)</f>
        <v>0.06</v>
      </c>
      <c r="E70" s="20">
        <f t="shared" si="12"/>
        <v>0</v>
      </c>
      <c r="F70" s="21">
        <f t="shared" si="13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고려아연</v>
      </c>
      <c r="C71" s="65">
        <f>VLOOKUP(B71,'KODEX 신재생에너지액티브'!$B$11:$E$1000,4,0)</f>
        <v>0.05</v>
      </c>
      <c r="D71" s="65">
        <f>IFERROR(VLOOKUP(B71,'KODEX 신재생에너지액티브(과거)'!$B$11:$E$1000,4,0),0)</f>
        <v>0.05</v>
      </c>
      <c r="E71" s="20">
        <f t="shared" si="12"/>
        <v>0</v>
      </c>
      <c r="F71" s="21">
        <f t="shared" si="13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LG화학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0.05</v>
      </c>
      <c r="E72" s="20">
        <f t="shared" si="12"/>
        <v>-1.0000000000000002E-2</v>
      </c>
      <c r="F72" s="21">
        <f t="shared" si="13"/>
        <v>-0.20000000000000007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세아제강지주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세진중공업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세아제강</v>
      </c>
      <c r="C75" s="65">
        <f>VLOOKUP(B75,'KODEX 신재생에너지액티브'!$B$11:$E$1000,4,0)</f>
        <v>0.04</v>
      </c>
      <c r="D75" s="65">
        <f>IFERROR(VLOOKUP(B75,'KODEX 신재생에너지액티브(과거)'!$B$11:$E$1000,4,0),0)</f>
        <v>0.04</v>
      </c>
      <c r="E75" s="20">
        <f t="shared" si="12"/>
        <v>0</v>
      </c>
      <c r="F75" s="21">
        <f t="shared" si="13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현대건설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2"/>
        <v>0</v>
      </c>
      <c r="F76" s="21">
        <f t="shared" si="13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한전KPS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2"/>
        <v>0</v>
      </c>
      <c r="F77" s="21">
        <f t="shared" si="13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한전기술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한온시스템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휴스틸</v>
      </c>
      <c r="C80" s="65">
        <f>VLOOKUP(B80,'KODEX 신재생에너지액티브'!$B$11:$E$1000,4,0)</f>
        <v>0.03</v>
      </c>
      <c r="D80" s="65">
        <f>IFERROR(VLOOKUP(B80,'KODEX 신재생에너지액티브(과거)'!$B$11:$E$1000,4,0),0)</f>
        <v>0.03</v>
      </c>
      <c r="E80" s="20">
        <f t="shared" si="12"/>
        <v>0</v>
      </c>
      <c r="F80" s="21">
        <f t="shared" si="13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한국전력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2"/>
        <v>0</v>
      </c>
      <c r="F81" s="21">
        <f t="shared" si="13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넥스틸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0.03</v>
      </c>
      <c r="E82" s="20">
        <f t="shared" si="12"/>
        <v>-9.9999999999999985E-3</v>
      </c>
      <c r="F82" s="21">
        <f t="shared" si="13"/>
        <v>-0.33333333333333326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str">
        <f>VLOOKUP(B83,유니버스!$C$14:$D$2561,2,0)</f>
        <v>KS</v>
      </c>
      <c r="B83" s="65" t="str">
        <f>'KODEX 신재생에너지액티브'!B89</f>
        <v>코스모신소재</v>
      </c>
      <c r="C83" s="65">
        <f>VLOOKUP(B83,'KODEX 신재생에너지액티브'!$B$11:$E$1000,4,0)</f>
        <v>0.02</v>
      </c>
      <c r="D83" s="65">
        <f>IFERROR(VLOOKUP(B83,'KODEX 신재생에너지액티브(과거)'!$B$11:$E$1000,4,0),0)</f>
        <v>0.02</v>
      </c>
      <c r="E83" s="20">
        <f t="shared" ref="E83" si="14">C83-D83</f>
        <v>0</v>
      </c>
      <c r="F83" s="21">
        <f t="shared" ref="F83" si="15">IFERROR(C83/D83-1,"신규편입")</f>
        <v>0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1" zoomScaleNormal="100" workbookViewId="0">
      <selection activeCell="I19" sqref="I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'IBK 코스피액티브'!A9</f>
        <v>IBK 코스피액티브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[20260701]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10.16</v>
      </c>
      <c r="D5" s="65">
        <f>IFERROR(VLOOKUP(B5,'TIMEFOLIO K이노베이션액티브(과거)'!$B$11:$E$1000,4,0),0)</f>
        <v>9.84</v>
      </c>
      <c r="E5" s="26">
        <f>C5-D5</f>
        <v>0.32000000000000028</v>
      </c>
      <c r="F5" s="27">
        <f>IFERROR(C5/D5-1,"신규편입")</f>
        <v>3.2520325203251987E-2</v>
      </c>
      <c r="G5" s="63" t="str">
        <f>VLOOKUP(H5,유니버스!$C$14:$D$2561,2,0)</f>
        <v>KS</v>
      </c>
      <c r="H5" s="65" t="str">
        <f>'IBK 코스피액티브'!B11</f>
        <v>삼성전자</v>
      </c>
      <c r="I5" s="65">
        <f>VLOOKUP(H5,'IBK 코스피액티브'!$B$11:$E$1000,4,0)</f>
        <v>26.26</v>
      </c>
      <c r="J5" s="65">
        <f>IFERROR(VLOOKUP(H5,'IBK 코스피액티브(과거)'!$B$11:$E$1000,4,0),0)</f>
        <v>26.17</v>
      </c>
      <c r="K5" s="20">
        <f>I5-J5</f>
        <v>8.9999999999999858E-2</v>
      </c>
      <c r="L5" s="21">
        <f>IFERROR(I5/J5-1,"신규편입")</f>
        <v>3.4390523500191783E-3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19.170000000000002</v>
      </c>
      <c r="P5" s="26">
        <f>IFERROR(VLOOKUP(N5,'KoAct AI인프라액티브(과거)'!$B$11:$E$1000,4,0),0)</f>
        <v>18.59</v>
      </c>
      <c r="Q5" s="26">
        <f>O5-P5</f>
        <v>0.58000000000000185</v>
      </c>
      <c r="R5" s="27">
        <f>IFERROR(O5/P5-1,"신규편입")</f>
        <v>3.1199569661108262E-2</v>
      </c>
    </row>
    <row r="6" spans="1:18" x14ac:dyDescent="0.4">
      <c r="A6" s="63" t="str">
        <f>VLOOKUP(B6,유니버스!$C$14:$D$2561,2,0)</f>
        <v>KQ</v>
      </c>
      <c r="B6" s="65" t="str">
        <f>'TIMEFOLIO K이노베이션액티브'!B12</f>
        <v>알테오젠</v>
      </c>
      <c r="C6" s="65">
        <f>VLOOKUP(B6,'TIMEFOLIO K이노베이션액티브'!$B$11:$E$1000,4,0)</f>
        <v>9.6</v>
      </c>
      <c r="D6" s="65">
        <f>IFERROR(VLOOKUP(B6,'TIMEFOLIO K이노베이션액티브(과거)'!$B$11:$E$1000,4,0),0)</f>
        <v>4.4800000000000004</v>
      </c>
      <c r="E6" s="26">
        <f t="shared" ref="E6:E28" si="0">C6-D6</f>
        <v>5.1199999999999992</v>
      </c>
      <c r="F6" s="27">
        <f t="shared" ref="F6:F28" si="1">IFERROR(C6/D6-1,"신규편입")</f>
        <v>1.1428571428571428</v>
      </c>
      <c r="G6" s="63" t="str">
        <f>VLOOKUP(H6,유니버스!$C$14:$D$2561,2,0)</f>
        <v>KS</v>
      </c>
      <c r="H6" s="65" t="str">
        <f>'IBK 코스피액티브'!B12</f>
        <v>SK하이닉스</v>
      </c>
      <c r="I6" s="65">
        <f>VLOOKUP(H6,'IBK 코스피액티브'!$B$11:$E$1000,4,0)</f>
        <v>22.39</v>
      </c>
      <c r="J6" s="65">
        <f>IFERROR(VLOOKUP(H6,'IBK 코스피액티브(과거)'!$B$11:$E$1000,4,0),0)</f>
        <v>22.59</v>
      </c>
      <c r="K6" s="20">
        <f t="shared" ref="K6:K8" si="2">I6-J6</f>
        <v>-0.19999999999999929</v>
      </c>
      <c r="L6" s="21">
        <f t="shared" ref="L6:L8" si="3">IFERROR(I6/J6-1,"신규편입")</f>
        <v>-8.8534749889330744E-3</v>
      </c>
      <c r="M6" s="62" t="str">
        <f>VLOOKUP(N6,유니버스!$C$14:$D$2561,2,0)</f>
        <v>KS</v>
      </c>
      <c r="N6" s="26" t="str">
        <f>'KoAct AI인프라액티브'!B12</f>
        <v>삼성전자</v>
      </c>
      <c r="O6" s="26">
        <f>VLOOKUP(N6,'KoAct AI인프라액티브'!$B$11:$E$1000,4,0)</f>
        <v>8.6999999999999993</v>
      </c>
      <c r="P6" s="26">
        <f>IFERROR(VLOOKUP(N6,'KoAct AI인프라액티브(과거)'!$B$11:$E$1000,4,0),0)</f>
        <v>3.31</v>
      </c>
      <c r="Q6" s="26">
        <f t="shared" ref="Q6:Q31" si="4">O6-P6</f>
        <v>5.3899999999999988</v>
      </c>
      <c r="R6" s="27">
        <f t="shared" ref="R6:R31" si="5">IFERROR(O6/P6-1,"신규편입")</f>
        <v>1.6283987915407852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SK하이닉스</v>
      </c>
      <c r="C7" s="65">
        <f>VLOOKUP(B7,'TIMEFOLIO K이노베이션액티브'!$B$11:$E$1000,4,0)</f>
        <v>8.83</v>
      </c>
      <c r="D7" s="65">
        <f>IFERROR(VLOOKUP(B7,'TIMEFOLIO K이노베이션액티브(과거)'!$B$11:$E$1000,4,0),0)</f>
        <v>8.86</v>
      </c>
      <c r="E7" s="26">
        <f t="shared" si="0"/>
        <v>-2.9999999999999361E-2</v>
      </c>
      <c r="F7" s="27">
        <f t="shared" si="1"/>
        <v>-3.3860045146726359E-3</v>
      </c>
      <c r="G7" s="63" t="str">
        <f>VLOOKUP(H7,유니버스!$C$14:$D$2561,2,0)</f>
        <v>KS</v>
      </c>
      <c r="H7" s="65" t="str">
        <f>'IBK 코스피액티브'!B13</f>
        <v>SK스퀘어</v>
      </c>
      <c r="I7" s="65">
        <f>VLOOKUP(H7,'IBK 코스피액티브'!$B$11:$E$1000,4,0)</f>
        <v>10.24</v>
      </c>
      <c r="J7" s="65">
        <f>IFERROR(VLOOKUP(H7,'IBK 코스피액티브(과거)'!$B$11:$E$1000,4,0),0)</f>
        <v>10.8</v>
      </c>
      <c r="K7" s="20">
        <f t="shared" si="2"/>
        <v>-0.5600000000000005</v>
      </c>
      <c r="L7" s="21">
        <f t="shared" si="3"/>
        <v>-5.1851851851851927E-2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8.0399999999999991</v>
      </c>
      <c r="P7" s="26">
        <f>IFERROR(VLOOKUP(N7,'KoAct AI인프라액티브(과거)'!$B$11:$E$1000,4,0),0)</f>
        <v>3.37</v>
      </c>
      <c r="Q7" s="26">
        <f t="shared" si="4"/>
        <v>4.669999999999999</v>
      </c>
      <c r="R7" s="27">
        <f t="shared" si="5"/>
        <v>1.3857566765578633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LG에너지솔루션</v>
      </c>
      <c r="C8" s="65">
        <f>VLOOKUP(B8,'TIMEFOLIO K이노베이션액티브'!$B$11:$E$1000,4,0)</f>
        <v>8.19</v>
      </c>
      <c r="D8" s="65">
        <f>IFERROR(VLOOKUP(B8,'TIMEFOLIO K이노베이션액티브(과거)'!$B$11:$E$1000,4,0),0)</f>
        <v>8.5</v>
      </c>
      <c r="E8" s="26">
        <f t="shared" si="0"/>
        <v>-0.3100000000000005</v>
      </c>
      <c r="F8" s="27">
        <f t="shared" si="1"/>
        <v>-3.6470588235294144E-2</v>
      </c>
      <c r="G8" s="63" t="str">
        <f>VLOOKUP(H8,유니버스!$C$14:$D$2561,2,0)</f>
        <v>KS</v>
      </c>
      <c r="H8" s="65" t="str">
        <f>'IBK 코스피액티브'!B14</f>
        <v>삼성전기</v>
      </c>
      <c r="I8" s="65">
        <f>VLOOKUP(H8,'IBK 코스피액티브'!$B$11:$E$1000,4,0)</f>
        <v>10.1</v>
      </c>
      <c r="J8" s="65">
        <f>IFERROR(VLOOKUP(H8,'IBK 코스피액티브(과거)'!$B$11:$E$1000,4,0),0)</f>
        <v>9.2100000000000009</v>
      </c>
      <c r="K8" s="20">
        <f t="shared" si="2"/>
        <v>0.88999999999999879</v>
      </c>
      <c r="L8" s="21">
        <f t="shared" si="3"/>
        <v>9.6634093376764207E-2</v>
      </c>
      <c r="M8" s="62" t="str">
        <f>VLOOKUP(N8,유니버스!$C$14:$D$2561,2,0)</f>
        <v>KS</v>
      </c>
      <c r="N8" s="26" t="str">
        <f>'KoAct AI인프라액티브'!B14</f>
        <v>LS ELECTRIC</v>
      </c>
      <c r="O8" s="26">
        <f>VLOOKUP(N8,'KoAct AI인프라액티브'!$B$11:$E$1000,4,0)</f>
        <v>5.6</v>
      </c>
      <c r="P8" s="26">
        <f>IFERROR(VLOOKUP(N8,'KoAct AI인프라액티브(과거)'!$B$11:$E$1000,4,0),0)</f>
        <v>3.19</v>
      </c>
      <c r="Q8" s="26">
        <f t="shared" si="4"/>
        <v>2.4099999999999997</v>
      </c>
      <c r="R8" s="27">
        <f t="shared" si="5"/>
        <v>0.75548589341692773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POSCO홀딩스</v>
      </c>
      <c r="C9" s="65">
        <f>VLOOKUP(B9,'TIMEFOLIO K이노베이션액티브'!$B$11:$E$1000,4,0)</f>
        <v>7.22</v>
      </c>
      <c r="D9" s="65">
        <f>IFERROR(VLOOKUP(B9,'TIMEFOLIO K이노베이션액티브(과거)'!$B$11:$E$1000,4,0),0)</f>
        <v>6.78</v>
      </c>
      <c r="E9" s="26">
        <f t="shared" si="0"/>
        <v>0.4399999999999995</v>
      </c>
      <c r="F9" s="27">
        <f t="shared" si="1"/>
        <v>6.4896755162241915E-2</v>
      </c>
      <c r="G9" s="63" t="str">
        <f>VLOOKUP(H9,유니버스!$C$14:$D$2561,2,0)</f>
        <v>KS</v>
      </c>
      <c r="H9" s="65" t="str">
        <f>'IBK 코스피액티브'!B15</f>
        <v>삼성물산</v>
      </c>
      <c r="I9" s="65">
        <f>VLOOKUP(H9,'IBK 코스피액티브'!$B$11:$E$1000,4,0)</f>
        <v>4.6100000000000003</v>
      </c>
      <c r="J9" s="65">
        <f>IFERROR(VLOOKUP(H9,'IBK 코스피액티브(과거)'!$B$11:$E$1000,4,0),0)</f>
        <v>4.88</v>
      </c>
      <c r="K9" s="20">
        <f t="shared" ref="K9:K30" si="6">I9-J9</f>
        <v>-0.26999999999999957</v>
      </c>
      <c r="L9" s="21">
        <f t="shared" ref="L9:L30" si="7">IFERROR(I9/J9-1,"신규편입")</f>
        <v>-5.5327868852458884E-2</v>
      </c>
      <c r="M9" s="62" t="str">
        <f>VLOOKUP(N9,유니버스!$C$14:$D$2561,2,0)</f>
        <v>KQ</v>
      </c>
      <c r="N9" s="26" t="str">
        <f>'KoAct AI인프라액티브'!B15</f>
        <v>피에스케이</v>
      </c>
      <c r="O9" s="26">
        <f>VLOOKUP(N9,'KoAct AI인프라액티브'!$B$11:$E$1000,4,0)</f>
        <v>4.87</v>
      </c>
      <c r="P9" s="26">
        <f>IFERROR(VLOOKUP(N9,'KoAct AI인프라액티브(과거)'!$B$11:$E$1000,4,0),0)</f>
        <v>3.73</v>
      </c>
      <c r="Q9" s="26">
        <f t="shared" si="4"/>
        <v>1.1400000000000001</v>
      </c>
      <c r="R9" s="27">
        <f t="shared" si="5"/>
        <v>0.30563002680965146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심텍</v>
      </c>
      <c r="C10" s="65">
        <f>VLOOKUP(B10,'TIMEFOLIO K이노베이션액티브'!$B$11:$E$1000,4,0)</f>
        <v>6.03</v>
      </c>
      <c r="D10" s="65">
        <f>IFERROR(VLOOKUP(B10,'TIMEFOLIO K이노베이션액티브(과거)'!$B$11:$E$1000,4,0),0)</f>
        <v>4.43</v>
      </c>
      <c r="E10" s="26">
        <f t="shared" si="0"/>
        <v>1.6000000000000005</v>
      </c>
      <c r="F10" s="27">
        <f t="shared" si="1"/>
        <v>0.36117381489842004</v>
      </c>
      <c r="G10" s="63" t="str">
        <f>VLOOKUP(H10,유니버스!$C$14:$D$2561,2,0)</f>
        <v>KS</v>
      </c>
      <c r="H10" s="65" t="str">
        <f>'IBK 코스피액티브'!B16</f>
        <v>KB금융</v>
      </c>
      <c r="I10" s="65">
        <f>VLOOKUP(H10,'IBK 코스피액티브'!$B$11:$E$1000,4,0)</f>
        <v>2.31</v>
      </c>
      <c r="J10" s="65">
        <f>IFERROR(VLOOKUP(H10,'IBK 코스피액티브(과거)'!$B$11:$E$1000,4,0),0)</f>
        <v>2.2599999999999998</v>
      </c>
      <c r="K10" s="20">
        <f t="shared" si="6"/>
        <v>5.0000000000000266E-2</v>
      </c>
      <c r="L10" s="21">
        <f t="shared" si="7"/>
        <v>2.212389380530988E-2</v>
      </c>
      <c r="M10" s="62" t="str">
        <f>VLOOKUP(N10,유니버스!$C$14:$D$2561,2,0)</f>
        <v>KS</v>
      </c>
      <c r="N10" s="26" t="str">
        <f>'KoAct AI인프라액티브'!B16</f>
        <v>HD현대일렉트릭</v>
      </c>
      <c r="O10" s="26">
        <f>VLOOKUP(N10,'KoAct AI인프라액티브'!$B$11:$E$1000,4,0)</f>
        <v>4.67</v>
      </c>
      <c r="P10" s="26">
        <f>IFERROR(VLOOKUP(N10,'KoAct AI인프라액티브(과거)'!$B$11:$E$1000,4,0),0)</f>
        <v>5.93</v>
      </c>
      <c r="Q10" s="26">
        <f t="shared" si="4"/>
        <v>-1.2599999999999998</v>
      </c>
      <c r="R10" s="27">
        <f t="shared" si="5"/>
        <v>-0.21247892074198982</v>
      </c>
    </row>
    <row r="11" spans="1:18" x14ac:dyDescent="0.4">
      <c r="A11" s="63" t="str">
        <f>VLOOKUP(B11,유니버스!$C$14:$D$2561,2,0)</f>
        <v>KS</v>
      </c>
      <c r="B11" s="65" t="str">
        <f>'TIMEFOLIO K이노베이션액티브'!B17</f>
        <v>NAVER</v>
      </c>
      <c r="C11" s="65">
        <f>VLOOKUP(B11,'TIMEFOLIO K이노베이션액티브'!$B$11:$E$1000,4,0)</f>
        <v>5.73</v>
      </c>
      <c r="D11" s="65">
        <f>IFERROR(VLOOKUP(B11,'TIMEFOLIO K이노베이션액티브(과거)'!$B$11:$E$1000,4,0),0)</f>
        <v>5.67</v>
      </c>
      <c r="E11" s="26">
        <f t="shared" si="0"/>
        <v>6.0000000000000497E-2</v>
      </c>
      <c r="F11" s="27">
        <f t="shared" si="1"/>
        <v>1.0582010582010692E-2</v>
      </c>
      <c r="G11" s="63" t="str">
        <f>VLOOKUP(H11,유니버스!$C$14:$D$2561,2,0)</f>
        <v>KS</v>
      </c>
      <c r="H11" s="65" t="str">
        <f>'IBK 코스피액티브'!B17</f>
        <v>삼양식품</v>
      </c>
      <c r="I11" s="65">
        <f>VLOOKUP(H11,'IBK 코스피액티브'!$B$11:$E$1000,4,0)</f>
        <v>1.69</v>
      </c>
      <c r="J11" s="65">
        <f>IFERROR(VLOOKUP(H11,'IBK 코스피액티브(과거)'!$B$11:$E$1000,4,0),0)</f>
        <v>1.58</v>
      </c>
      <c r="K11" s="20">
        <f t="shared" si="6"/>
        <v>0.10999999999999988</v>
      </c>
      <c r="L11" s="21">
        <f t="shared" si="7"/>
        <v>6.9620253164556889E-2</v>
      </c>
      <c r="M11" s="62" t="str">
        <f>VLOOKUP(N11,유니버스!$C$14:$D$2561,2,0)</f>
        <v>KS</v>
      </c>
      <c r="N11" s="26" t="str">
        <f>'KoAct AI인프라액티브'!B17</f>
        <v>삼성전기</v>
      </c>
      <c r="O11" s="26">
        <f>VLOOKUP(N11,'KoAct AI인프라액티브'!$B$11:$E$1000,4,0)</f>
        <v>4.07</v>
      </c>
      <c r="P11" s="26">
        <f>IFERROR(VLOOKUP(N11,'KoAct AI인프라액티브(과거)'!$B$11:$E$1000,4,0),0)</f>
        <v>4.97</v>
      </c>
      <c r="Q11" s="26">
        <f t="shared" si="4"/>
        <v>-0.89999999999999947</v>
      </c>
      <c r="R11" s="27">
        <f t="shared" si="5"/>
        <v>-0.18108651911468798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삼성전기</v>
      </c>
      <c r="C12" s="65">
        <f>VLOOKUP(B12,'TIMEFOLIO K이노베이션액티브'!$B$11:$E$1000,4,0)</f>
        <v>5.07</v>
      </c>
      <c r="D12" s="65">
        <f>IFERROR(VLOOKUP(B12,'TIMEFOLIO K이노베이션액티브(과거)'!$B$11:$E$1000,4,0),0)</f>
        <v>4.8499999999999996</v>
      </c>
      <c r="E12" s="26">
        <f t="shared" si="0"/>
        <v>0.22000000000000064</v>
      </c>
      <c r="F12" s="27">
        <f t="shared" si="1"/>
        <v>4.5360824742268102E-2</v>
      </c>
      <c r="G12" s="63" t="str">
        <f>VLOOKUP(H12,유니버스!$C$14:$D$2561,2,0)</f>
        <v>KS</v>
      </c>
      <c r="H12" s="65" t="str">
        <f>'IBK 코스피액티브'!B18</f>
        <v>현대차</v>
      </c>
      <c r="I12" s="65">
        <f>VLOOKUP(H12,'IBK 코스피액티브'!$B$11:$E$1000,4,0)</f>
        <v>1.42</v>
      </c>
      <c r="J12" s="65">
        <f>IFERROR(VLOOKUP(H12,'IBK 코스피액티브(과거)'!$B$11:$E$1000,4,0),0)</f>
        <v>1.51</v>
      </c>
      <c r="K12" s="20">
        <f t="shared" si="6"/>
        <v>-9.000000000000008E-2</v>
      </c>
      <c r="L12" s="21">
        <f t="shared" si="7"/>
        <v>-5.9602649006622599E-2</v>
      </c>
      <c r="M12" s="62" t="str">
        <f>VLOOKUP(N12,유니버스!$C$14:$D$2561,2,0)</f>
        <v>KQ</v>
      </c>
      <c r="N12" s="26" t="str">
        <f>'KoAct AI인프라액티브'!B18</f>
        <v>원익IPS</v>
      </c>
      <c r="O12" s="26">
        <f>VLOOKUP(N12,'KoAct AI인프라액티브'!$B$11:$E$1000,4,0)</f>
        <v>4.05</v>
      </c>
      <c r="P12" s="26">
        <f>IFERROR(VLOOKUP(N12,'KoAct AI인프라액티브(과거)'!$B$11:$E$1000,4,0),0)</f>
        <v>3.75</v>
      </c>
      <c r="Q12" s="26">
        <f t="shared" si="4"/>
        <v>0.29999999999999982</v>
      </c>
      <c r="R12" s="27">
        <f t="shared" si="5"/>
        <v>7.9999999999999849E-2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삼성전자</v>
      </c>
      <c r="C13" s="65">
        <f>VLOOKUP(B13,'TIMEFOLIO K이노베이션액티브'!$B$11:$E$1000,4,0)</f>
        <v>4.8</v>
      </c>
      <c r="D13" s="65">
        <f>IFERROR(VLOOKUP(B13,'TIMEFOLIO K이노베이션액티브(과거)'!$B$11:$E$1000,4,0),0)</f>
        <v>5.04</v>
      </c>
      <c r="E13" s="26">
        <f t="shared" si="0"/>
        <v>-0.24000000000000021</v>
      </c>
      <c r="F13" s="27">
        <f t="shared" si="1"/>
        <v>-4.7619047619047672E-2</v>
      </c>
      <c r="G13" s="63" t="str">
        <f>VLOOKUP(H13,유니버스!$C$14:$D$2561,2,0)</f>
        <v>KS</v>
      </c>
      <c r="H13" s="65" t="str">
        <f>'IBK 코스피액티브'!B19</f>
        <v>삼성생명</v>
      </c>
      <c r="I13" s="65">
        <f>VLOOKUP(H13,'IBK 코스피액티브'!$B$11:$E$1000,4,0)</f>
        <v>1.21</v>
      </c>
      <c r="J13" s="65">
        <f>IFERROR(VLOOKUP(H13,'IBK 코스피액티브(과거)'!$B$11:$E$1000,4,0),0)</f>
        <v>1.34</v>
      </c>
      <c r="K13" s="20">
        <f t="shared" si="6"/>
        <v>-0.13000000000000012</v>
      </c>
      <c r="L13" s="21">
        <f t="shared" si="7"/>
        <v>-9.7014925373134386E-2</v>
      </c>
      <c r="M13" s="62" t="str">
        <f>VLOOKUP(N13,유니버스!$C$14:$D$2561,2,0)</f>
        <v>KQ</v>
      </c>
      <c r="N13" s="26" t="str">
        <f>'KoAct AI인프라액티브'!B19</f>
        <v>주성엔지니어링</v>
      </c>
      <c r="O13" s="26">
        <f>VLOOKUP(N13,'KoAct AI인프라액티브'!$B$11:$E$1000,4,0)</f>
        <v>3.45</v>
      </c>
      <c r="P13" s="26">
        <f>IFERROR(VLOOKUP(N13,'KoAct AI인프라액티브(과거)'!$B$11:$E$1000,4,0),0)</f>
        <v>2.71</v>
      </c>
      <c r="Q13" s="26">
        <f t="shared" si="4"/>
        <v>0.74000000000000021</v>
      </c>
      <c r="R13" s="27">
        <f t="shared" si="5"/>
        <v>0.27306273062730635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기가비스</v>
      </c>
      <c r="C14" s="65">
        <f>VLOOKUP(B14,'TIMEFOLIO K이노베이션액티브'!$B$11:$E$1000,4,0)</f>
        <v>4.0599999999999996</v>
      </c>
      <c r="D14" s="65">
        <f>IFERROR(VLOOKUP(B14,'TIMEFOLIO K이노베이션액티브(과거)'!$B$11:$E$1000,4,0),0)</f>
        <v>2.46</v>
      </c>
      <c r="E14" s="26">
        <f t="shared" si="0"/>
        <v>1.5999999999999996</v>
      </c>
      <c r="F14" s="27">
        <f t="shared" si="1"/>
        <v>0.65040650406504041</v>
      </c>
      <c r="G14" s="63" t="str">
        <f>VLOOKUP(H14,유니버스!$C$14:$D$2561,2,0)</f>
        <v>KS</v>
      </c>
      <c r="H14" s="65" t="str">
        <f>'IBK 코스피액티브'!B20</f>
        <v>HD현대중공업</v>
      </c>
      <c r="I14" s="65">
        <f>VLOOKUP(H14,'IBK 코스피액티브'!$B$11:$E$1000,4,0)</f>
        <v>1.02</v>
      </c>
      <c r="J14" s="65">
        <f>IFERROR(VLOOKUP(H14,'IBK 코스피액티브(과거)'!$B$11:$E$1000,4,0),0)</f>
        <v>0.99</v>
      </c>
      <c r="K14" s="20">
        <f t="shared" si="6"/>
        <v>3.0000000000000027E-2</v>
      </c>
      <c r="L14" s="21">
        <f t="shared" si="7"/>
        <v>3.0303030303030276E-2</v>
      </c>
      <c r="M14" s="62" t="str">
        <f>VLOOKUP(N14,유니버스!$C$14:$D$2561,2,0)</f>
        <v>KS</v>
      </c>
      <c r="N14" s="26" t="str">
        <f>'KoAct AI인프라액티브'!B20</f>
        <v>산일전기</v>
      </c>
      <c r="O14" s="26">
        <f>VLOOKUP(N14,'KoAct AI인프라액티브'!$B$11:$E$1000,4,0)</f>
        <v>3.45</v>
      </c>
      <c r="P14" s="26">
        <f>IFERROR(VLOOKUP(N14,'KoAct AI인프라액티브(과거)'!$B$11:$E$1000,4,0),0)</f>
        <v>2.0699999999999998</v>
      </c>
      <c r="Q14" s="26">
        <f t="shared" si="4"/>
        <v>1.3800000000000003</v>
      </c>
      <c r="R14" s="27">
        <f t="shared" si="5"/>
        <v>0.66666666666666696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삼화콘덴서</v>
      </c>
      <c r="C15" s="65">
        <f>VLOOKUP(B15,'TIMEFOLIO K이노베이션액티브'!$B$11:$E$1000,4,0)</f>
        <v>3.58</v>
      </c>
      <c r="D15" s="65">
        <f>IFERROR(VLOOKUP(B15,'TIMEFOLIO K이노베이션액티브(과거)'!$B$11:$E$1000,4,0),0)</f>
        <v>3.66</v>
      </c>
      <c r="E15" s="26">
        <f t="shared" si="0"/>
        <v>-8.0000000000000071E-2</v>
      </c>
      <c r="F15" s="27">
        <f t="shared" si="1"/>
        <v>-2.1857923497267784E-2</v>
      </c>
      <c r="G15" s="63" t="str">
        <f>VLOOKUP(H15,유니버스!$C$14:$D$2561,2,0)</f>
        <v>KS</v>
      </c>
      <c r="H15" s="65" t="str">
        <f>'IBK 코스피액티브'!B21</f>
        <v>두산</v>
      </c>
      <c r="I15" s="65">
        <f>VLOOKUP(H15,'IBK 코스피액티브'!$B$11:$E$1000,4,0)</f>
        <v>0.99</v>
      </c>
      <c r="J15" s="65">
        <f>IFERROR(VLOOKUP(H15,'IBK 코스피액티브(과거)'!$B$11:$E$1000,4,0),0)</f>
        <v>0.97</v>
      </c>
      <c r="K15" s="20">
        <f t="shared" si="6"/>
        <v>2.0000000000000018E-2</v>
      </c>
      <c r="L15" s="21">
        <f t="shared" si="7"/>
        <v>2.0618556701030855E-2</v>
      </c>
      <c r="M15" s="62" t="str">
        <f>VLOOKUP(N15,유니버스!$C$14:$D$2561,2,0)</f>
        <v>KQ</v>
      </c>
      <c r="N15" s="26" t="str">
        <f>'KoAct AI인프라액티브'!B21</f>
        <v>제주반도체</v>
      </c>
      <c r="O15" s="26">
        <f>VLOOKUP(N15,'KoAct AI인프라액티브'!$B$11:$E$1000,4,0)</f>
        <v>3.33</v>
      </c>
      <c r="P15" s="26">
        <f>IFERROR(VLOOKUP(N15,'KoAct AI인프라액티브(과거)'!$B$11:$E$1000,4,0),0)</f>
        <v>2.73</v>
      </c>
      <c r="Q15" s="26">
        <f t="shared" si="4"/>
        <v>0.60000000000000009</v>
      </c>
      <c r="R15" s="27">
        <f t="shared" si="5"/>
        <v>0.21978021978021989</v>
      </c>
    </row>
    <row r="16" spans="1:18" x14ac:dyDescent="0.4">
      <c r="A16" s="63" t="str">
        <f>VLOOKUP(B16,유니버스!$C$14:$D$2561,2,0)</f>
        <v>KS</v>
      </c>
      <c r="B16" s="65" t="str">
        <f>'TIMEFOLIO K이노베이션액티브'!B22</f>
        <v>NC</v>
      </c>
      <c r="C16" s="65">
        <f>VLOOKUP(B16,'TIMEFOLIO K이노베이션액티브'!$B$11:$E$1000,4,0)</f>
        <v>2.94</v>
      </c>
      <c r="D16" s="65">
        <f>IFERROR(VLOOKUP(B16,'TIMEFOLIO K이노베이션액티브(과거)'!$B$11:$E$1000,4,0),0)</f>
        <v>2.96</v>
      </c>
      <c r="E16" s="26">
        <f t="shared" si="0"/>
        <v>-2.0000000000000018E-2</v>
      </c>
      <c r="F16" s="27">
        <f t="shared" si="1"/>
        <v>-6.7567567567567988E-3</v>
      </c>
      <c r="G16" s="63" t="str">
        <f>VLOOKUP(H16,유니버스!$C$14:$D$2561,2,0)</f>
        <v>KS</v>
      </c>
      <c r="H16" s="65" t="str">
        <f>'IBK 코스피액티브'!B22</f>
        <v>LG에너지솔루션</v>
      </c>
      <c r="I16" s="65">
        <f>VLOOKUP(H16,'IBK 코스피액티브'!$B$11:$E$1000,4,0)</f>
        <v>0.94</v>
      </c>
      <c r="J16" s="65">
        <f>IFERROR(VLOOKUP(H16,'IBK 코스피액티브(과거)'!$B$11:$E$1000,4,0),0)</f>
        <v>0.99</v>
      </c>
      <c r="K16" s="20">
        <f t="shared" si="6"/>
        <v>-5.0000000000000044E-2</v>
      </c>
      <c r="L16" s="21">
        <f t="shared" si="7"/>
        <v>-5.0505050505050497E-2</v>
      </c>
      <c r="M16" s="62" t="str">
        <f>VLOOKUP(N16,유니버스!$C$14:$D$2561,2,0)</f>
        <v>KS</v>
      </c>
      <c r="N16" s="26" t="str">
        <f>'KoAct AI인프라액티브'!B22</f>
        <v>삼성SDI</v>
      </c>
      <c r="O16" s="26">
        <f>VLOOKUP(N16,'KoAct AI인프라액티브'!$B$11:$E$1000,4,0)</f>
        <v>3.28</v>
      </c>
      <c r="P16" s="26">
        <f>IFERROR(VLOOKUP(N16,'KoAct AI인프라액티브(과거)'!$B$11:$E$1000,4,0),0)</f>
        <v>3.85</v>
      </c>
      <c r="Q16" s="26">
        <f t="shared" si="4"/>
        <v>-0.57000000000000028</v>
      </c>
      <c r="R16" s="27">
        <f t="shared" si="5"/>
        <v>-0.1480519480519481</v>
      </c>
    </row>
    <row r="17" spans="1:18" x14ac:dyDescent="0.4">
      <c r="A17" s="63" t="str">
        <f>VLOOKUP(B17,유니버스!$C$14:$D$2561,2,0)</f>
        <v>KS</v>
      </c>
      <c r="B17" s="65" t="str">
        <f>'TIMEFOLIO K이노베이션액티브'!B23</f>
        <v>크래프톤</v>
      </c>
      <c r="C17" s="65">
        <f>VLOOKUP(B17,'TIMEFOLIO K이노베이션액티브'!$B$11:$E$1000,4,0)</f>
        <v>2.82</v>
      </c>
      <c r="D17" s="65">
        <f>IFERROR(VLOOKUP(B17,'TIMEFOLIO K이노베이션액티브(과거)'!$B$11:$E$1000,4,0),0)</f>
        <v>2.58</v>
      </c>
      <c r="E17" s="26">
        <f t="shared" si="0"/>
        <v>0.23999999999999977</v>
      </c>
      <c r="F17" s="27">
        <f t="shared" si="1"/>
        <v>9.3023255813953432E-2</v>
      </c>
      <c r="G17" s="63" t="str">
        <f>VLOOKUP(H17,유니버스!$C$14:$D$2561,2,0)</f>
        <v>KS</v>
      </c>
      <c r="H17" s="65" t="str">
        <f>'IBK 코스피액티브'!B23</f>
        <v>에이피알</v>
      </c>
      <c r="I17" s="65">
        <f>VLOOKUP(H17,'IBK 코스피액티브'!$B$11:$E$1000,4,0)</f>
        <v>0.93</v>
      </c>
      <c r="J17" s="65">
        <f>IFERROR(VLOOKUP(H17,'IBK 코스피액티브(과거)'!$B$11:$E$1000,4,0),0)</f>
        <v>0.82</v>
      </c>
      <c r="K17" s="20">
        <f t="shared" si="6"/>
        <v>0.1100000000000001</v>
      </c>
      <c r="L17" s="21">
        <f t="shared" si="7"/>
        <v>0.13414634146341475</v>
      </c>
      <c r="M17" s="62" t="str">
        <f>VLOOKUP(N17,유니버스!$C$14:$D$2561,2,0)</f>
        <v>KQ</v>
      </c>
      <c r="N17" s="26" t="str">
        <f>'KoAct AI인프라액티브'!B23</f>
        <v>심텍</v>
      </c>
      <c r="O17" s="26">
        <f>VLOOKUP(N17,'KoAct AI인프라액티브'!$B$11:$E$1000,4,0)</f>
        <v>3.1</v>
      </c>
      <c r="P17" s="26">
        <f>IFERROR(VLOOKUP(N17,'KoAct AI인프라액티브(과거)'!$B$11:$E$1000,4,0),0)</f>
        <v>2.41</v>
      </c>
      <c r="Q17" s="26">
        <f t="shared" si="4"/>
        <v>0.69</v>
      </c>
      <c r="R17" s="27">
        <f t="shared" si="5"/>
        <v>0.28630705394190858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제주반도체</v>
      </c>
      <c r="C18" s="65">
        <f>VLOOKUP(B18,'TIMEFOLIO K이노베이션액티브'!$B$11:$E$1000,4,0)</f>
        <v>2.61</v>
      </c>
      <c r="D18" s="65">
        <f>IFERROR(VLOOKUP(B18,'TIMEFOLIO K이노베이션액티브(과거)'!$B$11:$E$1000,4,0),0)</f>
        <v>2.44</v>
      </c>
      <c r="E18" s="26">
        <f t="shared" si="0"/>
        <v>0.16999999999999993</v>
      </c>
      <c r="F18" s="27">
        <f t="shared" si="1"/>
        <v>6.9672131147541005E-2</v>
      </c>
      <c r="G18" s="63" t="str">
        <f>VLOOKUP(H18,유니버스!$C$14:$D$2561,2,0)</f>
        <v>KQ</v>
      </c>
      <c r="H18" s="65" t="str">
        <f>'IBK 코스피액티브'!B24</f>
        <v>테스</v>
      </c>
      <c r="I18" s="65">
        <f>VLOOKUP(H18,'IBK 코스피액티브'!$B$11:$E$1000,4,0)</f>
        <v>0.93</v>
      </c>
      <c r="J18" s="65">
        <f>IFERROR(VLOOKUP(H18,'IBK 코스피액티브(과거)'!$B$11:$E$1000,4,0),0)</f>
        <v>0.7</v>
      </c>
      <c r="K18" s="20">
        <f t="shared" si="6"/>
        <v>0.23000000000000009</v>
      </c>
      <c r="L18" s="21">
        <f t="shared" si="7"/>
        <v>0.32857142857142874</v>
      </c>
      <c r="M18" s="62" t="str">
        <f>VLOOKUP(N18,유니버스!$C$14:$D$2561,2,0)</f>
        <v>KS</v>
      </c>
      <c r="N18" s="26" t="str">
        <f>'KoAct AI인프라액티브'!B24</f>
        <v>두산</v>
      </c>
      <c r="O18" s="26">
        <f>VLOOKUP(N18,'KoAct AI인프라액티브'!$B$11:$E$1000,4,0)</f>
        <v>2.85</v>
      </c>
      <c r="P18" s="26">
        <f>IFERROR(VLOOKUP(N18,'KoAct AI인프라액티브(과거)'!$B$11:$E$1000,4,0),0)</f>
        <v>0</v>
      </c>
      <c r="Q18" s="26">
        <f t="shared" si="4"/>
        <v>2.85</v>
      </c>
      <c r="R18" s="27" t="str">
        <f t="shared" si="5"/>
        <v>신규편입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주성엔지니어링</v>
      </c>
      <c r="C19" s="65">
        <f>VLOOKUP(B19,'TIMEFOLIO K이노베이션액티브'!$B$11:$E$1000,4,0)</f>
        <v>2.41</v>
      </c>
      <c r="D19" s="65">
        <f>IFERROR(VLOOKUP(B19,'TIMEFOLIO K이노베이션액티브(과거)'!$B$11:$E$1000,4,0),0)</f>
        <v>1.38</v>
      </c>
      <c r="E19" s="26">
        <f t="shared" si="0"/>
        <v>1.0300000000000002</v>
      </c>
      <c r="F19" s="27">
        <f t="shared" si="1"/>
        <v>0.7463768115942031</v>
      </c>
      <c r="G19" s="63" t="str">
        <f>VLOOKUP(H19,유니버스!$C$14:$D$2561,2,0)</f>
        <v>KS</v>
      </c>
      <c r="H19" s="65" t="str">
        <f>'IBK 코스피액티브'!B25</f>
        <v>한화에어로스페이스</v>
      </c>
      <c r="I19" s="65">
        <f>VLOOKUP(H19,'IBK 코스피액티브'!$B$11:$E$1000,4,0)</f>
        <v>0.91</v>
      </c>
      <c r="J19" s="65">
        <f>IFERROR(VLOOKUP(H19,'IBK 코스피액티브(과거)'!$B$11:$E$1000,4,0),0)</f>
        <v>0.9</v>
      </c>
      <c r="K19" s="20">
        <f t="shared" si="6"/>
        <v>1.0000000000000009E-2</v>
      </c>
      <c r="L19" s="21">
        <f t="shared" si="7"/>
        <v>1.1111111111111072E-2</v>
      </c>
      <c r="M19" s="62" t="str">
        <f>VLOOKUP(N19,유니버스!$C$14:$D$2561,2,0)</f>
        <v>KS</v>
      </c>
      <c r="N19" s="26" t="str">
        <f>'KoAct AI인프라액티브'!B25</f>
        <v>NAVER</v>
      </c>
      <c r="O19" s="26">
        <f>VLOOKUP(N19,'KoAct AI인프라액티브'!$B$11:$E$1000,4,0)</f>
        <v>2.61</v>
      </c>
      <c r="P19" s="26">
        <f>IFERROR(VLOOKUP(N19,'KoAct AI인프라액티브(과거)'!$B$11:$E$1000,4,0),0)</f>
        <v>3.44</v>
      </c>
      <c r="Q19" s="26">
        <f t="shared" si="4"/>
        <v>-0.83000000000000007</v>
      </c>
      <c r="R19" s="27">
        <f t="shared" si="5"/>
        <v>-0.24127906976744184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서진시스템</v>
      </c>
      <c r="C20" s="65">
        <f>VLOOKUP(B20,'TIMEFOLIO K이노베이션액티브'!$B$11:$E$1000,4,0)</f>
        <v>2.38</v>
      </c>
      <c r="D20" s="65">
        <f>IFERROR(VLOOKUP(B20,'TIMEFOLIO K이노베이션액티브(과거)'!$B$11:$E$1000,4,0),0)</f>
        <v>1.92</v>
      </c>
      <c r="E20" s="26">
        <f t="shared" si="0"/>
        <v>0.45999999999999996</v>
      </c>
      <c r="F20" s="27">
        <f t="shared" si="1"/>
        <v>0.23958333333333326</v>
      </c>
      <c r="G20" s="63" t="str">
        <f>VLOOKUP(H20,유니버스!$C$14:$D$2561,2,0)</f>
        <v>KS</v>
      </c>
      <c r="H20" s="65" t="str">
        <f>'IBK 코스피액티브'!B26</f>
        <v>하나금융지주</v>
      </c>
      <c r="I20" s="65">
        <f>VLOOKUP(H20,'IBK 코스피액티브'!$B$11:$E$1000,4,0)</f>
        <v>0.85</v>
      </c>
      <c r="J20" s="65">
        <f>IFERROR(VLOOKUP(H20,'IBK 코스피액티브(과거)'!$B$11:$E$1000,4,0),0)</f>
        <v>0.85</v>
      </c>
      <c r="K20" s="20">
        <f t="shared" si="6"/>
        <v>0</v>
      </c>
      <c r="L20" s="21">
        <f t="shared" si="7"/>
        <v>0</v>
      </c>
      <c r="M20" s="62" t="str">
        <f>VLOOKUP(N20,유니버스!$C$14:$D$2561,2,0)</f>
        <v>KQ</v>
      </c>
      <c r="N20" s="26" t="str">
        <f>'KoAct AI인프라액티브'!B26</f>
        <v>기가비스</v>
      </c>
      <c r="O20" s="26">
        <f>VLOOKUP(N20,'KoAct AI인프라액티브'!$B$11:$E$1000,4,0)</f>
        <v>2.2400000000000002</v>
      </c>
      <c r="P20" s="26">
        <f>IFERROR(VLOOKUP(N20,'KoAct AI인프라액티브(과거)'!$B$11:$E$1000,4,0),0)</f>
        <v>0</v>
      </c>
      <c r="Q20" s="26">
        <f t="shared" si="4"/>
        <v>2.2400000000000002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SFA</v>
      </c>
      <c r="C21" s="65">
        <f>VLOOKUP(B21,'TIMEFOLIO K이노베이션액티브'!$B$11:$E$1000,4,0)</f>
        <v>1.98</v>
      </c>
      <c r="D21" s="65">
        <f>IFERROR(VLOOKUP(B21,'TIMEFOLIO K이노베이션액티브(과거)'!$B$11:$E$1000,4,0),0)</f>
        <v>0</v>
      </c>
      <c r="E21" s="26">
        <f t="shared" si="0"/>
        <v>1.98</v>
      </c>
      <c r="F21" s="27" t="str">
        <f t="shared" si="1"/>
        <v>신규편입</v>
      </c>
      <c r="G21" s="63" t="str">
        <f>VLOOKUP(H21,유니버스!$C$14:$D$2561,2,0)</f>
        <v>KS</v>
      </c>
      <c r="H21" s="65" t="str">
        <f>'IBK 코스피액티브'!B27</f>
        <v>신한지주</v>
      </c>
      <c r="I21" s="65">
        <f>VLOOKUP(H21,'IBK 코스피액티브'!$B$11:$E$1000,4,0)</f>
        <v>0.8</v>
      </c>
      <c r="J21" s="65">
        <f>IFERROR(VLOOKUP(H21,'IBK 코스피액티브(과거)'!$B$11:$E$1000,4,0),0)</f>
        <v>0.82</v>
      </c>
      <c r="K21" s="20">
        <f t="shared" si="6"/>
        <v>-1.9999999999999907E-2</v>
      </c>
      <c r="L21" s="21">
        <f t="shared" si="7"/>
        <v>-2.4390243902438935E-2</v>
      </c>
      <c r="M21" s="62" t="str">
        <f>VLOOKUP(N21,유니버스!$C$14:$D$2561,2,0)</f>
        <v>KQ</v>
      </c>
      <c r="N21" s="26" t="str">
        <f>'KoAct AI인프라액티브'!B27</f>
        <v>브이엠</v>
      </c>
      <c r="O21" s="26">
        <f>VLOOKUP(N21,'KoAct AI인프라액티브'!$B$11:$E$1000,4,0)</f>
        <v>2.2200000000000002</v>
      </c>
      <c r="P21" s="26">
        <f>IFERROR(VLOOKUP(N21,'KoAct AI인프라액티브(과거)'!$B$11:$E$1000,4,0),0)</f>
        <v>0</v>
      </c>
      <c r="Q21" s="26">
        <f t="shared" si="4"/>
        <v>2.2200000000000002</v>
      </c>
      <c r="R21" s="27" t="str">
        <f t="shared" si="5"/>
        <v>신규편입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하나마이크론</v>
      </c>
      <c r="C22" s="65">
        <f>VLOOKUP(B22,'TIMEFOLIO K이노베이션액티브'!$B$11:$E$1000,4,0)</f>
        <v>1.97</v>
      </c>
      <c r="D22" s="65">
        <f>IFERROR(VLOOKUP(B22,'TIMEFOLIO K이노베이션액티브(과거)'!$B$11:$E$1000,4,0),0)</f>
        <v>1.74</v>
      </c>
      <c r="E22" s="26">
        <f t="shared" si="0"/>
        <v>0.22999999999999998</v>
      </c>
      <c r="F22" s="27">
        <f t="shared" si="1"/>
        <v>0.13218390804597702</v>
      </c>
      <c r="G22" s="63" t="str">
        <f>VLOOKUP(H22,유니버스!$C$14:$D$2561,2,0)</f>
        <v>KS</v>
      </c>
      <c r="H22" s="65" t="str">
        <f>'IBK 코스피액티브'!B28</f>
        <v>효성중공업</v>
      </c>
      <c r="I22" s="65">
        <f>VLOOKUP(H22,'IBK 코스피액티브'!$B$11:$E$1000,4,0)</f>
        <v>0.77</v>
      </c>
      <c r="J22" s="65">
        <f>IFERROR(VLOOKUP(H22,'IBK 코스피액티브(과거)'!$B$11:$E$1000,4,0),0)</f>
        <v>0.76</v>
      </c>
      <c r="K22" s="20">
        <f t="shared" si="6"/>
        <v>1.0000000000000009E-2</v>
      </c>
      <c r="L22" s="21">
        <f t="shared" si="7"/>
        <v>1.3157894736842035E-2</v>
      </c>
      <c r="M22" s="62" t="str">
        <f>VLOOKUP(N22,유니버스!$C$14:$D$2561,2,0)</f>
        <v>KS</v>
      </c>
      <c r="N22" s="26" t="str">
        <f>'KoAct AI인프라액티브'!B28</f>
        <v>대한전선</v>
      </c>
      <c r="O22" s="26">
        <f>VLOOKUP(N22,'KoAct AI인프라액티브'!$B$11:$E$1000,4,0)</f>
        <v>2.0099999999999998</v>
      </c>
      <c r="P22" s="26">
        <f>IFERROR(VLOOKUP(N22,'KoAct AI인프라액티브(과거)'!$B$11:$E$1000,4,0),0)</f>
        <v>2.15</v>
      </c>
      <c r="Q22" s="26">
        <f t="shared" si="4"/>
        <v>-0.14000000000000012</v>
      </c>
      <c r="R22" s="27">
        <f t="shared" si="5"/>
        <v>-6.5116279069767469E-2</v>
      </c>
    </row>
    <row r="23" spans="1:18" x14ac:dyDescent="0.4">
      <c r="A23" s="63" t="str">
        <f>VLOOKUP(B23,유니버스!$C$14:$D$2561,2,0)</f>
        <v>KS</v>
      </c>
      <c r="B23" s="65" t="str">
        <f>'TIMEFOLIO K이노베이션액티브'!B29</f>
        <v>코리아써키트</v>
      </c>
      <c r="C23" s="65">
        <f>VLOOKUP(B23,'TIMEFOLIO K이노베이션액티브'!$B$11:$E$1000,4,0)</f>
        <v>1.72</v>
      </c>
      <c r="D23" s="65">
        <f>IFERROR(VLOOKUP(B23,'TIMEFOLIO K이노베이션액티브(과거)'!$B$11:$E$1000,4,0),0)</f>
        <v>2.11</v>
      </c>
      <c r="E23" s="26">
        <f t="shared" si="0"/>
        <v>-0.3899999999999999</v>
      </c>
      <c r="F23" s="27">
        <f t="shared" si="1"/>
        <v>-0.18483412322274873</v>
      </c>
      <c r="G23" s="63" t="str">
        <f>VLOOKUP(H23,유니버스!$C$14:$D$2561,2,0)</f>
        <v>KS</v>
      </c>
      <c r="H23" s="65" t="str">
        <f>'IBK 코스피액티브'!B29</f>
        <v>두산에너빌리티</v>
      </c>
      <c r="I23" s="65">
        <f>VLOOKUP(H23,'IBK 코스피액티브'!$B$11:$E$1000,4,0)</f>
        <v>0.66</v>
      </c>
      <c r="J23" s="65">
        <f>IFERROR(VLOOKUP(H23,'IBK 코스피액티브(과거)'!$B$11:$E$1000,4,0),0)</f>
        <v>0.68</v>
      </c>
      <c r="K23" s="20">
        <f t="shared" si="6"/>
        <v>-2.0000000000000018E-2</v>
      </c>
      <c r="L23" s="21">
        <f t="shared" si="7"/>
        <v>-2.9411764705882359E-2</v>
      </c>
      <c r="M23" s="62" t="str">
        <f>VLOOKUP(N23,유니버스!$C$14:$D$2561,2,0)</f>
        <v>KS</v>
      </c>
      <c r="N23" s="26" t="str">
        <f>'KoAct AI인프라액티브'!B29</f>
        <v>대덕전자</v>
      </c>
      <c r="O23" s="26">
        <f>VLOOKUP(N23,'KoAct AI인프라액티브'!$B$11:$E$1000,4,0)</f>
        <v>1.83</v>
      </c>
      <c r="P23" s="26">
        <f>IFERROR(VLOOKUP(N23,'KoAct AI인프라액티브(과거)'!$B$11:$E$1000,4,0),0)</f>
        <v>1.35</v>
      </c>
      <c r="Q23" s="26">
        <f t="shared" si="4"/>
        <v>0.48</v>
      </c>
      <c r="R23" s="27">
        <f t="shared" si="5"/>
        <v>0.35555555555555562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예스티</v>
      </c>
      <c r="C24" s="65">
        <f>VLOOKUP(B24,'TIMEFOLIO K이노베이션액티브'!$B$11:$E$1000,4,0)</f>
        <v>1.5</v>
      </c>
      <c r="D24" s="65">
        <f>IFERROR(VLOOKUP(B24,'TIMEFOLIO K이노베이션액티브(과거)'!$B$11:$E$1000,4,0),0)</f>
        <v>2.48</v>
      </c>
      <c r="E24" s="26">
        <f t="shared" si="0"/>
        <v>-0.98</v>
      </c>
      <c r="F24" s="27">
        <f t="shared" si="1"/>
        <v>-0.39516129032258063</v>
      </c>
      <c r="G24" s="63" t="str">
        <f>VLOOKUP(H24,유니버스!$C$14:$D$2561,2,0)</f>
        <v>KQ</v>
      </c>
      <c r="H24" s="65" t="str">
        <f>'IBK 코스피액티브'!B30</f>
        <v>피에스케이</v>
      </c>
      <c r="I24" s="65">
        <f>VLOOKUP(H24,'IBK 코스피액티브'!$B$11:$E$1000,4,0)</f>
        <v>0.66</v>
      </c>
      <c r="J24" s="65">
        <f>IFERROR(VLOOKUP(H24,'IBK 코스피액티브(과거)'!$B$11:$E$1000,4,0),0)</f>
        <v>0.5</v>
      </c>
      <c r="K24" s="20">
        <f t="shared" si="6"/>
        <v>0.16000000000000003</v>
      </c>
      <c r="L24" s="21">
        <f t="shared" si="7"/>
        <v>0.32000000000000006</v>
      </c>
      <c r="M24" s="62" t="str">
        <f>VLOOKUP(N24,유니버스!$C$14:$D$2561,2,0)</f>
        <v>KS</v>
      </c>
      <c r="N24" s="26" t="str">
        <f>'KoAct AI인프라액티브'!B30</f>
        <v>LG에너지솔루션</v>
      </c>
      <c r="O24" s="26">
        <f>VLOOKUP(N24,'KoAct AI인프라액티브'!$B$11:$E$1000,4,0)</f>
        <v>1.44</v>
      </c>
      <c r="P24" s="26">
        <f>IFERROR(VLOOKUP(N24,'KoAct AI인프라액티브(과거)'!$B$11:$E$1000,4,0),0)</f>
        <v>1.83</v>
      </c>
      <c r="Q24" s="26">
        <f t="shared" si="4"/>
        <v>-0.39000000000000012</v>
      </c>
      <c r="R24" s="27">
        <f t="shared" si="5"/>
        <v>-0.21311475409836067</v>
      </c>
    </row>
    <row r="25" spans="1:18" x14ac:dyDescent="0.4">
      <c r="A25" s="63" t="str">
        <f>VLOOKUP(B25,유니버스!$C$14:$D$2561,2,0)</f>
        <v>KS</v>
      </c>
      <c r="B25" s="65" t="str">
        <f>'TIMEFOLIO K이노베이션액티브'!B31</f>
        <v>LG이노텍</v>
      </c>
      <c r="C25" s="65">
        <f>VLOOKUP(B25,'TIMEFOLIO K이노베이션액티브'!$B$11:$E$1000,4,0)</f>
        <v>1.39</v>
      </c>
      <c r="D25" s="65">
        <f>IFERROR(VLOOKUP(B25,'TIMEFOLIO K이노베이션액티브(과거)'!$B$11:$E$1000,4,0),0)</f>
        <v>3.26</v>
      </c>
      <c r="E25" s="26">
        <f t="shared" si="0"/>
        <v>-1.8699999999999999</v>
      </c>
      <c r="F25" s="27">
        <f t="shared" si="1"/>
        <v>-0.57361963190184051</v>
      </c>
      <c r="G25" s="63" t="str">
        <f>VLOOKUP(H25,유니버스!$C$14:$D$2561,2,0)</f>
        <v>KQ</v>
      </c>
      <c r="H25" s="65" t="str">
        <f>'IBK 코스피액티브'!B31</f>
        <v>하나마이크론</v>
      </c>
      <c r="I25" s="65">
        <f>VLOOKUP(H25,'IBK 코스피액티브'!$B$11:$E$1000,4,0)</f>
        <v>0.51</v>
      </c>
      <c r="J25" s="65">
        <f>IFERROR(VLOOKUP(H25,'IBK 코스피액티브(과거)'!$B$11:$E$1000,4,0),0)</f>
        <v>0.5</v>
      </c>
      <c r="K25" s="20">
        <f t="shared" si="6"/>
        <v>1.0000000000000009E-2</v>
      </c>
      <c r="L25" s="21">
        <f t="shared" si="7"/>
        <v>2.0000000000000018E-2</v>
      </c>
      <c r="M25" s="62" t="str">
        <f>VLOOKUP(N25,유니버스!$C$14:$D$2561,2,0)</f>
        <v>KQ</v>
      </c>
      <c r="N25" s="26" t="str">
        <f>'KoAct AI인프라액티브'!B31</f>
        <v>한양디지텍</v>
      </c>
      <c r="O25" s="26">
        <f>VLOOKUP(N25,'KoAct AI인프라액티브'!$B$11:$E$1000,4,0)</f>
        <v>1.37</v>
      </c>
      <c r="P25" s="26">
        <f>IFERROR(VLOOKUP(N25,'KoAct AI인프라액티브(과거)'!$B$11:$E$1000,4,0),0)</f>
        <v>1.76</v>
      </c>
      <c r="Q25" s="26">
        <f t="shared" si="4"/>
        <v>-0.3899999999999999</v>
      </c>
      <c r="R25" s="27">
        <f t="shared" si="5"/>
        <v>-0.22159090909090906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파두</v>
      </c>
      <c r="C26" s="65">
        <f>VLOOKUP(B26,'TIMEFOLIO K이노베이션액티브'!$B$11:$E$1000,4,0)</f>
        <v>1.26</v>
      </c>
      <c r="D26" s="65">
        <f>IFERROR(VLOOKUP(B26,'TIMEFOLIO K이노베이션액티브(과거)'!$B$11:$E$1000,4,0),0)</f>
        <v>0.81</v>
      </c>
      <c r="E26" s="26">
        <f t="shared" si="0"/>
        <v>0.44999999999999996</v>
      </c>
      <c r="F26" s="27">
        <f t="shared" si="1"/>
        <v>0.55555555555555536</v>
      </c>
      <c r="G26" s="63" t="str">
        <f>VLOOKUP(H26,유니버스!$C$14:$D$2561,2,0)</f>
        <v>KS</v>
      </c>
      <c r="H26" s="65" t="str">
        <f>'IBK 코스피액티브'!B32</f>
        <v>신세계</v>
      </c>
      <c r="I26" s="65">
        <f>VLOOKUP(H26,'IBK 코스피액티브'!$B$11:$E$1000,4,0)</f>
        <v>0.48</v>
      </c>
      <c r="J26" s="65">
        <f>IFERROR(VLOOKUP(H26,'IBK 코스피액티브(과거)'!$B$11:$E$1000,4,0),0)</f>
        <v>0.42</v>
      </c>
      <c r="K26" s="20">
        <f t="shared" si="6"/>
        <v>0.06</v>
      </c>
      <c r="L26" s="21">
        <f t="shared" si="7"/>
        <v>0.14285714285714279</v>
      </c>
      <c r="M26" s="62" t="str">
        <f>VLOOKUP(N26,유니버스!$C$14:$D$2561,2,0)</f>
        <v>KQ</v>
      </c>
      <c r="N26" s="26" t="str">
        <f>'KoAct AI인프라액티브'!B32</f>
        <v>이오테크닉스</v>
      </c>
      <c r="O26" s="26">
        <f>VLOOKUP(N26,'KoAct AI인프라액티브'!$B$11:$E$1000,4,0)</f>
        <v>1.06</v>
      </c>
      <c r="P26" s="26">
        <f>IFERROR(VLOOKUP(N26,'KoAct AI인프라액티브(과거)'!$B$11:$E$1000,4,0),0)</f>
        <v>1.65</v>
      </c>
      <c r="Q26" s="26">
        <f t="shared" si="4"/>
        <v>-0.58999999999999986</v>
      </c>
      <c r="R26" s="27">
        <f t="shared" si="5"/>
        <v>-0.35757575757575755</v>
      </c>
    </row>
    <row r="27" spans="1:18" x14ac:dyDescent="0.4">
      <c r="A27" s="63" t="str">
        <f>VLOOKUP(B27,유니버스!$C$14:$D$2561,2,0)</f>
        <v>KS</v>
      </c>
      <c r="B27" s="65" t="str">
        <f>'TIMEFOLIO K이노베이션액티브'!B33</f>
        <v>대덕전자</v>
      </c>
      <c r="C27" s="65">
        <f>VLOOKUP(B27,'TIMEFOLIO K이노베이션액티브'!$B$11:$E$1000,4,0)</f>
        <v>1.17</v>
      </c>
      <c r="D27" s="65">
        <f>IFERROR(VLOOKUP(B27,'TIMEFOLIO K이노베이션액티브(과거)'!$B$11:$E$1000,4,0),0)</f>
        <v>1.1000000000000001</v>
      </c>
      <c r="E27" s="26">
        <f t="shared" si="0"/>
        <v>6.999999999999984E-2</v>
      </c>
      <c r="F27" s="27">
        <f t="shared" si="1"/>
        <v>6.3636363636363491E-2</v>
      </c>
      <c r="G27" s="63" t="str">
        <f>VLOOKUP(H27,유니버스!$C$14:$D$2561,2,0)</f>
        <v>KS</v>
      </c>
      <c r="H27" s="65" t="str">
        <f>'IBK 코스피액티브'!B33</f>
        <v>LS ELECTRIC</v>
      </c>
      <c r="I27" s="65">
        <f>VLOOKUP(H27,'IBK 코스피액티브'!$B$11:$E$1000,4,0)</f>
        <v>0.44</v>
      </c>
      <c r="J27" s="65">
        <f>IFERROR(VLOOKUP(H27,'IBK 코스피액티브(과거)'!$B$11:$E$1000,4,0),0)</f>
        <v>0.39</v>
      </c>
      <c r="K27" s="20">
        <f t="shared" si="6"/>
        <v>4.9999999999999989E-2</v>
      </c>
      <c r="L27" s="21">
        <f t="shared" si="7"/>
        <v>0.12820512820512819</v>
      </c>
      <c r="M27" s="62" t="str">
        <f>VLOOKUP(N27,유니버스!$C$14:$D$2561,2,0)</f>
        <v>KQ</v>
      </c>
      <c r="N27" s="26" t="str">
        <f>'KoAct AI인프라액티브'!B33</f>
        <v>티엘비</v>
      </c>
      <c r="O27" s="26">
        <f>VLOOKUP(N27,'KoAct AI인프라액티브'!$B$11:$E$1000,4,0)</f>
        <v>0.98</v>
      </c>
      <c r="P27" s="26">
        <f>IFERROR(VLOOKUP(N27,'KoAct AI인프라액티브(과거)'!$B$11:$E$1000,4,0),0)</f>
        <v>1.93</v>
      </c>
      <c r="Q27" s="26">
        <f t="shared" si="4"/>
        <v>-0.95</v>
      </c>
      <c r="R27" s="27">
        <f t="shared" si="5"/>
        <v>-0.49222797927461137</v>
      </c>
    </row>
    <row r="28" spans="1:18" x14ac:dyDescent="0.4">
      <c r="A28" s="63" t="str">
        <f>VLOOKUP(B28,유니버스!$C$14:$D$2561,2,0)</f>
        <v>KQ</v>
      </c>
      <c r="B28" s="65" t="str">
        <f>'TIMEFOLIO K이노베이션액티브'!B34</f>
        <v>이노스페이스</v>
      </c>
      <c r="C28" s="65">
        <f>VLOOKUP(B28,'TIMEFOLIO K이노베이션액티브'!$B$11:$E$1000,4,0)</f>
        <v>0.97</v>
      </c>
      <c r="D28" s="65">
        <f>IFERROR(VLOOKUP(B28,'TIMEFOLIO K이노베이션액티브(과거)'!$B$11:$E$1000,4,0),0)</f>
        <v>2</v>
      </c>
      <c r="E28" s="26">
        <f t="shared" si="0"/>
        <v>-1.03</v>
      </c>
      <c r="F28" s="27">
        <f t="shared" si="1"/>
        <v>-0.51500000000000001</v>
      </c>
      <c r="G28" s="63" t="str">
        <f>VLOOKUP(H28,유니버스!$C$14:$D$2561,2,0)</f>
        <v>KS</v>
      </c>
      <c r="H28" s="65" t="str">
        <f>'IBK 코스피액티브'!B34</f>
        <v>CJ</v>
      </c>
      <c r="I28" s="65">
        <f>VLOOKUP(H28,'IBK 코스피액티브'!$B$11:$E$1000,4,0)</f>
        <v>0.43</v>
      </c>
      <c r="J28" s="65">
        <f>IFERROR(VLOOKUP(H28,'IBK 코스피액티브(과거)'!$B$11:$E$1000,4,0),0)</f>
        <v>0.44</v>
      </c>
      <c r="K28" s="20">
        <f t="shared" si="6"/>
        <v>-1.0000000000000009E-2</v>
      </c>
      <c r="L28" s="21">
        <f t="shared" si="7"/>
        <v>-2.2727272727272707E-2</v>
      </c>
      <c r="M28" s="62" t="str">
        <f>VLOOKUP(N28,유니버스!$C$14:$D$2561,2,0)</f>
        <v>KS</v>
      </c>
      <c r="N28" s="26" t="str">
        <f>'KoAct AI인프라액티브'!B34</f>
        <v>현대건설</v>
      </c>
      <c r="O28" s="26">
        <f>VLOOKUP(N28,'KoAct AI인프라액티브'!$B$11:$E$1000,4,0)</f>
        <v>0.96</v>
      </c>
      <c r="P28" s="26">
        <f>IFERROR(VLOOKUP(N28,'KoAct AI인프라액티브(과거)'!$B$11:$E$1000,4,0),0)</f>
        <v>1.63</v>
      </c>
      <c r="Q28" s="26">
        <f t="shared" si="4"/>
        <v>-0.66999999999999993</v>
      </c>
      <c r="R28" s="27">
        <f t="shared" si="5"/>
        <v>-0.41104294478527603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티엘비</v>
      </c>
      <c r="C29" s="65">
        <f>VLOOKUP(B29,'TIMEFOLIO K이노베이션액티브'!$B$11:$E$1000,4,0)</f>
        <v>0.93</v>
      </c>
      <c r="D29" s="65">
        <f>IFERROR(VLOOKUP(B29,'TIMEFOLIO K이노베이션액티브(과거)'!$B$11:$E$1000,4,0),0)</f>
        <v>0.92</v>
      </c>
      <c r="E29" s="26">
        <f t="shared" ref="E29:E31" si="8">C29-D29</f>
        <v>1.0000000000000009E-2</v>
      </c>
      <c r="F29" s="27">
        <f t="shared" ref="F29:F31" si="9">IFERROR(C29/D29-1,"신규편입")</f>
        <v>1.0869565217391353E-2</v>
      </c>
      <c r="G29" s="63" t="str">
        <f>VLOOKUP(H29,유니버스!$C$14:$D$2561,2,0)</f>
        <v>KQ</v>
      </c>
      <c r="H29" s="65" t="str">
        <f>'IBK 코스피액티브'!B35</f>
        <v>덕산하이메탈</v>
      </c>
      <c r="I29" s="65">
        <f>VLOOKUP(H29,'IBK 코스피액티브'!$B$11:$E$1000,4,0)</f>
        <v>0.42</v>
      </c>
      <c r="J29" s="65">
        <f>IFERROR(VLOOKUP(H29,'IBK 코스피액티브(과거)'!$B$11:$E$1000,4,0),0)</f>
        <v>0.4</v>
      </c>
      <c r="K29" s="20">
        <f t="shared" si="6"/>
        <v>1.9999999999999962E-2</v>
      </c>
      <c r="L29" s="21">
        <f t="shared" si="7"/>
        <v>4.9999999999999822E-2</v>
      </c>
      <c r="M29" s="62" t="str">
        <f>VLOOKUP(N29,유니버스!$C$14:$D$2561,2,0)</f>
        <v>KS</v>
      </c>
      <c r="N29" s="26" t="str">
        <f>'KoAct AI인프라액티브'!B35</f>
        <v>삼성에스디에스</v>
      </c>
      <c r="O29" s="26">
        <f>VLOOKUP(N29,'KoAct AI인프라액티브'!$B$11:$E$1000,4,0)</f>
        <v>0.75</v>
      </c>
      <c r="P29" s="26">
        <f>IFERROR(VLOOKUP(N29,'KoAct AI인프라액티브(과거)'!$B$11:$E$1000,4,0),0)</f>
        <v>1.28</v>
      </c>
      <c r="Q29" s="26">
        <f t="shared" si="4"/>
        <v>-0.53</v>
      </c>
      <c r="R29" s="27">
        <f t="shared" si="5"/>
        <v>-0.4140625</v>
      </c>
    </row>
    <row r="30" spans="1:18" x14ac:dyDescent="0.4">
      <c r="A30" s="63" t="e">
        <f>VLOOKUP(B30,유니버스!$C$14:$D$2561,2,0)</f>
        <v>#N/A</v>
      </c>
      <c r="B30" s="65" t="str">
        <f>'TIMEFOLIO K이노베이션액티브'!B36</f>
        <v>원화현금</v>
      </c>
      <c r="C30" s="65">
        <f>VLOOKUP(B30,'TIMEFOLIO K이노베이션액티브'!$B$11:$E$1000,4,0)</f>
        <v>0.69</v>
      </c>
      <c r="D30" s="65">
        <f>IFERROR(VLOOKUP(B30,'TIMEFOLIO K이노베이션액티브(과거)'!$B$11:$E$1000,4,0),0)</f>
        <v>1.19</v>
      </c>
      <c r="E30" s="26">
        <f t="shared" si="8"/>
        <v>-0.5</v>
      </c>
      <c r="F30" s="27">
        <f t="shared" si="9"/>
        <v>-0.42016806722689082</v>
      </c>
      <c r="G30" s="63" t="str">
        <f>VLOOKUP(H30,유니버스!$C$14:$D$2561,2,0)</f>
        <v>KS</v>
      </c>
      <c r="H30" s="65" t="str">
        <f>'IBK 코스피액티브'!B36</f>
        <v>한화오션</v>
      </c>
      <c r="I30" s="65">
        <f>VLOOKUP(H30,'IBK 코스피액티브'!$B$11:$E$1000,4,0)</f>
        <v>0.39</v>
      </c>
      <c r="J30" s="65">
        <f>IFERROR(VLOOKUP(H30,'IBK 코스피액티브(과거)'!$B$11:$E$1000,4,0),0)</f>
        <v>0.4</v>
      </c>
      <c r="K30" s="20">
        <f t="shared" si="6"/>
        <v>-1.0000000000000009E-2</v>
      </c>
      <c r="L30" s="21">
        <f t="shared" si="7"/>
        <v>-2.5000000000000022E-2</v>
      </c>
      <c r="M30" s="62" t="str">
        <f>VLOOKUP(N30,유니버스!$C$14:$D$2561,2,0)</f>
        <v>KQ</v>
      </c>
      <c r="N30" s="26" t="str">
        <f>'KoAct AI인프라액티브'!B36</f>
        <v>저스템</v>
      </c>
      <c r="O30" s="26">
        <f>VLOOKUP(N30,'KoAct AI인프라액티브'!$B$11:$E$1000,4,0)</f>
        <v>0.57999999999999996</v>
      </c>
      <c r="P30" s="26">
        <f>IFERROR(VLOOKUP(N30,'KoAct AI인프라액티브(과거)'!$B$11:$E$1000,4,0),0)</f>
        <v>0.53</v>
      </c>
      <c r="Q30" s="26">
        <f t="shared" si="4"/>
        <v>4.9999999999999933E-2</v>
      </c>
      <c r="R30" s="27">
        <f t="shared" si="5"/>
        <v>9.4339622641509413E-2</v>
      </c>
    </row>
    <row r="31" spans="1:18" x14ac:dyDescent="0.4">
      <c r="A31" s="63" t="e">
        <f>VLOOKUP(B31,유니버스!$C$14:$D$2561,2,0)</f>
        <v>#N/A</v>
      </c>
      <c r="B31" s="65">
        <f>'TIMEFOLIO K이노베이션액티브'!B37</f>
        <v>0</v>
      </c>
      <c r="C31" s="65" t="e">
        <f>VLOOKUP(B31,'TIMEFOLIO K이노베이션액티브'!$B$11:$E$1000,4,0)</f>
        <v>#N/A</v>
      </c>
      <c r="D31" s="65">
        <f>IFERROR(VLOOKUP(B31,'TIMEFOLIO K이노베이션액티브(과거)'!$B$11:$E$1000,4,0),0)</f>
        <v>0</v>
      </c>
      <c r="E31" s="26" t="e">
        <f t="shared" si="8"/>
        <v>#N/A</v>
      </c>
      <c r="F31" s="27" t="str">
        <f t="shared" si="9"/>
        <v>신규편입</v>
      </c>
      <c r="G31" s="63" t="str">
        <f>VLOOKUP(H31,유니버스!$C$14:$D$2561,2,0)</f>
        <v>KS</v>
      </c>
      <c r="H31" s="65" t="str">
        <f>'IBK 코스피액티브'!B37</f>
        <v>롯데쇼핑</v>
      </c>
      <c r="I31" s="65">
        <f>VLOOKUP(H31,'IBK 코스피액티브'!$B$11:$E$1000,4,0)</f>
        <v>0.39</v>
      </c>
      <c r="J31" s="65">
        <f>IFERROR(VLOOKUP(H31,'IBK 코스피액티브(과거)'!$B$11:$E$1000,4,0),0)</f>
        <v>0.37</v>
      </c>
      <c r="K31" s="20">
        <f t="shared" ref="K31:K60" si="10">I31-J31</f>
        <v>2.0000000000000018E-2</v>
      </c>
      <c r="L31" s="21">
        <f t="shared" ref="L31:L60" si="11">IFERROR(I31/J31-1,"신규편입")</f>
        <v>5.4054054054054168E-2</v>
      </c>
      <c r="M31" s="62" t="str">
        <f>VLOOKUP(N31,유니버스!$C$14:$D$2561,2,0)</f>
        <v>KS</v>
      </c>
      <c r="N31" s="26" t="str">
        <f>'KoAct AI인프라액티브'!B37</f>
        <v>두산에너빌리티</v>
      </c>
      <c r="O31" s="26">
        <f>VLOOKUP(N31,'KoAct AI인프라액티브'!$B$11:$E$1000,4,0)</f>
        <v>0.53</v>
      </c>
      <c r="P31" s="26">
        <f>IFERROR(VLOOKUP(N31,'KoAct AI인프라액티브(과거)'!$B$11:$E$1000,4,0),0)</f>
        <v>0.56999999999999995</v>
      </c>
      <c r="Q31" s="26">
        <f t="shared" si="4"/>
        <v>-3.9999999999999925E-2</v>
      </c>
      <c r="R31" s="27">
        <f t="shared" si="5"/>
        <v>-7.0175438596491113E-2</v>
      </c>
    </row>
    <row r="32" spans="1:18" x14ac:dyDescent="0.4">
      <c r="B32" s="65"/>
      <c r="C32" s="65"/>
      <c r="D32" s="65"/>
      <c r="E32" s="26"/>
      <c r="F32" s="27"/>
      <c r="G32" s="63" t="str">
        <f>VLOOKUP(H32,유니버스!$C$14:$D$2561,2,0)</f>
        <v>KS</v>
      </c>
      <c r="H32" s="65" t="str">
        <f>'IBK 코스피액티브'!B38</f>
        <v>한국금융지주</v>
      </c>
      <c r="I32" s="65">
        <f>VLOOKUP(H32,'IBK 코스피액티브'!$B$11:$E$1000,4,0)</f>
        <v>0.38</v>
      </c>
      <c r="J32" s="65">
        <f>IFERROR(VLOOKUP(H32,'IBK 코스피액티브(과거)'!$B$11:$E$1000,4,0),0)</f>
        <v>0.35</v>
      </c>
      <c r="K32" s="20">
        <f t="shared" si="10"/>
        <v>3.0000000000000027E-2</v>
      </c>
      <c r="L32" s="21">
        <f t="shared" si="11"/>
        <v>8.5714285714285854E-2</v>
      </c>
      <c r="M32" s="62" t="str">
        <f>VLOOKUP(N32,유니버스!$C$14:$D$2561,2,0)</f>
        <v>KS</v>
      </c>
      <c r="N32" s="26" t="str">
        <f>'KoAct AI인프라액티브'!B38</f>
        <v>HD현대중공업</v>
      </c>
      <c r="O32" s="26">
        <f>VLOOKUP(N32,'KoAct AI인프라액티브'!$B$11:$E$1000,4,0)</f>
        <v>0.5</v>
      </c>
      <c r="P32" s="26">
        <f>IFERROR(VLOOKUP(N32,'KoAct AI인프라액티브(과거)'!$B$11:$E$1000,4,0),0)</f>
        <v>0.82</v>
      </c>
      <c r="Q32" s="26">
        <f t="shared" ref="Q32:Q33" si="12">O32-P32</f>
        <v>-0.31999999999999995</v>
      </c>
      <c r="R32" s="27">
        <f t="shared" ref="R32:R33" si="13">IFERROR(O32/P32-1,"신규편입")</f>
        <v>-0.3902439024390244</v>
      </c>
    </row>
    <row r="33" spans="2:18" x14ac:dyDescent="0.4">
      <c r="B33" s="65"/>
      <c r="C33" s="65"/>
      <c r="D33" s="65"/>
      <c r="E33" s="26"/>
      <c r="F33" s="27"/>
      <c r="G33" s="63" t="str">
        <f>VLOOKUP(H33,유니버스!$C$14:$D$2561,2,0)</f>
        <v>KS</v>
      </c>
      <c r="H33" s="65" t="str">
        <f>'IBK 코스피액티브'!B39</f>
        <v>LG이노텍</v>
      </c>
      <c r="I33" s="65">
        <f>VLOOKUP(H33,'IBK 코스피액티브'!$B$11:$E$1000,4,0)</f>
        <v>0.38</v>
      </c>
      <c r="J33" s="65">
        <f>IFERROR(VLOOKUP(H33,'IBK 코스피액티브(과거)'!$B$11:$E$1000,4,0),0)</f>
        <v>0.42</v>
      </c>
      <c r="K33" s="20">
        <f t="shared" si="10"/>
        <v>-3.999999999999998E-2</v>
      </c>
      <c r="L33" s="21">
        <f t="shared" si="11"/>
        <v>-9.5238095238095233E-2</v>
      </c>
      <c r="M33" s="62" t="str">
        <f>VLOOKUP(N33,유니버스!$C$14:$D$2561,2,0)</f>
        <v>KS</v>
      </c>
      <c r="N33" s="26" t="str">
        <f>'KoAct AI인프라액티브'!B39</f>
        <v>두산퓨얼셀</v>
      </c>
      <c r="O33" s="26">
        <f>VLOOKUP(N33,'KoAct AI인프라액티브'!$B$11:$E$1000,4,0)</f>
        <v>0.48</v>
      </c>
      <c r="P33" s="26">
        <f>IFERROR(VLOOKUP(N33,'KoAct AI인프라액티브(과거)'!$B$11:$E$1000,4,0),0)</f>
        <v>2.2599999999999998</v>
      </c>
      <c r="Q33" s="26">
        <f t="shared" si="12"/>
        <v>-1.7799999999999998</v>
      </c>
      <c r="R33" s="27">
        <f t="shared" si="13"/>
        <v>-0.78761061946902655</v>
      </c>
    </row>
    <row r="34" spans="2:18" x14ac:dyDescent="0.4">
      <c r="B34" s="65"/>
      <c r="C34" s="65"/>
      <c r="D34" s="65"/>
      <c r="E34" s="26"/>
      <c r="F34" s="27"/>
      <c r="G34" s="63" t="str">
        <f>VLOOKUP(H34,유니버스!$C$14:$D$2561,2,0)</f>
        <v>KS</v>
      </c>
      <c r="H34" s="65" t="str">
        <f>'IBK 코스피액티브'!B40</f>
        <v>OCI홀딩스</v>
      </c>
      <c r="I34" s="65">
        <f>VLOOKUP(H34,'IBK 코스피액티브'!$B$11:$E$1000,4,0)</f>
        <v>0.35</v>
      </c>
      <c r="J34" s="65">
        <f>IFERROR(VLOOKUP(H34,'IBK 코스피액티브(과거)'!$B$11:$E$1000,4,0),0)</f>
        <v>0.32</v>
      </c>
      <c r="K34" s="20">
        <f t="shared" si="10"/>
        <v>2.9999999999999971E-2</v>
      </c>
      <c r="L34" s="21">
        <f t="shared" si="11"/>
        <v>9.375E-2</v>
      </c>
      <c r="M34" s="62" t="str">
        <f>VLOOKUP(N34,유니버스!$C$14:$D$2561,2,0)</f>
        <v>KQ</v>
      </c>
      <c r="N34" s="26" t="str">
        <f>'KoAct AI인프라액티브'!B40</f>
        <v>네패스</v>
      </c>
      <c r="O34" s="26">
        <f>VLOOKUP(N34,'KoAct AI인프라액티브'!$B$11:$E$1000,4,0)</f>
        <v>0.45</v>
      </c>
      <c r="P34" s="26">
        <f>IFERROR(VLOOKUP(N34,'KoAct AI인프라액티브(과거)'!$B$11:$E$1000,4,0),0)</f>
        <v>2.88</v>
      </c>
      <c r="Q34" s="26">
        <f t="shared" ref="Q34:Q35" si="14">O34-P34</f>
        <v>-2.4299999999999997</v>
      </c>
      <c r="R34" s="27">
        <f t="shared" ref="R34:R35" si="15">IFERROR(O34/P34-1,"신규편입")</f>
        <v>-0.84375</v>
      </c>
    </row>
    <row r="35" spans="2:18" x14ac:dyDescent="0.4">
      <c r="B35" s="65"/>
      <c r="C35" s="65"/>
      <c r="D35" s="65"/>
      <c r="E35" s="26"/>
      <c r="F35" s="27"/>
      <c r="G35" s="63" t="str">
        <f>VLOOKUP(H35,유니버스!$C$14:$D$2561,2,0)</f>
        <v>KS</v>
      </c>
      <c r="H35" s="65" t="str">
        <f>'IBK 코스피액티브'!B41</f>
        <v>LIG디펜스앤에어로스페이스</v>
      </c>
      <c r="I35" s="65">
        <f>VLOOKUP(H35,'IBK 코스피액티브'!$B$11:$E$1000,4,0)</f>
        <v>0.32</v>
      </c>
      <c r="J35" s="65">
        <f>IFERROR(VLOOKUP(H35,'IBK 코스피액티브(과거)'!$B$11:$E$1000,4,0),0)</f>
        <v>0.34</v>
      </c>
      <c r="K35" s="20">
        <f t="shared" si="10"/>
        <v>-2.0000000000000018E-2</v>
      </c>
      <c r="L35" s="21">
        <f t="shared" si="11"/>
        <v>-5.8823529411764719E-2</v>
      </c>
      <c r="M35" s="62" t="str">
        <f>VLOOKUP(N35,유니버스!$C$14:$D$2561,2,0)</f>
        <v>KS</v>
      </c>
      <c r="N35" s="26" t="str">
        <f>'KoAct AI인프라액티브'!B41</f>
        <v>SK텔레콤</v>
      </c>
      <c r="O35" s="26">
        <f>VLOOKUP(N35,'KoAct AI인프라액티브'!$B$11:$E$1000,4,0)</f>
        <v>0.25</v>
      </c>
      <c r="P35" s="26">
        <f>IFERROR(VLOOKUP(N35,'KoAct AI인프라액티브(과거)'!$B$11:$E$1000,4,0),0)</f>
        <v>0.76</v>
      </c>
      <c r="Q35" s="26">
        <f t="shared" si="14"/>
        <v>-0.51</v>
      </c>
      <c r="R35" s="27">
        <f t="shared" si="15"/>
        <v>-0.67105263157894735</v>
      </c>
    </row>
    <row r="36" spans="2:18" x14ac:dyDescent="0.4">
      <c r="B36" s="65"/>
      <c r="C36" s="65"/>
      <c r="D36" s="65"/>
      <c r="E36" s="26"/>
      <c r="F36" s="27"/>
      <c r="G36" s="63" t="str">
        <f>VLOOKUP(H36,유니버스!$C$14:$D$2561,2,0)</f>
        <v>KS</v>
      </c>
      <c r="H36" s="65" t="str">
        <f>'IBK 코스피액티브'!B42</f>
        <v>SK</v>
      </c>
      <c r="I36" s="65">
        <f>VLOOKUP(H36,'IBK 코스피액티브'!$B$11:$E$1000,4,0)</f>
        <v>0.32</v>
      </c>
      <c r="J36" s="65">
        <f>IFERROR(VLOOKUP(H36,'IBK 코스피액티브(과거)'!$B$11:$E$1000,4,0),0)</f>
        <v>0.3</v>
      </c>
      <c r="K36" s="20">
        <f t="shared" si="10"/>
        <v>2.0000000000000018E-2</v>
      </c>
      <c r="L36" s="21">
        <f t="shared" si="11"/>
        <v>6.6666666666666652E-2</v>
      </c>
      <c r="M36" s="62" t="e">
        <f>VLOOKUP(N36,유니버스!$C$14:$D$2561,2,0)</f>
        <v>#N/A</v>
      </c>
      <c r="N36" s="26" t="str">
        <f>'KoAct AI인프라액티브'!B42</f>
        <v>원화현금</v>
      </c>
      <c r="O36" s="26">
        <f>VLOOKUP(N36,'KoAct AI인프라액티브'!$B$11:$E$1000,4,0)</f>
        <v>1.1100000000000001</v>
      </c>
      <c r="P36" s="26">
        <f>IFERROR(VLOOKUP(N36,'KoAct AI인프라액티브(과거)'!$B$11:$E$1000,4,0),0)</f>
        <v>0.74</v>
      </c>
      <c r="Q36" s="26">
        <f t="shared" ref="Q36" si="16">O36-P36</f>
        <v>0.37000000000000011</v>
      </c>
      <c r="R36" s="27">
        <f t="shared" ref="R36" si="17">IFERROR(O36/P36-1,"신규편입")</f>
        <v>0.50000000000000022</v>
      </c>
    </row>
    <row r="37" spans="2:18" x14ac:dyDescent="0.4">
      <c r="B37" s="65"/>
      <c r="C37" s="65"/>
      <c r="D37" s="65"/>
      <c r="E37" s="26"/>
      <c r="F37" s="27"/>
      <c r="G37" s="63" t="str">
        <f>VLOOKUP(H37,유니버스!$C$14:$D$2561,2,0)</f>
        <v>KQ</v>
      </c>
      <c r="H37" s="65" t="str">
        <f>'IBK 코스피액티브'!B43</f>
        <v>피에스케이홀딩스</v>
      </c>
      <c r="I37" s="65">
        <f>VLOOKUP(H37,'IBK 코스피액티브'!$B$11:$E$1000,4,0)</f>
        <v>0.31</v>
      </c>
      <c r="J37" s="65">
        <f>IFERROR(VLOOKUP(H37,'IBK 코스피액티브(과거)'!$B$11:$E$1000,4,0),0)</f>
        <v>0.22</v>
      </c>
      <c r="K37" s="20">
        <f t="shared" si="10"/>
        <v>0.09</v>
      </c>
      <c r="L37" s="21">
        <f t="shared" si="11"/>
        <v>0.40909090909090917</v>
      </c>
      <c r="M37" s="62" t="e">
        <f>VLOOKUP(N37,유니버스!$C$14:$D$2561,2,0)</f>
        <v>#N/A</v>
      </c>
      <c r="N37" s="26">
        <f>'KoAct AI인프라액티브'!B43</f>
        <v>0</v>
      </c>
      <c r="O37" s="26" t="e">
        <f>VLOOKUP(N37,'KoAct AI인프라액티브'!$B$11:$E$1000,4,0)</f>
        <v>#N/A</v>
      </c>
      <c r="P37" s="26">
        <f>IFERROR(VLOOKUP(N37,'KoAct AI인프라액티브(과거)'!$B$11:$E$1000,4,0),0)</f>
        <v>0</v>
      </c>
      <c r="Q37" s="26" t="e">
        <f t="shared" ref="Q37" si="18">O37-P37</f>
        <v>#N/A</v>
      </c>
      <c r="R37" s="27" t="str">
        <f t="shared" ref="R37" si="19">IFERROR(O37/P37-1,"신규편입")</f>
        <v>신규편입</v>
      </c>
    </row>
    <row r="38" spans="2:18" x14ac:dyDescent="0.4">
      <c r="B38" s="65"/>
      <c r="C38" s="65"/>
      <c r="D38" s="65"/>
      <c r="E38" s="26"/>
      <c r="F38" s="27"/>
      <c r="G38" s="63" t="str">
        <f>VLOOKUP(H38,유니버스!$C$14:$D$2561,2,0)</f>
        <v>KS</v>
      </c>
      <c r="H38" s="65" t="str">
        <f>'IBK 코스피액티브'!B44</f>
        <v>현대모비스</v>
      </c>
      <c r="I38" s="65">
        <f>VLOOKUP(H38,'IBK 코스피액티브'!$B$11:$E$1000,4,0)</f>
        <v>0.31</v>
      </c>
      <c r="J38" s="65">
        <f>IFERROR(VLOOKUP(H38,'IBK 코스피액티브(과거)'!$B$11:$E$1000,4,0),0)</f>
        <v>0.32</v>
      </c>
      <c r="K38" s="20">
        <f t="shared" si="10"/>
        <v>-1.0000000000000009E-2</v>
      </c>
      <c r="L38" s="21">
        <f t="shared" si="11"/>
        <v>-3.125E-2</v>
      </c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6"/>
      <c r="F39" s="27"/>
      <c r="G39" s="63" t="str">
        <f>VLOOKUP(H39,유니버스!$C$14:$D$2561,2,0)</f>
        <v>KQ</v>
      </c>
      <c r="H39" s="65" t="str">
        <f>'IBK 코스피액티브'!B45</f>
        <v>코미코</v>
      </c>
      <c r="I39" s="65">
        <f>VLOOKUP(H39,'IBK 코스피액티브'!$B$11:$E$1000,4,0)</f>
        <v>0.3</v>
      </c>
      <c r="J39" s="65">
        <f>IFERROR(VLOOKUP(H39,'IBK 코스피액티브(과거)'!$B$11:$E$1000,4,0),0)</f>
        <v>0.32</v>
      </c>
      <c r="K39" s="20">
        <f t="shared" si="10"/>
        <v>-2.0000000000000018E-2</v>
      </c>
      <c r="L39" s="21">
        <f t="shared" si="11"/>
        <v>-6.25E-2</v>
      </c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6"/>
      <c r="F40" s="27"/>
      <c r="G40" s="63" t="str">
        <f>VLOOKUP(H40,유니버스!$C$14:$D$2561,2,0)</f>
        <v>KS</v>
      </c>
      <c r="H40" s="65" t="str">
        <f>'IBK 코스피액티브'!B46</f>
        <v>삼성중공업</v>
      </c>
      <c r="I40" s="65">
        <f>VLOOKUP(H40,'IBK 코스피액티브'!$B$11:$E$1000,4,0)</f>
        <v>0.28999999999999998</v>
      </c>
      <c r="J40" s="65">
        <f>IFERROR(VLOOKUP(H40,'IBK 코스피액티브(과거)'!$B$11:$E$1000,4,0),0)</f>
        <v>0.3</v>
      </c>
      <c r="K40" s="20">
        <f t="shared" si="10"/>
        <v>-1.0000000000000009E-2</v>
      </c>
      <c r="L40" s="21">
        <f t="shared" si="11"/>
        <v>-3.3333333333333326E-2</v>
      </c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6"/>
      <c r="F41" s="27"/>
      <c r="G41" s="63" t="str">
        <f>VLOOKUP(H41,유니버스!$C$14:$D$2561,2,0)</f>
        <v>KQ</v>
      </c>
      <c r="H41" s="65" t="str">
        <f>'IBK 코스피액티브'!B47</f>
        <v>코오롱티슈진</v>
      </c>
      <c r="I41" s="65">
        <f>VLOOKUP(H41,'IBK 코스피액티브'!$B$11:$E$1000,4,0)</f>
        <v>0.28999999999999998</v>
      </c>
      <c r="J41" s="65">
        <f>IFERROR(VLOOKUP(H41,'IBK 코스피액티브(과거)'!$B$11:$E$1000,4,0),0)</f>
        <v>0.3</v>
      </c>
      <c r="K41" s="20">
        <f t="shared" si="10"/>
        <v>-1.0000000000000009E-2</v>
      </c>
      <c r="L41" s="21">
        <f t="shared" si="11"/>
        <v>-3.3333333333333326E-2</v>
      </c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6"/>
      <c r="F42" s="27"/>
      <c r="G42" s="63" t="str">
        <f>VLOOKUP(H42,유니버스!$C$14:$D$2561,2,0)</f>
        <v>KQ</v>
      </c>
      <c r="H42" s="65" t="str">
        <f>'IBK 코스피액티브'!B48</f>
        <v>보로노이</v>
      </c>
      <c r="I42" s="65">
        <f>VLOOKUP(H42,'IBK 코스피액티브'!$B$11:$E$1000,4,0)</f>
        <v>0.28000000000000003</v>
      </c>
      <c r="J42" s="65">
        <f>IFERROR(VLOOKUP(H42,'IBK 코스피액티브(과거)'!$B$11:$E$1000,4,0),0)</f>
        <v>0.27</v>
      </c>
      <c r="K42" s="20">
        <f t="shared" si="10"/>
        <v>1.0000000000000009E-2</v>
      </c>
      <c r="L42" s="21">
        <f t="shared" si="11"/>
        <v>3.7037037037036979E-2</v>
      </c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6"/>
      <c r="F43" s="27"/>
      <c r="G43" s="63" t="str">
        <f>VLOOKUP(H43,유니버스!$C$14:$D$2561,2,0)</f>
        <v>KS</v>
      </c>
      <c r="H43" s="65" t="str">
        <f>'IBK 코스피액티브'!B49</f>
        <v>산일전기</v>
      </c>
      <c r="I43" s="65">
        <f>VLOOKUP(H43,'IBK 코스피액티브'!$B$11:$E$1000,4,0)</f>
        <v>0.27</v>
      </c>
      <c r="J43" s="65">
        <f>IFERROR(VLOOKUP(H43,'IBK 코스피액티브(과거)'!$B$11:$E$1000,4,0),0)</f>
        <v>0.23</v>
      </c>
      <c r="K43" s="20">
        <f t="shared" si="10"/>
        <v>4.0000000000000008E-2</v>
      </c>
      <c r="L43" s="21">
        <f t="shared" si="11"/>
        <v>0.17391304347826098</v>
      </c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6"/>
      <c r="F44" s="27"/>
      <c r="G44" s="63" t="str">
        <f>VLOOKUP(H44,유니버스!$C$14:$D$2561,2,0)</f>
        <v>KS</v>
      </c>
      <c r="H44" s="65" t="str">
        <f>'IBK 코스피액티브'!B50</f>
        <v>LS</v>
      </c>
      <c r="I44" s="65">
        <f>VLOOKUP(H44,'IBK 코스피액티브'!$B$11:$E$1000,4,0)</f>
        <v>0.25</v>
      </c>
      <c r="J44" s="65">
        <f>IFERROR(VLOOKUP(H44,'IBK 코스피액티브(과거)'!$B$11:$E$1000,4,0),0)</f>
        <v>0.23</v>
      </c>
      <c r="K44" s="20">
        <f t="shared" si="10"/>
        <v>1.999999999999999E-2</v>
      </c>
      <c r="L44" s="21">
        <f t="shared" si="11"/>
        <v>8.6956521739130377E-2</v>
      </c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6"/>
      <c r="F45" s="27"/>
      <c r="G45" s="63" t="str">
        <f>VLOOKUP(H45,유니버스!$C$14:$D$2561,2,0)</f>
        <v>KS</v>
      </c>
      <c r="H45" s="65" t="str">
        <f>'IBK 코스피액티브'!B51</f>
        <v>현대건설</v>
      </c>
      <c r="I45" s="65">
        <f>VLOOKUP(H45,'IBK 코스피액티브'!$B$11:$E$1000,4,0)</f>
        <v>0.25</v>
      </c>
      <c r="J45" s="65">
        <f>IFERROR(VLOOKUP(H45,'IBK 코스피액티브(과거)'!$B$11:$E$1000,4,0),0)</f>
        <v>0.24</v>
      </c>
      <c r="K45" s="20">
        <f t="shared" si="10"/>
        <v>1.0000000000000009E-2</v>
      </c>
      <c r="L45" s="21">
        <f t="shared" si="11"/>
        <v>4.1666666666666741E-2</v>
      </c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6"/>
      <c r="F46" s="27"/>
      <c r="G46" s="63" t="str">
        <f>VLOOKUP(H46,유니버스!$C$14:$D$2561,2,0)</f>
        <v>KS</v>
      </c>
      <c r="H46" s="65" t="str">
        <f>'IBK 코스피액티브'!B52</f>
        <v>금호석유화학</v>
      </c>
      <c r="I46" s="65">
        <f>VLOOKUP(H46,'IBK 코스피액티브'!$B$11:$E$1000,4,0)</f>
        <v>0.24</v>
      </c>
      <c r="J46" s="65">
        <f>IFERROR(VLOOKUP(H46,'IBK 코스피액티브(과거)'!$B$11:$E$1000,4,0),0)</f>
        <v>0.24</v>
      </c>
      <c r="K46" s="20">
        <f t="shared" si="10"/>
        <v>0</v>
      </c>
      <c r="L46" s="21">
        <f t="shared" si="11"/>
        <v>0</v>
      </c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6"/>
      <c r="F47" s="27"/>
      <c r="G47" s="63" t="str">
        <f>VLOOKUP(H47,유니버스!$C$14:$D$2561,2,0)</f>
        <v>KS</v>
      </c>
      <c r="H47" s="65" t="str">
        <f>'IBK 코스피액티브'!B53</f>
        <v>대덕전자</v>
      </c>
      <c r="I47" s="65">
        <f>VLOOKUP(H47,'IBK 코스피액티브'!$B$11:$E$1000,4,0)</f>
        <v>0.23</v>
      </c>
      <c r="J47" s="65">
        <f>IFERROR(VLOOKUP(H47,'IBK 코스피액티브(과거)'!$B$11:$E$1000,4,0),0)</f>
        <v>0.21</v>
      </c>
      <c r="K47" s="20">
        <f t="shared" si="10"/>
        <v>2.0000000000000018E-2</v>
      </c>
      <c r="L47" s="21">
        <f t="shared" si="11"/>
        <v>9.5238095238095344E-2</v>
      </c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6"/>
      <c r="F48" s="27"/>
      <c r="G48" s="63" t="str">
        <f>VLOOKUP(H48,유니버스!$C$14:$D$2561,2,0)</f>
        <v>KS</v>
      </c>
      <c r="H48" s="65" t="str">
        <f>'IBK 코스피액티브'!B54</f>
        <v>미래에셋증권</v>
      </c>
      <c r="I48" s="65">
        <f>VLOOKUP(H48,'IBK 코스피액티브'!$B$11:$E$1000,4,0)</f>
        <v>0.22</v>
      </c>
      <c r="J48" s="65">
        <f>IFERROR(VLOOKUP(H48,'IBK 코스피액티브(과거)'!$B$11:$E$1000,4,0),0)</f>
        <v>0.21</v>
      </c>
      <c r="K48" s="20">
        <f t="shared" si="10"/>
        <v>1.0000000000000009E-2</v>
      </c>
      <c r="L48" s="21">
        <f t="shared" si="11"/>
        <v>4.7619047619047672E-2</v>
      </c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G49" s="63" t="str">
        <f>VLOOKUP(H49,유니버스!$C$14:$D$2561,2,0)</f>
        <v>KS</v>
      </c>
      <c r="H49" s="65" t="str">
        <f>'IBK 코스피액티브'!B55</f>
        <v>삼성증권</v>
      </c>
      <c r="I49" s="65">
        <f>VLOOKUP(H49,'IBK 코스피액티브'!$B$11:$E$1000,4,0)</f>
        <v>0.21</v>
      </c>
      <c r="J49" s="65">
        <f>IFERROR(VLOOKUP(H49,'IBK 코스피액티브(과거)'!$B$11:$E$1000,4,0),0)</f>
        <v>0.2</v>
      </c>
      <c r="K49" s="20">
        <f t="shared" si="10"/>
        <v>9.9999999999999811E-3</v>
      </c>
      <c r="L49" s="21">
        <f t="shared" si="11"/>
        <v>4.9999999999999822E-2</v>
      </c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G50" s="63" t="str">
        <f>VLOOKUP(H50,유니버스!$C$14:$D$2561,2,0)</f>
        <v>KS</v>
      </c>
      <c r="H50" s="65" t="str">
        <f>'IBK 코스피액티브'!B56</f>
        <v>HD현대일렉트릭</v>
      </c>
      <c r="I50" s="65">
        <f>VLOOKUP(H50,'IBK 코스피액티브'!$B$11:$E$1000,4,0)</f>
        <v>0.21</v>
      </c>
      <c r="J50" s="65">
        <f>IFERROR(VLOOKUP(H50,'IBK 코스피액티브(과거)'!$B$11:$E$1000,4,0),0)</f>
        <v>0.2</v>
      </c>
      <c r="K50" s="20">
        <f t="shared" si="10"/>
        <v>9.9999999999999811E-3</v>
      </c>
      <c r="L50" s="21">
        <f t="shared" si="11"/>
        <v>4.9999999999999822E-2</v>
      </c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G51" s="63" t="str">
        <f>VLOOKUP(H51,유니버스!$C$14:$D$2561,2,0)</f>
        <v>KS</v>
      </c>
      <c r="H51" s="65" t="str">
        <f>'IBK 코스피액티브'!B57</f>
        <v>S-Oil</v>
      </c>
      <c r="I51" s="65">
        <f>VLOOKUP(H51,'IBK 코스피액티브'!$B$11:$E$1000,4,0)</f>
        <v>0.21</v>
      </c>
      <c r="J51" s="65">
        <f>IFERROR(VLOOKUP(H51,'IBK 코스피액티브(과거)'!$B$11:$E$1000,4,0),0)</f>
        <v>0.19</v>
      </c>
      <c r="K51" s="20">
        <f t="shared" si="10"/>
        <v>1.999999999999999E-2</v>
      </c>
      <c r="L51" s="21">
        <f t="shared" si="11"/>
        <v>0.10526315789473673</v>
      </c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G52" s="63" t="str">
        <f>VLOOKUP(H52,유니버스!$C$14:$D$2561,2,0)</f>
        <v>KS</v>
      </c>
      <c r="H52" s="65" t="str">
        <f>'IBK 코스피액티브'!B58</f>
        <v>삼성SDI</v>
      </c>
      <c r="I52" s="65">
        <f>VLOOKUP(H52,'IBK 코스피액티브'!$B$11:$E$1000,4,0)</f>
        <v>0.2</v>
      </c>
      <c r="J52" s="65">
        <f>IFERROR(VLOOKUP(H52,'IBK 코스피액티브(과거)'!$B$11:$E$1000,4,0),0)</f>
        <v>0.2</v>
      </c>
      <c r="K52" s="20">
        <f t="shared" si="10"/>
        <v>0</v>
      </c>
      <c r="L52" s="21">
        <f t="shared" si="11"/>
        <v>0</v>
      </c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G53" s="63" t="str">
        <f>VLOOKUP(H53,유니버스!$C$14:$D$2561,2,0)</f>
        <v>KQ</v>
      </c>
      <c r="H53" s="65" t="str">
        <f>'IBK 코스피액티브'!B59</f>
        <v>두산테스나</v>
      </c>
      <c r="I53" s="65">
        <f>VLOOKUP(H53,'IBK 코스피액티브'!$B$11:$E$1000,4,0)</f>
        <v>0.19</v>
      </c>
      <c r="J53" s="65">
        <f>IFERROR(VLOOKUP(H53,'IBK 코스피액티브(과거)'!$B$11:$E$1000,4,0),0)</f>
        <v>0.21</v>
      </c>
      <c r="K53" s="20">
        <f t="shared" si="10"/>
        <v>-1.999999999999999E-2</v>
      </c>
      <c r="L53" s="21">
        <f t="shared" si="11"/>
        <v>-9.5238095238095233E-2</v>
      </c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G54" s="63" t="str">
        <f>VLOOKUP(H54,유니버스!$C$14:$D$2561,2,0)</f>
        <v>KS</v>
      </c>
      <c r="H54" s="65" t="str">
        <f>'IBK 코스피액티브'!B60</f>
        <v>LG</v>
      </c>
      <c r="I54" s="65">
        <f>VLOOKUP(H54,'IBK 코스피액티브'!$B$11:$E$1000,4,0)</f>
        <v>0.18</v>
      </c>
      <c r="J54" s="65">
        <f>IFERROR(VLOOKUP(H54,'IBK 코스피액티브(과거)'!$B$11:$E$1000,4,0),0)</f>
        <v>0.19</v>
      </c>
      <c r="K54" s="20">
        <f t="shared" si="10"/>
        <v>-1.0000000000000009E-2</v>
      </c>
      <c r="L54" s="21">
        <f t="shared" si="11"/>
        <v>-5.2631578947368474E-2</v>
      </c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G55" s="63" t="str">
        <f>VLOOKUP(H55,유니버스!$C$14:$D$2561,2,0)</f>
        <v>KS</v>
      </c>
      <c r="H55" s="65" t="str">
        <f>'IBK 코스피액티브'!B61</f>
        <v>KT&amp;G</v>
      </c>
      <c r="I55" s="65">
        <f>VLOOKUP(H55,'IBK 코스피액티브'!$B$11:$E$1000,4,0)</f>
        <v>0.17</v>
      </c>
      <c r="J55" s="65">
        <f>IFERROR(VLOOKUP(H55,'IBK 코스피액티브(과거)'!$B$11:$E$1000,4,0),0)</f>
        <v>0.18</v>
      </c>
      <c r="K55" s="20">
        <f t="shared" si="10"/>
        <v>-9.9999999999999811E-3</v>
      </c>
      <c r="L55" s="21">
        <f t="shared" si="11"/>
        <v>-5.5555555555555469E-2</v>
      </c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G56" s="63" t="str">
        <f>VLOOKUP(H56,유니버스!$C$14:$D$2561,2,0)</f>
        <v>KS</v>
      </c>
      <c r="H56" s="65" t="str">
        <f>'IBK 코스피액티브'!B62</f>
        <v>호텔신라</v>
      </c>
      <c r="I56" s="65">
        <f>VLOOKUP(H56,'IBK 코스피액티브'!$B$11:$E$1000,4,0)</f>
        <v>0.17</v>
      </c>
      <c r="J56" s="65">
        <f>IFERROR(VLOOKUP(H56,'IBK 코스피액티브(과거)'!$B$11:$E$1000,4,0),0)</f>
        <v>0.18</v>
      </c>
      <c r="K56" s="20">
        <f t="shared" si="10"/>
        <v>-9.9999999999999811E-3</v>
      </c>
      <c r="L56" s="21">
        <f t="shared" si="11"/>
        <v>-5.5555555555555469E-2</v>
      </c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G57" s="63" t="str">
        <f>VLOOKUP(H57,유니버스!$C$14:$D$2561,2,0)</f>
        <v>KS</v>
      </c>
      <c r="H57" s="65" t="str">
        <f>'IBK 코스피액티브'!B63</f>
        <v>대한유화</v>
      </c>
      <c r="I57" s="65">
        <f>VLOOKUP(H57,'IBK 코스피액티브'!$B$11:$E$1000,4,0)</f>
        <v>0.17</v>
      </c>
      <c r="J57" s="65">
        <f>IFERROR(VLOOKUP(H57,'IBK 코스피액티브(과거)'!$B$11:$E$1000,4,0),0)</f>
        <v>0.16</v>
      </c>
      <c r="K57" s="20">
        <f t="shared" si="10"/>
        <v>1.0000000000000009E-2</v>
      </c>
      <c r="L57" s="21">
        <f t="shared" si="11"/>
        <v>6.25E-2</v>
      </c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G58" s="63" t="str">
        <f>VLOOKUP(H58,유니버스!$C$14:$D$2561,2,0)</f>
        <v>KQ</v>
      </c>
      <c r="H58" s="65" t="str">
        <f>'IBK 코스피액티브'!B64</f>
        <v>파두</v>
      </c>
      <c r="I58" s="65">
        <f>VLOOKUP(H58,'IBK 코스피액티브'!$B$11:$E$1000,4,0)</f>
        <v>0.15</v>
      </c>
      <c r="J58" s="65">
        <f>IFERROR(VLOOKUP(H58,'IBK 코스피액티브(과거)'!$B$11:$E$1000,4,0),0)</f>
        <v>0.17</v>
      </c>
      <c r="K58" s="20">
        <f t="shared" si="10"/>
        <v>-2.0000000000000018E-2</v>
      </c>
      <c r="L58" s="21">
        <f t="shared" si="11"/>
        <v>-0.11764705882352955</v>
      </c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G59" s="63" t="str">
        <f>VLOOKUP(H59,유니버스!$C$14:$D$2561,2,0)</f>
        <v>KS</v>
      </c>
      <c r="H59" s="65" t="str">
        <f>'IBK 코스피액티브'!B65</f>
        <v>LG화학</v>
      </c>
      <c r="I59" s="65">
        <f>VLOOKUP(H59,'IBK 코스피액티브'!$B$11:$E$1000,4,0)</f>
        <v>0.12</v>
      </c>
      <c r="J59" s="65">
        <f>IFERROR(VLOOKUP(H59,'IBK 코스피액티브(과거)'!$B$11:$E$1000,4,0),0)</f>
        <v>0.12</v>
      </c>
      <c r="K59" s="20">
        <f t="shared" si="10"/>
        <v>0</v>
      </c>
      <c r="L59" s="21">
        <f t="shared" si="11"/>
        <v>0</v>
      </c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G60" s="63" t="e">
        <f>VLOOKUP(H60,유니버스!$C$14:$D$2561,2,0)</f>
        <v>#N/A</v>
      </c>
      <c r="H60" s="65" t="str">
        <f>'IBK 코스피액티브'!B66</f>
        <v>원화현금</v>
      </c>
      <c r="I60" s="65">
        <f>VLOOKUP(H60,'IBK 코스피액티브'!$B$11:$E$1000,4,0)</f>
        <v>0.27</v>
      </c>
      <c r="J60" s="65">
        <f>IFERROR(VLOOKUP(H60,'IBK 코스피액티브(과거)'!$B$11:$E$1000,4,0),0)</f>
        <v>0.93</v>
      </c>
      <c r="K60" s="20">
        <f t="shared" si="10"/>
        <v>-0.66</v>
      </c>
      <c r="L60" s="21">
        <f t="shared" si="11"/>
        <v>-0.70967741935483875</v>
      </c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I24" zoomScaleNormal="100" workbookViewId="0">
      <selection activeCell="N33" sqref="N3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[20260701]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25.63</v>
      </c>
      <c r="D5" s="65">
        <f>IFERROR(VLOOKUP(B5,'TIMEFOLIO 코스피액티브(과거)'!$B$11:$E$1000,4,0),0)</f>
        <v>26.84</v>
      </c>
      <c r="E5" s="20">
        <f>C5-D5</f>
        <v>-1.2100000000000009</v>
      </c>
      <c r="F5" s="21">
        <f>IFERROR(C5/D5-1,"신규편입")</f>
        <v>-4.5081967213114749E-2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10.050000000000001</v>
      </c>
      <c r="J5" s="65">
        <f>IFERROR(VLOOKUP(H5,'KODEX 친환경조선해운액티브(과거)'!$B$11:$E$1000,4,0),0)</f>
        <v>9.9</v>
      </c>
      <c r="K5" s="20">
        <f>I5-J5</f>
        <v>0.15000000000000036</v>
      </c>
      <c r="L5" s="21">
        <f>IFERROR(I5/J5-1,"신규편입")</f>
        <v>1.5151515151515138E-2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24.56</v>
      </c>
      <c r="P5" s="26">
        <f>IFERROR(VLOOKUP(N5,'TIGER 코리아테크액티브(과거)'!$B$11:$E$1000,4,0),0)</f>
        <v>26.01</v>
      </c>
      <c r="Q5" s="26">
        <f>O5-P5</f>
        <v>-1.4500000000000028</v>
      </c>
      <c r="R5" s="27">
        <f>IFERROR(O5/P5-1,"신규편입")</f>
        <v>-5.5747789311803242E-2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16.52</v>
      </c>
      <c r="D6" s="65">
        <f>IFERROR(VLOOKUP(B6,'TIMEFOLIO 코스피액티브(과거)'!$B$11:$E$1000,4,0),0)</f>
        <v>19.440000000000001</v>
      </c>
      <c r="E6" s="20">
        <f t="shared" ref="E6:E28" si="0">C6-D6</f>
        <v>-2.9200000000000017</v>
      </c>
      <c r="F6" s="21">
        <f t="shared" ref="F6:F28" si="1">IFERROR(C6/D6-1,"신규편입")</f>
        <v>-0.15020576131687247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8.74</v>
      </c>
      <c r="J6" s="65">
        <f>IFERROR(VLOOKUP(H6,'KODEX 친환경조선해운액티브(과거)'!$B$11:$E$1000,4,0),0)</f>
        <v>9.86</v>
      </c>
      <c r="K6" s="20">
        <f t="shared" ref="K6:K26" si="2">I6-J6</f>
        <v>-1.1199999999999992</v>
      </c>
      <c r="L6" s="21">
        <f t="shared" ref="L6:L26" si="3">IFERROR(I6/J6-1,"신규편입")</f>
        <v>-0.11359026369168346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20.84</v>
      </c>
      <c r="P6" s="26">
        <f>IFERROR(VLOOKUP(N6,'TIGER 코리아테크액티브(과거)'!$B$11:$E$1000,4,0),0)</f>
        <v>22.38</v>
      </c>
      <c r="Q6" s="26">
        <f t="shared" ref="Q6:Q27" si="4">O6-P6</f>
        <v>-1.5399999999999991</v>
      </c>
      <c r="R6" s="27">
        <f t="shared" ref="R6:R27" si="5">IFERROR(O6/P6-1,"신규편입")</f>
        <v>-6.8811438784629142E-2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7.93</v>
      </c>
      <c r="D7" s="65">
        <f>IFERROR(VLOOKUP(B7,'TIMEFOLIO 코스피액티브(과거)'!$B$11:$E$1000,4,0),0)</f>
        <v>7.63</v>
      </c>
      <c r="E7" s="20">
        <f t="shared" si="0"/>
        <v>0.29999999999999982</v>
      </c>
      <c r="F7" s="21">
        <f t="shared" si="1"/>
        <v>3.9318479685452212E-2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8.4499999999999993</v>
      </c>
      <c r="J7" s="65">
        <f>IFERROR(VLOOKUP(H7,'KODEX 친환경조선해운액티브(과거)'!$B$11:$E$1000,4,0),0)</f>
        <v>8.9</v>
      </c>
      <c r="K7" s="20">
        <f t="shared" si="2"/>
        <v>-0.45000000000000107</v>
      </c>
      <c r="L7" s="21">
        <f t="shared" si="3"/>
        <v>-5.0561797752809112E-2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13.81</v>
      </c>
      <c r="P7" s="26">
        <f>IFERROR(VLOOKUP(N7,'TIGER 코리아테크액티브(과거)'!$B$11:$E$1000,4,0),0)</f>
        <v>14.24</v>
      </c>
      <c r="Q7" s="26">
        <f t="shared" si="4"/>
        <v>-0.42999999999999972</v>
      </c>
      <c r="R7" s="27">
        <f t="shared" si="5"/>
        <v>-3.0196629213483095E-2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SK스퀘어</v>
      </c>
      <c r="C8" s="65">
        <f>VLOOKUP(B8,'TIMEFOLIO 코스피액티브'!$B$11:$E$1000,4,0)</f>
        <v>4.3600000000000003</v>
      </c>
      <c r="D8" s="65">
        <f>IFERROR(VLOOKUP(B8,'TIMEFOLIO 코스피액티브(과거)'!$B$11:$E$1000,4,0),0)</f>
        <v>5.31</v>
      </c>
      <c r="E8" s="20">
        <f t="shared" si="0"/>
        <v>-0.94999999999999929</v>
      </c>
      <c r="F8" s="21">
        <f t="shared" si="1"/>
        <v>-0.17890772128060251</v>
      </c>
      <c r="G8" s="63" t="str">
        <f>VLOOKUP(H8,유니버스!$C$14:$D$2561,2,0)</f>
        <v>KS</v>
      </c>
      <c r="H8" s="65" t="str">
        <f>'KODEX 친환경조선해운액티브'!B14</f>
        <v>HD한국조선해양</v>
      </c>
      <c r="I8" s="65">
        <f>VLOOKUP(H8,'KODEX 친환경조선해운액티브'!$B$11:$E$1000,4,0)</f>
        <v>7.5</v>
      </c>
      <c r="J8" s="65">
        <f>IFERROR(VLOOKUP(H8,'KODEX 친환경조선해운액티브(과거)'!$B$11:$E$1000,4,0),0)</f>
        <v>7.96</v>
      </c>
      <c r="K8" s="20">
        <f t="shared" si="2"/>
        <v>-0.45999999999999996</v>
      </c>
      <c r="L8" s="21">
        <f t="shared" si="3"/>
        <v>-5.7788944723618063E-2</v>
      </c>
      <c r="M8" s="62" t="str">
        <f>VLOOKUP(N8,유니버스!$C$14:$D$2561,2,0)</f>
        <v>KQ</v>
      </c>
      <c r="N8" s="26" t="str">
        <f>'TIGER 코리아테크액티브'!B14</f>
        <v>피에스케이</v>
      </c>
      <c r="O8" s="26">
        <f>VLOOKUP(N8,'TIGER 코리아테크액티브'!$B$11:$E$1000,4,0)</f>
        <v>3.89</v>
      </c>
      <c r="P8" s="26">
        <f>IFERROR(VLOOKUP(N8,'TIGER 코리아테크액티브(과거)'!$B$11:$E$1000,4,0),0)</f>
        <v>3.11</v>
      </c>
      <c r="Q8" s="26">
        <f t="shared" si="4"/>
        <v>0.78000000000000025</v>
      </c>
      <c r="R8" s="27">
        <f t="shared" si="5"/>
        <v>0.25080385852090048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삼양식품</v>
      </c>
      <c r="C9" s="65">
        <f>VLOOKUP(B9,'TIMEFOLIO 코스피액티브'!$B$11:$E$1000,4,0)</f>
        <v>3.96</v>
      </c>
      <c r="D9" s="65">
        <f>IFERROR(VLOOKUP(B9,'TIMEFOLIO 코스피액티브(과거)'!$B$11:$E$1000,4,0),0)</f>
        <v>2.72</v>
      </c>
      <c r="E9" s="20">
        <f t="shared" si="0"/>
        <v>1.2399999999999998</v>
      </c>
      <c r="F9" s="21">
        <f t="shared" si="1"/>
        <v>0.45588235294117641</v>
      </c>
      <c r="G9" s="63" t="str">
        <f>VLOOKUP(H9,유니버스!$C$14:$D$2561,2,0)</f>
        <v>KQ</v>
      </c>
      <c r="H9" s="65" t="str">
        <f>'KODEX 친환경조선해운액티브'!B15</f>
        <v>동성화인텍</v>
      </c>
      <c r="I9" s="65">
        <f>VLOOKUP(H9,'KODEX 친환경조선해운액티브'!$B$11:$E$1000,4,0)</f>
        <v>7.22</v>
      </c>
      <c r="J9" s="65">
        <f>IFERROR(VLOOKUP(H9,'KODEX 친환경조선해운액티브(과거)'!$B$11:$E$1000,4,0),0)</f>
        <v>6.19</v>
      </c>
      <c r="K9" s="20">
        <f t="shared" si="2"/>
        <v>1.0299999999999994</v>
      </c>
      <c r="L9" s="21">
        <f t="shared" si="3"/>
        <v>0.16639741518578344</v>
      </c>
      <c r="M9" s="62" t="str">
        <f>VLOOKUP(N9,유니버스!$C$14:$D$2561,2,0)</f>
        <v>KS</v>
      </c>
      <c r="N9" s="26" t="str">
        <f>'TIGER 코리아테크액티브'!B15</f>
        <v>대덕전자</v>
      </c>
      <c r="O9" s="26">
        <f>VLOOKUP(N9,'TIGER 코리아테크액티브'!$B$11:$E$1000,4,0)</f>
        <v>3.87</v>
      </c>
      <c r="P9" s="26">
        <f>IFERROR(VLOOKUP(N9,'TIGER 코리아테크액티브(과거)'!$B$11:$E$1000,4,0),0)</f>
        <v>3.8</v>
      </c>
      <c r="Q9" s="26">
        <f t="shared" si="4"/>
        <v>7.0000000000000284E-2</v>
      </c>
      <c r="R9" s="27">
        <f t="shared" si="5"/>
        <v>1.8421052631579116E-2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에이피알</v>
      </c>
      <c r="C10" s="65">
        <f>VLOOKUP(B10,'TIMEFOLIO 코스피액티브'!$B$11:$E$1000,4,0)</f>
        <v>3.92</v>
      </c>
      <c r="D10" s="65">
        <f>IFERROR(VLOOKUP(B10,'TIMEFOLIO 코스피액티브(과거)'!$B$11:$E$1000,4,0),0)</f>
        <v>3.45</v>
      </c>
      <c r="E10" s="20">
        <f t="shared" si="0"/>
        <v>0.46999999999999975</v>
      </c>
      <c r="F10" s="21">
        <f t="shared" si="1"/>
        <v>0.13623188405797104</v>
      </c>
      <c r="G10" s="63" t="str">
        <f>VLOOKUP(H10,유니버스!$C$14:$D$2561,2,0)</f>
        <v>KS</v>
      </c>
      <c r="H10" s="65" t="str">
        <f>'KODEX 친환경조선해운액티브'!B16</f>
        <v>HD현대마린엔진</v>
      </c>
      <c r="I10" s="65">
        <f>VLOOKUP(H10,'KODEX 친환경조선해운액티브'!$B$11:$E$1000,4,0)</f>
        <v>6.48</v>
      </c>
      <c r="J10" s="65">
        <f>IFERROR(VLOOKUP(H10,'KODEX 친환경조선해운액티브(과거)'!$B$11:$E$1000,4,0),0)</f>
        <v>5.76</v>
      </c>
      <c r="K10" s="20">
        <f t="shared" si="2"/>
        <v>0.72000000000000064</v>
      </c>
      <c r="L10" s="21">
        <f t="shared" si="3"/>
        <v>0.12500000000000022</v>
      </c>
      <c r="M10" s="62" t="str">
        <f>VLOOKUP(N10,유니버스!$C$14:$D$2561,2,0)</f>
        <v>KQ</v>
      </c>
      <c r="N10" s="26" t="str">
        <f>'TIGER 코리아테크액티브'!B16</f>
        <v>브이엠</v>
      </c>
      <c r="O10" s="26">
        <f>VLOOKUP(N10,'TIGER 코리아테크액티브'!$B$11:$E$1000,4,0)</f>
        <v>3.3</v>
      </c>
      <c r="P10" s="26">
        <f>IFERROR(VLOOKUP(N10,'TIGER 코리아테크액티브(과거)'!$B$11:$E$1000,4,0),0)</f>
        <v>2.36</v>
      </c>
      <c r="Q10" s="26">
        <f t="shared" si="4"/>
        <v>0.94</v>
      </c>
      <c r="R10" s="27">
        <f t="shared" si="5"/>
        <v>0.39830508474576276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SK</v>
      </c>
      <c r="C11" s="65">
        <f>VLOOKUP(B11,'TIMEFOLIO 코스피액티브'!$B$11:$E$1000,4,0)</f>
        <v>3.31</v>
      </c>
      <c r="D11" s="65">
        <f>IFERROR(VLOOKUP(B11,'TIMEFOLIO 코스피액티브(과거)'!$B$11:$E$1000,4,0),0)</f>
        <v>1.91</v>
      </c>
      <c r="E11" s="20">
        <f t="shared" si="0"/>
        <v>1.4000000000000001</v>
      </c>
      <c r="F11" s="21">
        <f t="shared" si="1"/>
        <v>0.73298429319371738</v>
      </c>
      <c r="G11" s="63" t="str">
        <f>VLOOKUP(H11,유니버스!$C$14:$D$2561,2,0)</f>
        <v>KS</v>
      </c>
      <c r="H11" s="65" t="str">
        <f>'KODEX 친환경조선해운액티브'!B17</f>
        <v>대한조선</v>
      </c>
      <c r="I11" s="65">
        <f>VLOOKUP(H11,'KODEX 친환경조선해운액티브'!$B$11:$E$1000,4,0)</f>
        <v>6.2</v>
      </c>
      <c r="J11" s="65">
        <f>IFERROR(VLOOKUP(H11,'KODEX 친환경조선해운액티브(과거)'!$B$11:$E$1000,4,0),0)</f>
        <v>6.37</v>
      </c>
      <c r="K11" s="20">
        <f t="shared" si="2"/>
        <v>-0.16999999999999993</v>
      </c>
      <c r="L11" s="21">
        <f t="shared" si="3"/>
        <v>-2.6687598116169498E-2</v>
      </c>
      <c r="M11" s="62" t="str">
        <f>VLOOKUP(N11,유니버스!$C$14:$D$2561,2,0)</f>
        <v>KQ</v>
      </c>
      <c r="N11" s="26" t="str">
        <f>'TIGER 코리아테크액티브'!B17</f>
        <v>테스</v>
      </c>
      <c r="O11" s="26">
        <f>VLOOKUP(N11,'TIGER 코리아테크액티브'!$B$11:$E$1000,4,0)</f>
        <v>3.25</v>
      </c>
      <c r="P11" s="26">
        <f>IFERROR(VLOOKUP(N11,'TIGER 코리아테크액티브(과거)'!$B$11:$E$1000,4,0),0)</f>
        <v>2.39</v>
      </c>
      <c r="Q11" s="26">
        <f t="shared" si="4"/>
        <v>0.85999999999999988</v>
      </c>
      <c r="R11" s="27">
        <f t="shared" si="5"/>
        <v>0.35983263598326354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삼성SDI</v>
      </c>
      <c r="C12" s="65">
        <f>VLOOKUP(B12,'TIMEFOLIO 코스피액티브'!$B$11:$E$1000,4,0)</f>
        <v>3.26</v>
      </c>
      <c r="D12" s="65">
        <f>IFERROR(VLOOKUP(B12,'TIMEFOLIO 코스피액티브(과거)'!$B$11:$E$1000,4,0),0)</f>
        <v>3.22</v>
      </c>
      <c r="E12" s="20">
        <f t="shared" si="0"/>
        <v>3.9999999999999591E-2</v>
      </c>
      <c r="F12" s="21">
        <f t="shared" si="1"/>
        <v>1.2422360248447006E-2</v>
      </c>
      <c r="G12" s="63" t="str">
        <f>VLOOKUP(H12,유니버스!$C$14:$D$2561,2,0)</f>
        <v>KS</v>
      </c>
      <c r="H12" s="65" t="str">
        <f>'KODEX 친환경조선해운액티브'!B18</f>
        <v>한국카본</v>
      </c>
      <c r="I12" s="65">
        <f>VLOOKUP(H12,'KODEX 친환경조선해운액티브'!$B$11:$E$1000,4,0)</f>
        <v>6.19</v>
      </c>
      <c r="J12" s="65">
        <f>IFERROR(VLOOKUP(H12,'KODEX 친환경조선해운액티브(과거)'!$B$11:$E$1000,4,0),0)</f>
        <v>5.91</v>
      </c>
      <c r="K12" s="20">
        <f t="shared" si="2"/>
        <v>0.28000000000000025</v>
      </c>
      <c r="L12" s="21">
        <f t="shared" si="3"/>
        <v>4.7377326565143818E-2</v>
      </c>
      <c r="M12" s="62" t="str">
        <f>VLOOKUP(N12,유니버스!$C$14:$D$2561,2,0)</f>
        <v>KQ</v>
      </c>
      <c r="N12" s="26" t="str">
        <f>'TIGER 코리아테크액티브'!B18</f>
        <v>기가비스</v>
      </c>
      <c r="O12" s="26">
        <f>VLOOKUP(N12,'TIGER 코리아테크액티브'!$B$11:$E$1000,4,0)</f>
        <v>2.88</v>
      </c>
      <c r="P12" s="26">
        <f>IFERROR(VLOOKUP(N12,'TIGER 코리아테크액티브(과거)'!$B$11:$E$1000,4,0),0)</f>
        <v>1.91</v>
      </c>
      <c r="Q12" s="26">
        <f t="shared" si="4"/>
        <v>0.97</v>
      </c>
      <c r="R12" s="27">
        <f t="shared" si="5"/>
        <v>0.50785340314136129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두산</v>
      </c>
      <c r="C13" s="65">
        <f>VLOOKUP(B13,'TIMEFOLIO 코스피액티브'!$B$11:$E$1000,4,0)</f>
        <v>2.61</v>
      </c>
      <c r="D13" s="65">
        <f>IFERROR(VLOOKUP(B13,'TIMEFOLIO 코스피액티브(과거)'!$B$11:$E$1000,4,0),0)</f>
        <v>2.5099999999999998</v>
      </c>
      <c r="E13" s="20">
        <f t="shared" si="0"/>
        <v>0.10000000000000009</v>
      </c>
      <c r="F13" s="21">
        <f t="shared" si="1"/>
        <v>3.9840637450199168E-2</v>
      </c>
      <c r="G13" s="63" t="str">
        <f>VLOOKUP(H13,유니버스!$C$14:$D$2561,2,0)</f>
        <v>KS</v>
      </c>
      <c r="H13" s="65" t="str">
        <f>'KODEX 친환경조선해운액티브'!B19</f>
        <v>한화엔진</v>
      </c>
      <c r="I13" s="65">
        <f>VLOOKUP(H13,'KODEX 친환경조선해운액티브'!$B$11:$E$1000,4,0)</f>
        <v>6.07</v>
      </c>
      <c r="J13" s="65">
        <f>IFERROR(VLOOKUP(H13,'KODEX 친환경조선해운액티브(과거)'!$B$11:$E$1000,4,0),0)</f>
        <v>6.11</v>
      </c>
      <c r="K13" s="20">
        <f t="shared" si="2"/>
        <v>-4.0000000000000036E-2</v>
      </c>
      <c r="L13" s="21">
        <f t="shared" si="3"/>
        <v>-6.5466448445171688E-3</v>
      </c>
      <c r="M13" s="62" t="str">
        <f>VLOOKUP(N13,유니버스!$C$14:$D$2561,2,0)</f>
        <v>KQ</v>
      </c>
      <c r="N13" s="26" t="str">
        <f>'TIGER 코리아테크액티브'!B19</f>
        <v>올릭스</v>
      </c>
      <c r="O13" s="26">
        <f>VLOOKUP(N13,'TIGER 코리아테크액티브'!$B$11:$E$1000,4,0)</f>
        <v>2.65</v>
      </c>
      <c r="P13" s="26">
        <f>IFERROR(VLOOKUP(N13,'TIGER 코리아테크액티브(과거)'!$B$11:$E$1000,4,0),0)</f>
        <v>1.44</v>
      </c>
      <c r="Q13" s="26">
        <f t="shared" si="4"/>
        <v>1.21</v>
      </c>
      <c r="R13" s="27">
        <f t="shared" si="5"/>
        <v>0.84027777777777768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LG에너지솔루션</v>
      </c>
      <c r="C14" s="65">
        <f>VLOOKUP(B14,'TIMEFOLIO 코스피액티브'!$B$11:$E$1000,4,0)</f>
        <v>2.5</v>
      </c>
      <c r="D14" s="65">
        <f>IFERROR(VLOOKUP(B14,'TIMEFOLIO 코스피액티브(과거)'!$B$11:$E$1000,4,0),0)</f>
        <v>2.72</v>
      </c>
      <c r="E14" s="20">
        <f t="shared" si="0"/>
        <v>-0.2200000000000002</v>
      </c>
      <c r="F14" s="21">
        <f t="shared" si="1"/>
        <v>-8.0882352941176516E-2</v>
      </c>
      <c r="G14" s="63" t="str">
        <f>VLOOKUP(H14,유니버스!$C$14:$D$2561,2,0)</f>
        <v>KS</v>
      </c>
      <c r="H14" s="65" t="str">
        <f>'KODEX 친환경조선해운액티브'!B20</f>
        <v>HD현대마린솔루션</v>
      </c>
      <c r="I14" s="65">
        <f>VLOOKUP(H14,'KODEX 친환경조선해운액티브'!$B$11:$E$1000,4,0)</f>
        <v>5.7</v>
      </c>
      <c r="J14" s="65">
        <f>IFERROR(VLOOKUP(H14,'KODEX 친환경조선해운액티브(과거)'!$B$11:$E$1000,4,0),0)</f>
        <v>5.15</v>
      </c>
      <c r="K14" s="20">
        <f t="shared" si="2"/>
        <v>0.54999999999999982</v>
      </c>
      <c r="L14" s="21">
        <f t="shared" si="3"/>
        <v>0.10679611650485432</v>
      </c>
      <c r="M14" s="62" t="str">
        <f>VLOOKUP(N14,유니버스!$C$14:$D$2561,2,0)</f>
        <v>KS</v>
      </c>
      <c r="N14" s="26" t="str">
        <f>'TIGER 코리아테크액티브'!B20</f>
        <v>DB하이텍</v>
      </c>
      <c r="O14" s="26">
        <f>VLOOKUP(N14,'TIGER 코리아테크액티브'!$B$11:$E$1000,4,0)</f>
        <v>2.14</v>
      </c>
      <c r="P14" s="26">
        <f>IFERROR(VLOOKUP(N14,'TIGER 코리아테크액티브(과거)'!$B$11:$E$1000,4,0),0)</f>
        <v>0</v>
      </c>
      <c r="Q14" s="26">
        <f t="shared" si="4"/>
        <v>2.14</v>
      </c>
      <c r="R14" s="27" t="str">
        <f t="shared" si="5"/>
        <v>신규편입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신세계</v>
      </c>
      <c r="C15" s="65">
        <f>VLOOKUP(B15,'TIMEFOLIO 코스피액티브'!$B$11:$E$1000,4,0)</f>
        <v>2.41</v>
      </c>
      <c r="D15" s="65">
        <f>IFERROR(VLOOKUP(B15,'TIMEFOLIO 코스피액티브(과거)'!$B$11:$E$1000,4,0),0)</f>
        <v>2.06</v>
      </c>
      <c r="E15" s="20">
        <f t="shared" si="0"/>
        <v>0.35000000000000009</v>
      </c>
      <c r="F15" s="21">
        <f t="shared" si="1"/>
        <v>0.16990291262135937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3.9</v>
      </c>
      <c r="J15" s="65">
        <f>IFERROR(VLOOKUP(H15,'KODEX 친환경조선해운액티브(과거)'!$B$11:$E$1000,4,0),0)</f>
        <v>3.82</v>
      </c>
      <c r="K15" s="20">
        <f t="shared" si="2"/>
        <v>8.0000000000000071E-2</v>
      </c>
      <c r="L15" s="21">
        <f t="shared" si="3"/>
        <v>2.0942408376963373E-2</v>
      </c>
      <c r="M15" s="62" t="str">
        <f>VLOOKUP(N15,유니버스!$C$14:$D$2561,2,0)</f>
        <v>KQ</v>
      </c>
      <c r="N15" s="26" t="str">
        <f>'TIGER 코리아테크액티브'!B21</f>
        <v>파두</v>
      </c>
      <c r="O15" s="26">
        <f>VLOOKUP(N15,'TIGER 코리아테크액티브'!$B$11:$E$1000,4,0)</f>
        <v>1.85</v>
      </c>
      <c r="P15" s="26">
        <f>IFERROR(VLOOKUP(N15,'TIGER 코리아테크액티브(과거)'!$B$11:$E$1000,4,0),0)</f>
        <v>1.93</v>
      </c>
      <c r="Q15" s="26">
        <f t="shared" si="4"/>
        <v>-7.9999999999999849E-2</v>
      </c>
      <c r="R15" s="27">
        <f t="shared" si="5"/>
        <v>-4.1450777202072464E-2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KB금융</v>
      </c>
      <c r="C16" s="65">
        <f>VLOOKUP(B16,'TIMEFOLIO 코스피액티브'!$B$11:$E$1000,4,0)</f>
        <v>2.35</v>
      </c>
      <c r="D16" s="65">
        <f>IFERROR(VLOOKUP(B16,'TIMEFOLIO 코스피액티브(과거)'!$B$11:$E$1000,4,0),0)</f>
        <v>2.19</v>
      </c>
      <c r="E16" s="20">
        <f t="shared" si="0"/>
        <v>0.16000000000000014</v>
      </c>
      <c r="F16" s="21">
        <f t="shared" si="1"/>
        <v>7.3059360730593603E-2</v>
      </c>
      <c r="G16" s="63" t="str">
        <f>VLOOKUP(H16,유니버스!$C$14:$D$2561,2,0)</f>
        <v>KS</v>
      </c>
      <c r="H16" s="65" t="str">
        <f>'KODEX 친환경조선해운액티브'!B22</f>
        <v>대한해운</v>
      </c>
      <c r="I16" s="65">
        <f>VLOOKUP(H16,'KODEX 친환경조선해운액티브'!$B$11:$E$1000,4,0)</f>
        <v>3.07</v>
      </c>
      <c r="J16" s="65">
        <f>IFERROR(VLOOKUP(H16,'KODEX 친환경조선해운액티브(과거)'!$B$11:$E$1000,4,0),0)</f>
        <v>2.96</v>
      </c>
      <c r="K16" s="20">
        <f t="shared" si="2"/>
        <v>0.10999999999999988</v>
      </c>
      <c r="L16" s="21">
        <f t="shared" si="3"/>
        <v>3.716216216216206E-2</v>
      </c>
      <c r="M16" s="62" t="str">
        <f>VLOOKUP(N16,유니버스!$C$14:$D$2561,2,0)</f>
        <v>KQ</v>
      </c>
      <c r="N16" s="26" t="str">
        <f>'TIGER 코리아테크액티브'!B22</f>
        <v>두산테스나</v>
      </c>
      <c r="O16" s="26">
        <f>VLOOKUP(N16,'TIGER 코리아테크액티브'!$B$11:$E$1000,4,0)</f>
        <v>1.76</v>
      </c>
      <c r="P16" s="26">
        <f>IFERROR(VLOOKUP(N16,'TIGER 코리아테크액티브(과거)'!$B$11:$E$1000,4,0),0)</f>
        <v>2.04</v>
      </c>
      <c r="Q16" s="26">
        <f t="shared" si="4"/>
        <v>-0.28000000000000003</v>
      </c>
      <c r="R16" s="27">
        <f t="shared" si="5"/>
        <v>-0.13725490196078427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효성중공업</v>
      </c>
      <c r="C17" s="65">
        <f>VLOOKUP(B17,'TIMEFOLIO 코스피액티브'!$B$11:$E$1000,4,0)</f>
        <v>2.0699999999999998</v>
      </c>
      <c r="D17" s="65">
        <f>IFERROR(VLOOKUP(B17,'TIMEFOLIO 코스피액티브(과거)'!$B$11:$E$1000,4,0),0)</f>
        <v>2.79</v>
      </c>
      <c r="E17" s="20">
        <f t="shared" si="0"/>
        <v>-0.7200000000000002</v>
      </c>
      <c r="F17" s="21">
        <f t="shared" si="1"/>
        <v>-0.25806451612903236</v>
      </c>
      <c r="G17" s="63" t="str">
        <f>VLOOKUP(H17,유니버스!$C$14:$D$2561,2,0)</f>
        <v>KS</v>
      </c>
      <c r="H17" s="65" t="str">
        <f>'KODEX 친환경조선해운액티브'!B23</f>
        <v>HMM</v>
      </c>
      <c r="I17" s="65">
        <f>VLOOKUP(H17,'KODEX 친환경조선해운액티브'!$B$11:$E$1000,4,0)</f>
        <v>3.01</v>
      </c>
      <c r="J17" s="65">
        <f>IFERROR(VLOOKUP(H17,'KODEX 친환경조선해운액티브(과거)'!$B$11:$E$1000,4,0),0)</f>
        <v>2.95</v>
      </c>
      <c r="K17" s="20">
        <f t="shared" si="2"/>
        <v>5.9999999999999609E-2</v>
      </c>
      <c r="L17" s="21">
        <f t="shared" si="3"/>
        <v>2.0338983050847359E-2</v>
      </c>
      <c r="M17" s="62" t="str">
        <f>VLOOKUP(N17,유니버스!$C$14:$D$2561,2,0)</f>
        <v>KS</v>
      </c>
      <c r="N17" s="26" t="str">
        <f>'TIGER 코리아테크액티브'!B23</f>
        <v>삼성SDI</v>
      </c>
      <c r="O17" s="26">
        <f>VLOOKUP(N17,'TIGER 코리아테크액티브'!$B$11:$E$1000,4,0)</f>
        <v>1.74</v>
      </c>
      <c r="P17" s="26">
        <f>IFERROR(VLOOKUP(N17,'TIGER 코리아테크액티브(과거)'!$B$11:$E$1000,4,0),0)</f>
        <v>3.03</v>
      </c>
      <c r="Q17" s="26">
        <f t="shared" si="4"/>
        <v>-1.2899999999999998</v>
      </c>
      <c r="R17" s="27">
        <f t="shared" si="5"/>
        <v>-0.42574257425742568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삼성물산</v>
      </c>
      <c r="C18" s="65">
        <f>VLOOKUP(B18,'TIMEFOLIO 코스피액티브'!$B$11:$E$1000,4,0)</f>
        <v>1.72</v>
      </c>
      <c r="D18" s="65">
        <f>IFERROR(VLOOKUP(B18,'TIMEFOLIO 코스피액티브(과거)'!$B$11:$E$1000,4,0),0)</f>
        <v>1.25</v>
      </c>
      <c r="E18" s="20">
        <f t="shared" si="0"/>
        <v>0.47</v>
      </c>
      <c r="F18" s="21">
        <f t="shared" si="1"/>
        <v>0.37599999999999989</v>
      </c>
      <c r="G18" s="63" t="str">
        <f>VLOOKUP(H18,유니버스!$C$14:$D$2561,2,0)</f>
        <v>KQ</v>
      </c>
      <c r="H18" s="65" t="str">
        <f>'KODEX 친환경조선해운액티브'!B24</f>
        <v>현대힘스</v>
      </c>
      <c r="I18" s="65">
        <f>VLOOKUP(H18,'KODEX 친환경조선해운액티브'!$B$11:$E$1000,4,0)</f>
        <v>1.99</v>
      </c>
      <c r="J18" s="65">
        <f>IFERROR(VLOOKUP(H18,'KODEX 친환경조선해운액티브(과거)'!$B$11:$E$1000,4,0),0)</f>
        <v>2.0099999999999998</v>
      </c>
      <c r="K18" s="20">
        <f t="shared" si="2"/>
        <v>-1.9999999999999796E-2</v>
      </c>
      <c r="L18" s="21">
        <f t="shared" si="3"/>
        <v>-9.9502487562188602E-3</v>
      </c>
      <c r="M18" s="62" t="str">
        <f>VLOOKUP(N18,유니버스!$C$14:$D$2561,2,0)</f>
        <v>KQ</v>
      </c>
      <c r="N18" s="26" t="str">
        <f>'TIGER 코리아테크액티브'!B24</f>
        <v>피에스케이홀딩스</v>
      </c>
      <c r="O18" s="26">
        <f>VLOOKUP(N18,'TIGER 코리아테크액티브'!$B$11:$E$1000,4,0)</f>
        <v>1.74</v>
      </c>
      <c r="P18" s="26">
        <f>IFERROR(VLOOKUP(N18,'TIGER 코리아테크액티브(과거)'!$B$11:$E$1000,4,0),0)</f>
        <v>1.1399999999999999</v>
      </c>
      <c r="Q18" s="26">
        <f t="shared" si="4"/>
        <v>0.60000000000000009</v>
      </c>
      <c r="R18" s="27">
        <f t="shared" si="5"/>
        <v>0.52631578947368429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현대백화점</v>
      </c>
      <c r="C19" s="65">
        <f>VLOOKUP(B19,'TIMEFOLIO 코스피액티브'!$B$11:$E$1000,4,0)</f>
        <v>1.24</v>
      </c>
      <c r="D19" s="65">
        <f>IFERROR(VLOOKUP(B19,'TIMEFOLIO 코스피액티브(과거)'!$B$11:$E$1000,4,0),0)</f>
        <v>1.1599999999999999</v>
      </c>
      <c r="E19" s="20">
        <f t="shared" si="0"/>
        <v>8.0000000000000071E-2</v>
      </c>
      <c r="F19" s="21">
        <f t="shared" si="1"/>
        <v>6.8965517241379448E-2</v>
      </c>
      <c r="G19" s="63" t="str">
        <f>VLOOKUP(H19,유니버스!$C$14:$D$2561,2,0)</f>
        <v>KS</v>
      </c>
      <c r="H19" s="65" t="str">
        <f>'KODEX 친환경조선해운액티브'!B25</f>
        <v>HD현대</v>
      </c>
      <c r="I19" s="65">
        <f>VLOOKUP(H19,'KODEX 친환경조선해운액티브'!$B$11:$E$1000,4,0)</f>
        <v>1.97</v>
      </c>
      <c r="J19" s="65">
        <f>IFERROR(VLOOKUP(H19,'KODEX 친환경조선해운액티브(과거)'!$B$11:$E$1000,4,0),0)</f>
        <v>2.56</v>
      </c>
      <c r="K19" s="20">
        <f t="shared" si="2"/>
        <v>-0.59000000000000008</v>
      </c>
      <c r="L19" s="21">
        <f t="shared" si="3"/>
        <v>-0.23046875</v>
      </c>
      <c r="M19" s="62" t="str">
        <f>VLOOKUP(N19,유니버스!$C$14:$D$2561,2,0)</f>
        <v>KQ</v>
      </c>
      <c r="N19" s="26" t="str">
        <f>'TIGER 코리아테크액티브'!B25</f>
        <v>티에스이</v>
      </c>
      <c r="O19" s="26">
        <f>VLOOKUP(N19,'TIGER 코리아테크액티브'!$B$11:$E$1000,4,0)</f>
        <v>1.67</v>
      </c>
      <c r="P19" s="26">
        <f>IFERROR(VLOOKUP(N19,'TIGER 코리아테크액티브(과거)'!$B$11:$E$1000,4,0),0)</f>
        <v>1.43</v>
      </c>
      <c r="Q19" s="26">
        <f t="shared" si="4"/>
        <v>0.24</v>
      </c>
      <c r="R19" s="27">
        <f t="shared" si="5"/>
        <v>0.16783216783216792</v>
      </c>
    </row>
    <row r="20" spans="1:18" x14ac:dyDescent="0.4">
      <c r="A20" s="63" t="str">
        <f>VLOOKUP(B20,유니버스!$C$14:$D$2561,2,0)</f>
        <v>KQ</v>
      </c>
      <c r="B20" s="65" t="str">
        <f>'TIMEFOLIO 코스피액티브'!B26</f>
        <v>알테오젠</v>
      </c>
      <c r="C20" s="65">
        <f>VLOOKUP(B20,'TIMEFOLIO 코스피액티브'!$B$11:$E$1000,4,0)</f>
        <v>1.22</v>
      </c>
      <c r="D20" s="65">
        <f>IFERROR(VLOOKUP(B20,'TIMEFOLIO 코스피액티브(과거)'!$B$11:$E$1000,4,0),0)</f>
        <v>0</v>
      </c>
      <c r="E20" s="20">
        <f t="shared" si="0"/>
        <v>1.22</v>
      </c>
      <c r="F20" s="21" t="str">
        <f t="shared" si="1"/>
        <v>신규편입</v>
      </c>
      <c r="G20" s="63" t="str">
        <f>VLOOKUP(H20,유니버스!$C$14:$D$2561,2,0)</f>
        <v>KS</v>
      </c>
      <c r="H20" s="65" t="str">
        <f>'KODEX 친환경조선해운액티브'!B26</f>
        <v>STX엔진</v>
      </c>
      <c r="I20" s="65">
        <f>VLOOKUP(H20,'KODEX 친환경조선해운액티브'!$B$11:$E$1000,4,0)</f>
        <v>1.82</v>
      </c>
      <c r="J20" s="65">
        <f>IFERROR(VLOOKUP(H20,'KODEX 친환경조선해운액티브(과거)'!$B$11:$E$1000,4,0),0)</f>
        <v>1.81</v>
      </c>
      <c r="K20" s="20">
        <f t="shared" si="2"/>
        <v>1.0000000000000009E-2</v>
      </c>
      <c r="L20" s="21">
        <f t="shared" si="3"/>
        <v>5.5248618784531356E-3</v>
      </c>
      <c r="M20" s="62" t="str">
        <f>VLOOKUP(N20,유니버스!$C$14:$D$2561,2,0)</f>
        <v>KQ</v>
      </c>
      <c r="N20" s="26" t="str">
        <f>'TIGER 코리아테크액티브'!B26</f>
        <v>엘티씨</v>
      </c>
      <c r="O20" s="26">
        <f>VLOOKUP(N20,'TIGER 코리아테크액티브'!$B$11:$E$1000,4,0)</f>
        <v>1.36</v>
      </c>
      <c r="P20" s="26">
        <f>IFERROR(VLOOKUP(N20,'TIGER 코리아테크액티브(과거)'!$B$11:$E$1000,4,0),0)</f>
        <v>0</v>
      </c>
      <c r="Q20" s="26">
        <f t="shared" si="4"/>
        <v>1.36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산일전기</v>
      </c>
      <c r="C21" s="65">
        <f>VLOOKUP(B21,'TIMEFOLIO 코스피액티브'!$B$11:$E$1000,4,0)</f>
        <v>1.22</v>
      </c>
      <c r="D21" s="65">
        <f>IFERROR(VLOOKUP(B21,'TIMEFOLIO 코스피액티브(과거)'!$B$11:$E$1000,4,0),0)</f>
        <v>0</v>
      </c>
      <c r="E21" s="20">
        <f t="shared" si="0"/>
        <v>1.22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'KODEX 친환경조선해운액티브'!B27</f>
        <v>한화시스템</v>
      </c>
      <c r="I21" s="65">
        <f>VLOOKUP(H21,'KODEX 친환경조선해운액티브'!$B$11:$E$1000,4,0)</f>
        <v>1.67</v>
      </c>
      <c r="J21" s="65">
        <f>IFERROR(VLOOKUP(H21,'KODEX 친환경조선해운액티브(과거)'!$B$11:$E$1000,4,0),0)</f>
        <v>1.79</v>
      </c>
      <c r="K21" s="20">
        <f t="shared" si="2"/>
        <v>-0.12000000000000011</v>
      </c>
      <c r="L21" s="21">
        <f t="shared" si="3"/>
        <v>-6.7039106145251437E-2</v>
      </c>
      <c r="M21" s="62" t="str">
        <f>VLOOKUP(N21,유니버스!$C$14:$D$2561,2,0)</f>
        <v>KS</v>
      </c>
      <c r="N21" s="26" t="str">
        <f>'TIGER 코리아테크액티브'!B27</f>
        <v>두산</v>
      </c>
      <c r="O21" s="26">
        <f>VLOOKUP(N21,'TIGER 코리아테크액티브'!$B$11:$E$1000,4,0)</f>
        <v>1.33</v>
      </c>
      <c r="P21" s="26">
        <f>IFERROR(VLOOKUP(N21,'TIGER 코리아테크액티브(과거)'!$B$11:$E$1000,4,0),0)</f>
        <v>1.32</v>
      </c>
      <c r="Q21" s="26">
        <f t="shared" si="4"/>
        <v>1.0000000000000009E-2</v>
      </c>
      <c r="R21" s="27">
        <f t="shared" si="5"/>
        <v>7.575757575757569E-3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한국금융지주</v>
      </c>
      <c r="C22" s="65">
        <f>VLOOKUP(B22,'TIMEFOLIO 코스피액티브'!$B$11:$E$1000,4,0)</f>
        <v>1.1299999999999999</v>
      </c>
      <c r="D22" s="65">
        <f>IFERROR(VLOOKUP(B22,'TIMEFOLIO 코스피액티브(과거)'!$B$11:$E$1000,4,0),0)</f>
        <v>0</v>
      </c>
      <c r="E22" s="20">
        <f t="shared" si="0"/>
        <v>1.1299999999999999</v>
      </c>
      <c r="F22" s="21" t="str">
        <f t="shared" si="1"/>
        <v>신규편입</v>
      </c>
      <c r="G22" s="63" t="str">
        <f>VLOOKUP(H22,유니버스!$C$14:$D$2561,2,0)</f>
        <v>KS</v>
      </c>
      <c r="H22" s="65" t="str">
        <f>'KODEX 친환경조선해운액티브'!B28</f>
        <v>삼성SDI</v>
      </c>
      <c r="I22" s="65">
        <f>VLOOKUP(H22,'KODEX 친환경조선해운액티브'!$B$11:$E$1000,4,0)</f>
        <v>1.58</v>
      </c>
      <c r="J22" s="65">
        <f>IFERROR(VLOOKUP(H22,'KODEX 친환경조선해운액티브(과거)'!$B$11:$E$1000,4,0),0)</f>
        <v>1.62</v>
      </c>
      <c r="K22" s="20">
        <f t="shared" si="2"/>
        <v>-4.0000000000000036E-2</v>
      </c>
      <c r="L22" s="21">
        <f t="shared" si="3"/>
        <v>-2.4691358024691357E-2</v>
      </c>
      <c r="M22" s="62" t="str">
        <f>VLOOKUP(N22,유니버스!$C$14:$D$2561,2,0)</f>
        <v>KS</v>
      </c>
      <c r="N22" s="26" t="str">
        <f>'TIGER 코리아테크액티브'!B28</f>
        <v>이수페타시스</v>
      </c>
      <c r="O22" s="26">
        <f>VLOOKUP(N22,'TIGER 코리아테크액티브'!$B$11:$E$1000,4,0)</f>
        <v>1.17</v>
      </c>
      <c r="P22" s="26">
        <f>IFERROR(VLOOKUP(N22,'TIGER 코리아테크액티브(과거)'!$B$11:$E$1000,4,0),0)</f>
        <v>0.82</v>
      </c>
      <c r="Q22" s="26">
        <f t="shared" si="4"/>
        <v>0.35</v>
      </c>
      <c r="R22" s="27">
        <f t="shared" si="5"/>
        <v>0.42682926829268286</v>
      </c>
    </row>
    <row r="23" spans="1:18" x14ac:dyDescent="0.4">
      <c r="A23" s="63" t="str">
        <f>VLOOKUP(B23,유니버스!$C$14:$D$2561,2,0)</f>
        <v>KQ</v>
      </c>
      <c r="B23" s="65" t="str">
        <f>'TIMEFOLIO 코스피액티브'!B29</f>
        <v>엘앤씨바이오</v>
      </c>
      <c r="C23" s="65">
        <f>VLOOKUP(B23,'TIMEFOLIO 코스피액티브'!$B$11:$E$1000,4,0)</f>
        <v>1.07</v>
      </c>
      <c r="D23" s="65">
        <f>IFERROR(VLOOKUP(B23,'TIMEFOLIO 코스피액티브(과거)'!$B$11:$E$1000,4,0),0)</f>
        <v>0</v>
      </c>
      <c r="E23" s="20">
        <f t="shared" si="0"/>
        <v>1.07</v>
      </c>
      <c r="F23" s="21" t="str">
        <f t="shared" si="1"/>
        <v>신규편입</v>
      </c>
      <c r="G23" s="63" t="str">
        <f>VLOOKUP(H23,유니버스!$C$14:$D$2561,2,0)</f>
        <v>KS</v>
      </c>
      <c r="H23" s="65" t="str">
        <f>'KODEX 친환경조선해운액티브'!B29</f>
        <v>LG에너지솔루션</v>
      </c>
      <c r="I23" s="65">
        <f>VLOOKUP(H23,'KODEX 친환경조선해운액티브'!$B$11:$E$1000,4,0)</f>
        <v>1.48</v>
      </c>
      <c r="J23" s="65">
        <f>IFERROR(VLOOKUP(H23,'KODEX 친환경조선해운액티브(과거)'!$B$11:$E$1000,4,0),0)</f>
        <v>1.56</v>
      </c>
      <c r="K23" s="20">
        <f t="shared" si="2"/>
        <v>-8.0000000000000071E-2</v>
      </c>
      <c r="L23" s="21">
        <f t="shared" si="3"/>
        <v>-5.1282051282051322E-2</v>
      </c>
      <c r="M23" s="62" t="str">
        <f>VLOOKUP(N23,유니버스!$C$14:$D$2561,2,0)</f>
        <v>KQ</v>
      </c>
      <c r="N23" s="26" t="str">
        <f>'TIGER 코리아테크액티브'!B29</f>
        <v>네오티스</v>
      </c>
      <c r="O23" s="26">
        <f>VLOOKUP(N23,'TIGER 코리아테크액티브'!$B$11:$E$1000,4,0)</f>
        <v>1.1499999999999999</v>
      </c>
      <c r="P23" s="26">
        <f>IFERROR(VLOOKUP(N23,'TIGER 코리아테크액티브(과거)'!$B$11:$E$1000,4,0),0)</f>
        <v>1.34</v>
      </c>
      <c r="Q23" s="26">
        <f t="shared" si="4"/>
        <v>-0.19000000000000017</v>
      </c>
      <c r="R23" s="27">
        <f t="shared" si="5"/>
        <v>-0.14179104477611948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LS</v>
      </c>
      <c r="C24" s="65">
        <f>VLOOKUP(B24,'TIMEFOLIO 코스피액티브'!$B$11:$E$1000,4,0)</f>
        <v>0.99</v>
      </c>
      <c r="D24" s="65">
        <f>IFERROR(VLOOKUP(B24,'TIMEFOLIO 코스피액티브(과거)'!$B$11:$E$1000,4,0),0)</f>
        <v>0.95</v>
      </c>
      <c r="E24" s="20">
        <f t="shared" si="0"/>
        <v>4.0000000000000036E-2</v>
      </c>
      <c r="F24" s="21">
        <f t="shared" si="1"/>
        <v>4.2105263157894868E-2</v>
      </c>
      <c r="G24" s="63" t="str">
        <f>VLOOKUP(H24,유니버스!$C$14:$D$2561,2,0)</f>
        <v>KS</v>
      </c>
      <c r="H24" s="65" t="str">
        <f>'KODEX 친환경조선해운액티브'!B30</f>
        <v>S-Oil</v>
      </c>
      <c r="I24" s="65">
        <f>VLOOKUP(H24,'KODEX 친환경조선해운액티브'!$B$11:$E$1000,4,0)</f>
        <v>1.3</v>
      </c>
      <c r="J24" s="65">
        <f>IFERROR(VLOOKUP(H24,'KODEX 친환경조선해운액티브(과거)'!$B$11:$E$1000,4,0),0)</f>
        <v>1.1299999999999999</v>
      </c>
      <c r="K24" s="20">
        <f t="shared" si="2"/>
        <v>0.17000000000000015</v>
      </c>
      <c r="L24" s="21">
        <f t="shared" si="3"/>
        <v>0.15044247787610643</v>
      </c>
      <c r="M24" s="62" t="str">
        <f>VLOOKUP(N24,유니버스!$C$14:$D$2561,2,0)</f>
        <v>KQ</v>
      </c>
      <c r="N24" s="26" t="str">
        <f>'TIGER 코리아테크액티브'!B30</f>
        <v>GST</v>
      </c>
      <c r="O24" s="26">
        <f>VLOOKUP(N24,'TIGER 코리아테크액티브'!$B$11:$E$1000,4,0)</f>
        <v>1.1100000000000001</v>
      </c>
      <c r="P24" s="26">
        <f>IFERROR(VLOOKUP(N24,'TIGER 코리아테크액티브(과거)'!$B$11:$E$1000,4,0),0)</f>
        <v>1.08</v>
      </c>
      <c r="Q24" s="26">
        <f t="shared" si="4"/>
        <v>3.0000000000000027E-2</v>
      </c>
      <c r="R24" s="27">
        <f t="shared" si="5"/>
        <v>2.7777777777777901E-2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신한지주</v>
      </c>
      <c r="C25" s="65">
        <f>VLOOKUP(B25,'TIMEFOLIO 코스피액티브'!$B$11:$E$1000,4,0)</f>
        <v>0.98</v>
      </c>
      <c r="D25" s="65">
        <f>IFERROR(VLOOKUP(B25,'TIMEFOLIO 코스피액티브(과거)'!$B$11:$E$1000,4,0),0)</f>
        <v>0</v>
      </c>
      <c r="E25" s="20">
        <f t="shared" si="0"/>
        <v>0.98</v>
      </c>
      <c r="F25" s="21" t="str">
        <f t="shared" si="1"/>
        <v>신규편입</v>
      </c>
      <c r="G25" s="63" t="str">
        <f>VLOOKUP(H25,유니버스!$C$14:$D$2561,2,0)</f>
        <v>KS</v>
      </c>
      <c r="H25" s="65" t="str">
        <f>'KODEX 친환경조선해운액티브'!B31</f>
        <v>SK</v>
      </c>
      <c r="I25" s="65">
        <f>VLOOKUP(H25,'KODEX 친환경조선해운액티브'!$B$11:$E$1000,4,0)</f>
        <v>1.08</v>
      </c>
      <c r="J25" s="65">
        <f>IFERROR(VLOOKUP(H25,'KODEX 친환경조선해운액티브(과거)'!$B$11:$E$1000,4,0),0)</f>
        <v>2.37</v>
      </c>
      <c r="K25" s="20">
        <f t="shared" si="2"/>
        <v>-1.29</v>
      </c>
      <c r="L25" s="21">
        <f t="shared" si="3"/>
        <v>-0.54430379746835444</v>
      </c>
      <c r="M25" s="62" t="str">
        <f>VLOOKUP(N25,유니버스!$C$14:$D$2561,2,0)</f>
        <v>KQ</v>
      </c>
      <c r="N25" s="26" t="str">
        <f>'TIGER 코리아테크액티브'!B31</f>
        <v>심텍</v>
      </c>
      <c r="O25" s="26">
        <f>VLOOKUP(N25,'TIGER 코리아테크액티브'!$B$11:$E$1000,4,0)</f>
        <v>1.08</v>
      </c>
      <c r="P25" s="26">
        <f>IFERROR(VLOOKUP(N25,'TIGER 코리아테크액티브(과거)'!$B$11:$E$1000,4,0),0)</f>
        <v>0</v>
      </c>
      <c r="Q25" s="26">
        <f t="shared" si="4"/>
        <v>1.08</v>
      </c>
      <c r="R25" s="27" t="str">
        <f t="shared" si="5"/>
        <v>신규편입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현대차</v>
      </c>
      <c r="C26" s="65">
        <f>VLOOKUP(B26,'TIMEFOLIO 코스피액티브'!$B$11:$E$1000,4,0)</f>
        <v>0.98</v>
      </c>
      <c r="D26" s="65">
        <f>IFERROR(VLOOKUP(B26,'TIMEFOLIO 코스피액티브(과거)'!$B$11:$E$1000,4,0),0)</f>
        <v>2.56</v>
      </c>
      <c r="E26" s="20">
        <f t="shared" si="0"/>
        <v>-1.58</v>
      </c>
      <c r="F26" s="21">
        <f t="shared" si="1"/>
        <v>-0.6171875</v>
      </c>
      <c r="G26" s="63" t="str">
        <f>VLOOKUP(H26,유니버스!$C$14:$D$2561,2,0)</f>
        <v>KS</v>
      </c>
      <c r="H26" s="65" t="str">
        <f>'KODEX 친환경조선해운액티브'!B32</f>
        <v>HJ중공업</v>
      </c>
      <c r="I26" s="65">
        <f>VLOOKUP(H26,'KODEX 친환경조선해운액티브'!$B$11:$E$1000,4,0)</f>
        <v>1.02</v>
      </c>
      <c r="J26" s="65">
        <f>IFERROR(VLOOKUP(H26,'KODEX 친환경조선해운액티브(과거)'!$B$11:$E$1000,4,0),0)</f>
        <v>1.29</v>
      </c>
      <c r="K26" s="20">
        <f t="shared" si="2"/>
        <v>-0.27</v>
      </c>
      <c r="L26" s="21">
        <f t="shared" si="3"/>
        <v>-0.20930232558139539</v>
      </c>
      <c r="M26" s="62" t="str">
        <f>VLOOKUP(N26,유니버스!$C$14:$D$2561,2,0)</f>
        <v>KQ</v>
      </c>
      <c r="N26" s="26" t="str">
        <f>'TIGER 코리아테크액티브'!B32</f>
        <v>넥스틴</v>
      </c>
      <c r="O26" s="26">
        <f>VLOOKUP(N26,'TIGER 코리아테크액티브'!$B$11:$E$1000,4,0)</f>
        <v>0.8</v>
      </c>
      <c r="P26" s="26">
        <f>IFERROR(VLOOKUP(N26,'TIGER 코리아테크액티브(과거)'!$B$11:$E$1000,4,0),0)</f>
        <v>0.93</v>
      </c>
      <c r="Q26" s="26">
        <f t="shared" si="4"/>
        <v>-0.13</v>
      </c>
      <c r="R26" s="27">
        <f t="shared" si="5"/>
        <v>-0.13978494623655913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POSCO홀딩스</v>
      </c>
      <c r="C27" s="65">
        <f>VLOOKUP(B27,'TIMEFOLIO 코스피액티브'!$B$11:$E$1000,4,0)</f>
        <v>0.98</v>
      </c>
      <c r="D27" s="65">
        <f>IFERROR(VLOOKUP(B27,'TIMEFOLIO 코스피액티브(과거)'!$B$11:$E$1000,4,0),0)</f>
        <v>1.03</v>
      </c>
      <c r="E27" s="20">
        <f t="shared" si="0"/>
        <v>-5.0000000000000044E-2</v>
      </c>
      <c r="F27" s="21">
        <f t="shared" si="1"/>
        <v>-4.8543689320388439E-2</v>
      </c>
      <c r="G27" s="63" t="str">
        <f>VLOOKUP(H27,유니버스!$C$14:$D$2561,2,0)</f>
        <v>KS</v>
      </c>
      <c r="H27" s="65" t="str">
        <f>'KODEX 친환경조선해운액티브'!B33</f>
        <v>한국가스공사</v>
      </c>
      <c r="I27" s="65">
        <f>VLOOKUP(H27,'KODEX 친환경조선해운액티브'!$B$11:$E$1000,4,0)</f>
        <v>0.99</v>
      </c>
      <c r="J27" s="65">
        <f>IFERROR(VLOOKUP(H27,'KODEX 친환경조선해운액티브(과거)'!$B$11:$E$1000,4,0),0)</f>
        <v>0</v>
      </c>
      <c r="K27" s="20">
        <f t="shared" ref="K27" si="6">I27-J27</f>
        <v>0.99</v>
      </c>
      <c r="L27" s="21" t="str">
        <f t="shared" ref="L27" si="7">IFERROR(I27/J27-1,"신규편입")</f>
        <v>신규편입</v>
      </c>
      <c r="M27" s="62" t="str">
        <f>VLOOKUP(N27,유니버스!$C$14:$D$2561,2,0)</f>
        <v>KS</v>
      </c>
      <c r="N27" s="26" t="str">
        <f>'TIGER 코리아테크액티브'!B33</f>
        <v>SK스퀘어</v>
      </c>
      <c r="O27" s="26">
        <f>VLOOKUP(N27,'TIGER 코리아테크액티브'!$B$11:$E$1000,4,0)</f>
        <v>0.73</v>
      </c>
      <c r="P27" s="26">
        <f>IFERROR(VLOOKUP(N27,'TIGER 코리아테크액티브(과거)'!$B$11:$E$1000,4,0),0)</f>
        <v>1.44</v>
      </c>
      <c r="Q27" s="26">
        <f t="shared" si="4"/>
        <v>-0.71</v>
      </c>
      <c r="R27" s="27">
        <f t="shared" si="5"/>
        <v>-0.49305555555555558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삼성화재</v>
      </c>
      <c r="C28" s="65">
        <f>VLOOKUP(B28,'TIMEFOLIO 코스피액티브'!$B$11:$E$1000,4,0)</f>
        <v>0.97</v>
      </c>
      <c r="D28" s="65">
        <f>IFERROR(VLOOKUP(B28,'TIMEFOLIO 코스피액티브(과거)'!$B$11:$E$1000,4,0),0)</f>
        <v>2.0299999999999998</v>
      </c>
      <c r="E28" s="20">
        <f t="shared" si="0"/>
        <v>-1.0599999999999998</v>
      </c>
      <c r="F28" s="21">
        <f t="shared" si="1"/>
        <v>-0.52216748768472909</v>
      </c>
      <c r="G28" s="63" t="str">
        <f>VLOOKUP(H28,유니버스!$C$14:$D$2561,2,0)</f>
        <v>KS</v>
      </c>
      <c r="H28" s="65" t="str">
        <f>'KODEX 친환경조선해운액티브'!B34</f>
        <v>롯데케미칼</v>
      </c>
      <c r="I28" s="65">
        <f>VLOOKUP(H28,'KODEX 친환경조선해운액티브'!$B$11:$E$1000,4,0)</f>
        <v>0.94</v>
      </c>
      <c r="J28" s="65">
        <f>IFERROR(VLOOKUP(H28,'KODEX 친환경조선해운액티브(과거)'!$B$11:$E$1000,4,0),0)</f>
        <v>1.01</v>
      </c>
      <c r="K28" s="20">
        <f t="shared" ref="K28:K30" si="8">I28-J28</f>
        <v>-7.0000000000000062E-2</v>
      </c>
      <c r="L28" s="21">
        <f t="shared" ref="L28:L30" si="9">IFERROR(I28/J28-1,"신규편입")</f>
        <v>-6.9306930693069368E-2</v>
      </c>
      <c r="M28" s="62" t="e">
        <f>VLOOKUP(N28,유니버스!$C$14:$D$2561,2,0)</f>
        <v>#N/A</v>
      </c>
      <c r="N28" s="26" t="str">
        <f>'TIGER 코리아테크액티브'!B34</f>
        <v>원화현금</v>
      </c>
      <c r="O28" s="26">
        <f>VLOOKUP(N28,'TIGER 코리아테크액티브'!$B$11:$E$1000,4,0)</f>
        <v>1.32</v>
      </c>
      <c r="P28" s="26">
        <f>IFERROR(VLOOKUP(N28,'TIGER 코리아테크액티브(과거)'!$B$11:$E$1000,4,0),0)</f>
        <v>0.59</v>
      </c>
      <c r="Q28" s="26">
        <f t="shared" ref="Q28:Q29" si="10">O28-P28</f>
        <v>0.73000000000000009</v>
      </c>
      <c r="R28" s="27">
        <f t="shared" ref="R28:R29" si="11">IFERROR(O28/P28-1,"신규편입")</f>
        <v>1.2372881355932206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SK텔레콤</v>
      </c>
      <c r="C29" s="65">
        <f>VLOOKUP(B29,'TIMEFOLIO 코스피액티브'!$B$11:$E$1000,4,0)</f>
        <v>0.96</v>
      </c>
      <c r="D29" s="65">
        <f>IFERROR(VLOOKUP(B29,'TIMEFOLIO 코스피액티브(과거)'!$B$11:$E$1000,4,0),0)</f>
        <v>0.97</v>
      </c>
      <c r="E29" s="20">
        <f t="shared" ref="E29" si="12">C29-D29</f>
        <v>-1.0000000000000009E-2</v>
      </c>
      <c r="F29" s="21">
        <f t="shared" ref="F29" si="13">IFERROR(C29/D29-1,"신규편입")</f>
        <v>-1.0309278350515427E-2</v>
      </c>
      <c r="G29" s="63" t="str">
        <f>VLOOKUP(H29,유니버스!$C$14:$D$2561,2,0)</f>
        <v>KQ</v>
      </c>
      <c r="H29" s="65" t="str">
        <f>'KODEX 친환경조선해운액티브'!B35</f>
        <v>에코프로비엠</v>
      </c>
      <c r="I29" s="65">
        <f>VLOOKUP(H29,'KODEX 친환경조선해운액티브'!$B$11:$E$1000,4,0)</f>
        <v>0.88</v>
      </c>
      <c r="J29" s="65">
        <f>IFERROR(VLOOKUP(H29,'KODEX 친환경조선해운액티브(과거)'!$B$11:$E$1000,4,0),0)</f>
        <v>1.02</v>
      </c>
      <c r="K29" s="20">
        <f t="shared" si="8"/>
        <v>-0.14000000000000001</v>
      </c>
      <c r="L29" s="21">
        <f t="shared" si="9"/>
        <v>-0.13725490196078427</v>
      </c>
      <c r="M29" s="62" t="e">
        <f>VLOOKUP(N29,유니버스!$C$14:$D$2561,2,0)</f>
        <v>#N/A</v>
      </c>
      <c r="N29" s="26">
        <f>'TIGER 코리아테크액티브'!B35</f>
        <v>0</v>
      </c>
      <c r="O29" s="26" t="e">
        <f>VLOOKUP(N29,'TIGER 코리아테크액티브'!$B$11:$E$1000,4,0)</f>
        <v>#N/A</v>
      </c>
      <c r="P29" s="26">
        <f>IFERROR(VLOOKUP(N29,'TIGER 코리아테크액티브(과거)'!$B$11:$E$1000,4,0),0)</f>
        <v>0</v>
      </c>
      <c r="Q29" s="26" t="e">
        <f t="shared" si="10"/>
        <v>#N/A</v>
      </c>
      <c r="R29" s="27" t="str">
        <f t="shared" si="11"/>
        <v>신규편입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LIG디펜스앤에어로스페이스</v>
      </c>
      <c r="C30" s="65">
        <f>VLOOKUP(B30,'TIMEFOLIO 코스피액티브'!$B$11:$E$1000,4,0)</f>
        <v>0.93</v>
      </c>
      <c r="D30" s="65">
        <f>IFERROR(VLOOKUP(B30,'TIMEFOLIO 코스피액티브(과거)'!$B$11:$E$1000,4,0),0)</f>
        <v>0.96</v>
      </c>
      <c r="E30" s="20">
        <f t="shared" ref="E30:E35" si="14">C30-D30</f>
        <v>-2.9999999999999916E-2</v>
      </c>
      <c r="F30" s="21">
        <f t="shared" ref="F30:F35" si="15">IFERROR(C30/D30-1,"신규편입")</f>
        <v>-3.1249999999999889E-2</v>
      </c>
      <c r="G30" s="63" t="e">
        <f>VLOOKUP(H30,유니버스!$C$14:$D$2561,2,0)</f>
        <v>#N/A</v>
      </c>
      <c r="H30" s="65" t="str">
        <f>'KODEX 친환경조선해운액티브'!B36</f>
        <v>원화현금</v>
      </c>
      <c r="I30" s="65">
        <f>VLOOKUP(H30,'KODEX 친환경조선해운액티브'!$B$11:$E$1000,4,0)</f>
        <v>0.69</v>
      </c>
      <c r="J30" s="65">
        <f>IFERROR(VLOOKUP(H30,'KODEX 친환경조선해운액티브(과거)'!$B$11:$E$1000,4,0),0)</f>
        <v>0</v>
      </c>
      <c r="K30" s="20">
        <f t="shared" si="8"/>
        <v>0.69</v>
      </c>
      <c r="L30" s="21" t="str">
        <f t="shared" si="9"/>
        <v>신규편입</v>
      </c>
      <c r="N30" s="26"/>
      <c r="O30" s="26"/>
      <c r="P30" s="26"/>
      <c r="Q30" s="26"/>
      <c r="R30" s="27"/>
    </row>
    <row r="31" spans="1:18" x14ac:dyDescent="0.4">
      <c r="A31" s="63" t="str">
        <f>VLOOKUP(B31,유니버스!$C$14:$D$2561,2,0)</f>
        <v>KS</v>
      </c>
      <c r="B31" s="65" t="str">
        <f>'TIMEFOLIO 코스피액티브'!B37</f>
        <v>한국콜마</v>
      </c>
      <c r="C31" s="65">
        <f>VLOOKUP(B31,'TIMEFOLIO 코스피액티브'!$B$11:$E$1000,4,0)</f>
        <v>0.88</v>
      </c>
      <c r="D31" s="65">
        <f>IFERROR(VLOOKUP(B31,'TIMEFOLIO 코스피액티브(과거)'!$B$11:$E$1000,4,0),0)</f>
        <v>0</v>
      </c>
      <c r="E31" s="20">
        <f t="shared" si="14"/>
        <v>0.88</v>
      </c>
      <c r="F31" s="21" t="str">
        <f t="shared" si="15"/>
        <v>신규편입</v>
      </c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A32" s="63" t="str">
        <f>VLOOKUP(B32,유니버스!$C$14:$D$2561,2,0)</f>
        <v>KS</v>
      </c>
      <c r="B32" s="65" t="str">
        <f>'TIMEFOLIO 코스피액티브'!B38</f>
        <v>삼성증권</v>
      </c>
      <c r="C32" s="65">
        <f>VLOOKUP(B32,'TIMEFOLIO 코스피액티브'!$B$11:$E$1000,4,0)</f>
        <v>0.87</v>
      </c>
      <c r="D32" s="65">
        <f>IFERROR(VLOOKUP(B32,'TIMEFOLIO 코스피액티브(과거)'!$B$11:$E$1000,4,0),0)</f>
        <v>0</v>
      </c>
      <c r="E32" s="20">
        <f t="shared" si="14"/>
        <v>0.87</v>
      </c>
      <c r="F32" s="21" t="str">
        <f t="shared" si="15"/>
        <v>신규편입</v>
      </c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1:18" x14ac:dyDescent="0.4">
      <c r="A33" s="63" t="str">
        <f>VLOOKUP(B33,유니버스!$C$14:$D$2561,2,0)</f>
        <v>KS</v>
      </c>
      <c r="B33" s="65" t="str">
        <f>'TIMEFOLIO 코스피액티브'!B39</f>
        <v>KT&amp;G</v>
      </c>
      <c r="C33" s="65">
        <f>VLOOKUP(B33,'TIMEFOLIO 코스피액티브'!$B$11:$E$1000,4,0)</f>
        <v>0.73</v>
      </c>
      <c r="D33" s="65">
        <f>IFERROR(VLOOKUP(B33,'TIMEFOLIO 코스피액티브(과거)'!$B$11:$E$1000,4,0),0)</f>
        <v>0.52</v>
      </c>
      <c r="E33" s="20">
        <f t="shared" si="14"/>
        <v>0.20999999999999996</v>
      </c>
      <c r="F33" s="21">
        <f t="shared" si="15"/>
        <v>0.40384615384615374</v>
      </c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1:18" x14ac:dyDescent="0.4">
      <c r="A34" s="63" t="str">
        <f>VLOOKUP(B34,유니버스!$C$14:$D$2561,2,0)</f>
        <v>KS</v>
      </c>
      <c r="B34" s="65" t="str">
        <f>'TIMEFOLIO 코스피액티브'!B40</f>
        <v>LS ELECTRIC</v>
      </c>
      <c r="C34" s="65">
        <f>VLOOKUP(B34,'TIMEFOLIO 코스피액티브'!$B$11:$E$1000,4,0)</f>
        <v>0.65</v>
      </c>
      <c r="D34" s="65">
        <f>IFERROR(VLOOKUP(B34,'TIMEFOLIO 코스피액티브(과거)'!$B$11:$E$1000,4,0),0)</f>
        <v>0</v>
      </c>
      <c r="E34" s="20">
        <f t="shared" si="14"/>
        <v>0.65</v>
      </c>
      <c r="F34" s="21" t="str">
        <f t="shared" si="15"/>
        <v>신규편입</v>
      </c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1:18" x14ac:dyDescent="0.4">
      <c r="A35" s="63" t="str">
        <f>VLOOKUP(B35,유니버스!$C$14:$D$2561,2,0)</f>
        <v>KS</v>
      </c>
      <c r="B35" s="65" t="str">
        <f>'TIMEFOLIO 코스피액티브'!B41</f>
        <v>달바글로벌</v>
      </c>
      <c r="C35" s="65">
        <f>VLOOKUP(B35,'TIMEFOLIO 코스피액티브'!$B$11:$E$1000,4,0)</f>
        <v>0.65</v>
      </c>
      <c r="D35" s="65">
        <f>IFERROR(VLOOKUP(B35,'TIMEFOLIO 코스피액티브(과거)'!$B$11:$E$1000,4,0),0)</f>
        <v>0</v>
      </c>
      <c r="E35" s="20">
        <f t="shared" si="14"/>
        <v>0.65</v>
      </c>
      <c r="F35" s="21" t="str">
        <f t="shared" si="15"/>
        <v>신규편입</v>
      </c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1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I25" zoomScaleNormal="100" workbookViewId="0">
      <selection activeCell="N42" sqref="N4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[20260701]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19.84</v>
      </c>
      <c r="D5" s="65">
        <f>IFERROR(VLOOKUP(B5,'KoAct K수출핵심기업TOP30액티브(과거)'!$B$11:$E$1000,4,0),0)</f>
        <v>19.8</v>
      </c>
      <c r="E5" s="20">
        <f>C5-D5</f>
        <v>3.9999999999999147E-2</v>
      </c>
      <c r="F5" s="21">
        <f>IFERROR(C5/D5-1,"신규편입")</f>
        <v>2.0202020202020332E-3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11.3</v>
      </c>
      <c r="J5" s="65">
        <f>IFERROR(VLOOKUP(H5,'KODEX 로봇액티브(과거)'!$B$11:$E$1000,4,0),0)</f>
        <v>11.14</v>
      </c>
      <c r="K5" s="26">
        <f>I5-J5</f>
        <v>0.16000000000000014</v>
      </c>
      <c r="L5" s="27">
        <f>IFERROR(I5/J5-1,"신규편입")</f>
        <v>1.4362657091562037E-2</v>
      </c>
      <c r="M5" s="62" t="str">
        <f>VLOOKUP(N5,유니버스!$C$14:$D$2561,2,0)</f>
        <v>KS</v>
      </c>
      <c r="N5" s="26" t="str">
        <f>'TIMEFOLIO K컬처액티브'!B11</f>
        <v>삼양식품</v>
      </c>
      <c r="O5" s="20">
        <f>VLOOKUP(N5,'TIMEFOLIO K컬처액티브'!$B$11:$E$1000,4,0)</f>
        <v>6.33</v>
      </c>
      <c r="P5" s="20">
        <f>IFERROR(VLOOKUP(N5,'TIMEFOLIO K컬처액티브(과거)'!$B$11:$E$1000,4,0),0)</f>
        <v>6.18</v>
      </c>
      <c r="Q5" s="20">
        <f>O5-P5</f>
        <v>0.15000000000000036</v>
      </c>
      <c r="R5" s="21">
        <f>IFERROR(O5/P5-1,"신규편입")</f>
        <v>2.4271844660194164E-2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9.66</v>
      </c>
      <c r="D6" s="65">
        <f>IFERROR(VLOOKUP(B6,'KoAct K수출핵심기업TOP30액티브(과거)'!$B$11:$E$1000,4,0),0)</f>
        <v>10.050000000000001</v>
      </c>
      <c r="E6" s="20">
        <f t="shared" ref="E6:E37" si="0">C6-D6</f>
        <v>-0.39000000000000057</v>
      </c>
      <c r="F6" s="21">
        <f t="shared" ref="F6:F37" si="1">IFERROR(C6/D6-1,"신규편입")</f>
        <v>-3.8805970149253799E-2</v>
      </c>
      <c r="G6" s="63" t="str">
        <f>VLOOKUP(H6,유니버스!$C$14:$D$2561,2,0)</f>
        <v>KQ</v>
      </c>
      <c r="H6" s="65" t="str">
        <f>'KODEX 로봇액티브'!B12</f>
        <v>로보티즈</v>
      </c>
      <c r="I6" s="65">
        <f>VLOOKUP(H6,'KODEX 로봇액티브'!$B$11:$E$1000,4,0)</f>
        <v>8.31</v>
      </c>
      <c r="J6" s="65">
        <f>IFERROR(VLOOKUP(H6,'KODEX 로봇액티브(과거)'!$B$11:$E$1000,4,0),0)</f>
        <v>7.51</v>
      </c>
      <c r="K6" s="26">
        <f t="shared" ref="K6:K37" si="2">I6-J6</f>
        <v>0.80000000000000071</v>
      </c>
      <c r="L6" s="27">
        <f t="shared" ref="L6:L37" si="3">IFERROR(I6/J6-1,"신규편입")</f>
        <v>0.10652463382157129</v>
      </c>
      <c r="M6" s="62" t="str">
        <f>VLOOKUP(N6,유니버스!$C$14:$D$2561,2,0)</f>
        <v>KQ</v>
      </c>
      <c r="N6" s="26" t="str">
        <f>'TIMEFOLIO K컬처액티브'!B12</f>
        <v>휴젤</v>
      </c>
      <c r="O6" s="20">
        <f>VLOOKUP(N6,'TIMEFOLIO K컬처액티브'!$B$11:$E$1000,4,0)</f>
        <v>6.23</v>
      </c>
      <c r="P6" s="20">
        <f>IFERROR(VLOOKUP(N6,'TIMEFOLIO K컬처액티브(과거)'!$B$11:$E$1000,4,0),0)</f>
        <v>5.65</v>
      </c>
      <c r="Q6" s="20">
        <f t="shared" ref="Q6:Q24" si="4">O6-P6</f>
        <v>0.58000000000000007</v>
      </c>
      <c r="R6" s="21">
        <f t="shared" ref="R6:R24" si="5">IFERROR(O6/P6-1,"신규편입")</f>
        <v>0.10265486725663719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삼성전기</v>
      </c>
      <c r="C7" s="65">
        <f>VLOOKUP(B7,'KoAct K수출핵심기업TOP30액티브'!$B$11:$E$1000,4,0)</f>
        <v>7.81</v>
      </c>
      <c r="D7" s="65">
        <f>IFERROR(VLOOKUP(B7,'KoAct K수출핵심기업TOP30액티브(과거)'!$B$11:$E$1000,4,0),0)</f>
        <v>7.43</v>
      </c>
      <c r="E7" s="20">
        <f t="shared" si="0"/>
        <v>0.37999999999999989</v>
      </c>
      <c r="F7" s="21">
        <f t="shared" si="1"/>
        <v>5.1144010767160131E-2</v>
      </c>
      <c r="G7" s="63" t="str">
        <f>VLOOKUP(H7,유니버스!$C$14:$D$2561,2,0)</f>
        <v>KS</v>
      </c>
      <c r="H7" s="65" t="str">
        <f>'KODEX 로봇액티브'!B13</f>
        <v>현대모비스</v>
      </c>
      <c r="I7" s="65">
        <f>VLOOKUP(H7,'KODEX 로봇액티브'!$B$11:$E$1000,4,0)</f>
        <v>7.19</v>
      </c>
      <c r="J7" s="65">
        <f>IFERROR(VLOOKUP(H7,'KODEX 로봇액티브(과거)'!$B$11:$E$1000,4,0),0)</f>
        <v>7.8</v>
      </c>
      <c r="K7" s="26">
        <f t="shared" si="2"/>
        <v>-0.60999999999999943</v>
      </c>
      <c r="L7" s="27">
        <f t="shared" si="3"/>
        <v>-7.8205128205128149E-2</v>
      </c>
      <c r="M7" s="62" t="str">
        <f>VLOOKUP(N7,유니버스!$C$14:$D$2561,2,0)</f>
        <v>KS</v>
      </c>
      <c r="N7" s="26" t="str">
        <f>'TIMEFOLIO K컬처액티브'!B13</f>
        <v>에이피알</v>
      </c>
      <c r="O7" s="20">
        <f>VLOOKUP(N7,'TIMEFOLIO K컬처액티브'!$B$11:$E$1000,4,0)</f>
        <v>5.56</v>
      </c>
      <c r="P7" s="20">
        <f>IFERROR(VLOOKUP(N7,'TIMEFOLIO K컬처액티브(과거)'!$B$11:$E$1000,4,0),0)</f>
        <v>5.44</v>
      </c>
      <c r="Q7" s="20">
        <f t="shared" si="4"/>
        <v>0.11999999999999922</v>
      </c>
      <c r="R7" s="21">
        <f t="shared" si="5"/>
        <v>2.2058823529411686E-2</v>
      </c>
    </row>
    <row r="8" spans="1:18" x14ac:dyDescent="0.4">
      <c r="A8" s="63" t="str">
        <f>VLOOKUP(B8,유니버스!$C$14:$D$2561,2,0)</f>
        <v>KQ</v>
      </c>
      <c r="B8" s="65" t="str">
        <f>'KoAct K수출핵심기업TOP30액티브'!B14</f>
        <v>제주반도체</v>
      </c>
      <c r="C8" s="65">
        <f>VLOOKUP(B8,'KoAct K수출핵심기업TOP30액티브'!$B$11:$E$1000,4,0)</f>
        <v>7.35</v>
      </c>
      <c r="D8" s="65">
        <f>IFERROR(VLOOKUP(B8,'KoAct K수출핵심기업TOP30액티브(과거)'!$B$11:$E$1000,4,0),0)</f>
        <v>10</v>
      </c>
      <c r="E8" s="20">
        <f t="shared" si="0"/>
        <v>-2.6500000000000004</v>
      </c>
      <c r="F8" s="21">
        <f t="shared" si="1"/>
        <v>-0.26500000000000001</v>
      </c>
      <c r="G8" s="63" t="str">
        <f>VLOOKUP(H8,유니버스!$C$14:$D$2561,2,0)</f>
        <v>KS</v>
      </c>
      <c r="H8" s="65" t="str">
        <f>'KODEX 로봇액티브'!B14</f>
        <v>SK하이닉스</v>
      </c>
      <c r="I8" s="65">
        <f>VLOOKUP(H8,'KODEX 로봇액티브'!$B$11:$E$1000,4,0)</f>
        <v>6.76</v>
      </c>
      <c r="J8" s="65">
        <f>IFERROR(VLOOKUP(H8,'KODEX 로봇액티브(과거)'!$B$11:$E$1000,4,0),0)</f>
        <v>7.53</v>
      </c>
      <c r="K8" s="26">
        <f t="shared" si="2"/>
        <v>-0.77000000000000046</v>
      </c>
      <c r="L8" s="27">
        <f t="shared" si="3"/>
        <v>-0.10225763612217798</v>
      </c>
      <c r="M8" s="62" t="str">
        <f>VLOOKUP(N8,유니버스!$C$14:$D$2561,2,0)</f>
        <v>KQ</v>
      </c>
      <c r="N8" s="26" t="str">
        <f>'TIMEFOLIO K컬처액티브'!B14</f>
        <v>펄어비스</v>
      </c>
      <c r="O8" s="20">
        <f>VLOOKUP(N8,'TIMEFOLIO K컬처액티브'!$B$11:$E$1000,4,0)</f>
        <v>5.46</v>
      </c>
      <c r="P8" s="20">
        <f>IFERROR(VLOOKUP(N8,'TIMEFOLIO K컬처액티브(과거)'!$B$11:$E$1000,4,0),0)</f>
        <v>5.87</v>
      </c>
      <c r="Q8" s="20">
        <f t="shared" si="4"/>
        <v>-0.41000000000000014</v>
      </c>
      <c r="R8" s="21">
        <f t="shared" si="5"/>
        <v>-6.9846678023850139E-2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4.79</v>
      </c>
      <c r="D9" s="65">
        <f>IFERROR(VLOOKUP(B9,'KoAct K수출핵심기업TOP30액티브(과거)'!$B$11:$E$1000,4,0),0)</f>
        <v>5.05</v>
      </c>
      <c r="E9" s="20">
        <f t="shared" si="0"/>
        <v>-0.25999999999999979</v>
      </c>
      <c r="F9" s="21">
        <f t="shared" si="1"/>
        <v>-5.148514851485142E-2</v>
      </c>
      <c r="G9" s="63" t="str">
        <f>VLOOKUP(H9,유니버스!$C$14:$D$2561,2,0)</f>
        <v>KS</v>
      </c>
      <c r="H9" s="65" t="str">
        <f>'KODEX 로봇액티브'!B15</f>
        <v>LG전자</v>
      </c>
      <c r="I9" s="65">
        <f>VLOOKUP(H9,'KODEX 로봇액티브'!$B$11:$E$1000,4,0)</f>
        <v>6.72</v>
      </c>
      <c r="J9" s="65">
        <f>IFERROR(VLOOKUP(H9,'KODEX 로봇액티브(과거)'!$B$11:$E$1000,4,0),0)</f>
        <v>6.44</v>
      </c>
      <c r="K9" s="26">
        <f t="shared" si="2"/>
        <v>0.27999999999999936</v>
      </c>
      <c r="L9" s="27">
        <f t="shared" si="3"/>
        <v>4.3478260869565188E-2</v>
      </c>
      <c r="M9" s="62" t="str">
        <f>VLOOKUP(N9,유니버스!$C$14:$D$2561,2,0)</f>
        <v>KS</v>
      </c>
      <c r="N9" s="26" t="str">
        <f>'TIMEFOLIO K컬처액티브'!B15</f>
        <v>NC</v>
      </c>
      <c r="O9" s="20">
        <f>VLOOKUP(N9,'TIMEFOLIO K컬처액티브'!$B$11:$E$1000,4,0)</f>
        <v>5.34</v>
      </c>
      <c r="P9" s="20">
        <f>IFERROR(VLOOKUP(N9,'TIMEFOLIO K컬처액티브(과거)'!$B$11:$E$1000,4,0),0)</f>
        <v>6.47</v>
      </c>
      <c r="Q9" s="20">
        <f t="shared" si="4"/>
        <v>-1.1299999999999999</v>
      </c>
      <c r="R9" s="21">
        <f t="shared" si="5"/>
        <v>-0.1746522411128284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산일전기</v>
      </c>
      <c r="C10" s="65">
        <f>VLOOKUP(B10,'KoAct K수출핵심기업TOP30액티브'!$B$11:$E$1000,4,0)</f>
        <v>3.9</v>
      </c>
      <c r="D10" s="65">
        <f>IFERROR(VLOOKUP(B10,'KoAct K수출핵심기업TOP30액티브(과거)'!$B$11:$E$1000,4,0),0)</f>
        <v>3.25</v>
      </c>
      <c r="E10" s="20">
        <f t="shared" si="0"/>
        <v>0.64999999999999991</v>
      </c>
      <c r="F10" s="21">
        <f t="shared" si="1"/>
        <v>0.19999999999999996</v>
      </c>
      <c r="G10" s="63" t="str">
        <f>VLOOKUP(H10,유니버스!$C$14:$D$2561,2,0)</f>
        <v>KS</v>
      </c>
      <c r="H10" s="65" t="str">
        <f>'KODEX 로봇액티브'!B16</f>
        <v>현대오토에버</v>
      </c>
      <c r="I10" s="65">
        <f>VLOOKUP(H10,'KODEX 로봇액티브'!$B$11:$E$1000,4,0)</f>
        <v>6.46</v>
      </c>
      <c r="J10" s="65">
        <f>IFERROR(VLOOKUP(H10,'KODEX 로봇액티브(과거)'!$B$11:$E$1000,4,0),0)</f>
        <v>7.15</v>
      </c>
      <c r="K10" s="26">
        <f t="shared" si="2"/>
        <v>-0.69000000000000039</v>
      </c>
      <c r="L10" s="27">
        <f t="shared" si="3"/>
        <v>-9.6503496503496544E-2</v>
      </c>
      <c r="M10" s="62" t="str">
        <f>VLOOKUP(N10,유니버스!$C$14:$D$2561,2,0)</f>
        <v>KS</v>
      </c>
      <c r="N10" s="26" t="str">
        <f>'TIMEFOLIO K컬처액티브'!B16</f>
        <v>현대백화점</v>
      </c>
      <c r="O10" s="20">
        <f>VLOOKUP(N10,'TIMEFOLIO K컬처액티브'!$B$11:$E$1000,4,0)</f>
        <v>5.28</v>
      </c>
      <c r="P10" s="20">
        <f>IFERROR(VLOOKUP(N10,'TIMEFOLIO K컬처액티브(과거)'!$B$11:$E$1000,4,0),0)</f>
        <v>3.64</v>
      </c>
      <c r="Q10" s="20">
        <f t="shared" si="4"/>
        <v>1.6400000000000001</v>
      </c>
      <c r="R10" s="21">
        <f t="shared" si="5"/>
        <v>0.4505494505494505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LS ELECTRIC</v>
      </c>
      <c r="C11" s="65">
        <f>VLOOKUP(B11,'KoAct K수출핵심기업TOP30액티브'!$B$11:$E$1000,4,0)</f>
        <v>3.86</v>
      </c>
      <c r="D11" s="65">
        <f>IFERROR(VLOOKUP(B11,'KoAct K수출핵심기업TOP30액티브(과거)'!$B$11:$E$1000,4,0),0)</f>
        <v>3.18</v>
      </c>
      <c r="E11" s="20">
        <f t="shared" si="0"/>
        <v>0.67999999999999972</v>
      </c>
      <c r="F11" s="21">
        <f t="shared" si="1"/>
        <v>0.21383647798742134</v>
      </c>
      <c r="G11" s="63" t="str">
        <f>VLOOKUP(H11,유니버스!$C$14:$D$2561,2,0)</f>
        <v>KQ</v>
      </c>
      <c r="H11" s="65" t="str">
        <f>'KODEX 로봇액티브'!B17</f>
        <v>레인보우로보틱스</v>
      </c>
      <c r="I11" s="65">
        <f>VLOOKUP(H11,'KODEX 로봇액티브'!$B$11:$E$1000,4,0)</f>
        <v>6.31</v>
      </c>
      <c r="J11" s="65">
        <f>IFERROR(VLOOKUP(H11,'KODEX 로봇액티브(과거)'!$B$11:$E$1000,4,0),0)</f>
        <v>5.86</v>
      </c>
      <c r="K11" s="26">
        <f t="shared" si="2"/>
        <v>0.44999999999999929</v>
      </c>
      <c r="L11" s="27">
        <f t="shared" si="3"/>
        <v>7.6791808873720058E-2</v>
      </c>
      <c r="M11" s="62" t="str">
        <f>VLOOKUP(N11,유니버스!$C$14:$D$2561,2,0)</f>
        <v>KS</v>
      </c>
      <c r="N11" s="26" t="str">
        <f>'TIMEFOLIO K컬처액티브'!B17</f>
        <v>롯데쇼핑</v>
      </c>
      <c r="O11" s="20">
        <f>VLOOKUP(N11,'TIMEFOLIO K컬처액티브'!$B$11:$E$1000,4,0)</f>
        <v>5.04</v>
      </c>
      <c r="P11" s="20">
        <f>IFERROR(VLOOKUP(N11,'TIMEFOLIO K컬처액티브(과거)'!$B$11:$E$1000,4,0),0)</f>
        <v>6.72</v>
      </c>
      <c r="Q11" s="20">
        <f t="shared" si="4"/>
        <v>-1.6799999999999997</v>
      </c>
      <c r="R11" s="21">
        <f t="shared" si="5"/>
        <v>-0.25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HD현대중공업</v>
      </c>
      <c r="C12" s="65">
        <f>VLOOKUP(B12,'KoAct K수출핵심기업TOP30액티브'!$B$11:$E$1000,4,0)</f>
        <v>3.77</v>
      </c>
      <c r="D12" s="65">
        <f>IFERROR(VLOOKUP(B12,'KoAct K수출핵심기업TOP30액티브(과거)'!$B$11:$E$1000,4,0),0)</f>
        <v>3.48</v>
      </c>
      <c r="E12" s="20">
        <f t="shared" si="0"/>
        <v>0.29000000000000004</v>
      </c>
      <c r="F12" s="21">
        <f t="shared" si="1"/>
        <v>8.3333333333333259E-2</v>
      </c>
      <c r="G12" s="63" t="str">
        <f>VLOOKUP(H12,유니버스!$C$14:$D$2561,2,0)</f>
        <v>KS</v>
      </c>
      <c r="H12" s="65" t="str">
        <f>'KODEX 로봇액티브'!B18</f>
        <v>두산로보틱스</v>
      </c>
      <c r="I12" s="65">
        <f>VLOOKUP(H12,'KODEX 로봇액티브'!$B$11:$E$1000,4,0)</f>
        <v>5.62</v>
      </c>
      <c r="J12" s="65">
        <f>IFERROR(VLOOKUP(H12,'KODEX 로봇액티브(과거)'!$B$11:$E$1000,4,0),0)</f>
        <v>5.61</v>
      </c>
      <c r="K12" s="26">
        <f t="shared" si="2"/>
        <v>9.9999999999997868E-3</v>
      </c>
      <c r="L12" s="27">
        <f t="shared" si="3"/>
        <v>1.7825311942958333E-3</v>
      </c>
      <c r="M12" s="62" t="str">
        <f>VLOOKUP(N12,유니버스!$C$14:$D$2561,2,0)</f>
        <v>KQ</v>
      </c>
      <c r="N12" s="26" t="str">
        <f>'TIMEFOLIO K컬처액티브'!B18</f>
        <v>파마리서치</v>
      </c>
      <c r="O12" s="20">
        <f>VLOOKUP(N12,'TIMEFOLIO K컬처액티브'!$B$11:$E$1000,4,0)</f>
        <v>4.99</v>
      </c>
      <c r="P12" s="20">
        <f>IFERROR(VLOOKUP(N12,'TIMEFOLIO K컬처액티브(과거)'!$B$11:$E$1000,4,0),0)</f>
        <v>2.66</v>
      </c>
      <c r="Q12" s="20">
        <f t="shared" si="4"/>
        <v>2.33</v>
      </c>
      <c r="R12" s="21">
        <f t="shared" si="5"/>
        <v>0.87593984962406024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에이피알</v>
      </c>
      <c r="C13" s="65">
        <f>VLOOKUP(B13,'KoAct K수출핵심기업TOP30액티브'!$B$11:$E$1000,4,0)</f>
        <v>3.36</v>
      </c>
      <c r="D13" s="65">
        <f>IFERROR(VLOOKUP(B13,'KoAct K수출핵심기업TOP30액티브(과거)'!$B$11:$E$1000,4,0),0)</f>
        <v>2.1800000000000002</v>
      </c>
      <c r="E13" s="20">
        <f t="shared" si="0"/>
        <v>1.1799999999999997</v>
      </c>
      <c r="F13" s="21">
        <f t="shared" si="1"/>
        <v>0.54128440366972463</v>
      </c>
      <c r="G13" s="63" t="str">
        <f>VLOOKUP(H13,유니버스!$C$14:$D$2561,2,0)</f>
        <v>KS</v>
      </c>
      <c r="H13" s="65" t="str">
        <f>'KODEX 로봇액티브'!B19</f>
        <v>현대차</v>
      </c>
      <c r="I13" s="65">
        <f>VLOOKUP(H13,'KODEX 로봇액티브'!$B$11:$E$1000,4,0)</f>
        <v>5.44</v>
      </c>
      <c r="J13" s="65">
        <f>IFERROR(VLOOKUP(H13,'KODEX 로봇액티브(과거)'!$B$11:$E$1000,4,0),0)</f>
        <v>5.99</v>
      </c>
      <c r="K13" s="26">
        <f t="shared" si="2"/>
        <v>-0.54999999999999982</v>
      </c>
      <c r="L13" s="27">
        <f t="shared" si="3"/>
        <v>-9.1819699499165242E-2</v>
      </c>
      <c r="M13" s="62" t="str">
        <f>VLOOKUP(N13,유니버스!$C$14:$D$2561,2,0)</f>
        <v>KQ</v>
      </c>
      <c r="N13" s="26" t="str">
        <f>'TIMEFOLIO K컬처액티브'!B19</f>
        <v>올릭스</v>
      </c>
      <c r="O13" s="20">
        <f>VLOOKUP(N13,'TIMEFOLIO K컬처액티브'!$B$11:$E$1000,4,0)</f>
        <v>4.5599999999999996</v>
      </c>
      <c r="P13" s="20">
        <f>IFERROR(VLOOKUP(N13,'TIMEFOLIO K컬처액티브(과거)'!$B$11:$E$1000,4,0),0)</f>
        <v>3.71</v>
      </c>
      <c r="Q13" s="20">
        <f t="shared" si="4"/>
        <v>0.84999999999999964</v>
      </c>
      <c r="R13" s="21">
        <f t="shared" si="5"/>
        <v>0.22911051212937994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한화비전</v>
      </c>
      <c r="C14" s="65">
        <f>VLOOKUP(B14,'KoAct K수출핵심기업TOP30액티브'!$B$11:$E$1000,4,0)</f>
        <v>2.77</v>
      </c>
      <c r="D14" s="65">
        <f>IFERROR(VLOOKUP(B14,'KoAct K수출핵심기업TOP30액티브(과거)'!$B$11:$E$1000,4,0),0)</f>
        <v>3.14</v>
      </c>
      <c r="E14" s="20">
        <f t="shared" si="0"/>
        <v>-0.37000000000000011</v>
      </c>
      <c r="F14" s="21">
        <f t="shared" si="1"/>
        <v>-0.11783439490445857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3.96</v>
      </c>
      <c r="J14" s="65">
        <f>IFERROR(VLOOKUP(H14,'KODEX 로봇액티브(과거)'!$B$11:$E$1000,4,0),0)</f>
        <v>4.04</v>
      </c>
      <c r="K14" s="26">
        <f t="shared" si="2"/>
        <v>-8.0000000000000071E-2</v>
      </c>
      <c r="L14" s="27">
        <f t="shared" si="3"/>
        <v>-1.980198019801982E-2</v>
      </c>
      <c r="M14" s="62" t="str">
        <f>VLOOKUP(N14,유니버스!$C$14:$D$2561,2,0)</f>
        <v>KS</v>
      </c>
      <c r="N14" s="26" t="str">
        <f>'TIMEFOLIO K컬처액티브'!B20</f>
        <v>하이브</v>
      </c>
      <c r="O14" s="20">
        <f>VLOOKUP(N14,'TIMEFOLIO K컬처액티브'!$B$11:$E$1000,4,0)</f>
        <v>4.45</v>
      </c>
      <c r="P14" s="20">
        <f>IFERROR(VLOOKUP(N14,'TIMEFOLIO K컬처액티브(과거)'!$B$11:$E$1000,4,0),0)</f>
        <v>4.18</v>
      </c>
      <c r="Q14" s="20">
        <f t="shared" si="4"/>
        <v>0.27000000000000046</v>
      </c>
      <c r="R14" s="21">
        <f t="shared" si="5"/>
        <v>6.4593301435406758E-2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한화시스템</v>
      </c>
      <c r="C15" s="65">
        <f>VLOOKUP(B15,'KoAct K수출핵심기업TOP30액티브'!$B$11:$E$1000,4,0)</f>
        <v>2.65</v>
      </c>
      <c r="D15" s="65">
        <f>IFERROR(VLOOKUP(B15,'KoAct K수출핵심기업TOP30액티브(과거)'!$B$11:$E$1000,4,0),0)</f>
        <v>2.89</v>
      </c>
      <c r="E15" s="20">
        <f t="shared" si="0"/>
        <v>-0.24000000000000021</v>
      </c>
      <c r="F15" s="21">
        <f t="shared" si="1"/>
        <v>-8.3044982698961989E-2</v>
      </c>
      <c r="G15" s="63" t="str">
        <f>VLOOKUP(H15,유니버스!$C$14:$D$2561,2,0)</f>
        <v>KS</v>
      </c>
      <c r="H15" s="65" t="str">
        <f>'KODEX 로봇액티브'!B21</f>
        <v>LG이노텍</v>
      </c>
      <c r="I15" s="65">
        <f>VLOOKUP(H15,'KODEX 로봇액티브'!$B$11:$E$1000,4,0)</f>
        <v>3.67</v>
      </c>
      <c r="J15" s="65">
        <f>IFERROR(VLOOKUP(H15,'KODEX 로봇액티브(과거)'!$B$11:$E$1000,4,0),0)</f>
        <v>4.0599999999999996</v>
      </c>
      <c r="K15" s="26">
        <f t="shared" si="2"/>
        <v>-0.38999999999999968</v>
      </c>
      <c r="L15" s="27">
        <f t="shared" si="3"/>
        <v>-9.6059113300492549E-2</v>
      </c>
      <c r="M15" s="62" t="str">
        <f>VLOOKUP(N15,유니버스!$C$14:$D$2561,2,0)</f>
        <v>KS</v>
      </c>
      <c r="N15" s="26" t="str">
        <f>'TIMEFOLIO K컬처액티브'!B21</f>
        <v>달바글로벌</v>
      </c>
      <c r="O15" s="20">
        <f>VLOOKUP(N15,'TIMEFOLIO K컬처액티브'!$B$11:$E$1000,4,0)</f>
        <v>4.3899999999999997</v>
      </c>
      <c r="P15" s="20">
        <f>IFERROR(VLOOKUP(N15,'TIMEFOLIO K컬처액티브(과거)'!$B$11:$E$1000,4,0),0)</f>
        <v>6.02</v>
      </c>
      <c r="Q15" s="20">
        <f t="shared" si="4"/>
        <v>-1.63</v>
      </c>
      <c r="R15" s="21">
        <f t="shared" si="5"/>
        <v>-0.27076411960132896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현대차</v>
      </c>
      <c r="C16" s="65">
        <f>VLOOKUP(B16,'KoAct K수출핵심기업TOP30액티브'!$B$11:$E$1000,4,0)</f>
        <v>2.52</v>
      </c>
      <c r="D16" s="65">
        <f>IFERROR(VLOOKUP(B16,'KoAct K수출핵심기업TOP30액티브(과거)'!$B$11:$E$1000,4,0),0)</f>
        <v>2.93</v>
      </c>
      <c r="E16" s="20">
        <f t="shared" si="0"/>
        <v>-0.41000000000000014</v>
      </c>
      <c r="F16" s="21">
        <f t="shared" si="1"/>
        <v>-0.13993174061433455</v>
      </c>
      <c r="G16" s="63" t="str">
        <f>VLOOKUP(H16,유니버스!$C$14:$D$2561,2,0)</f>
        <v>KQ</v>
      </c>
      <c r="H16" s="65" t="str">
        <f>'KODEX 로봇액티브'!B22</f>
        <v>에스피지</v>
      </c>
      <c r="I16" s="65">
        <f>VLOOKUP(H16,'KODEX 로봇액티브'!$B$11:$E$1000,4,0)</f>
        <v>3.23</v>
      </c>
      <c r="J16" s="65">
        <f>IFERROR(VLOOKUP(H16,'KODEX 로봇액티브(과거)'!$B$11:$E$1000,4,0),0)</f>
        <v>3.04</v>
      </c>
      <c r="K16" s="26">
        <f t="shared" si="2"/>
        <v>0.18999999999999995</v>
      </c>
      <c r="L16" s="27">
        <f t="shared" si="3"/>
        <v>6.25E-2</v>
      </c>
      <c r="M16" s="62" t="str">
        <f>VLOOKUP(N16,유니버스!$C$14:$D$2561,2,0)</f>
        <v>KS</v>
      </c>
      <c r="N16" s="26" t="str">
        <f>'TIMEFOLIO K컬처액티브'!B22</f>
        <v>CJ</v>
      </c>
      <c r="O16" s="20">
        <f>VLOOKUP(N16,'TIMEFOLIO K컬처액티브'!$B$11:$E$1000,4,0)</f>
        <v>4.3600000000000003</v>
      </c>
      <c r="P16" s="20">
        <f>IFERROR(VLOOKUP(N16,'TIMEFOLIO K컬처액티브(과거)'!$B$11:$E$1000,4,0),0)</f>
        <v>4.99</v>
      </c>
      <c r="Q16" s="20">
        <f t="shared" si="4"/>
        <v>-0.62999999999999989</v>
      </c>
      <c r="R16" s="21">
        <f t="shared" si="5"/>
        <v>-0.12625250501002006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LG전자</v>
      </c>
      <c r="C17" s="65">
        <f>VLOOKUP(B17,'KoAct K수출핵심기업TOP30액티브'!$B$11:$E$1000,4,0)</f>
        <v>2.39</v>
      </c>
      <c r="D17" s="65">
        <f>IFERROR(VLOOKUP(B17,'KoAct K수출핵심기업TOP30액티브(과거)'!$B$11:$E$1000,4,0),0)</f>
        <v>2.41</v>
      </c>
      <c r="E17" s="20">
        <f t="shared" si="0"/>
        <v>-2.0000000000000018E-2</v>
      </c>
      <c r="F17" s="21">
        <f t="shared" si="1"/>
        <v>-8.2987551867219622E-3</v>
      </c>
      <c r="G17" s="63" t="str">
        <f>VLOOKUP(H17,유니버스!$C$14:$D$2561,2,0)</f>
        <v>KS</v>
      </c>
      <c r="H17" s="65" t="str">
        <f>'KODEX 로봇액티브'!B23</f>
        <v>삼성에스디에스</v>
      </c>
      <c r="I17" s="65">
        <f>VLOOKUP(H17,'KODEX 로봇액티브'!$B$11:$E$1000,4,0)</f>
        <v>2.9</v>
      </c>
      <c r="J17" s="65">
        <f>IFERROR(VLOOKUP(H17,'KODEX 로봇액티브(과거)'!$B$11:$E$1000,4,0),0)</f>
        <v>2.73</v>
      </c>
      <c r="K17" s="26">
        <f t="shared" si="2"/>
        <v>0.16999999999999993</v>
      </c>
      <c r="L17" s="27">
        <f t="shared" si="3"/>
        <v>6.2271062271062272E-2</v>
      </c>
      <c r="M17" s="62" t="str">
        <f>VLOOKUP(N17,유니버스!$C$14:$D$2561,2,0)</f>
        <v>KS</v>
      </c>
      <c r="N17" s="26" t="str">
        <f>'TIMEFOLIO K컬처액티브'!B23</f>
        <v>신세계</v>
      </c>
      <c r="O17" s="20">
        <f>VLOOKUP(N17,'TIMEFOLIO K컬처액티브'!$B$11:$E$1000,4,0)</f>
        <v>4.2300000000000004</v>
      </c>
      <c r="P17" s="20">
        <f>IFERROR(VLOOKUP(N17,'TIMEFOLIO K컬처액티브(과거)'!$B$11:$E$1000,4,0),0)</f>
        <v>6.64</v>
      </c>
      <c r="Q17" s="20">
        <f t="shared" si="4"/>
        <v>-2.4099999999999993</v>
      </c>
      <c r="R17" s="21">
        <f t="shared" si="5"/>
        <v>-0.36295180722891551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이수페타시스</v>
      </c>
      <c r="C18" s="65">
        <f>VLOOKUP(B18,'KoAct K수출핵심기업TOP30액티브'!$B$11:$E$1000,4,0)</f>
        <v>2.33</v>
      </c>
      <c r="D18" s="65">
        <f>IFERROR(VLOOKUP(B18,'KoAct K수출핵심기업TOP30액티브(과거)'!$B$11:$E$1000,4,0),0)</f>
        <v>1.86</v>
      </c>
      <c r="E18" s="20">
        <f t="shared" si="0"/>
        <v>0.47</v>
      </c>
      <c r="F18" s="21">
        <f t="shared" si="1"/>
        <v>0.25268817204301075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2.85</v>
      </c>
      <c r="J18" s="65">
        <f>IFERROR(VLOOKUP(H18,'KODEX 로봇액티브(과거)'!$B$11:$E$1000,4,0),0)</f>
        <v>2.81</v>
      </c>
      <c r="K18" s="26">
        <f t="shared" si="2"/>
        <v>4.0000000000000036E-2</v>
      </c>
      <c r="L18" s="27">
        <f t="shared" si="3"/>
        <v>1.4234875444839812E-2</v>
      </c>
      <c r="M18" s="62" t="str">
        <f>VLOOKUP(N18,유니버스!$C$14:$D$2561,2,0)</f>
        <v>KQ</v>
      </c>
      <c r="N18" s="26" t="str">
        <f>'TIMEFOLIO K컬처액티브'!B24</f>
        <v>엘앤씨바이오</v>
      </c>
      <c r="O18" s="20">
        <f>VLOOKUP(N18,'TIMEFOLIO K컬처액티브'!$B$11:$E$1000,4,0)</f>
        <v>4.12</v>
      </c>
      <c r="P18" s="20">
        <f>IFERROR(VLOOKUP(N18,'TIMEFOLIO K컬처액티브(과거)'!$B$11:$E$1000,4,0),0)</f>
        <v>3.95</v>
      </c>
      <c r="Q18" s="20">
        <f t="shared" si="4"/>
        <v>0.16999999999999993</v>
      </c>
      <c r="R18" s="21">
        <f t="shared" si="5"/>
        <v>4.3037974683544311E-2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HD한국조선해양</v>
      </c>
      <c r="C19" s="65">
        <f>VLOOKUP(B19,'KoAct K수출핵심기업TOP30액티브'!$B$11:$E$1000,4,0)</f>
        <v>2.23</v>
      </c>
      <c r="D19" s="65">
        <f>IFERROR(VLOOKUP(B19,'KoAct K수출핵심기업TOP30액티브(과거)'!$B$11:$E$1000,4,0),0)</f>
        <v>2.41</v>
      </c>
      <c r="E19" s="20">
        <f t="shared" si="0"/>
        <v>-0.18000000000000016</v>
      </c>
      <c r="F19" s="21">
        <f t="shared" si="1"/>
        <v>-7.4688796680497993E-2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2.37</v>
      </c>
      <c r="J19" s="65">
        <f>IFERROR(VLOOKUP(H19,'KODEX 로봇액티브(과거)'!$B$11:$E$1000,4,0),0)</f>
        <v>2.2799999999999998</v>
      </c>
      <c r="K19" s="26">
        <f t="shared" si="2"/>
        <v>9.0000000000000302E-2</v>
      </c>
      <c r="L19" s="27">
        <f t="shared" si="3"/>
        <v>3.947368421052655E-2</v>
      </c>
      <c r="M19" s="62" t="str">
        <f>VLOOKUP(N19,유니버스!$C$14:$D$2561,2,0)</f>
        <v>KQ</v>
      </c>
      <c r="N19" s="26" t="str">
        <f>'TIMEFOLIO K컬처액티브'!B25</f>
        <v>에스엠</v>
      </c>
      <c r="O19" s="20">
        <f>VLOOKUP(N19,'TIMEFOLIO K컬처액티브'!$B$11:$E$1000,4,0)</f>
        <v>4</v>
      </c>
      <c r="P19" s="20">
        <f>IFERROR(VLOOKUP(N19,'TIMEFOLIO K컬처액티브(과거)'!$B$11:$E$1000,4,0),0)</f>
        <v>2.85</v>
      </c>
      <c r="Q19" s="20">
        <f t="shared" si="4"/>
        <v>1.1499999999999999</v>
      </c>
      <c r="R19" s="21">
        <f t="shared" si="5"/>
        <v>0.40350877192982448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효성중공업</v>
      </c>
      <c r="C20" s="65">
        <f>VLOOKUP(B20,'KoAct K수출핵심기업TOP30액티브'!$B$11:$E$1000,4,0)</f>
        <v>2.13</v>
      </c>
      <c r="D20" s="65">
        <f>IFERROR(VLOOKUP(B20,'KoAct K수출핵심기업TOP30액티브(과거)'!$B$11:$E$1000,4,0),0)</f>
        <v>2.0499999999999998</v>
      </c>
      <c r="E20" s="20">
        <f t="shared" si="0"/>
        <v>8.0000000000000071E-2</v>
      </c>
      <c r="F20" s="21">
        <f t="shared" si="1"/>
        <v>3.9024390243902474E-2</v>
      </c>
      <c r="G20" s="63" t="str">
        <f>VLOOKUP(H20,유니버스!$C$14:$D$2561,2,0)</f>
        <v>KS</v>
      </c>
      <c r="H20" s="65" t="str">
        <f>'KODEX 로봇액티브'!B26</f>
        <v>KT</v>
      </c>
      <c r="I20" s="65">
        <f>VLOOKUP(H20,'KODEX 로봇액티브'!$B$11:$E$1000,4,0)</f>
        <v>1.7</v>
      </c>
      <c r="J20" s="65">
        <f>IFERROR(VLOOKUP(H20,'KODEX 로봇액티브(과거)'!$B$11:$E$1000,4,0),0)</f>
        <v>1.48</v>
      </c>
      <c r="K20" s="26">
        <f t="shared" si="2"/>
        <v>0.21999999999999997</v>
      </c>
      <c r="L20" s="27">
        <f t="shared" si="3"/>
        <v>0.14864864864864868</v>
      </c>
      <c r="M20" s="62" t="str">
        <f>VLOOKUP(N20,유니버스!$C$14:$D$2561,2,0)</f>
        <v>KQ</v>
      </c>
      <c r="N20" s="26" t="str">
        <f>'TIMEFOLIO K컬처액티브'!B26</f>
        <v>JYP Ent.</v>
      </c>
      <c r="O20" s="20">
        <f>VLOOKUP(N20,'TIMEFOLIO K컬처액티브'!$B$11:$E$1000,4,0)</f>
        <v>3.87</v>
      </c>
      <c r="P20" s="20">
        <f>IFERROR(VLOOKUP(N20,'TIMEFOLIO K컬처액티브(과거)'!$B$11:$E$1000,4,0),0)</f>
        <v>4.08</v>
      </c>
      <c r="Q20" s="20">
        <f t="shared" si="4"/>
        <v>-0.20999999999999996</v>
      </c>
      <c r="R20" s="21">
        <f t="shared" si="5"/>
        <v>-5.1470588235294157E-2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한화오션</v>
      </c>
      <c r="C21" s="65">
        <f>VLOOKUP(B21,'KoAct K수출핵심기업TOP30액티브'!$B$11:$E$1000,4,0)</f>
        <v>2.12</v>
      </c>
      <c r="D21" s="65">
        <f>IFERROR(VLOOKUP(B21,'KoAct K수출핵심기업TOP30액티브(과거)'!$B$11:$E$1000,4,0),0)</f>
        <v>2.76</v>
      </c>
      <c r="E21" s="20">
        <f t="shared" si="0"/>
        <v>-0.63999999999999968</v>
      </c>
      <c r="F21" s="21">
        <f t="shared" si="1"/>
        <v>-0.23188405797101441</v>
      </c>
      <c r="G21" s="63" t="str">
        <f>VLOOKUP(H21,유니버스!$C$14:$D$2561,2,0)</f>
        <v>KQ</v>
      </c>
      <c r="H21" s="65" t="str">
        <f>'KODEX 로봇액티브'!B27</f>
        <v>유진로봇</v>
      </c>
      <c r="I21" s="65">
        <f>VLOOKUP(H21,'KODEX 로봇액티브'!$B$11:$E$1000,4,0)</f>
        <v>1.65</v>
      </c>
      <c r="J21" s="65">
        <f>IFERROR(VLOOKUP(H21,'KODEX 로봇액티브(과거)'!$B$11:$E$1000,4,0),0)</f>
        <v>1.7</v>
      </c>
      <c r="K21" s="26">
        <f t="shared" si="2"/>
        <v>-5.0000000000000044E-2</v>
      </c>
      <c r="L21" s="27">
        <f t="shared" si="3"/>
        <v>-2.9411764705882359E-2</v>
      </c>
      <c r="M21" s="62" t="str">
        <f>VLOOKUP(N21,유니버스!$C$14:$D$2561,2,0)</f>
        <v>KQ</v>
      </c>
      <c r="N21" s="26" t="str">
        <f>'TIMEFOLIO K컬처액티브'!B27</f>
        <v>와이지엔터테인먼트</v>
      </c>
      <c r="O21" s="20">
        <f>VLOOKUP(N21,'TIMEFOLIO K컬처액티브'!$B$11:$E$1000,4,0)</f>
        <v>3.59</v>
      </c>
      <c r="P21" s="20">
        <f>IFERROR(VLOOKUP(N21,'TIMEFOLIO K컬처액티브(과거)'!$B$11:$E$1000,4,0),0)</f>
        <v>3.8</v>
      </c>
      <c r="Q21" s="20">
        <f t="shared" si="4"/>
        <v>-0.20999999999999996</v>
      </c>
      <c r="R21" s="21">
        <f t="shared" si="5"/>
        <v>-5.5263157894736792E-2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HD현대일렉트릭</v>
      </c>
      <c r="C22" s="65">
        <f>VLOOKUP(B22,'KoAct K수출핵심기업TOP30액티브'!$B$11:$E$1000,4,0)</f>
        <v>1.74</v>
      </c>
      <c r="D22" s="65">
        <f>IFERROR(VLOOKUP(B22,'KoAct K수출핵심기업TOP30액티브(과거)'!$B$11:$E$1000,4,0),0)</f>
        <v>1.72</v>
      </c>
      <c r="E22" s="20">
        <f t="shared" si="0"/>
        <v>2.0000000000000018E-2</v>
      </c>
      <c r="F22" s="21">
        <f t="shared" si="1"/>
        <v>1.1627906976744207E-2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1.47</v>
      </c>
      <c r="J22" s="65">
        <f>IFERROR(VLOOKUP(H22,'KODEX 로봇액티브(과거)'!$B$11:$E$1000,4,0),0)</f>
        <v>1.39</v>
      </c>
      <c r="K22" s="26">
        <f t="shared" si="2"/>
        <v>8.0000000000000071E-2</v>
      </c>
      <c r="L22" s="27">
        <f t="shared" si="3"/>
        <v>5.755395683453246E-2</v>
      </c>
      <c r="M22" s="62" t="str">
        <f>VLOOKUP(N22,유니버스!$C$14:$D$2561,2,0)</f>
        <v>KQ</v>
      </c>
      <c r="N22" s="26" t="str">
        <f>'TIMEFOLIO K컬처액티브'!B28</f>
        <v>실리콘투</v>
      </c>
      <c r="O22" s="20">
        <f>VLOOKUP(N22,'TIMEFOLIO K컬처액티브'!$B$11:$E$1000,4,0)</f>
        <v>3.23</v>
      </c>
      <c r="P22" s="20">
        <f>IFERROR(VLOOKUP(N22,'TIMEFOLIO K컬처액티브(과거)'!$B$11:$E$1000,4,0),0)</f>
        <v>3.1</v>
      </c>
      <c r="Q22" s="20">
        <f t="shared" si="4"/>
        <v>0.12999999999999989</v>
      </c>
      <c r="R22" s="21">
        <f t="shared" si="5"/>
        <v>4.1935483870967794E-2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삼성SDI</v>
      </c>
      <c r="C23" s="65">
        <f>VLOOKUP(B23,'KoAct K수출핵심기업TOP30액티브'!$B$11:$E$1000,4,0)</f>
        <v>1.74</v>
      </c>
      <c r="D23" s="65">
        <f>IFERROR(VLOOKUP(B23,'KoAct K수출핵심기업TOP30액티브(과거)'!$B$11:$E$1000,4,0),0)</f>
        <v>1.82</v>
      </c>
      <c r="E23" s="20">
        <f t="shared" si="0"/>
        <v>-8.0000000000000071E-2</v>
      </c>
      <c r="F23" s="21">
        <f t="shared" si="1"/>
        <v>-4.3956043956044022E-2</v>
      </c>
      <c r="G23" s="63" t="str">
        <f>VLOOKUP(H23,유니버스!$C$14:$D$2561,2,0)</f>
        <v>KQ</v>
      </c>
      <c r="H23" s="65" t="str">
        <f>'KODEX 로봇액티브'!B29</f>
        <v>유일로보틱스</v>
      </c>
      <c r="I23" s="65">
        <f>VLOOKUP(H23,'KODEX 로봇액티브'!$B$11:$E$1000,4,0)</f>
        <v>1.45</v>
      </c>
      <c r="J23" s="65">
        <f>IFERROR(VLOOKUP(H23,'KODEX 로봇액티브(과거)'!$B$11:$E$1000,4,0),0)</f>
        <v>1.37</v>
      </c>
      <c r="K23" s="26">
        <f t="shared" si="2"/>
        <v>7.9999999999999849E-2</v>
      </c>
      <c r="L23" s="27">
        <f t="shared" si="3"/>
        <v>5.8394160583941535E-2</v>
      </c>
      <c r="M23" s="62" t="str">
        <f>VLOOKUP(N23,유니버스!$C$14:$D$2561,2,0)</f>
        <v>KQ</v>
      </c>
      <c r="N23" s="26" t="str">
        <f>'TIMEFOLIO K컬처액티브'!B29</f>
        <v>코스메카코리아</v>
      </c>
      <c r="O23" s="20">
        <f>VLOOKUP(N23,'TIMEFOLIO K컬처액티브'!$B$11:$E$1000,4,0)</f>
        <v>2.93</v>
      </c>
      <c r="P23" s="20">
        <f>IFERROR(VLOOKUP(N23,'TIMEFOLIO K컬처액티브(과거)'!$B$11:$E$1000,4,0),0)</f>
        <v>2.42</v>
      </c>
      <c r="Q23" s="20">
        <f t="shared" si="4"/>
        <v>0.51000000000000023</v>
      </c>
      <c r="R23" s="21">
        <f t="shared" si="5"/>
        <v>0.21074380165289264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삼양식품</v>
      </c>
      <c r="C24" s="65">
        <f>VLOOKUP(B24,'KoAct K수출핵심기업TOP30액티브'!$B$11:$E$1000,4,0)</f>
        <v>1.67</v>
      </c>
      <c r="D24" s="65">
        <f>IFERROR(VLOOKUP(B24,'KoAct K수출핵심기업TOP30액티브(과거)'!$B$11:$E$1000,4,0),0)</f>
        <v>1.07</v>
      </c>
      <c r="E24" s="20">
        <f t="shared" si="0"/>
        <v>0.59999999999999987</v>
      </c>
      <c r="F24" s="21">
        <f t="shared" si="1"/>
        <v>0.56074766355140171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1.0900000000000001</v>
      </c>
      <c r="J24" s="65">
        <f>IFERROR(VLOOKUP(H24,'KODEX 로봇액티브(과거)'!$B$11:$E$1000,4,0),0)</f>
        <v>1.1499999999999999</v>
      </c>
      <c r="K24" s="26">
        <f t="shared" si="2"/>
        <v>-5.9999999999999831E-2</v>
      </c>
      <c r="L24" s="27">
        <f t="shared" si="3"/>
        <v>-5.2173913043478071E-2</v>
      </c>
      <c r="M24" s="62" t="str">
        <f>VLOOKUP(N24,유니버스!$C$14:$D$2561,2,0)</f>
        <v>KQ</v>
      </c>
      <c r="N24" s="26" t="str">
        <f>'TIMEFOLIO K컬처액티브'!B30</f>
        <v>클래시스</v>
      </c>
      <c r="O24" s="20">
        <f>VLOOKUP(N24,'TIMEFOLIO K컬처액티브'!$B$11:$E$1000,4,0)</f>
        <v>2.61</v>
      </c>
      <c r="P24" s="20">
        <f>IFERROR(VLOOKUP(N24,'TIMEFOLIO K컬처액티브(과거)'!$B$11:$E$1000,4,0),0)</f>
        <v>0</v>
      </c>
      <c r="Q24" s="20">
        <f t="shared" si="4"/>
        <v>2.61</v>
      </c>
      <c r="R24" s="21" t="str">
        <f t="shared" si="5"/>
        <v>신규편입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엘앤에프</v>
      </c>
      <c r="C25" s="65">
        <f>VLOOKUP(B25,'KoAct K수출핵심기업TOP30액티브'!$B$11:$E$1000,4,0)</f>
        <v>1.55</v>
      </c>
      <c r="D25" s="65">
        <f>IFERROR(VLOOKUP(B25,'KoAct K수출핵심기업TOP30액티브(과거)'!$B$11:$E$1000,4,0),0)</f>
        <v>1.67</v>
      </c>
      <c r="E25" s="20">
        <f t="shared" si="0"/>
        <v>-0.11999999999999988</v>
      </c>
      <c r="F25" s="21">
        <f t="shared" si="1"/>
        <v>-7.1856287425149601E-2</v>
      </c>
      <c r="G25" s="63" t="str">
        <f>VLOOKUP(H25,유니버스!$C$14:$D$2561,2,0)</f>
        <v>KS</v>
      </c>
      <c r="H25" s="65" t="str">
        <f>'KODEX 로봇액티브'!B31</f>
        <v>현대로템</v>
      </c>
      <c r="I25" s="65">
        <f>VLOOKUP(H25,'KODEX 로봇액티브'!$B$11:$E$1000,4,0)</f>
        <v>1.05</v>
      </c>
      <c r="J25" s="65">
        <f>IFERROR(VLOOKUP(H25,'KODEX 로봇액티브(과거)'!$B$11:$E$1000,4,0),0)</f>
        <v>1</v>
      </c>
      <c r="K25" s="26">
        <f t="shared" si="2"/>
        <v>5.0000000000000044E-2</v>
      </c>
      <c r="L25" s="27">
        <f t="shared" si="3"/>
        <v>5.0000000000000044E-2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1.87</v>
      </c>
      <c r="P25" s="20">
        <f>IFERROR(VLOOKUP(N25,'TIMEFOLIO K컬처액티브(과거)'!$B$11:$E$1000,4,0),0)</f>
        <v>1.91</v>
      </c>
      <c r="Q25" s="20">
        <f t="shared" ref="Q25:Q30" si="6">O25-P25</f>
        <v>-3.9999999999999813E-2</v>
      </c>
      <c r="R25" s="21">
        <f t="shared" ref="R25:R30" si="7">IFERROR(O25/P25-1,"신규편입")</f>
        <v>-2.0942408376963262E-2</v>
      </c>
    </row>
    <row r="26" spans="1:18" x14ac:dyDescent="0.4">
      <c r="A26" s="63" t="str">
        <f>VLOOKUP(B26,유니버스!$C$14:$D$2561,2,0)</f>
        <v>KS</v>
      </c>
      <c r="B26" s="65" t="str">
        <f>'KoAct K수출핵심기업TOP30액티브'!B32</f>
        <v>한국항공우주</v>
      </c>
      <c r="C26" s="65">
        <f>VLOOKUP(B26,'KoAct K수출핵심기업TOP30액티브'!$B$11:$E$1000,4,0)</f>
        <v>1.53</v>
      </c>
      <c r="D26" s="65">
        <f>IFERROR(VLOOKUP(B26,'KoAct K수출핵심기업TOP30액티브(과거)'!$B$11:$E$1000,4,0),0)</f>
        <v>1.35</v>
      </c>
      <c r="E26" s="20">
        <f t="shared" si="0"/>
        <v>0.17999999999999994</v>
      </c>
      <c r="F26" s="21">
        <f t="shared" si="1"/>
        <v>0.1333333333333333</v>
      </c>
      <c r="G26" s="63" t="str">
        <f>VLOOKUP(H26,유니버스!$C$14:$D$2561,2,0)</f>
        <v>KQ</v>
      </c>
      <c r="H26" s="65" t="str">
        <f>'KODEX 로봇액티브'!B32</f>
        <v>고영</v>
      </c>
      <c r="I26" s="65">
        <f>VLOOKUP(H26,'KODEX 로봇액티브'!$B$11:$E$1000,4,0)</f>
        <v>1.01</v>
      </c>
      <c r="J26" s="65">
        <f>IFERROR(VLOOKUP(H26,'KODEX 로봇액티브(과거)'!$B$11:$E$1000,4,0),0)</f>
        <v>0.87</v>
      </c>
      <c r="K26" s="26">
        <f t="shared" si="2"/>
        <v>0.14000000000000001</v>
      </c>
      <c r="L26" s="27">
        <f t="shared" si="3"/>
        <v>0.16091954022988508</v>
      </c>
      <c r="M26" s="62" t="str">
        <f>VLOOKUP(N26,유니버스!$C$14:$D$2561,2,0)</f>
        <v>KS</v>
      </c>
      <c r="N26" s="26" t="str">
        <f>'TIMEFOLIO K컬처액티브'!B32</f>
        <v>시프트업</v>
      </c>
      <c r="O26" s="20">
        <f>VLOOKUP(N26,'TIMEFOLIO K컬처액티브'!$B$11:$E$1000,4,0)</f>
        <v>1.58</v>
      </c>
      <c r="P26" s="20">
        <f>IFERROR(VLOOKUP(N26,'TIMEFOLIO K컬처액티브(과거)'!$B$11:$E$1000,4,0),0)</f>
        <v>0</v>
      </c>
      <c r="Q26" s="20">
        <f t="shared" si="6"/>
        <v>1.58</v>
      </c>
      <c r="R26" s="21" t="str">
        <f t="shared" si="7"/>
        <v>신규편입</v>
      </c>
    </row>
    <row r="27" spans="1:18" x14ac:dyDescent="0.4">
      <c r="A27" s="63" t="str">
        <f>VLOOKUP(B27,유니버스!$C$14:$D$2561,2,0)</f>
        <v>KQ</v>
      </c>
      <c r="B27" s="65" t="str">
        <f>'KoAct K수출핵심기업TOP30액티브'!B33</f>
        <v>ISC</v>
      </c>
      <c r="C27" s="65">
        <f>VLOOKUP(B27,'KoAct K수출핵심기업TOP30액티브'!$B$11:$E$1000,4,0)</f>
        <v>1.39</v>
      </c>
      <c r="D27" s="65">
        <f>IFERROR(VLOOKUP(B27,'KoAct K수출핵심기업TOP30액티브(과거)'!$B$11:$E$1000,4,0),0)</f>
        <v>1.4</v>
      </c>
      <c r="E27" s="20">
        <f t="shared" si="0"/>
        <v>-1.0000000000000009E-2</v>
      </c>
      <c r="F27" s="21">
        <f t="shared" si="1"/>
        <v>-7.1428571428571175E-3</v>
      </c>
      <c r="G27" s="63" t="str">
        <f>VLOOKUP(H27,유니버스!$C$14:$D$2561,2,0)</f>
        <v>KQ</v>
      </c>
      <c r="H27" s="65" t="str">
        <f>'KODEX 로봇액티브'!B33</f>
        <v>삼현</v>
      </c>
      <c r="I27" s="65">
        <f>VLOOKUP(H27,'KODEX 로봇액티브'!$B$11:$E$1000,4,0)</f>
        <v>1</v>
      </c>
      <c r="J27" s="65">
        <f>IFERROR(VLOOKUP(H27,'KODEX 로봇액티브(과거)'!$B$11:$E$1000,4,0),0)</f>
        <v>1.06</v>
      </c>
      <c r="K27" s="26">
        <f t="shared" si="2"/>
        <v>-6.0000000000000053E-2</v>
      </c>
      <c r="L27" s="27">
        <f t="shared" si="3"/>
        <v>-5.6603773584905759E-2</v>
      </c>
      <c r="M27" s="62" t="str">
        <f>VLOOKUP(N27,유니버스!$C$14:$D$2561,2,0)</f>
        <v>KQ</v>
      </c>
      <c r="N27" s="26" t="str">
        <f>'TIMEFOLIO K컬처액티브'!B33</f>
        <v>아이티센글로벌</v>
      </c>
      <c r="O27" s="20">
        <f>VLOOKUP(N27,'TIMEFOLIO K컬처액티브'!$B$11:$E$1000,4,0)</f>
        <v>1.49</v>
      </c>
      <c r="P27" s="20">
        <f>IFERROR(VLOOKUP(N27,'TIMEFOLIO K컬처액티브(과거)'!$B$11:$E$1000,4,0),0)</f>
        <v>2.04</v>
      </c>
      <c r="Q27" s="20">
        <f t="shared" si="6"/>
        <v>-0.55000000000000004</v>
      </c>
      <c r="R27" s="21">
        <f t="shared" si="7"/>
        <v>-0.26960784313725494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한화에어로스페이스</v>
      </c>
      <c r="C28" s="65">
        <f>VLOOKUP(B28,'KoAct K수출핵심기업TOP30액티브'!$B$11:$E$1000,4,0)</f>
        <v>1.1499999999999999</v>
      </c>
      <c r="D28" s="65">
        <f>IFERROR(VLOOKUP(B28,'KoAct K수출핵심기업TOP30액티브(과거)'!$B$11:$E$1000,4,0),0)</f>
        <v>0.69</v>
      </c>
      <c r="E28" s="20">
        <f t="shared" si="0"/>
        <v>0.45999999999999996</v>
      </c>
      <c r="F28" s="21">
        <f t="shared" si="1"/>
        <v>0.66666666666666674</v>
      </c>
      <c r="G28" s="63" t="str">
        <f>VLOOKUP(H28,유니버스!$C$14:$D$2561,2,0)</f>
        <v>KQ</v>
      </c>
      <c r="H28" s="65" t="str">
        <f>'KODEX 로봇액티브'!B34</f>
        <v>큐렉소</v>
      </c>
      <c r="I28" s="65">
        <f>VLOOKUP(H28,'KODEX 로봇액티브'!$B$11:$E$1000,4,0)</f>
        <v>0.97</v>
      </c>
      <c r="J28" s="65">
        <f>IFERROR(VLOOKUP(H28,'KODEX 로봇액티브(과거)'!$B$11:$E$1000,4,0),0)</f>
        <v>0.93</v>
      </c>
      <c r="K28" s="26">
        <f t="shared" si="2"/>
        <v>3.9999999999999925E-2</v>
      </c>
      <c r="L28" s="27">
        <f t="shared" si="3"/>
        <v>4.3010752688172005E-2</v>
      </c>
      <c r="M28" s="62" t="str">
        <f>VLOOKUP(N28,유니버스!$C$14:$D$2561,2,0)</f>
        <v>KQ</v>
      </c>
      <c r="N28" s="26" t="str">
        <f>'TIMEFOLIO K컬처액티브'!B34</f>
        <v>CJ ENM</v>
      </c>
      <c r="O28" s="20">
        <f>VLOOKUP(N28,'TIMEFOLIO K컬처액티브'!$B$11:$E$1000,4,0)</f>
        <v>1.43</v>
      </c>
      <c r="P28" s="20">
        <f>IFERROR(VLOOKUP(N28,'TIMEFOLIO K컬처액티브(과거)'!$B$11:$E$1000,4,0),0)</f>
        <v>1.67</v>
      </c>
      <c r="Q28" s="20">
        <f t="shared" si="6"/>
        <v>-0.24</v>
      </c>
      <c r="R28" s="21">
        <f t="shared" si="7"/>
        <v>-0.14371257485029942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0.99</v>
      </c>
      <c r="D29" s="65">
        <f>IFERROR(VLOOKUP(B29,'KoAct K수출핵심기업TOP30액티브(과거)'!$B$11:$E$1000,4,0),0)</f>
        <v>1.1399999999999999</v>
      </c>
      <c r="E29" s="20">
        <f t="shared" si="0"/>
        <v>-0.14999999999999991</v>
      </c>
      <c r="F29" s="21">
        <f t="shared" si="1"/>
        <v>-0.13157894736842102</v>
      </c>
      <c r="G29" s="63" t="str">
        <f>VLOOKUP(H29,유니버스!$C$14:$D$2561,2,0)</f>
        <v>KQ</v>
      </c>
      <c r="H29" s="65" t="str">
        <f>'KODEX 로봇액티브'!B35</f>
        <v>에스비비테크</v>
      </c>
      <c r="I29" s="65">
        <f>VLOOKUP(H29,'KODEX 로봇액티브'!$B$11:$E$1000,4,0)</f>
        <v>0.83</v>
      </c>
      <c r="J29" s="65">
        <f>IFERROR(VLOOKUP(H29,'KODEX 로봇액티브(과거)'!$B$11:$E$1000,4,0),0)</f>
        <v>0.83</v>
      </c>
      <c r="K29" s="26">
        <f t="shared" si="2"/>
        <v>0</v>
      </c>
      <c r="L29" s="27">
        <f t="shared" si="3"/>
        <v>0</v>
      </c>
      <c r="M29" s="62" t="str">
        <f>VLOOKUP(N29,유니버스!$C$14:$D$2561,2,0)</f>
        <v>KQ</v>
      </c>
      <c r="N29" s="26" t="str">
        <f>'TIMEFOLIO K컬처액티브'!B35</f>
        <v>스튜디오드래곤</v>
      </c>
      <c r="O29" s="20">
        <f>VLOOKUP(N29,'TIMEFOLIO K컬처액티브'!$B$11:$E$1000,4,0)</f>
        <v>0.98</v>
      </c>
      <c r="P29" s="20">
        <f>IFERROR(VLOOKUP(N29,'TIMEFOLIO K컬처액티브(과거)'!$B$11:$E$1000,4,0),0)</f>
        <v>1.1000000000000001</v>
      </c>
      <c r="Q29" s="20">
        <f t="shared" si="6"/>
        <v>-0.12000000000000011</v>
      </c>
      <c r="R29" s="21">
        <f t="shared" si="7"/>
        <v>-0.10909090909090913</v>
      </c>
    </row>
    <row r="30" spans="1:18" x14ac:dyDescent="0.4">
      <c r="A30" s="63" t="str">
        <f>VLOOKUP(B30,유니버스!$C$14:$D$2561,2,0)</f>
        <v>KS</v>
      </c>
      <c r="B30" s="65" t="str">
        <f>'KoAct K수출핵심기업TOP30액티브'!B36</f>
        <v>한미반도체</v>
      </c>
      <c r="C30" s="65">
        <f>VLOOKUP(B30,'KoAct K수출핵심기업TOP30액티브'!$B$11:$E$1000,4,0)</f>
        <v>0.78</v>
      </c>
      <c r="D30" s="65">
        <f>IFERROR(VLOOKUP(B30,'KoAct K수출핵심기업TOP30액티브(과거)'!$B$11:$E$1000,4,0),0)</f>
        <v>0.86</v>
      </c>
      <c r="E30" s="20">
        <f t="shared" si="0"/>
        <v>-7.999999999999996E-2</v>
      </c>
      <c r="F30" s="21">
        <f t="shared" si="1"/>
        <v>-9.3023255813953432E-2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0.67</v>
      </c>
      <c r="J30" s="65">
        <f>IFERROR(VLOOKUP(H30,'KODEX 로봇액티브(과거)'!$B$11:$E$1000,4,0),0)</f>
        <v>0.57999999999999996</v>
      </c>
      <c r="K30" s="26">
        <f t="shared" si="2"/>
        <v>9.000000000000008E-2</v>
      </c>
      <c r="L30" s="27">
        <f t="shared" si="3"/>
        <v>0.15517241379310365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2.1</v>
      </c>
      <c r="P30" s="20">
        <f>IFERROR(VLOOKUP(N30,'TIMEFOLIO K컬처액티브(과거)'!$B$11:$E$1000,4,0),0)</f>
        <v>1.53</v>
      </c>
      <c r="Q30" s="20">
        <f t="shared" si="6"/>
        <v>0.57000000000000006</v>
      </c>
      <c r="R30" s="21">
        <f t="shared" si="7"/>
        <v>0.37254901960784315</v>
      </c>
    </row>
    <row r="31" spans="1:18" x14ac:dyDescent="0.4">
      <c r="A31" s="63" t="str">
        <f>VLOOKUP(B31,유니버스!$C$14:$D$2561,2,0)</f>
        <v>KQ</v>
      </c>
      <c r="B31" s="65" t="str">
        <f>'KoAct K수출핵심기업TOP30액티브'!B37</f>
        <v>에코프로</v>
      </c>
      <c r="C31" s="65">
        <f>VLOOKUP(B31,'KoAct K수출핵심기업TOP30액티브'!$B$11:$E$1000,4,0)</f>
        <v>0.77</v>
      </c>
      <c r="D31" s="65">
        <f>IFERROR(VLOOKUP(B31,'KoAct K수출핵심기업TOP30액티브(과거)'!$B$11:$E$1000,4,0),0)</f>
        <v>0.88</v>
      </c>
      <c r="E31" s="20">
        <f t="shared" si="0"/>
        <v>-0.10999999999999999</v>
      </c>
      <c r="F31" s="21">
        <f t="shared" si="1"/>
        <v>-0.125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0.49</v>
      </c>
      <c r="J31" s="65">
        <f>IFERROR(VLOOKUP(H31,'KODEX 로봇액티브(과거)'!$B$11:$E$1000,4,0),0)</f>
        <v>0.46</v>
      </c>
      <c r="K31" s="26">
        <f t="shared" si="2"/>
        <v>2.9999999999999971E-2</v>
      </c>
      <c r="L31" s="27">
        <f t="shared" si="3"/>
        <v>6.5217391304347672E-2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0.68</v>
      </c>
      <c r="D32" s="65">
        <f>IFERROR(VLOOKUP(B32,'KoAct K수출핵심기업TOP30액티브(과거)'!$B$11:$E$1000,4,0),0)</f>
        <v>0.78</v>
      </c>
      <c r="E32" s="20">
        <f t="shared" si="0"/>
        <v>-9.9999999999999978E-2</v>
      </c>
      <c r="F32" s="21">
        <f t="shared" si="1"/>
        <v>-0.12820512820512819</v>
      </c>
      <c r="G32" s="63" t="str">
        <f>VLOOKUP(H32,유니버스!$C$14:$D$2561,2,0)</f>
        <v>KQ</v>
      </c>
      <c r="H32" s="65" t="str">
        <f>'KODEX 로봇액티브'!B38</f>
        <v>엔젤로보틱스</v>
      </c>
      <c r="I32" s="65">
        <f>VLOOKUP(H32,'KODEX 로봇액티브'!$B$11:$E$1000,4,0)</f>
        <v>0.36</v>
      </c>
      <c r="J32" s="65">
        <f>IFERROR(VLOOKUP(H32,'KODEX 로봇액티브(과거)'!$B$11:$E$1000,4,0),0)</f>
        <v>0.34</v>
      </c>
      <c r="K32" s="26">
        <f t="shared" si="2"/>
        <v>1.9999999999999962E-2</v>
      </c>
      <c r="L32" s="27">
        <f t="shared" si="3"/>
        <v>5.8823529411764497E-2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'KoAct K수출핵심기업TOP30액티브'!B39</f>
        <v>삼성바이오로직스</v>
      </c>
      <c r="C33" s="65">
        <f>VLOOKUP(B33,'KoAct K수출핵심기업TOP30액티브'!$B$11:$E$1000,4,0)</f>
        <v>0.67</v>
      </c>
      <c r="D33" s="65">
        <f>IFERROR(VLOOKUP(B33,'KoAct K수출핵심기업TOP30액티브(과거)'!$B$11:$E$1000,4,0),0)</f>
        <v>0.24</v>
      </c>
      <c r="E33" s="20">
        <f t="shared" si="0"/>
        <v>0.43000000000000005</v>
      </c>
      <c r="F33" s="21">
        <f t="shared" si="1"/>
        <v>1.791666666666667</v>
      </c>
      <c r="G33" s="63" t="str">
        <f>VLOOKUP(H33,유니버스!$C$14:$D$2561,2,0)</f>
        <v>KQ</v>
      </c>
      <c r="H33" s="65" t="str">
        <f>'KODEX 로봇액티브'!B39</f>
        <v>하이젠알앤엠</v>
      </c>
      <c r="I33" s="65">
        <f>VLOOKUP(H33,'KODEX 로봇액티브'!$B$11:$E$1000,4,0)</f>
        <v>0.3</v>
      </c>
      <c r="J33" s="65">
        <f>IFERROR(VLOOKUP(H33,'KODEX 로봇액티브(과거)'!$B$11:$E$1000,4,0),0)</f>
        <v>0.32</v>
      </c>
      <c r="K33" s="26">
        <f t="shared" si="2"/>
        <v>-2.0000000000000018E-2</v>
      </c>
      <c r="L33" s="27">
        <f t="shared" si="3"/>
        <v>-6.25E-2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리노공업</v>
      </c>
      <c r="C34" s="65">
        <f>VLOOKUP(B34,'KoAct K수출핵심기업TOP30액티브'!$B$11:$E$1000,4,0)</f>
        <v>0.41</v>
      </c>
      <c r="D34" s="65">
        <f>IFERROR(VLOOKUP(B34,'KoAct K수출핵심기업TOP30액티브(과거)'!$B$11:$E$1000,4,0),0)</f>
        <v>0.33</v>
      </c>
      <c r="E34" s="20">
        <f t="shared" si="0"/>
        <v>7.999999999999996E-2</v>
      </c>
      <c r="F34" s="21">
        <f t="shared" si="1"/>
        <v>0.24242424242424221</v>
      </c>
      <c r="G34" s="63" t="str">
        <f>VLOOKUP(H34,유니버스!$C$14:$D$2561,2,0)</f>
        <v>KS</v>
      </c>
      <c r="H34" s="65" t="str">
        <f>'KODEX 로봇액티브'!B40</f>
        <v>비에이치</v>
      </c>
      <c r="I34" s="65">
        <f>VLOOKUP(H34,'KODEX 로봇액티브'!$B$11:$E$1000,4,0)</f>
        <v>0.26</v>
      </c>
      <c r="J34" s="65">
        <f>IFERROR(VLOOKUP(H34,'KODEX 로봇액티브(과거)'!$B$11:$E$1000,4,0),0)</f>
        <v>0.28000000000000003</v>
      </c>
      <c r="K34" s="26">
        <f t="shared" si="2"/>
        <v>-2.0000000000000018E-2</v>
      </c>
      <c r="L34" s="27">
        <f t="shared" si="3"/>
        <v>-7.1428571428571508E-2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하이브</v>
      </c>
      <c r="C35" s="65">
        <f>VLOOKUP(B35,'KoAct K수출핵심기업TOP30액티브'!$B$11:$E$1000,4,0)</f>
        <v>0.35</v>
      </c>
      <c r="D35" s="65">
        <f>IFERROR(VLOOKUP(B35,'KoAct K수출핵심기업TOP30액티브(과거)'!$B$11:$E$1000,4,0),0)</f>
        <v>0.36</v>
      </c>
      <c r="E35" s="20">
        <f t="shared" si="0"/>
        <v>-1.0000000000000009E-2</v>
      </c>
      <c r="F35" s="21">
        <f t="shared" si="1"/>
        <v>-2.777777777777779E-2</v>
      </c>
      <c r="G35" s="63" t="str">
        <f>VLOOKUP(H35,유니버스!$C$14:$D$2561,2,0)</f>
        <v>KQ</v>
      </c>
      <c r="H35" s="65" t="str">
        <f>'KODEX 로봇액티브'!B41</f>
        <v>에스오에스랩</v>
      </c>
      <c r="I35" s="65">
        <f>VLOOKUP(H35,'KODEX 로봇액티브'!$B$11:$E$1000,4,0)</f>
        <v>0.25</v>
      </c>
      <c r="J35" s="65">
        <f>IFERROR(VLOOKUP(H35,'KODEX 로봇액티브(과거)'!$B$11:$E$1000,4,0),0)</f>
        <v>0.24</v>
      </c>
      <c r="K35" s="26">
        <f t="shared" si="2"/>
        <v>1.0000000000000009E-2</v>
      </c>
      <c r="L35" s="27">
        <f t="shared" si="3"/>
        <v>4.1666666666666741E-2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에이비엘바이오</v>
      </c>
      <c r="C36" s="65">
        <f>VLOOKUP(B36,'KoAct K수출핵심기업TOP30액티브'!$B$11:$E$1000,4,0)</f>
        <v>0.21</v>
      </c>
      <c r="D36" s="65">
        <f>IFERROR(VLOOKUP(B36,'KoAct K수출핵심기업TOP30액티브(과거)'!$B$11:$E$1000,4,0),0)</f>
        <v>0.19</v>
      </c>
      <c r="E36" s="20">
        <f t="shared" si="0"/>
        <v>1.999999999999999E-2</v>
      </c>
      <c r="F36" s="21">
        <f t="shared" si="1"/>
        <v>0.10526315789473673</v>
      </c>
      <c r="G36" s="63" t="str">
        <f>VLOOKUP(H36,유니버스!$C$14:$D$2561,2,0)</f>
        <v>KQ</v>
      </c>
      <c r="H36" s="65" t="str">
        <f>'KODEX 로봇액티브'!B42</f>
        <v>나우로보틱스</v>
      </c>
      <c r="I36" s="65">
        <f>VLOOKUP(H36,'KODEX 로봇액티브'!$B$11:$E$1000,4,0)</f>
        <v>0.23</v>
      </c>
      <c r="J36" s="65">
        <f>IFERROR(VLOOKUP(H36,'KODEX 로봇액티브(과거)'!$B$11:$E$1000,4,0),0)</f>
        <v>0.22</v>
      </c>
      <c r="K36" s="26">
        <f t="shared" si="2"/>
        <v>1.0000000000000009E-2</v>
      </c>
      <c r="L36" s="27">
        <f t="shared" si="3"/>
        <v>4.5454545454545414E-2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에스티팜</v>
      </c>
      <c r="C37" s="65">
        <f>VLOOKUP(B37,'KoAct K수출핵심기업TOP30액티브'!$B$11:$E$1000,4,0)</f>
        <v>0.2</v>
      </c>
      <c r="D37" s="65">
        <f>IFERROR(VLOOKUP(B37,'KoAct K수출핵심기업TOP30액티브(과거)'!$B$11:$E$1000,4,0),0)</f>
        <v>0.09</v>
      </c>
      <c r="E37" s="20">
        <f t="shared" si="0"/>
        <v>0.11000000000000001</v>
      </c>
      <c r="F37" s="21">
        <f t="shared" si="1"/>
        <v>1.2222222222222223</v>
      </c>
      <c r="G37" s="63" t="str">
        <f>VLOOKUP(H37,유니버스!$C$14:$D$2561,2,0)</f>
        <v>KS</v>
      </c>
      <c r="H37" s="65" t="str">
        <f>'KODEX 로봇액티브'!B43</f>
        <v>LIG디펜스앤에어로스페이스</v>
      </c>
      <c r="I37" s="65">
        <f>VLOOKUP(H37,'KODEX 로봇액티브'!$B$11:$E$1000,4,0)</f>
        <v>0.23</v>
      </c>
      <c r="J37" s="65">
        <f>IFERROR(VLOOKUP(H37,'KODEX 로봇액티브(과거)'!$B$11:$E$1000,4,0),0)</f>
        <v>0.31</v>
      </c>
      <c r="K37" s="26">
        <f t="shared" si="2"/>
        <v>-7.9999999999999988E-2</v>
      </c>
      <c r="L37" s="27">
        <f t="shared" si="3"/>
        <v>-0.25806451612903225</v>
      </c>
      <c r="N37" s="26"/>
      <c r="O37" s="20"/>
      <c r="P37" s="20"/>
      <c r="Q37" s="20"/>
      <c r="R37" s="21"/>
    </row>
    <row r="38" spans="1:18" x14ac:dyDescent="0.4">
      <c r="A38" s="63" t="e">
        <f>VLOOKUP(B38,유니버스!$C$14:$D$2561,2,0)</f>
        <v>#N/A</v>
      </c>
      <c r="B38" s="65" t="str">
        <f>'KoAct K수출핵심기업TOP30액티브'!B44</f>
        <v>원화현금</v>
      </c>
      <c r="C38" s="65">
        <f>VLOOKUP(B38,'KoAct K수출핵심기업TOP30액티브'!$B$11:$E$1000,4,0)</f>
        <v>0.71</v>
      </c>
      <c r="D38" s="65">
        <f>IFERROR(VLOOKUP(B38,'KoAct K수출핵심기업TOP30액티브(과거)'!$B$11:$E$1000,4,0),0)</f>
        <v>0.43</v>
      </c>
      <c r="E38" s="20">
        <f t="shared" ref="E38" si="8">C38-D38</f>
        <v>0.27999999999999997</v>
      </c>
      <c r="F38" s="21">
        <f t="shared" ref="F38" si="9">IFERROR(C38/D38-1,"신규편입")</f>
        <v>0.65116279069767447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1.9</v>
      </c>
      <c r="J38" s="65">
        <f>IFERROR(VLOOKUP(H38,'KODEX 로봇액티브(과거)'!$B$11:$E$1000,4,0),0)</f>
        <v>1.49</v>
      </c>
      <c r="K38" s="26">
        <f t="shared" ref="K38" si="10">I38-J38</f>
        <v>0.40999999999999992</v>
      </c>
      <c r="L38" s="27">
        <f t="shared" ref="L38" si="11">IFERROR(I38/J38-1,"신규편입")</f>
        <v>0.27516778523489926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sheetPr>
    <tabColor rgb="FFFFFF00"/>
  </sheetPr>
  <dimension ref="A1:G199"/>
  <sheetViews>
    <sheetView showGridLines="0" zoomScaleNormal="100" workbookViewId="0">
      <selection activeCell="C22" sqref="C2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5142</v>
      </c>
      <c r="B8" s="6"/>
      <c r="C8" s="6"/>
      <c r="D8" s="6"/>
      <c r="E8" s="14"/>
    </row>
    <row r="9" spans="1:7" x14ac:dyDescent="0.4">
      <c r="A9" s="75" t="s">
        <v>5144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276</v>
      </c>
      <c r="D11" s="76">
        <v>58788000</v>
      </c>
      <c r="E11" s="19">
        <v>10.34</v>
      </c>
      <c r="F11" s="17"/>
      <c r="G11" s="17"/>
    </row>
    <row r="12" spans="1:7" x14ac:dyDescent="0.4">
      <c r="A12" s="73" t="s">
        <v>158</v>
      </c>
      <c r="B12" s="74" t="s">
        <v>159</v>
      </c>
      <c r="C12" s="77">
        <v>398</v>
      </c>
      <c r="D12" s="78">
        <v>32516600</v>
      </c>
      <c r="E12" s="15">
        <v>5.72</v>
      </c>
    </row>
    <row r="13" spans="1:7" x14ac:dyDescent="0.4">
      <c r="A13" s="73" t="s">
        <v>486</v>
      </c>
      <c r="B13" s="73" t="s">
        <v>487</v>
      </c>
      <c r="C13" s="78">
        <v>160</v>
      </c>
      <c r="D13" s="78">
        <v>25168000</v>
      </c>
      <c r="E13" s="15">
        <v>4.42</v>
      </c>
    </row>
    <row r="14" spans="1:7" x14ac:dyDescent="0.4">
      <c r="A14" s="73" t="s">
        <v>2239</v>
      </c>
      <c r="B14" s="74" t="s">
        <v>2240</v>
      </c>
      <c r="C14" s="76">
        <v>787</v>
      </c>
      <c r="D14" s="76">
        <v>24082200</v>
      </c>
      <c r="E14" s="19">
        <v>4.2300000000000004</v>
      </c>
      <c r="F14" s="17"/>
      <c r="G14" s="17"/>
    </row>
    <row r="15" spans="1:7" x14ac:dyDescent="0.4">
      <c r="A15" s="73" t="s">
        <v>477</v>
      </c>
      <c r="B15" s="74" t="s">
        <v>478</v>
      </c>
      <c r="C15" s="77">
        <v>116</v>
      </c>
      <c r="D15" s="78">
        <v>19314000</v>
      </c>
      <c r="E15" s="15">
        <v>3.4</v>
      </c>
    </row>
    <row r="16" spans="1:7" x14ac:dyDescent="0.4">
      <c r="A16" s="73" t="s">
        <v>469</v>
      </c>
      <c r="B16" s="73" t="s">
        <v>470</v>
      </c>
      <c r="C16" s="77">
        <v>84</v>
      </c>
      <c r="D16" s="78">
        <v>17766000</v>
      </c>
      <c r="E16" s="15">
        <v>3.12</v>
      </c>
    </row>
    <row r="17" spans="1:7" x14ac:dyDescent="0.4">
      <c r="A17" s="73" t="s">
        <v>31</v>
      </c>
      <c r="B17" s="74" t="s">
        <v>32</v>
      </c>
      <c r="C17" s="77">
        <v>48</v>
      </c>
      <c r="D17" s="78">
        <v>17184000</v>
      </c>
      <c r="E17" s="15">
        <v>3.02</v>
      </c>
    </row>
    <row r="18" spans="1:7" x14ac:dyDescent="0.4">
      <c r="A18" s="73" t="s">
        <v>444</v>
      </c>
      <c r="B18" s="73" t="s">
        <v>445</v>
      </c>
      <c r="C18" s="78">
        <v>166</v>
      </c>
      <c r="D18" s="78">
        <v>15189000</v>
      </c>
      <c r="E18" s="15">
        <v>2.67</v>
      </c>
    </row>
    <row r="19" spans="1:7" x14ac:dyDescent="0.4">
      <c r="A19" s="73" t="s">
        <v>4616</v>
      </c>
      <c r="B19" s="74" t="s">
        <v>4617</v>
      </c>
      <c r="C19" s="76">
        <v>174</v>
      </c>
      <c r="D19" s="76">
        <v>14146200</v>
      </c>
      <c r="E19" s="19">
        <v>2.4900000000000002</v>
      </c>
      <c r="F19" s="17"/>
      <c r="G19" s="17"/>
    </row>
    <row r="20" spans="1:7" x14ac:dyDescent="0.4">
      <c r="A20" s="73" t="s">
        <v>41</v>
      </c>
      <c r="B20" s="73" t="s">
        <v>42</v>
      </c>
      <c r="C20" s="78">
        <v>138</v>
      </c>
      <c r="D20" s="78">
        <v>14007000</v>
      </c>
      <c r="E20" s="15">
        <v>2.46</v>
      </c>
    </row>
    <row r="21" spans="1:7" x14ac:dyDescent="0.4">
      <c r="A21" s="73" t="s">
        <v>756</v>
      </c>
      <c r="B21" s="73" t="s">
        <v>757</v>
      </c>
      <c r="C21" s="78">
        <v>133</v>
      </c>
      <c r="D21" s="78">
        <v>13738900</v>
      </c>
      <c r="E21" s="15">
        <v>2.42</v>
      </c>
    </row>
    <row r="22" spans="1:7" x14ac:dyDescent="0.4">
      <c r="A22" s="73" t="s">
        <v>61</v>
      </c>
      <c r="B22" s="73" t="s">
        <v>62</v>
      </c>
      <c r="C22" s="78">
        <v>37</v>
      </c>
      <c r="D22" s="78">
        <v>13560500</v>
      </c>
      <c r="E22" s="15">
        <v>2.38</v>
      </c>
    </row>
    <row r="23" spans="1:7" x14ac:dyDescent="0.4">
      <c r="A23" s="73" t="s">
        <v>432</v>
      </c>
      <c r="B23" s="73" t="s">
        <v>433</v>
      </c>
      <c r="C23" s="77">
        <v>219</v>
      </c>
      <c r="D23" s="78">
        <v>12351600</v>
      </c>
      <c r="E23" s="15">
        <v>2.17</v>
      </c>
    </row>
    <row r="24" spans="1:7" x14ac:dyDescent="0.4">
      <c r="A24" s="73" t="s">
        <v>35</v>
      </c>
      <c r="B24" s="73" t="s">
        <v>36</v>
      </c>
      <c r="C24" s="77">
        <v>81</v>
      </c>
      <c r="D24" s="78">
        <v>12150000</v>
      </c>
      <c r="E24" s="15">
        <v>2.14</v>
      </c>
    </row>
    <row r="25" spans="1:7" x14ac:dyDescent="0.4">
      <c r="A25" s="73" t="s">
        <v>566</v>
      </c>
      <c r="B25" s="73" t="s">
        <v>567</v>
      </c>
      <c r="C25" s="78">
        <v>44</v>
      </c>
      <c r="D25" s="78">
        <v>12144000</v>
      </c>
      <c r="E25" s="15">
        <v>2.14</v>
      </c>
    </row>
    <row r="26" spans="1:7" x14ac:dyDescent="0.4">
      <c r="A26" s="73" t="s">
        <v>45</v>
      </c>
      <c r="B26" s="73" t="s">
        <v>46</v>
      </c>
      <c r="C26" s="78">
        <v>68</v>
      </c>
      <c r="D26" s="78">
        <v>11356000</v>
      </c>
      <c r="E26" s="15">
        <v>2</v>
      </c>
    </row>
    <row r="27" spans="1:7" x14ac:dyDescent="0.4">
      <c r="A27" s="73" t="s">
        <v>232</v>
      </c>
      <c r="B27" s="73" t="s">
        <v>233</v>
      </c>
      <c r="C27" s="78">
        <v>45</v>
      </c>
      <c r="D27" s="78">
        <v>11317500</v>
      </c>
      <c r="E27" s="15">
        <v>1.99</v>
      </c>
    </row>
    <row r="28" spans="1:7" x14ac:dyDescent="0.4">
      <c r="A28" s="73" t="s">
        <v>162</v>
      </c>
      <c r="B28" s="74" t="s">
        <v>163</v>
      </c>
      <c r="C28" s="76">
        <v>178</v>
      </c>
      <c r="D28" s="76">
        <v>10057000</v>
      </c>
      <c r="E28" s="19">
        <v>1.77</v>
      </c>
      <c r="F28" s="17"/>
      <c r="G28" s="17"/>
    </row>
    <row r="29" spans="1:7" x14ac:dyDescent="0.4">
      <c r="A29" s="73" t="s">
        <v>640</v>
      </c>
      <c r="B29" s="73" t="s">
        <v>641</v>
      </c>
      <c r="C29" s="78">
        <v>42</v>
      </c>
      <c r="D29" s="78">
        <v>7946400</v>
      </c>
      <c r="E29" s="15">
        <v>1.4</v>
      </c>
    </row>
    <row r="30" spans="1:7" x14ac:dyDescent="0.4">
      <c r="A30" s="73" t="s">
        <v>3652</v>
      </c>
      <c r="B30" s="73" t="s">
        <v>3653</v>
      </c>
      <c r="C30" s="78">
        <v>141</v>
      </c>
      <c r="D30" s="78">
        <v>7797300</v>
      </c>
      <c r="E30" s="15">
        <v>1.37</v>
      </c>
    </row>
    <row r="31" spans="1:7" x14ac:dyDescent="0.4">
      <c r="A31" s="73" t="s">
        <v>473</v>
      </c>
      <c r="B31" s="73" t="s">
        <v>474</v>
      </c>
      <c r="C31" s="78">
        <v>151</v>
      </c>
      <c r="D31" s="78">
        <v>7746300</v>
      </c>
      <c r="E31" s="15">
        <v>1.36</v>
      </c>
    </row>
    <row r="32" spans="1:7" x14ac:dyDescent="0.4">
      <c r="A32" s="73" t="s">
        <v>401</v>
      </c>
      <c r="B32" s="73" t="s">
        <v>402</v>
      </c>
      <c r="C32" s="78">
        <v>202</v>
      </c>
      <c r="D32" s="78">
        <v>7595200</v>
      </c>
      <c r="E32" s="15">
        <v>1.34</v>
      </c>
    </row>
    <row r="33" spans="1:7" x14ac:dyDescent="0.4">
      <c r="A33" s="73" t="s">
        <v>491</v>
      </c>
      <c r="B33" s="73" t="s">
        <v>492</v>
      </c>
      <c r="C33" s="78">
        <v>30</v>
      </c>
      <c r="D33" s="78">
        <v>7260000</v>
      </c>
      <c r="E33" s="15">
        <v>1.28</v>
      </c>
    </row>
    <row r="34" spans="1:7" x14ac:dyDescent="0.4">
      <c r="A34" s="73" t="s">
        <v>734</v>
      </c>
      <c r="B34" s="73" t="s">
        <v>735</v>
      </c>
      <c r="C34" s="78">
        <v>72</v>
      </c>
      <c r="D34" s="78">
        <v>6890400</v>
      </c>
      <c r="E34" s="15">
        <v>1.21</v>
      </c>
    </row>
    <row r="35" spans="1:7" x14ac:dyDescent="0.4">
      <c r="A35" s="73" t="s">
        <v>514</v>
      </c>
      <c r="B35" s="73" t="s">
        <v>515</v>
      </c>
      <c r="C35" s="76">
        <v>151</v>
      </c>
      <c r="D35" s="76">
        <v>6870500</v>
      </c>
      <c r="E35" s="19">
        <v>1.21</v>
      </c>
      <c r="F35" s="17"/>
      <c r="G35" s="17"/>
    </row>
    <row r="36" spans="1:7" x14ac:dyDescent="0.4">
      <c r="A36" s="73" t="s">
        <v>676</v>
      </c>
      <c r="B36" s="73" t="s">
        <v>677</v>
      </c>
      <c r="C36" s="78">
        <v>61</v>
      </c>
      <c r="D36" s="78">
        <v>6868600</v>
      </c>
      <c r="E36" s="15">
        <v>1.21</v>
      </c>
    </row>
    <row r="37" spans="1:7" x14ac:dyDescent="0.4">
      <c r="A37" s="73" t="s">
        <v>180</v>
      </c>
      <c r="B37" s="73" t="s">
        <v>181</v>
      </c>
      <c r="C37" s="78">
        <v>40</v>
      </c>
      <c r="D37" s="78">
        <v>6624000</v>
      </c>
      <c r="E37" s="15">
        <v>1.1599999999999999</v>
      </c>
    </row>
    <row r="38" spans="1:7" x14ac:dyDescent="0.4">
      <c r="A38" s="73" t="s">
        <v>57</v>
      </c>
      <c r="B38" s="73" t="s">
        <v>58</v>
      </c>
      <c r="C38" s="78">
        <v>179</v>
      </c>
      <c r="D38" s="78">
        <v>6578250</v>
      </c>
      <c r="E38" s="15">
        <v>1.1599999999999999</v>
      </c>
    </row>
    <row r="39" spans="1:7" x14ac:dyDescent="0.4">
      <c r="A39" s="73" t="s">
        <v>1994</v>
      </c>
      <c r="B39" s="73" t="s">
        <v>1995</v>
      </c>
      <c r="C39" s="73">
        <v>253</v>
      </c>
      <c r="D39" s="78">
        <v>6464150</v>
      </c>
      <c r="E39" s="15">
        <v>1.1399999999999999</v>
      </c>
    </row>
    <row r="40" spans="1:7" x14ac:dyDescent="0.4">
      <c r="A40" s="73" t="s">
        <v>420</v>
      </c>
      <c r="B40" s="73" t="s">
        <v>421</v>
      </c>
      <c r="C40" s="73">
        <v>57</v>
      </c>
      <c r="D40" s="78">
        <v>6138900</v>
      </c>
      <c r="E40" s="15">
        <v>1.08</v>
      </c>
    </row>
    <row r="41" spans="1:7" x14ac:dyDescent="0.4">
      <c r="A41" s="73" t="s">
        <v>236</v>
      </c>
      <c r="B41" s="73" t="s">
        <v>237</v>
      </c>
      <c r="C41" s="78">
        <v>11</v>
      </c>
      <c r="D41" s="78">
        <v>5709000</v>
      </c>
      <c r="E41" s="15">
        <v>1</v>
      </c>
    </row>
    <row r="42" spans="1:7" x14ac:dyDescent="0.4">
      <c r="A42" s="73" t="s">
        <v>49</v>
      </c>
      <c r="B42" s="74" t="s">
        <v>50</v>
      </c>
      <c r="C42" s="76">
        <v>43</v>
      </c>
      <c r="D42" s="76">
        <v>5658800</v>
      </c>
      <c r="E42" s="19">
        <v>0.99</v>
      </c>
      <c r="F42" s="17"/>
      <c r="G42" s="17"/>
    </row>
    <row r="43" spans="1:7" x14ac:dyDescent="0.4">
      <c r="A43" s="73" t="s">
        <v>622</v>
      </c>
      <c r="B43" s="74" t="s">
        <v>623</v>
      </c>
      <c r="C43" s="76">
        <v>137</v>
      </c>
      <c r="D43" s="76">
        <v>5623850</v>
      </c>
      <c r="E43" s="19">
        <v>0.99</v>
      </c>
      <c r="F43" s="17"/>
      <c r="G43" s="17"/>
    </row>
    <row r="44" spans="1:7" x14ac:dyDescent="0.4">
      <c r="A44" s="73" t="s">
        <v>47</v>
      </c>
      <c r="B44" s="73" t="s">
        <v>48</v>
      </c>
      <c r="C44" s="78">
        <v>163</v>
      </c>
      <c r="D44" s="78">
        <v>5484950</v>
      </c>
      <c r="E44" s="15">
        <v>0.96</v>
      </c>
    </row>
    <row r="45" spans="1:7" x14ac:dyDescent="0.4">
      <c r="A45" s="73" t="s">
        <v>279</v>
      </c>
      <c r="B45" s="73" t="s">
        <v>280</v>
      </c>
      <c r="C45" s="78">
        <v>520</v>
      </c>
      <c r="D45" s="78">
        <v>5350800</v>
      </c>
      <c r="E45" s="15">
        <v>0.94</v>
      </c>
    </row>
    <row r="46" spans="1:7" x14ac:dyDescent="0.4">
      <c r="A46" s="73" t="s">
        <v>3342</v>
      </c>
      <c r="B46" s="73" t="s">
        <v>3343</v>
      </c>
      <c r="C46" s="78">
        <v>230</v>
      </c>
      <c r="D46" s="78">
        <v>5347500</v>
      </c>
      <c r="E46" s="15">
        <v>0.94</v>
      </c>
    </row>
    <row r="47" spans="1:7" x14ac:dyDescent="0.4">
      <c r="A47" s="73" t="s">
        <v>554</v>
      </c>
      <c r="B47" s="73" t="s">
        <v>555</v>
      </c>
      <c r="C47" s="78">
        <v>211</v>
      </c>
      <c r="D47" s="78">
        <v>5137850</v>
      </c>
      <c r="E47" s="15">
        <v>0.9</v>
      </c>
    </row>
    <row r="48" spans="1:7" x14ac:dyDescent="0.4">
      <c r="A48" s="73" t="s">
        <v>37</v>
      </c>
      <c r="B48" s="73" t="s">
        <v>38</v>
      </c>
      <c r="C48" s="78">
        <v>54</v>
      </c>
      <c r="D48" s="78">
        <v>4989600</v>
      </c>
      <c r="E48" s="15">
        <v>0.88</v>
      </c>
    </row>
    <row r="49" spans="1:5" x14ac:dyDescent="0.4">
      <c r="A49" s="73" t="s">
        <v>542</v>
      </c>
      <c r="B49" s="73" t="s">
        <v>543</v>
      </c>
      <c r="C49" s="78">
        <v>133</v>
      </c>
      <c r="D49" s="78">
        <v>4921000</v>
      </c>
      <c r="E49" s="15">
        <v>0.87</v>
      </c>
    </row>
    <row r="50" spans="1:5" x14ac:dyDescent="0.4">
      <c r="A50" s="73" t="s">
        <v>3922</v>
      </c>
      <c r="B50" s="73" t="s">
        <v>3923</v>
      </c>
      <c r="C50" s="78">
        <v>75</v>
      </c>
      <c r="D50" s="78">
        <v>4837500</v>
      </c>
      <c r="E50" s="15">
        <v>0.85</v>
      </c>
    </row>
    <row r="51" spans="1:5" x14ac:dyDescent="0.4">
      <c r="A51" s="73" t="s">
        <v>397</v>
      </c>
      <c r="B51" s="73" t="s">
        <v>398</v>
      </c>
      <c r="C51" s="78">
        <v>49</v>
      </c>
      <c r="D51" s="78">
        <v>4557000</v>
      </c>
      <c r="E51" s="15">
        <v>0.8</v>
      </c>
    </row>
    <row r="52" spans="1:5" x14ac:dyDescent="0.4">
      <c r="A52" s="73" t="s">
        <v>742</v>
      </c>
      <c r="B52" s="73" t="s">
        <v>743</v>
      </c>
      <c r="C52" s="78">
        <v>182</v>
      </c>
      <c r="D52" s="78">
        <v>4513600</v>
      </c>
      <c r="E52" s="15">
        <v>0.79</v>
      </c>
    </row>
    <row r="53" spans="1:5" x14ac:dyDescent="0.4">
      <c r="A53" s="73" t="s">
        <v>353</v>
      </c>
      <c r="B53" s="73" t="s">
        <v>354</v>
      </c>
      <c r="C53" s="78">
        <v>33</v>
      </c>
      <c r="D53" s="78">
        <v>4379100</v>
      </c>
      <c r="E53" s="15">
        <v>0.77</v>
      </c>
    </row>
    <row r="54" spans="1:5" x14ac:dyDescent="0.4">
      <c r="A54" s="73" t="s">
        <v>223</v>
      </c>
      <c r="B54" s="73" t="s">
        <v>224</v>
      </c>
      <c r="C54" s="78">
        <v>132</v>
      </c>
      <c r="D54" s="78">
        <v>4296600</v>
      </c>
      <c r="E54" s="15">
        <v>0.76</v>
      </c>
    </row>
    <row r="55" spans="1:5" x14ac:dyDescent="0.4">
      <c r="A55" s="73" t="s">
        <v>716</v>
      </c>
      <c r="B55" s="73" t="s">
        <v>717</v>
      </c>
      <c r="C55" s="78">
        <v>329</v>
      </c>
      <c r="D55" s="78">
        <v>4122370</v>
      </c>
      <c r="E55" s="15">
        <v>0.72</v>
      </c>
    </row>
    <row r="56" spans="1:5" x14ac:dyDescent="0.4">
      <c r="A56" s="73" t="s">
        <v>3223</v>
      </c>
      <c r="B56" s="73" t="s">
        <v>3224</v>
      </c>
      <c r="C56" s="73">
        <v>74</v>
      </c>
      <c r="D56" s="78">
        <v>4070000</v>
      </c>
      <c r="E56" s="15">
        <v>0.72</v>
      </c>
    </row>
    <row r="57" spans="1:5" x14ac:dyDescent="0.4">
      <c r="A57" s="73" t="s">
        <v>2912</v>
      </c>
      <c r="B57" s="73" t="s">
        <v>2913</v>
      </c>
      <c r="C57" s="78">
        <v>90</v>
      </c>
      <c r="D57" s="78">
        <v>3753000</v>
      </c>
      <c r="E57" s="15">
        <v>0.66</v>
      </c>
    </row>
    <row r="58" spans="1:5" x14ac:dyDescent="0.4">
      <c r="A58" s="73" t="s">
        <v>351</v>
      </c>
      <c r="B58" s="73" t="s">
        <v>352</v>
      </c>
      <c r="C58" s="73">
        <v>21</v>
      </c>
      <c r="D58" s="78">
        <v>3584700</v>
      </c>
      <c r="E58" s="15">
        <v>0.63</v>
      </c>
    </row>
    <row r="59" spans="1:5" x14ac:dyDescent="0.4">
      <c r="A59" s="73" t="s">
        <v>634</v>
      </c>
      <c r="B59" s="73" t="s">
        <v>635</v>
      </c>
      <c r="C59" s="73">
        <v>84</v>
      </c>
      <c r="D59" s="78">
        <v>3557400</v>
      </c>
      <c r="E59" s="15">
        <v>0.63</v>
      </c>
    </row>
    <row r="60" spans="1:5" x14ac:dyDescent="0.4">
      <c r="A60" s="73" t="s">
        <v>698</v>
      </c>
      <c r="B60" s="73" t="s">
        <v>699</v>
      </c>
      <c r="C60" s="78">
        <v>78</v>
      </c>
      <c r="D60" s="78">
        <v>3034200</v>
      </c>
      <c r="E60" s="15">
        <v>0.53</v>
      </c>
    </row>
    <row r="61" spans="1:5" x14ac:dyDescent="0.4">
      <c r="A61" s="73" t="s">
        <v>1911</v>
      </c>
      <c r="B61" s="73" t="s">
        <v>1912</v>
      </c>
      <c r="C61" s="78">
        <v>251</v>
      </c>
      <c r="D61" s="78">
        <v>2996940</v>
      </c>
      <c r="E61" s="15">
        <v>0.53</v>
      </c>
    </row>
    <row r="62" spans="1:5" x14ac:dyDescent="0.4">
      <c r="A62" s="73" t="s">
        <v>871</v>
      </c>
      <c r="B62" s="73" t="s">
        <v>872</v>
      </c>
      <c r="C62" s="78">
        <v>120</v>
      </c>
      <c r="D62" s="78">
        <v>2880000</v>
      </c>
      <c r="E62" s="15">
        <v>0.51</v>
      </c>
    </row>
    <row r="63" spans="1:5" x14ac:dyDescent="0.4">
      <c r="A63" s="73" t="s">
        <v>3750</v>
      </c>
      <c r="B63" s="73" t="s">
        <v>3751</v>
      </c>
      <c r="C63" s="78">
        <v>213</v>
      </c>
      <c r="D63" s="78">
        <v>2809470</v>
      </c>
      <c r="E63" s="15">
        <v>0.49</v>
      </c>
    </row>
    <row r="64" spans="1:5" x14ac:dyDescent="0.4">
      <c r="A64" s="73" t="s">
        <v>574</v>
      </c>
      <c r="B64" s="73" t="s">
        <v>575</v>
      </c>
      <c r="C64" s="78">
        <v>59</v>
      </c>
      <c r="D64" s="78">
        <v>2708100</v>
      </c>
      <c r="E64" s="15">
        <v>0.48</v>
      </c>
    </row>
    <row r="65" spans="1:5" x14ac:dyDescent="0.4">
      <c r="A65" s="73" t="s">
        <v>4842</v>
      </c>
      <c r="B65" s="73" t="s">
        <v>4843</v>
      </c>
      <c r="C65" s="78">
        <v>173</v>
      </c>
      <c r="D65" s="78">
        <v>2646900</v>
      </c>
      <c r="E65" s="15">
        <v>0.47</v>
      </c>
    </row>
    <row r="66" spans="1:5" x14ac:dyDescent="0.4">
      <c r="A66" s="73" t="s">
        <v>349</v>
      </c>
      <c r="B66" s="73" t="s">
        <v>350</v>
      </c>
      <c r="C66" s="78">
        <v>6</v>
      </c>
      <c r="D66" s="78">
        <v>2610000</v>
      </c>
      <c r="E66" s="15">
        <v>0.46</v>
      </c>
    </row>
    <row r="67" spans="1:5" x14ac:dyDescent="0.4">
      <c r="A67" s="73" t="s">
        <v>361</v>
      </c>
      <c r="B67" s="73" t="s">
        <v>362</v>
      </c>
      <c r="C67" s="78">
        <v>58</v>
      </c>
      <c r="D67" s="78">
        <v>2554900</v>
      </c>
      <c r="E67" s="15">
        <v>0.45</v>
      </c>
    </row>
    <row r="68" spans="1:5" x14ac:dyDescent="0.4">
      <c r="A68" s="73" t="s">
        <v>604</v>
      </c>
      <c r="B68" s="73" t="s">
        <v>605</v>
      </c>
      <c r="C68" s="78">
        <v>56</v>
      </c>
      <c r="D68" s="78">
        <v>2464000</v>
      </c>
      <c r="E68" s="15">
        <v>0.43</v>
      </c>
    </row>
    <row r="69" spans="1:5" x14ac:dyDescent="0.4">
      <c r="A69" s="73" t="s">
        <v>466</v>
      </c>
      <c r="B69" s="73" t="s">
        <v>467</v>
      </c>
      <c r="C69" s="78">
        <v>49</v>
      </c>
      <c r="D69" s="78">
        <v>2459800</v>
      </c>
      <c r="E69" s="15">
        <v>0.43</v>
      </c>
    </row>
    <row r="70" spans="1:5" x14ac:dyDescent="0.4">
      <c r="A70" s="73" t="s">
        <v>628</v>
      </c>
      <c r="B70" s="73" t="s">
        <v>629</v>
      </c>
      <c r="C70" s="78">
        <v>31</v>
      </c>
      <c r="D70" s="78">
        <v>2430400</v>
      </c>
      <c r="E70" s="15">
        <v>0.43</v>
      </c>
    </row>
    <row r="71" spans="1:5" x14ac:dyDescent="0.4">
      <c r="A71" s="73" t="s">
        <v>468</v>
      </c>
      <c r="B71" s="73" t="s">
        <v>5169</v>
      </c>
      <c r="C71" s="78">
        <v>57</v>
      </c>
      <c r="D71" s="78">
        <v>2271450</v>
      </c>
      <c r="E71" s="15">
        <v>0.4</v>
      </c>
    </row>
    <row r="72" spans="1:5" x14ac:dyDescent="0.4">
      <c r="A72" s="73" t="s">
        <v>4332</v>
      </c>
      <c r="B72" s="73" t="s">
        <v>4333</v>
      </c>
      <c r="C72" s="78">
        <v>34</v>
      </c>
      <c r="D72" s="78">
        <v>2138600</v>
      </c>
      <c r="E72" s="15">
        <v>0.38</v>
      </c>
    </row>
    <row r="73" spans="1:5" x14ac:dyDescent="0.4">
      <c r="A73" s="73" t="s">
        <v>39</v>
      </c>
      <c r="B73" s="73" t="s">
        <v>40</v>
      </c>
      <c r="C73" s="78">
        <v>11</v>
      </c>
      <c r="D73" s="78">
        <v>2085600</v>
      </c>
      <c r="E73" s="15">
        <v>0.37</v>
      </c>
    </row>
    <row r="74" spans="1:5" x14ac:dyDescent="0.4">
      <c r="A74" s="73" t="s">
        <v>730</v>
      </c>
      <c r="B74" s="73" t="s">
        <v>731</v>
      </c>
      <c r="C74" s="73">
        <v>34</v>
      </c>
      <c r="D74" s="78">
        <v>2050200</v>
      </c>
      <c r="E74" s="15">
        <v>0.36</v>
      </c>
    </row>
    <row r="75" spans="1:5" x14ac:dyDescent="0.4">
      <c r="A75" s="73" t="s">
        <v>3243</v>
      </c>
      <c r="B75" s="73" t="s">
        <v>3244</v>
      </c>
      <c r="C75" s="73">
        <v>45</v>
      </c>
      <c r="D75" s="78">
        <v>2018250</v>
      </c>
      <c r="E75" s="15">
        <v>0.35</v>
      </c>
    </row>
    <row r="76" spans="1:5" x14ac:dyDescent="0.4">
      <c r="A76" s="73" t="s">
        <v>5054</v>
      </c>
      <c r="B76" s="73" t="s">
        <v>5182</v>
      </c>
      <c r="C76" s="73">
        <v>100</v>
      </c>
      <c r="D76" s="78">
        <v>1983000</v>
      </c>
      <c r="E76" s="15">
        <v>0.35</v>
      </c>
    </row>
    <row r="77" spans="1:5" x14ac:dyDescent="0.4">
      <c r="A77" s="73" t="s">
        <v>2475</v>
      </c>
      <c r="B77" s="73" t="s">
        <v>2476</v>
      </c>
      <c r="C77" s="78">
        <v>251</v>
      </c>
      <c r="D77" s="78">
        <v>1982900</v>
      </c>
      <c r="E77" s="15">
        <v>0.35</v>
      </c>
    </row>
    <row r="78" spans="1:5" x14ac:dyDescent="0.4">
      <c r="A78" s="73" t="s">
        <v>418</v>
      </c>
      <c r="B78" s="73" t="s">
        <v>419</v>
      </c>
      <c r="C78" s="73">
        <v>57</v>
      </c>
      <c r="D78" s="78">
        <v>1855350</v>
      </c>
      <c r="E78" s="15">
        <v>0.33</v>
      </c>
    </row>
    <row r="79" spans="1:5" x14ac:dyDescent="0.4">
      <c r="A79" s="73" t="s">
        <v>718</v>
      </c>
      <c r="B79" s="73" t="s">
        <v>719</v>
      </c>
      <c r="C79" s="73">
        <v>19</v>
      </c>
      <c r="D79" s="78">
        <v>1569400</v>
      </c>
      <c r="E79" s="15">
        <v>0.28000000000000003</v>
      </c>
    </row>
    <row r="80" spans="1:5" x14ac:dyDescent="0.4">
      <c r="A80" s="73" t="s">
        <v>1966</v>
      </c>
      <c r="B80" s="73" t="s">
        <v>1967</v>
      </c>
      <c r="C80" s="73">
        <v>77</v>
      </c>
      <c r="D80" s="78">
        <v>1415260</v>
      </c>
      <c r="E80" s="15">
        <v>0.25</v>
      </c>
    </row>
    <row r="81" spans="1:5" x14ac:dyDescent="0.4">
      <c r="A81" s="73" t="s">
        <v>221</v>
      </c>
      <c r="B81" s="73" t="s">
        <v>222</v>
      </c>
      <c r="C81" s="73">
        <v>27</v>
      </c>
      <c r="D81" s="78">
        <v>1188000</v>
      </c>
      <c r="E81" s="15">
        <v>0.21</v>
      </c>
    </row>
    <row r="82" spans="1:5" x14ac:dyDescent="0.4">
      <c r="A82" s="73" t="s">
        <v>4836</v>
      </c>
      <c r="B82" s="73" t="s">
        <v>4837</v>
      </c>
      <c r="C82" s="78">
        <v>70</v>
      </c>
      <c r="D82" s="78">
        <v>1102500</v>
      </c>
      <c r="E82" s="15">
        <v>0.19</v>
      </c>
    </row>
    <row r="83" spans="1:5" x14ac:dyDescent="0.4">
      <c r="A83" s="73" t="s">
        <v>4606</v>
      </c>
      <c r="B83" s="73" t="s">
        <v>4607</v>
      </c>
      <c r="C83" s="73">
        <v>32</v>
      </c>
      <c r="D83" s="78">
        <v>1038400</v>
      </c>
      <c r="E83" s="15">
        <v>0.18</v>
      </c>
    </row>
    <row r="84" spans="1:5" x14ac:dyDescent="0.4">
      <c r="A84" s="73" t="s">
        <v>668</v>
      </c>
      <c r="B84" s="73" t="s">
        <v>669</v>
      </c>
      <c r="C84" s="78">
        <v>50</v>
      </c>
      <c r="D84" s="78">
        <v>715000</v>
      </c>
      <c r="E84" s="15">
        <v>0.13</v>
      </c>
    </row>
    <row r="85" spans="1:5" x14ac:dyDescent="0.4">
      <c r="A85" s="73"/>
      <c r="B85" s="73" t="s">
        <v>10</v>
      </c>
      <c r="C85" s="78">
        <v>6268294</v>
      </c>
      <c r="D85" s="78">
        <v>6268294</v>
      </c>
      <c r="E85" s="15">
        <v>1.1000000000000001</v>
      </c>
    </row>
    <row r="86" spans="1:5" x14ac:dyDescent="0.4">
      <c r="C86" s="13"/>
      <c r="D86" s="13"/>
      <c r="E86" s="7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J19" sqref="J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[20260701]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[20260701]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24.96</v>
      </c>
      <c r="D5" s="65">
        <f>IFERROR(VLOOKUP(B5,'TIMEFOLIO 코리아밸류업액티브(과거)'!$B$11:$E$1000,4,0),0)</f>
        <v>18.829999999999998</v>
      </c>
      <c r="E5" s="20">
        <f t="shared" ref="E5" si="0">C5-D5</f>
        <v>6.1300000000000026</v>
      </c>
      <c r="F5" s="21">
        <f t="shared" ref="F5" si="1">IFERROR(C5/D5-1,"신규편입")</f>
        <v>0.32554434413170497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25.04</v>
      </c>
      <c r="J5" s="65">
        <f>IFERROR(VLOOKUP(H5,'PLUS K제조업핵심기업액티브(과거)'!$B$11:$E$1000,4,0),0)</f>
        <v>24.49</v>
      </c>
      <c r="K5" s="20">
        <f t="shared" ref="K5" si="2">I5-J5</f>
        <v>0.55000000000000071</v>
      </c>
      <c r="L5" s="21">
        <f t="shared" ref="L5" si="3">IFERROR(I5/J5-1,"신규편입")</f>
        <v>2.2458146182115168E-2</v>
      </c>
      <c r="M5" s="62" t="str">
        <f>VLOOKUP(N5,유니버스!$C$14:$D$2561,2,0)</f>
        <v>KQ</v>
      </c>
      <c r="N5" s="69" t="str">
        <f>'타이커 기술이전'!B11</f>
        <v>올릭스</v>
      </c>
      <c r="O5" s="70">
        <f>VLOOKUP(N5,'타이커 기술이전'!$B$11:$E$1000,4,0)</f>
        <v>15.61</v>
      </c>
      <c r="P5" s="70">
        <f>IFERROR(VLOOKUP(N5,'타이커 기술이전(과거)'!$B$11:$E$1000,4,0),0)</f>
        <v>13.01</v>
      </c>
      <c r="Q5" s="20">
        <f t="shared" ref="Q5" si="4">O5-P5</f>
        <v>2.5999999999999996</v>
      </c>
      <c r="R5" s="21">
        <f t="shared" ref="R5" si="5">IFERROR(O5/P5-1,"신규편입")</f>
        <v>0.19984627209838579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SK스퀘어</v>
      </c>
      <c r="C6" s="65">
        <f>VLOOKUP(B6,'TIMEFOLIO 코리아밸류업액티브'!$B$11:$E$1000,4,0)</f>
        <v>14.05</v>
      </c>
      <c r="D6" s="65">
        <f>IFERROR(VLOOKUP(B6,'TIMEFOLIO 코리아밸류업액티브(과거)'!$B$11:$E$1000,4,0),0)</f>
        <v>3.8</v>
      </c>
      <c r="E6" s="20">
        <f t="shared" ref="E6:E32" si="6">C6-D6</f>
        <v>10.25</v>
      </c>
      <c r="F6" s="21">
        <f t="shared" ref="F6:F32" si="7">IFERROR(C6/D6-1,"신규편입")</f>
        <v>2.6973684210526319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22.98</v>
      </c>
      <c r="J6" s="65">
        <f>IFERROR(VLOOKUP(H6,'PLUS K제조업핵심기업액티브(과거)'!$B$11:$E$1000,4,0),0)</f>
        <v>23.48</v>
      </c>
      <c r="K6" s="20">
        <f t="shared" ref="K6:K36" si="8">I6-J6</f>
        <v>-0.5</v>
      </c>
      <c r="L6" s="21">
        <f t="shared" ref="L6:L36" si="9">IFERROR(I6/J6-1,"신규편입")</f>
        <v>-2.1294718909710353E-2</v>
      </c>
      <c r="M6" s="62" t="str">
        <f>VLOOKUP(N6,유니버스!$C$14:$D$2561,2,0)</f>
        <v>KQ</v>
      </c>
      <c r="N6" s="69" t="str">
        <f>'타이커 기술이전'!B12</f>
        <v>리가켐바이오</v>
      </c>
      <c r="O6" s="70">
        <f>VLOOKUP(N6,'타이커 기술이전'!$B$11:$E$1000,4,0)</f>
        <v>11.65</v>
      </c>
      <c r="P6" s="70">
        <f>IFERROR(VLOOKUP(N6,'타이커 기술이전(과거)'!$B$11:$E$1000,4,0),0)</f>
        <v>11.06</v>
      </c>
      <c r="Q6" s="20">
        <f t="shared" ref="Q6:Q31" si="10">O6-P6</f>
        <v>0.58999999999999986</v>
      </c>
      <c r="R6" s="21">
        <f t="shared" ref="R6:R31" si="11">IFERROR(O6/P6-1,"신규편입")</f>
        <v>5.3345388788426762E-2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삼성전자</v>
      </c>
      <c r="C7" s="65">
        <f>VLOOKUP(B7,'TIMEFOLIO 코리아밸류업액티브'!$B$11:$E$1000,4,0)</f>
        <v>10.14</v>
      </c>
      <c r="D7" s="65">
        <f>IFERROR(VLOOKUP(B7,'TIMEFOLIO 코리아밸류업액티브(과거)'!$B$11:$E$1000,4,0),0)</f>
        <v>14.42</v>
      </c>
      <c r="E7" s="20">
        <f t="shared" si="6"/>
        <v>-4.2799999999999994</v>
      </c>
      <c r="F7" s="21">
        <f t="shared" si="7"/>
        <v>-0.29680998613037446</v>
      </c>
      <c r="G7" s="63" t="str">
        <f>VLOOKUP(H7,유니버스!$C$14:$D$2561,2,0)</f>
        <v>KS</v>
      </c>
      <c r="H7" s="65" t="str">
        <f>'PLUS K제조업핵심기업액티브'!B13</f>
        <v>SK스퀘어</v>
      </c>
      <c r="I7" s="65">
        <f>VLOOKUP(H7,'PLUS K제조업핵심기업액티브'!$B$11:$E$1000,4,0)</f>
        <v>5.31</v>
      </c>
      <c r="J7" s="65">
        <f>IFERROR(VLOOKUP(H7,'PLUS K제조업핵심기업액티브(과거)'!$B$11:$E$1000,4,0),0)</f>
        <v>3.71</v>
      </c>
      <c r="K7" s="20">
        <f t="shared" si="8"/>
        <v>1.5999999999999996</v>
      </c>
      <c r="L7" s="21">
        <f t="shared" si="9"/>
        <v>0.43126684636118595</v>
      </c>
      <c r="M7" s="62" t="str">
        <f>VLOOKUP(N7,유니버스!$C$14:$D$2561,2,0)</f>
        <v>KQ</v>
      </c>
      <c r="N7" s="69" t="str">
        <f>'타이커 기술이전'!B13</f>
        <v>알테오젠</v>
      </c>
      <c r="O7" s="70">
        <f>VLOOKUP(N7,'타이커 기술이전'!$B$11:$E$1000,4,0)</f>
        <v>8.48</v>
      </c>
      <c r="P7" s="70">
        <f>IFERROR(VLOOKUP(N7,'타이커 기술이전(과거)'!$B$11:$E$1000,4,0),0)</f>
        <v>7.74</v>
      </c>
      <c r="Q7" s="20">
        <f t="shared" si="10"/>
        <v>0.74000000000000021</v>
      </c>
      <c r="R7" s="21">
        <f t="shared" si="11"/>
        <v>9.5607235142118885E-2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삼성전기</v>
      </c>
      <c r="C8" s="65">
        <f>VLOOKUP(B8,'TIMEFOLIO 코리아밸류업액티브'!$B$11:$E$1000,4,0)</f>
        <v>4.66</v>
      </c>
      <c r="D8" s="65">
        <f>IFERROR(VLOOKUP(B8,'TIMEFOLIO 코리아밸류업액티브(과거)'!$B$11:$E$1000,4,0),0)</f>
        <v>6.67</v>
      </c>
      <c r="E8" s="20">
        <f t="shared" si="6"/>
        <v>-2.0099999999999998</v>
      </c>
      <c r="F8" s="21">
        <f t="shared" si="7"/>
        <v>-0.30134932533733128</v>
      </c>
      <c r="G8" s="63" t="e">
        <f>VLOOKUP(H8,유니버스!$C$14:$D$2561,2,0)</f>
        <v>#N/A</v>
      </c>
      <c r="H8" s="65" t="str">
        <f>'PLUS K제조업핵심기업액티브'!B14</f>
        <v>삼성전자우</v>
      </c>
      <c r="I8" s="65">
        <f>VLOOKUP(H8,'PLUS K제조업핵심기업액티브'!$B$11:$E$1000,4,0)</f>
        <v>5.12</v>
      </c>
      <c r="J8" s="65">
        <f>IFERROR(VLOOKUP(H8,'PLUS K제조업핵심기업액티브(과거)'!$B$11:$E$1000,4,0),0)</f>
        <v>3.76</v>
      </c>
      <c r="K8" s="20">
        <f t="shared" si="8"/>
        <v>1.3600000000000003</v>
      </c>
      <c r="L8" s="21">
        <f t="shared" si="9"/>
        <v>0.36170212765957466</v>
      </c>
      <c r="M8" s="62" t="str">
        <f>VLOOKUP(N8,유니버스!$C$14:$D$2561,2,0)</f>
        <v>KQ</v>
      </c>
      <c r="N8" s="69" t="str">
        <f>'타이커 기술이전'!B14</f>
        <v>디앤디파마텍</v>
      </c>
      <c r="O8" s="70">
        <f>VLOOKUP(N8,'타이커 기술이전'!$B$11:$E$1000,4,0)</f>
        <v>5.96</v>
      </c>
      <c r="P8" s="70">
        <f>IFERROR(VLOOKUP(N8,'타이커 기술이전(과거)'!$B$11:$E$1000,4,0),0)</f>
        <v>7.77</v>
      </c>
      <c r="Q8" s="20">
        <f t="shared" si="10"/>
        <v>-1.8099999999999996</v>
      </c>
      <c r="R8" s="21">
        <f t="shared" si="11"/>
        <v>-0.23294723294723296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삼성물산</v>
      </c>
      <c r="C9" s="65">
        <f>VLOOKUP(B9,'TIMEFOLIO 코리아밸류업액티브'!$B$11:$E$1000,4,0)</f>
        <v>3.74</v>
      </c>
      <c r="D9" s="65">
        <f>IFERROR(VLOOKUP(B9,'TIMEFOLIO 코리아밸류업액티브(과거)'!$B$11:$E$1000,4,0),0)</f>
        <v>3.61</v>
      </c>
      <c r="E9" s="20">
        <f t="shared" si="6"/>
        <v>0.13000000000000034</v>
      </c>
      <c r="F9" s="21">
        <f t="shared" si="7"/>
        <v>3.6011080332410073E-2</v>
      </c>
      <c r="G9" s="63" t="str">
        <f>VLOOKUP(H9,유니버스!$C$14:$D$2561,2,0)</f>
        <v>KS</v>
      </c>
      <c r="H9" s="65" t="str">
        <f>'PLUS K제조업핵심기업액티브'!B15</f>
        <v>삼성물산</v>
      </c>
      <c r="I9" s="65">
        <f>VLOOKUP(H9,'PLUS K제조업핵심기업액티브'!$B$11:$E$1000,4,0)</f>
        <v>3.93</v>
      </c>
      <c r="J9" s="65">
        <f>IFERROR(VLOOKUP(H9,'PLUS K제조업핵심기업액티브(과거)'!$B$11:$E$1000,4,0),0)</f>
        <v>1.02</v>
      </c>
      <c r="K9" s="20">
        <f t="shared" si="8"/>
        <v>2.91</v>
      </c>
      <c r="L9" s="21">
        <f t="shared" si="9"/>
        <v>2.8529411764705883</v>
      </c>
      <c r="M9" s="62" t="str">
        <f>VLOOKUP(N9,유니버스!$C$14:$D$2561,2,0)</f>
        <v>KQ</v>
      </c>
      <c r="N9" s="26" t="str">
        <f>'타이커 기술이전'!B15</f>
        <v>에이비엘바이오</v>
      </c>
      <c r="O9" s="20">
        <f>VLOOKUP(N9,'타이커 기술이전'!$B$11:$E$1000,4,0)</f>
        <v>4.68</v>
      </c>
      <c r="P9" s="20">
        <f>IFERROR(VLOOKUP(N9,'타이커 기술이전(과거)'!$B$11:$E$1000,4,0),0)</f>
        <v>5.84</v>
      </c>
      <c r="Q9" s="20">
        <f t="shared" si="10"/>
        <v>-1.1600000000000001</v>
      </c>
      <c r="R9" s="21">
        <f t="shared" si="11"/>
        <v>-0.19863013698630139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삼성생명</v>
      </c>
      <c r="C10" s="65">
        <f>VLOOKUP(B10,'TIMEFOLIO 코리아밸류업액티브'!$B$11:$E$1000,4,0)</f>
        <v>3.59</v>
      </c>
      <c r="D10" s="65">
        <f>IFERROR(VLOOKUP(B10,'TIMEFOLIO 코리아밸류업액티브(과거)'!$B$11:$E$1000,4,0),0)</f>
        <v>3.25</v>
      </c>
      <c r="E10" s="20">
        <f t="shared" si="6"/>
        <v>0.33999999999999986</v>
      </c>
      <c r="F10" s="21">
        <f t="shared" si="7"/>
        <v>0.10461538461538455</v>
      </c>
      <c r="G10" s="63" t="str">
        <f>VLOOKUP(H10,유니버스!$C$14:$D$2561,2,0)</f>
        <v>KS</v>
      </c>
      <c r="H10" s="65" t="str">
        <f>'PLUS K제조업핵심기업액티브'!B16</f>
        <v>LS</v>
      </c>
      <c r="I10" s="65">
        <f>VLOOKUP(H10,'PLUS K제조업핵심기업액티브'!$B$11:$E$1000,4,0)</f>
        <v>3.73</v>
      </c>
      <c r="J10" s="65">
        <f>IFERROR(VLOOKUP(H10,'PLUS K제조업핵심기업액티브(과거)'!$B$11:$E$1000,4,0),0)</f>
        <v>1.87</v>
      </c>
      <c r="K10" s="20">
        <f t="shared" si="8"/>
        <v>1.8599999999999999</v>
      </c>
      <c r="L10" s="21">
        <f t="shared" si="9"/>
        <v>0.99465240641711228</v>
      </c>
      <c r="M10" s="62" t="str">
        <f>VLOOKUP(N10,유니버스!$C$14:$D$2561,2,0)</f>
        <v>KQ</v>
      </c>
      <c r="N10" s="26" t="str">
        <f>'타이커 기술이전'!B16</f>
        <v>에스티팜</v>
      </c>
      <c r="O10" s="20">
        <f>VLOOKUP(N10,'타이커 기술이전'!$B$11:$E$1000,4,0)</f>
        <v>4.5</v>
      </c>
      <c r="P10" s="20">
        <f>IFERROR(VLOOKUP(N10,'타이커 기술이전(과거)'!$B$11:$E$1000,4,0),0)</f>
        <v>4.34</v>
      </c>
      <c r="Q10" s="20">
        <f t="shared" si="10"/>
        <v>0.16000000000000014</v>
      </c>
      <c r="R10" s="21">
        <f t="shared" si="11"/>
        <v>3.6866359447004671E-2</v>
      </c>
    </row>
    <row r="11" spans="1:18" x14ac:dyDescent="0.4">
      <c r="A11" s="63" t="str">
        <f>VLOOKUP(B11,유니버스!$C$14:$D$2561,2,0)</f>
        <v>KQ</v>
      </c>
      <c r="B11" s="65" t="str">
        <f>'TIMEFOLIO 코리아밸류업액티브'!B17</f>
        <v>테스</v>
      </c>
      <c r="C11" s="65">
        <f>VLOOKUP(B11,'TIMEFOLIO 코리아밸류업액티브'!$B$11:$E$1000,4,0)</f>
        <v>3.32</v>
      </c>
      <c r="D11" s="65">
        <f>IFERROR(VLOOKUP(B11,'TIMEFOLIO 코리아밸류업액티브(과거)'!$B$11:$E$1000,4,0),0)</f>
        <v>0</v>
      </c>
      <c r="E11" s="20">
        <f t="shared" si="6"/>
        <v>3.32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LG에너지솔루션</v>
      </c>
      <c r="I11" s="65">
        <f>VLOOKUP(H11,'PLUS K제조업핵심기업액티브'!$B$11:$E$1000,4,0)</f>
        <v>2.5</v>
      </c>
      <c r="J11" s="65">
        <f>IFERROR(VLOOKUP(H11,'PLUS K제조업핵심기업액티브(과거)'!$B$11:$E$1000,4,0),0)</f>
        <v>2.64</v>
      </c>
      <c r="K11" s="20">
        <f t="shared" si="8"/>
        <v>-0.14000000000000012</v>
      </c>
      <c r="L11" s="21">
        <f t="shared" si="9"/>
        <v>-5.3030303030303094E-2</v>
      </c>
      <c r="M11" s="62" t="str">
        <f>VLOOKUP(N11,유니버스!$C$14:$D$2561,2,0)</f>
        <v>KS</v>
      </c>
      <c r="N11" s="26" t="str">
        <f>'타이커 기술이전'!B17</f>
        <v>한미약품</v>
      </c>
      <c r="O11" s="20">
        <f>VLOOKUP(N11,'타이커 기술이전'!$B$11:$E$1000,4,0)</f>
        <v>4.4400000000000004</v>
      </c>
      <c r="P11" s="20">
        <f>IFERROR(VLOOKUP(N11,'타이커 기술이전(과거)'!$B$11:$E$1000,4,0),0)</f>
        <v>4.5</v>
      </c>
      <c r="Q11" s="20">
        <f t="shared" si="10"/>
        <v>-5.9999999999999609E-2</v>
      </c>
      <c r="R11" s="21">
        <f t="shared" si="11"/>
        <v>-1.3333333333333197E-2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SK</v>
      </c>
      <c r="C12" s="65">
        <f>VLOOKUP(B12,'TIMEFOLIO 코리아밸류업액티브'!$B$11:$E$1000,4,0)</f>
        <v>3.31</v>
      </c>
      <c r="D12" s="65">
        <f>IFERROR(VLOOKUP(B12,'TIMEFOLIO 코리아밸류업액티브(과거)'!$B$11:$E$1000,4,0),0)</f>
        <v>2.9</v>
      </c>
      <c r="E12" s="20">
        <f t="shared" si="6"/>
        <v>0.41000000000000014</v>
      </c>
      <c r="F12" s="21">
        <f t="shared" si="7"/>
        <v>0.14137931034482754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2.27</v>
      </c>
      <c r="J12" s="65">
        <f>IFERROR(VLOOKUP(H12,'PLUS K제조업핵심기업액티브(과거)'!$B$11:$E$1000,4,0),0)</f>
        <v>2.56</v>
      </c>
      <c r="K12" s="20">
        <f t="shared" si="8"/>
        <v>-0.29000000000000004</v>
      </c>
      <c r="L12" s="21">
        <f t="shared" si="9"/>
        <v>-0.11328125</v>
      </c>
      <c r="M12" s="62" t="str">
        <f>VLOOKUP(N12,유니버스!$C$14:$D$2561,2,0)</f>
        <v>KS</v>
      </c>
      <c r="N12" s="26" t="str">
        <f>'타이커 기술이전'!B18</f>
        <v>한올바이오파마</v>
      </c>
      <c r="O12" s="20">
        <f>VLOOKUP(N12,'타이커 기술이전'!$B$11:$E$1000,4,0)</f>
        <v>4.38</v>
      </c>
      <c r="P12" s="20">
        <f>IFERROR(VLOOKUP(N12,'타이커 기술이전(과거)'!$B$11:$E$1000,4,0),0)</f>
        <v>4.38</v>
      </c>
      <c r="Q12" s="20">
        <f t="shared" si="10"/>
        <v>0</v>
      </c>
      <c r="R12" s="21">
        <f t="shared" si="11"/>
        <v>0</v>
      </c>
    </row>
    <row r="13" spans="1:18" x14ac:dyDescent="0.4">
      <c r="A13" s="63" t="str">
        <f>VLOOKUP(B13,유니버스!$C$14:$D$2561,2,0)</f>
        <v>KQ</v>
      </c>
      <c r="B13" s="65" t="str">
        <f>'TIMEFOLIO 코리아밸류업액티브'!B19</f>
        <v>피에스케이</v>
      </c>
      <c r="C13" s="65">
        <f>VLOOKUP(B13,'TIMEFOLIO 코리아밸류업액티브'!$B$11:$E$1000,4,0)</f>
        <v>3.24</v>
      </c>
      <c r="D13" s="65">
        <f>IFERROR(VLOOKUP(B13,'TIMEFOLIO 코리아밸류업액티브(과거)'!$B$11:$E$1000,4,0),0)</f>
        <v>0</v>
      </c>
      <c r="E13" s="20">
        <f t="shared" si="6"/>
        <v>3.24</v>
      </c>
      <c r="F13" s="21" t="str">
        <f t="shared" si="7"/>
        <v>신규편입</v>
      </c>
      <c r="G13" s="63" t="str">
        <f>VLOOKUP(H13,유니버스!$C$14:$D$2561,2,0)</f>
        <v>KS</v>
      </c>
      <c r="H13" s="65" t="str">
        <f>'PLUS K제조업핵심기업액티브'!B19</f>
        <v>두산에너빌리티</v>
      </c>
      <c r="I13" s="65">
        <f>VLOOKUP(H13,'PLUS K제조업핵심기업액티브'!$B$11:$E$1000,4,0)</f>
        <v>2.23</v>
      </c>
      <c r="J13" s="65">
        <f>IFERROR(VLOOKUP(H13,'PLUS K제조업핵심기업액티브(과거)'!$B$11:$E$1000,4,0),0)</f>
        <v>2.23</v>
      </c>
      <c r="K13" s="20">
        <f t="shared" si="8"/>
        <v>0</v>
      </c>
      <c r="L13" s="21">
        <f t="shared" si="9"/>
        <v>0</v>
      </c>
      <c r="M13" s="62" t="str">
        <f>VLOOKUP(N13,유니버스!$C$14:$D$2561,2,0)</f>
        <v>KS</v>
      </c>
      <c r="N13" s="26" t="str">
        <f>'타이커 기술이전'!B19</f>
        <v>셀트리온</v>
      </c>
      <c r="O13" s="20">
        <f>VLOOKUP(N13,'타이커 기술이전'!$B$11:$E$1000,4,0)</f>
        <v>4.3600000000000003</v>
      </c>
      <c r="P13" s="20">
        <f>IFERROR(VLOOKUP(N13,'타이커 기술이전(과거)'!$B$11:$E$1000,4,0),0)</f>
        <v>4.43</v>
      </c>
      <c r="Q13" s="20">
        <f t="shared" si="10"/>
        <v>-6.9999999999999396E-2</v>
      </c>
      <c r="R13" s="21">
        <f t="shared" si="11"/>
        <v>-1.5801354401805745E-2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한화에어로스페이스</v>
      </c>
      <c r="C14" s="65">
        <f>VLOOKUP(B14,'TIMEFOLIO 코리아밸류업액티브'!$B$11:$E$1000,4,0)</f>
        <v>2.5299999999999998</v>
      </c>
      <c r="D14" s="65">
        <f>IFERROR(VLOOKUP(B14,'TIMEFOLIO 코리아밸류업액티브(과거)'!$B$11:$E$1000,4,0),0)</f>
        <v>0</v>
      </c>
      <c r="E14" s="20">
        <f t="shared" si="6"/>
        <v>2.5299999999999998</v>
      </c>
      <c r="F14" s="21" t="str">
        <f t="shared" si="7"/>
        <v>신규편입</v>
      </c>
      <c r="G14" s="63" t="str">
        <f>VLOOKUP(H14,유니버스!$C$14:$D$2561,2,0)</f>
        <v>KS</v>
      </c>
      <c r="H14" s="65" t="str">
        <f>'PLUS K제조업핵심기업액티브'!B20</f>
        <v>삼성전기</v>
      </c>
      <c r="I14" s="65">
        <f>VLOOKUP(H14,'PLUS K제조업핵심기업액티브'!$B$11:$E$1000,4,0)</f>
        <v>2.2200000000000002</v>
      </c>
      <c r="J14" s="65">
        <f>IFERROR(VLOOKUP(H14,'PLUS K제조업핵심기업액티브(과거)'!$B$11:$E$1000,4,0),0)</f>
        <v>0</v>
      </c>
      <c r="K14" s="20">
        <f t="shared" si="8"/>
        <v>2.2200000000000002</v>
      </c>
      <c r="L14" s="21" t="str">
        <f t="shared" si="9"/>
        <v>신규편입</v>
      </c>
      <c r="M14" s="62" t="str">
        <f>VLOOKUP(N14,유니버스!$C$14:$D$2561,2,0)</f>
        <v>KQ</v>
      </c>
      <c r="N14" s="26" t="str">
        <f>'타이커 기술이전'!B20</f>
        <v>에이프릴바이오</v>
      </c>
      <c r="O14" s="20">
        <f>VLOOKUP(N14,'타이커 기술이전'!$B$11:$E$1000,4,0)</f>
        <v>3.97</v>
      </c>
      <c r="P14" s="20">
        <f>IFERROR(VLOOKUP(N14,'타이커 기술이전(과거)'!$B$11:$E$1000,4,0),0)</f>
        <v>3.78</v>
      </c>
      <c r="Q14" s="20">
        <f t="shared" si="10"/>
        <v>0.19000000000000039</v>
      </c>
      <c r="R14" s="21">
        <f t="shared" si="11"/>
        <v>5.0264550264550456E-2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산일전기</v>
      </c>
      <c r="C15" s="65">
        <f>VLOOKUP(B15,'TIMEFOLIO 코리아밸류업액티브'!$B$11:$E$1000,4,0)</f>
        <v>2.16</v>
      </c>
      <c r="D15" s="65">
        <f>IFERROR(VLOOKUP(B15,'TIMEFOLIO 코리아밸류업액티브(과거)'!$B$11:$E$1000,4,0),0)</f>
        <v>0</v>
      </c>
      <c r="E15" s="20">
        <f t="shared" si="6"/>
        <v>2.16</v>
      </c>
      <c r="F15" s="21" t="str">
        <f t="shared" si="7"/>
        <v>신규편입</v>
      </c>
      <c r="G15" s="63" t="str">
        <f>VLOOKUP(H15,유니버스!$C$14:$D$2561,2,0)</f>
        <v>KS</v>
      </c>
      <c r="H15" s="65" t="str">
        <f>'PLUS K제조업핵심기업액티브'!B21</f>
        <v>한화에어로스페이스</v>
      </c>
      <c r="I15" s="65">
        <f>VLOOKUP(H15,'PLUS K제조업핵심기업액티브'!$B$11:$E$1000,4,0)</f>
        <v>2.04</v>
      </c>
      <c r="J15" s="65">
        <f>IFERROR(VLOOKUP(H15,'PLUS K제조업핵심기업액티브(과거)'!$B$11:$E$1000,4,0),0)</f>
        <v>1.9</v>
      </c>
      <c r="K15" s="20">
        <f t="shared" si="8"/>
        <v>0.14000000000000012</v>
      </c>
      <c r="L15" s="21">
        <f t="shared" si="9"/>
        <v>7.3684210526315796E-2</v>
      </c>
      <c r="M15" s="62" t="str">
        <f>VLOOKUP(N15,유니버스!$C$14:$D$2561,2,0)</f>
        <v>KQ</v>
      </c>
      <c r="N15" s="26" t="str">
        <f>'타이커 기술이전'!B21</f>
        <v>알지노믹스</v>
      </c>
      <c r="O15" s="20">
        <f>VLOOKUP(N15,'타이커 기술이전'!$B$11:$E$1000,4,0)</f>
        <v>3.88</v>
      </c>
      <c r="P15" s="20">
        <f>IFERROR(VLOOKUP(N15,'타이커 기술이전(과거)'!$B$11:$E$1000,4,0),0)</f>
        <v>3.75</v>
      </c>
      <c r="Q15" s="20">
        <f t="shared" si="10"/>
        <v>0.12999999999999989</v>
      </c>
      <c r="R15" s="21">
        <f t="shared" si="11"/>
        <v>3.4666666666666623E-2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신한지주</v>
      </c>
      <c r="C16" s="65">
        <f>VLOOKUP(B16,'TIMEFOLIO 코리아밸류업액티브'!$B$11:$E$1000,4,0)</f>
        <v>2.15</v>
      </c>
      <c r="D16" s="65">
        <f>IFERROR(VLOOKUP(B16,'TIMEFOLIO 코리아밸류업액티브(과거)'!$B$11:$E$1000,4,0),0)</f>
        <v>0.81</v>
      </c>
      <c r="E16" s="20">
        <f t="shared" si="6"/>
        <v>1.3399999999999999</v>
      </c>
      <c r="F16" s="21">
        <f t="shared" si="7"/>
        <v>1.6543209876543208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1.77</v>
      </c>
      <c r="J16" s="65">
        <f>IFERROR(VLOOKUP(H16,'PLUS K제조업핵심기업액티브(과거)'!$B$11:$E$1000,4,0),0)</f>
        <v>1.81</v>
      </c>
      <c r="K16" s="20">
        <f t="shared" si="8"/>
        <v>-4.0000000000000036E-2</v>
      </c>
      <c r="L16" s="21">
        <f t="shared" si="9"/>
        <v>-2.2099447513812209E-2</v>
      </c>
      <c r="M16" s="62" t="str">
        <f>VLOOKUP(N16,유니버스!$C$14:$D$2561,2,0)</f>
        <v>KS</v>
      </c>
      <c r="N16" s="26" t="str">
        <f>'타이커 기술이전'!B22</f>
        <v>삼성바이오로직스</v>
      </c>
      <c r="O16" s="20">
        <f>VLOOKUP(N16,'타이커 기술이전'!$B$11:$E$1000,4,0)</f>
        <v>3.67</v>
      </c>
      <c r="P16" s="20">
        <f>IFERROR(VLOOKUP(N16,'타이커 기술이전(과거)'!$B$11:$E$1000,4,0),0)</f>
        <v>3.76</v>
      </c>
      <c r="Q16" s="20">
        <f t="shared" si="10"/>
        <v>-8.9999999999999858E-2</v>
      </c>
      <c r="R16" s="21">
        <f t="shared" si="11"/>
        <v>-2.393617021276595E-2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현대차</v>
      </c>
      <c r="C17" s="65">
        <f>VLOOKUP(B17,'TIMEFOLIO 코리아밸류업액티브'!$B$11:$E$1000,4,0)</f>
        <v>2.06</v>
      </c>
      <c r="D17" s="65">
        <f>IFERROR(VLOOKUP(B17,'TIMEFOLIO 코리아밸류업액티브(과거)'!$B$11:$E$1000,4,0),0)</f>
        <v>2.37</v>
      </c>
      <c r="E17" s="20">
        <f t="shared" si="6"/>
        <v>-0.31000000000000005</v>
      </c>
      <c r="F17" s="21">
        <f t="shared" si="7"/>
        <v>-0.13080168776371315</v>
      </c>
      <c r="G17" s="63" t="str">
        <f>VLOOKUP(H17,유니버스!$C$14:$D$2561,2,0)</f>
        <v>KS</v>
      </c>
      <c r="H17" s="65" t="str">
        <f>'PLUS K제조업핵심기업액티브'!B23</f>
        <v>LS ELECTRIC</v>
      </c>
      <c r="I17" s="65">
        <f>VLOOKUP(H17,'PLUS K제조업핵심기업액티브'!$B$11:$E$1000,4,0)</f>
        <v>1.67</v>
      </c>
      <c r="J17" s="65">
        <f>IFERROR(VLOOKUP(H17,'PLUS K제조업핵심기업액티브(과거)'!$B$11:$E$1000,4,0),0)</f>
        <v>1.48</v>
      </c>
      <c r="K17" s="20">
        <f t="shared" si="8"/>
        <v>0.18999999999999995</v>
      </c>
      <c r="L17" s="21">
        <f t="shared" si="9"/>
        <v>0.12837837837837829</v>
      </c>
      <c r="M17" s="62" t="str">
        <f>VLOOKUP(N17,유니버스!$C$14:$D$2561,2,0)</f>
        <v>KQ</v>
      </c>
      <c r="N17" s="26" t="str">
        <f>'타이커 기술이전'!B23</f>
        <v>보로노이</v>
      </c>
      <c r="O17" s="20">
        <f>VLOOKUP(N17,'타이커 기술이전'!$B$11:$E$1000,4,0)</f>
        <v>2.75</v>
      </c>
      <c r="P17" s="20">
        <f>IFERROR(VLOOKUP(N17,'타이커 기술이전(과거)'!$B$11:$E$1000,4,0),0)</f>
        <v>2.94</v>
      </c>
      <c r="Q17" s="20">
        <f t="shared" si="10"/>
        <v>-0.18999999999999995</v>
      </c>
      <c r="R17" s="21">
        <f t="shared" si="11"/>
        <v>-6.4625850340136015E-2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한국금융지주</v>
      </c>
      <c r="C18" s="65">
        <f>VLOOKUP(B18,'TIMEFOLIO 코리아밸류업액티브'!$B$11:$E$1000,4,0)</f>
        <v>2.06</v>
      </c>
      <c r="D18" s="65">
        <f>IFERROR(VLOOKUP(B18,'TIMEFOLIO 코리아밸류업액티브(과거)'!$B$11:$E$1000,4,0),0)</f>
        <v>1.85</v>
      </c>
      <c r="E18" s="20">
        <f t="shared" si="6"/>
        <v>0.20999999999999996</v>
      </c>
      <c r="F18" s="21">
        <f t="shared" si="7"/>
        <v>0.11351351351351346</v>
      </c>
      <c r="G18" s="63" t="str">
        <f>VLOOKUP(H18,유니버스!$C$14:$D$2561,2,0)</f>
        <v>KS</v>
      </c>
      <c r="H18" s="65" t="str">
        <f>'PLUS K제조업핵심기업액티브'!B24</f>
        <v>LIG디펜스앤에어로스페이스</v>
      </c>
      <c r="I18" s="65">
        <f>VLOOKUP(H18,'PLUS K제조업핵심기업액티브'!$B$11:$E$1000,4,0)</f>
        <v>1.66</v>
      </c>
      <c r="J18" s="65">
        <f>IFERROR(VLOOKUP(H18,'PLUS K제조업핵심기업액티브(과거)'!$B$11:$E$1000,4,0),0)</f>
        <v>1.67</v>
      </c>
      <c r="K18" s="20">
        <f t="shared" si="8"/>
        <v>-1.0000000000000009E-2</v>
      </c>
      <c r="L18" s="21">
        <f t="shared" si="9"/>
        <v>-5.9880239520958556E-3</v>
      </c>
      <c r="M18" s="62" t="str">
        <f>VLOOKUP(N18,유니버스!$C$14:$D$2561,2,0)</f>
        <v>KQ</v>
      </c>
      <c r="N18" s="26" t="str">
        <f>'타이커 기술이전'!B24</f>
        <v>오스코텍</v>
      </c>
      <c r="O18" s="20">
        <f>VLOOKUP(N18,'타이커 기술이전'!$B$11:$E$1000,4,0)</f>
        <v>2.42</v>
      </c>
      <c r="P18" s="20">
        <f>IFERROR(VLOOKUP(N18,'타이커 기술이전(과거)'!$B$11:$E$1000,4,0),0)</f>
        <v>2.34</v>
      </c>
      <c r="Q18" s="20">
        <f t="shared" si="10"/>
        <v>8.0000000000000071E-2</v>
      </c>
      <c r="R18" s="21">
        <f t="shared" si="11"/>
        <v>3.4188034188034289E-2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두산</v>
      </c>
      <c r="C19" s="65">
        <f>VLOOKUP(B19,'TIMEFOLIO 코리아밸류업액티브'!$B$11:$E$1000,4,0)</f>
        <v>1.48</v>
      </c>
      <c r="D19" s="65">
        <f>IFERROR(VLOOKUP(B19,'TIMEFOLIO 코리아밸류업액티브(과거)'!$B$11:$E$1000,4,0),0)</f>
        <v>1.96</v>
      </c>
      <c r="E19" s="20">
        <f t="shared" si="6"/>
        <v>-0.48</v>
      </c>
      <c r="F19" s="21">
        <f t="shared" si="7"/>
        <v>-0.24489795918367352</v>
      </c>
      <c r="G19" s="63" t="str">
        <f>VLOOKUP(H19,유니버스!$C$14:$D$2561,2,0)</f>
        <v>KS</v>
      </c>
      <c r="H19" s="65" t="str">
        <f>'PLUS K제조업핵심기업액티브'!B25</f>
        <v>삼성중공업</v>
      </c>
      <c r="I19" s="65">
        <f>VLOOKUP(H19,'PLUS K제조업핵심기업액티브'!$B$11:$E$1000,4,0)</f>
        <v>1.51</v>
      </c>
      <c r="J19" s="65">
        <f>IFERROR(VLOOKUP(H19,'PLUS K제조업핵심기업액티브(과거)'!$B$11:$E$1000,4,0),0)</f>
        <v>1.58</v>
      </c>
      <c r="K19" s="20">
        <f t="shared" si="8"/>
        <v>-7.0000000000000062E-2</v>
      </c>
      <c r="L19" s="21">
        <f t="shared" si="9"/>
        <v>-4.4303797468354444E-2</v>
      </c>
      <c r="M19" s="62" t="str">
        <f>VLOOKUP(N19,유니버스!$C$14:$D$2561,2,0)</f>
        <v>KQ</v>
      </c>
      <c r="N19" s="26" t="str">
        <f>'타이커 기술이전'!B25</f>
        <v>오름테라퓨틱</v>
      </c>
      <c r="O19" s="20">
        <f>VLOOKUP(N19,'타이커 기술이전'!$B$11:$E$1000,4,0)</f>
        <v>2.2799999999999998</v>
      </c>
      <c r="P19" s="20">
        <f>IFERROR(VLOOKUP(N19,'타이커 기술이전(과거)'!$B$11:$E$1000,4,0),0)</f>
        <v>2.38</v>
      </c>
      <c r="Q19" s="20">
        <f t="shared" si="10"/>
        <v>-0.10000000000000009</v>
      </c>
      <c r="R19" s="21">
        <f t="shared" si="11"/>
        <v>-4.2016806722689148E-2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에이피알</v>
      </c>
      <c r="C20" s="65">
        <f>VLOOKUP(B20,'TIMEFOLIO 코리아밸류업액티브'!$B$11:$E$1000,4,0)</f>
        <v>1.47</v>
      </c>
      <c r="D20" s="65">
        <f>IFERROR(VLOOKUP(B20,'TIMEFOLIO 코리아밸류업액티브(과거)'!$B$11:$E$1000,4,0),0)</f>
        <v>0</v>
      </c>
      <c r="E20" s="20">
        <f t="shared" si="6"/>
        <v>1.47</v>
      </c>
      <c r="F20" s="21" t="str">
        <f t="shared" si="7"/>
        <v>신규편입</v>
      </c>
      <c r="G20" s="63" t="str">
        <f>VLOOKUP(H20,유니버스!$C$14:$D$2561,2,0)</f>
        <v>KS</v>
      </c>
      <c r="H20" s="65" t="str">
        <f>'PLUS K제조업핵심기업액티브'!B26</f>
        <v>HD현대중공업</v>
      </c>
      <c r="I20" s="65">
        <f>VLOOKUP(H20,'PLUS K제조업핵심기업액티브'!$B$11:$E$1000,4,0)</f>
        <v>1.5</v>
      </c>
      <c r="J20" s="65">
        <f>IFERROR(VLOOKUP(H20,'PLUS K제조업핵심기업액티브(과거)'!$B$11:$E$1000,4,0),0)</f>
        <v>1.56</v>
      </c>
      <c r="K20" s="20">
        <f t="shared" si="8"/>
        <v>-6.0000000000000053E-2</v>
      </c>
      <c r="L20" s="21">
        <f t="shared" si="9"/>
        <v>-3.8461538461538547E-2</v>
      </c>
      <c r="M20" s="62" t="str">
        <f>VLOOKUP(N20,유니버스!$C$14:$D$2561,2,0)</f>
        <v>KQ</v>
      </c>
      <c r="N20" s="26" t="str">
        <f>'타이커 기술이전'!B26</f>
        <v>앱클론</v>
      </c>
      <c r="O20" s="20">
        <f>VLOOKUP(N20,'타이커 기술이전'!$B$11:$E$1000,4,0)</f>
        <v>2.0099999999999998</v>
      </c>
      <c r="P20" s="20">
        <f>IFERROR(VLOOKUP(N20,'타이커 기술이전(과거)'!$B$11:$E$1000,4,0),0)</f>
        <v>1.92</v>
      </c>
      <c r="Q20" s="20">
        <f t="shared" si="10"/>
        <v>8.9999999999999858E-2</v>
      </c>
      <c r="R20" s="21">
        <f t="shared" si="11"/>
        <v>4.6875E-2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KB금융</v>
      </c>
      <c r="C21" s="65">
        <f>VLOOKUP(B21,'TIMEFOLIO 코리아밸류업액티브'!$B$11:$E$1000,4,0)</f>
        <v>1.46</v>
      </c>
      <c r="D21" s="65">
        <f>IFERROR(VLOOKUP(B21,'TIMEFOLIO 코리아밸류업액티브(과거)'!$B$11:$E$1000,4,0),0)</f>
        <v>2.33</v>
      </c>
      <c r="E21" s="20">
        <f t="shared" si="6"/>
        <v>-0.87000000000000011</v>
      </c>
      <c r="F21" s="21">
        <f t="shared" si="7"/>
        <v>-0.37339055793991416</v>
      </c>
      <c r="G21" s="63" t="str">
        <f>VLOOKUP(H21,유니버스!$C$14:$D$2561,2,0)</f>
        <v>KS</v>
      </c>
      <c r="H21" s="65" t="str">
        <f>'PLUS K제조업핵심기업액티브'!B27</f>
        <v>대덕전자</v>
      </c>
      <c r="I21" s="65">
        <f>VLOOKUP(H21,'PLUS K제조업핵심기업액티브'!$B$11:$E$1000,4,0)</f>
        <v>1.42</v>
      </c>
      <c r="J21" s="65">
        <f>IFERROR(VLOOKUP(H21,'PLUS K제조업핵심기업액티브(과거)'!$B$11:$E$1000,4,0),0)</f>
        <v>1.3</v>
      </c>
      <c r="K21" s="20">
        <f t="shared" si="8"/>
        <v>0.11999999999999988</v>
      </c>
      <c r="L21" s="21">
        <f t="shared" si="9"/>
        <v>9.2307692307692202E-2</v>
      </c>
      <c r="M21" s="62" t="str">
        <f>VLOOKUP(N21,유니버스!$C$14:$D$2561,2,0)</f>
        <v>KS</v>
      </c>
      <c r="N21" s="26" t="str">
        <f>'타이커 기술이전'!B27</f>
        <v>부광약품</v>
      </c>
      <c r="O21" s="20">
        <f>VLOOKUP(N21,'타이커 기술이전'!$B$11:$E$1000,4,0)</f>
        <v>1.86</v>
      </c>
      <c r="P21" s="20">
        <f>IFERROR(VLOOKUP(N21,'타이커 기술이전(과거)'!$B$11:$E$1000,4,0),0)</f>
        <v>1.98</v>
      </c>
      <c r="Q21" s="20">
        <f t="shared" si="10"/>
        <v>-0.11999999999999988</v>
      </c>
      <c r="R21" s="21">
        <f t="shared" si="11"/>
        <v>-6.0606060606060552E-2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신세계</v>
      </c>
      <c r="C22" s="65">
        <f>VLOOKUP(B22,'TIMEFOLIO 코리아밸류업액티브'!$B$11:$E$1000,4,0)</f>
        <v>1.44</v>
      </c>
      <c r="D22" s="65">
        <f>IFERROR(VLOOKUP(B22,'TIMEFOLIO 코리아밸류업액티브(과거)'!$B$11:$E$1000,4,0),0)</f>
        <v>0</v>
      </c>
      <c r="E22" s="20">
        <f t="shared" si="6"/>
        <v>1.44</v>
      </c>
      <c r="F22" s="21" t="str">
        <f t="shared" si="7"/>
        <v>신규편입</v>
      </c>
      <c r="G22" s="63" t="str">
        <f>VLOOKUP(H22,유니버스!$C$14:$D$2561,2,0)</f>
        <v>KQ</v>
      </c>
      <c r="H22" s="65" t="str">
        <f>'PLUS K제조업핵심기업액티브'!B28</f>
        <v>심텍</v>
      </c>
      <c r="I22" s="65">
        <f>VLOOKUP(H22,'PLUS K제조업핵심기업액티브'!$B$11:$E$1000,4,0)</f>
        <v>1.33</v>
      </c>
      <c r="J22" s="65">
        <f>IFERROR(VLOOKUP(H22,'PLUS K제조업핵심기업액티브(과거)'!$B$11:$E$1000,4,0),0)</f>
        <v>0.96</v>
      </c>
      <c r="K22" s="20">
        <f t="shared" si="8"/>
        <v>0.37000000000000011</v>
      </c>
      <c r="L22" s="21">
        <f t="shared" si="9"/>
        <v>0.38541666666666674</v>
      </c>
      <c r="M22" s="62" t="str">
        <f>VLOOKUP(N22,유니버스!$C$14:$D$2561,2,0)</f>
        <v>KQ</v>
      </c>
      <c r="N22" s="26" t="str">
        <f>'타이커 기술이전'!B28</f>
        <v>지투지바이오</v>
      </c>
      <c r="O22" s="20">
        <f>VLOOKUP(N22,'타이커 기술이전'!$B$11:$E$1000,4,0)</f>
        <v>1.5</v>
      </c>
      <c r="P22" s="20">
        <f>IFERROR(VLOOKUP(N22,'타이커 기술이전(과거)'!$B$11:$E$1000,4,0),0)</f>
        <v>1.56</v>
      </c>
      <c r="Q22" s="20">
        <f t="shared" si="10"/>
        <v>-6.0000000000000053E-2</v>
      </c>
      <c r="R22" s="21">
        <f t="shared" si="11"/>
        <v>-3.8461538461538547E-2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하나금융지주</v>
      </c>
      <c r="C23" s="65">
        <f>VLOOKUP(B23,'TIMEFOLIO 코리아밸류업액티브'!$B$11:$E$1000,4,0)</f>
        <v>1.24</v>
      </c>
      <c r="D23" s="65">
        <f>IFERROR(VLOOKUP(B23,'TIMEFOLIO 코리아밸류업액티브(과거)'!$B$11:$E$1000,4,0),0)</f>
        <v>1.65</v>
      </c>
      <c r="E23" s="20">
        <f t="shared" si="6"/>
        <v>-0.40999999999999992</v>
      </c>
      <c r="F23" s="21">
        <f t="shared" si="7"/>
        <v>-0.24848484848484842</v>
      </c>
      <c r="G23" s="63" t="str">
        <f>VLOOKUP(H23,유니버스!$C$14:$D$2561,2,0)</f>
        <v>KS</v>
      </c>
      <c r="H23" s="65" t="str">
        <f>'PLUS K제조업핵심기업액티브'!B29</f>
        <v>DL이앤씨</v>
      </c>
      <c r="I23" s="65">
        <f>VLOOKUP(H23,'PLUS K제조업핵심기업액티브'!$B$11:$E$1000,4,0)</f>
        <v>1.3</v>
      </c>
      <c r="J23" s="65">
        <f>IFERROR(VLOOKUP(H23,'PLUS K제조업핵심기업액티브(과거)'!$B$11:$E$1000,4,0),0)</f>
        <v>1.3</v>
      </c>
      <c r="K23" s="20">
        <f t="shared" si="8"/>
        <v>0</v>
      </c>
      <c r="L23" s="21">
        <f t="shared" si="9"/>
        <v>0</v>
      </c>
      <c r="M23" s="62" t="str">
        <f>VLOOKUP(N23,유니버스!$C$14:$D$2561,2,0)</f>
        <v>KQ</v>
      </c>
      <c r="N23" s="26" t="str">
        <f>'타이커 기술이전'!B29</f>
        <v>온코닉테라퓨틱스</v>
      </c>
      <c r="O23" s="20">
        <f>VLOOKUP(N23,'타이커 기술이전'!$B$11:$E$1000,4,0)</f>
        <v>1.5</v>
      </c>
      <c r="P23" s="20">
        <f>IFERROR(VLOOKUP(N23,'타이커 기술이전(과거)'!$B$11:$E$1000,4,0),0)</f>
        <v>1.79</v>
      </c>
      <c r="Q23" s="20">
        <f t="shared" si="10"/>
        <v>-0.29000000000000004</v>
      </c>
      <c r="R23" s="21">
        <f t="shared" si="11"/>
        <v>-0.16201117318435754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현대모비스</v>
      </c>
      <c r="C24" s="65">
        <f>VLOOKUP(B24,'TIMEFOLIO 코리아밸류업액티브'!$B$11:$E$1000,4,0)</f>
        <v>1.1499999999999999</v>
      </c>
      <c r="D24" s="65">
        <f>IFERROR(VLOOKUP(B24,'TIMEFOLIO 코리아밸류업액티브(과거)'!$B$11:$E$1000,4,0),0)</f>
        <v>0.82</v>
      </c>
      <c r="E24" s="20">
        <f t="shared" si="6"/>
        <v>0.32999999999999996</v>
      </c>
      <c r="F24" s="21">
        <f t="shared" si="7"/>
        <v>0.40243902439024382</v>
      </c>
      <c r="G24" s="63" t="str">
        <f>VLOOKUP(H24,유니버스!$C$14:$D$2561,2,0)</f>
        <v>KS</v>
      </c>
      <c r="H24" s="65" t="str">
        <f>'PLUS K제조업핵심기업액티브'!B30</f>
        <v>한화시스템</v>
      </c>
      <c r="I24" s="65">
        <f>VLOOKUP(H24,'PLUS K제조업핵심기업액티브'!$B$11:$E$1000,4,0)</f>
        <v>1.17</v>
      </c>
      <c r="J24" s="65">
        <f>IFERROR(VLOOKUP(H24,'PLUS K제조업핵심기업액티브(과거)'!$B$11:$E$1000,4,0),0)</f>
        <v>1.26</v>
      </c>
      <c r="K24" s="20">
        <f t="shared" si="8"/>
        <v>-9.000000000000008E-2</v>
      </c>
      <c r="L24" s="21">
        <f t="shared" si="9"/>
        <v>-7.1428571428571508E-2</v>
      </c>
      <c r="M24" s="62" t="str">
        <f>VLOOKUP(N24,유니버스!$C$14:$D$2561,2,0)</f>
        <v>KQ</v>
      </c>
      <c r="N24" s="26" t="str">
        <f>'타이커 기술이전'!B30</f>
        <v>인투셀</v>
      </c>
      <c r="O24" s="20">
        <f>VLOOKUP(N24,'타이커 기술이전'!$B$11:$E$1000,4,0)</f>
        <v>1.38</v>
      </c>
      <c r="P24" s="20">
        <f>IFERROR(VLOOKUP(N24,'타이커 기술이전(과거)'!$B$11:$E$1000,4,0),0)</f>
        <v>1.44</v>
      </c>
      <c r="Q24" s="20">
        <f t="shared" si="10"/>
        <v>-6.0000000000000053E-2</v>
      </c>
      <c r="R24" s="21">
        <f t="shared" si="11"/>
        <v>-4.1666666666666741E-2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LG이노텍</v>
      </c>
      <c r="C25" s="65">
        <f>VLOOKUP(B25,'TIMEFOLIO 코리아밸류업액티브'!$B$11:$E$1000,4,0)</f>
        <v>1.08</v>
      </c>
      <c r="D25" s="65">
        <f>IFERROR(VLOOKUP(B25,'TIMEFOLIO 코리아밸류업액티브(과거)'!$B$11:$E$1000,4,0),0)</f>
        <v>0</v>
      </c>
      <c r="E25" s="20">
        <f t="shared" si="6"/>
        <v>1.08</v>
      </c>
      <c r="F25" s="21" t="str">
        <f t="shared" si="7"/>
        <v>신규편입</v>
      </c>
      <c r="G25" s="63" t="str">
        <f>VLOOKUP(H25,유니버스!$C$14:$D$2561,2,0)</f>
        <v>KS</v>
      </c>
      <c r="H25" s="65" t="str">
        <f>'PLUS K제조업핵심기업액티브'!B31</f>
        <v>DI동일</v>
      </c>
      <c r="I25" s="65">
        <f>VLOOKUP(H25,'PLUS K제조업핵심기업액티브'!$B$11:$E$1000,4,0)</f>
        <v>1.1599999999999999</v>
      </c>
      <c r="J25" s="65">
        <f>IFERROR(VLOOKUP(H25,'PLUS K제조업핵심기업액티브(과거)'!$B$11:$E$1000,4,0),0)</f>
        <v>1.03</v>
      </c>
      <c r="K25" s="20">
        <f t="shared" si="8"/>
        <v>0.12999999999999989</v>
      </c>
      <c r="L25" s="21">
        <f t="shared" si="9"/>
        <v>0.12621359223300965</v>
      </c>
      <c r="M25" s="62" t="str">
        <f>VLOOKUP(N25,유니버스!$C$14:$D$2561,2,0)</f>
        <v>KS</v>
      </c>
      <c r="N25" s="26" t="str">
        <f>'타이커 기술이전'!B31</f>
        <v>SK바이오팜</v>
      </c>
      <c r="O25" s="20">
        <f>VLOOKUP(N25,'타이커 기술이전'!$B$11:$E$1000,4,0)</f>
        <v>1.37</v>
      </c>
      <c r="P25" s="20">
        <f>IFERROR(VLOOKUP(N25,'타이커 기술이전(과거)'!$B$11:$E$1000,4,0),0)</f>
        <v>1.31</v>
      </c>
      <c r="Q25" s="20">
        <f t="shared" si="10"/>
        <v>6.0000000000000053E-2</v>
      </c>
      <c r="R25" s="21">
        <f t="shared" si="11"/>
        <v>4.5801526717557328E-2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LS</v>
      </c>
      <c r="C26" s="65">
        <f>VLOOKUP(B26,'TIMEFOLIO 코리아밸류업액티브'!$B$11:$E$1000,4,0)</f>
        <v>1.05</v>
      </c>
      <c r="D26" s="65">
        <f>IFERROR(VLOOKUP(B26,'TIMEFOLIO 코리아밸류업액티브(과거)'!$B$11:$E$1000,4,0),0)</f>
        <v>1.04</v>
      </c>
      <c r="E26" s="20">
        <f t="shared" si="6"/>
        <v>1.0000000000000009E-2</v>
      </c>
      <c r="F26" s="21">
        <f t="shared" si="7"/>
        <v>9.6153846153845812E-3</v>
      </c>
      <c r="G26" s="63" t="str">
        <f>VLOOKUP(H26,유니버스!$C$14:$D$2561,2,0)</f>
        <v>KS</v>
      </c>
      <c r="H26" s="65" t="str">
        <f>'PLUS K제조업핵심기업액티브'!B32</f>
        <v>이수페타시스</v>
      </c>
      <c r="I26" s="65">
        <f>VLOOKUP(H26,'PLUS K제조업핵심기업액티브'!$B$11:$E$1000,4,0)</f>
        <v>1.01</v>
      </c>
      <c r="J26" s="65">
        <f>IFERROR(VLOOKUP(H26,'PLUS K제조업핵심기업액티브(과거)'!$B$11:$E$1000,4,0),0)</f>
        <v>0.79</v>
      </c>
      <c r="K26" s="20">
        <f t="shared" si="8"/>
        <v>0.21999999999999997</v>
      </c>
      <c r="L26" s="21">
        <f t="shared" si="9"/>
        <v>0.27848101265822778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1.21</v>
      </c>
      <c r="P26" s="20">
        <f>IFERROR(VLOOKUP(N26,'타이커 기술이전(과거)'!$B$11:$E$1000,4,0),0)</f>
        <v>1.1599999999999999</v>
      </c>
      <c r="Q26" s="20">
        <f t="shared" si="10"/>
        <v>5.0000000000000044E-2</v>
      </c>
      <c r="R26" s="21">
        <f t="shared" si="11"/>
        <v>4.31034482758621E-2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LIG디펜스앤에어로스페이스</v>
      </c>
      <c r="C27" s="65">
        <f>VLOOKUP(B27,'TIMEFOLIO 코리아밸류업액티브'!$B$11:$E$1000,4,0)</f>
        <v>1.03</v>
      </c>
      <c r="D27" s="65">
        <f>IFERROR(VLOOKUP(B27,'TIMEFOLIO 코리아밸류업액티브(과거)'!$B$11:$E$1000,4,0),0)</f>
        <v>0</v>
      </c>
      <c r="E27" s="20">
        <f t="shared" si="6"/>
        <v>1.03</v>
      </c>
      <c r="F27" s="21" t="str">
        <f t="shared" si="7"/>
        <v>신규편입</v>
      </c>
      <c r="G27" s="63" t="str">
        <f>VLOOKUP(H27,유니버스!$C$14:$D$2561,2,0)</f>
        <v>KQ</v>
      </c>
      <c r="H27" s="65" t="str">
        <f>'PLUS K제조업핵심기업액티브'!B33</f>
        <v>에코프로에이치엔</v>
      </c>
      <c r="I27" s="65">
        <f>VLOOKUP(H27,'PLUS K제조업핵심기업액티브'!$B$11:$E$1000,4,0)</f>
        <v>1</v>
      </c>
      <c r="J27" s="65">
        <f>IFERROR(VLOOKUP(H27,'PLUS K제조업핵심기업액티브(과거)'!$B$11:$E$1000,4,0),0)</f>
        <v>1</v>
      </c>
      <c r="K27" s="20">
        <f t="shared" si="8"/>
        <v>0</v>
      </c>
      <c r="L27" s="21">
        <f t="shared" si="9"/>
        <v>0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0.82</v>
      </c>
      <c r="P27" s="20">
        <f>IFERROR(VLOOKUP(N27,'타이커 기술이전(과거)'!$B$11:$E$1000,4,0),0)</f>
        <v>0.9</v>
      </c>
      <c r="Q27" s="20">
        <f t="shared" si="10"/>
        <v>-8.0000000000000071E-2</v>
      </c>
      <c r="R27" s="21">
        <f t="shared" si="11"/>
        <v>-8.8888888888889017E-2</v>
      </c>
    </row>
    <row r="28" spans="1:18" x14ac:dyDescent="0.4">
      <c r="A28" s="63" t="str">
        <f>VLOOKUP(B28,유니버스!$C$14:$D$2561,2,0)</f>
        <v>KQ</v>
      </c>
      <c r="B28" s="65" t="str">
        <f>'TIMEFOLIO 코리아밸류업액티브'!B34</f>
        <v>코미코</v>
      </c>
      <c r="C28" s="65">
        <f>VLOOKUP(B28,'TIMEFOLIO 코리아밸류업액티브'!$B$11:$E$1000,4,0)</f>
        <v>1</v>
      </c>
      <c r="D28" s="65">
        <f>IFERROR(VLOOKUP(B28,'TIMEFOLIO 코리아밸류업액티브(과거)'!$B$11:$E$1000,4,0),0)</f>
        <v>0</v>
      </c>
      <c r="E28" s="20">
        <f t="shared" si="6"/>
        <v>1</v>
      </c>
      <c r="F28" s="21" t="str">
        <f t="shared" si="7"/>
        <v>신규편입</v>
      </c>
      <c r="G28" s="63" t="str">
        <f>VLOOKUP(H28,유니버스!$C$14:$D$2561,2,0)</f>
        <v>KS</v>
      </c>
      <c r="H28" s="65" t="str">
        <f>'PLUS K제조업핵심기업액티브'!B34</f>
        <v>산일전기</v>
      </c>
      <c r="I28" s="65">
        <f>VLOOKUP(H28,'PLUS K제조업핵심기업액티브'!$B$11:$E$1000,4,0)</f>
        <v>0.94</v>
      </c>
      <c r="J28" s="65">
        <f>IFERROR(VLOOKUP(H28,'PLUS K제조업핵심기업액티브(과거)'!$B$11:$E$1000,4,0),0)</f>
        <v>0.77</v>
      </c>
      <c r="K28" s="20">
        <f t="shared" si="8"/>
        <v>0.16999999999999993</v>
      </c>
      <c r="L28" s="21">
        <f t="shared" si="9"/>
        <v>0.22077922077922074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0.55000000000000004</v>
      </c>
      <c r="P28" s="20">
        <f>IFERROR(VLOOKUP(N28,'타이커 기술이전(과거)'!$B$11:$E$1000,4,0),0)</f>
        <v>0.66</v>
      </c>
      <c r="Q28" s="20">
        <f t="shared" si="10"/>
        <v>-0.10999999999999999</v>
      </c>
      <c r="R28" s="21">
        <f t="shared" si="11"/>
        <v>-0.16666666666666663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HD현대일렉트릭</v>
      </c>
      <c r="C29" s="65">
        <f>VLOOKUP(B29,'TIMEFOLIO 코리아밸류업액티브'!$B$11:$E$1000,4,0)</f>
        <v>0.84</v>
      </c>
      <c r="D29" s="65">
        <f>IFERROR(VLOOKUP(B29,'TIMEFOLIO 코리아밸류업액티브(과거)'!$B$11:$E$1000,4,0),0)</f>
        <v>0</v>
      </c>
      <c r="E29" s="20">
        <f t="shared" si="6"/>
        <v>0.84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현대로템</v>
      </c>
      <c r="I29" s="65">
        <f>VLOOKUP(H29,'PLUS K제조업핵심기업액티브'!$B$11:$E$1000,4,0)</f>
        <v>0.9</v>
      </c>
      <c r="J29" s="65">
        <f>IFERROR(VLOOKUP(H29,'PLUS K제조업핵심기업액티브(과거)'!$B$11:$E$1000,4,0),0)</f>
        <v>0.89</v>
      </c>
      <c r="K29" s="20">
        <f t="shared" si="8"/>
        <v>1.0000000000000009E-2</v>
      </c>
      <c r="L29" s="21">
        <f t="shared" si="9"/>
        <v>1.1235955056179803E-2</v>
      </c>
      <c r="M29" s="62" t="str">
        <f>VLOOKUP(N29,유니버스!$C$14:$D$2561,2,0)</f>
        <v>KQ</v>
      </c>
      <c r="N29" s="26" t="str">
        <f>'타이커 기술이전'!B35</f>
        <v>와이바이오로직스</v>
      </c>
      <c r="O29" s="20">
        <f>VLOOKUP(N29,'타이커 기술이전'!$B$11:$E$1000,4,0)</f>
        <v>0.53</v>
      </c>
      <c r="P29" s="20">
        <f>IFERROR(VLOOKUP(N29,'타이커 기술이전(과거)'!$B$11:$E$1000,4,0),0)</f>
        <v>0.57999999999999996</v>
      </c>
      <c r="Q29" s="20">
        <f t="shared" si="10"/>
        <v>-4.9999999999999933E-2</v>
      </c>
      <c r="R29" s="21">
        <f t="shared" si="11"/>
        <v>-8.6206896551723977E-2</v>
      </c>
    </row>
    <row r="30" spans="1:18" x14ac:dyDescent="0.4">
      <c r="A30" s="63" t="str">
        <f>VLOOKUP(B30,유니버스!$C$14:$D$2561,2,0)</f>
        <v>KQ</v>
      </c>
      <c r="B30" s="65" t="str">
        <f>'TIMEFOLIO 코리아밸류업액티브'!B36</f>
        <v>엘앤씨바이오</v>
      </c>
      <c r="C30" s="65">
        <f>VLOOKUP(B30,'TIMEFOLIO 코리아밸류업액티브'!$B$11:$E$1000,4,0)</f>
        <v>0.79</v>
      </c>
      <c r="D30" s="65">
        <f>IFERROR(VLOOKUP(B30,'TIMEFOLIO 코리아밸류업액티브(과거)'!$B$11:$E$1000,4,0),0)</f>
        <v>0</v>
      </c>
      <c r="E30" s="20">
        <f t="shared" si="6"/>
        <v>0.79</v>
      </c>
      <c r="F30" s="21" t="str">
        <f t="shared" si="7"/>
        <v>신규편입</v>
      </c>
      <c r="G30" s="63" t="str">
        <f>VLOOKUP(H30,유니버스!$C$14:$D$2561,2,0)</f>
        <v>KQ</v>
      </c>
      <c r="H30" s="65" t="str">
        <f>'PLUS K제조업핵심기업액티브'!B36</f>
        <v>태광</v>
      </c>
      <c r="I30" s="65">
        <f>VLOOKUP(H30,'PLUS K제조업핵심기업액티브'!$B$11:$E$1000,4,0)</f>
        <v>0.89</v>
      </c>
      <c r="J30" s="65">
        <f>IFERROR(VLOOKUP(H30,'PLUS K제조업핵심기업액티브(과거)'!$B$11:$E$1000,4,0),0)</f>
        <v>0.88</v>
      </c>
      <c r="K30" s="20">
        <f t="shared" si="8"/>
        <v>1.0000000000000009E-2</v>
      </c>
      <c r="L30" s="21">
        <f t="shared" si="9"/>
        <v>1.1363636363636465E-2</v>
      </c>
      <c r="M30" s="62" t="str">
        <f>VLOOKUP(N30,유니버스!$C$14:$D$2561,2,0)</f>
        <v>KQ</v>
      </c>
      <c r="N30" s="26" t="str">
        <f>'타이커 기술이전'!B36</f>
        <v>메디포스트</v>
      </c>
      <c r="O30" s="20">
        <f>VLOOKUP(N30,'타이커 기술이전'!$B$11:$E$1000,4,0)</f>
        <v>0.41</v>
      </c>
      <c r="P30" s="20">
        <f>IFERROR(VLOOKUP(N30,'타이커 기술이전(과거)'!$B$11:$E$1000,4,0),0)</f>
        <v>0.43</v>
      </c>
      <c r="Q30" s="20">
        <f t="shared" si="10"/>
        <v>-2.0000000000000018E-2</v>
      </c>
      <c r="R30" s="21">
        <f t="shared" si="11"/>
        <v>-4.6511627906976827E-2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삼양식품</v>
      </c>
      <c r="C31" s="65">
        <f>VLOOKUP(B31,'TIMEFOLIO 코리아밸류업액티브'!$B$11:$E$1000,4,0)</f>
        <v>0.72</v>
      </c>
      <c r="D31" s="65">
        <f>IFERROR(VLOOKUP(B31,'TIMEFOLIO 코리아밸류업액티브(과거)'!$B$11:$E$1000,4,0),0)</f>
        <v>3.68</v>
      </c>
      <c r="E31" s="20">
        <f t="shared" si="6"/>
        <v>-2.96</v>
      </c>
      <c r="F31" s="21">
        <f t="shared" si="7"/>
        <v>-0.80434782608695654</v>
      </c>
      <c r="G31" s="63" t="str">
        <f>VLOOKUP(H31,유니버스!$C$14:$D$2561,2,0)</f>
        <v>KS</v>
      </c>
      <c r="H31" s="65" t="str">
        <f>'PLUS K제조업핵심기업액티브'!B37</f>
        <v>현대건설</v>
      </c>
      <c r="I31" s="65">
        <f>VLOOKUP(H31,'PLUS K제조업핵심기업액티브'!$B$11:$E$1000,4,0)</f>
        <v>0.87</v>
      </c>
      <c r="J31" s="65">
        <f>IFERROR(VLOOKUP(H31,'PLUS K제조업핵심기업액티브(과거)'!$B$11:$E$1000,4,0),0)</f>
        <v>0.85</v>
      </c>
      <c r="K31" s="20">
        <f t="shared" si="8"/>
        <v>2.0000000000000018E-2</v>
      </c>
      <c r="L31" s="21">
        <f t="shared" si="9"/>
        <v>2.3529411764705799E-2</v>
      </c>
      <c r="M31" s="62" t="str">
        <f>VLOOKUP(N31,유니버스!$C$14:$D$2561,2,0)</f>
        <v>KS</v>
      </c>
      <c r="N31" s="26" t="str">
        <f>'타이커 기술이전'!B37</f>
        <v>삼양바이오팜</v>
      </c>
      <c r="O31" s="20">
        <f>VLOOKUP(N31,'타이커 기술이전'!$B$11:$E$1000,4,0)</f>
        <v>0.26</v>
      </c>
      <c r="P31" s="20">
        <f>IFERROR(VLOOKUP(N31,'타이커 기술이전(과거)'!$B$11:$E$1000,4,0),0)</f>
        <v>0.26</v>
      </c>
      <c r="Q31" s="20">
        <f t="shared" si="10"/>
        <v>0</v>
      </c>
      <c r="R31" s="21">
        <f t="shared" si="11"/>
        <v>0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삼성증권</v>
      </c>
      <c r="C32" s="65">
        <f>VLOOKUP(B32,'TIMEFOLIO 코리아밸류업액티브'!$B$11:$E$1000,4,0)</f>
        <v>0.66</v>
      </c>
      <c r="D32" s="65">
        <f>IFERROR(VLOOKUP(B32,'TIMEFOLIO 코리아밸류업액티브(과거)'!$B$11:$E$1000,4,0),0)</f>
        <v>3.21</v>
      </c>
      <c r="E32" s="20">
        <f t="shared" si="6"/>
        <v>-2.5499999999999998</v>
      </c>
      <c r="F32" s="21">
        <f t="shared" si="7"/>
        <v>-0.79439252336448596</v>
      </c>
      <c r="G32" s="63" t="str">
        <f>VLOOKUP(H32,유니버스!$C$14:$D$2561,2,0)</f>
        <v>KQ</v>
      </c>
      <c r="H32" s="65" t="str">
        <f>'PLUS K제조업핵심기업액티브'!B38</f>
        <v>대주전자재료</v>
      </c>
      <c r="I32" s="65">
        <f>VLOOKUP(H32,'PLUS K제조업핵심기업액티브'!$B$11:$E$1000,4,0)</f>
        <v>0.83</v>
      </c>
      <c r="J32" s="65">
        <f>IFERROR(VLOOKUP(H32,'PLUS K제조업핵심기업액티브(과거)'!$B$11:$E$1000,4,0),0)</f>
        <v>0.87</v>
      </c>
      <c r="K32" s="20">
        <f t="shared" si="8"/>
        <v>-4.0000000000000036E-2</v>
      </c>
      <c r="L32" s="21">
        <f t="shared" si="9"/>
        <v>-4.5977011494252928E-2</v>
      </c>
      <c r="M32" s="62" t="str">
        <f>VLOOKUP(N32,유니버스!$C$14:$D$2561,2,0)</f>
        <v>KQ</v>
      </c>
      <c r="N32" s="26" t="str">
        <f>'타이커 기술이전'!B38</f>
        <v>지니너스</v>
      </c>
      <c r="O32" s="20">
        <f>VLOOKUP(N32,'타이커 기술이전'!$B$11:$E$1000,4,0)</f>
        <v>0.17</v>
      </c>
      <c r="P32" s="20">
        <f>IFERROR(VLOOKUP(N32,'타이커 기술이전(과거)'!$B$11:$E$1000,4,0),0)</f>
        <v>0.19</v>
      </c>
      <c r="Q32" s="20">
        <f t="shared" ref="Q32:Q35" si="12">O32-P32</f>
        <v>-1.999999999999999E-2</v>
      </c>
      <c r="R32" s="21">
        <f t="shared" ref="R32:R35" si="13">IFERROR(O32/P32-1,"신규편입")</f>
        <v>-0.10526315789473684</v>
      </c>
    </row>
    <row r="33" spans="1:18" x14ac:dyDescent="0.4">
      <c r="A33" s="63" t="str">
        <f>VLOOKUP(B33,유니버스!$C$14:$D$2561,2,0)</f>
        <v>KQ</v>
      </c>
      <c r="B33" s="65" t="str">
        <f>'TIMEFOLIO 코리아밸류업액티브'!B39</f>
        <v>피에스케이홀딩스</v>
      </c>
      <c r="C33" s="65">
        <f>VLOOKUP(B33,'TIMEFOLIO 코리아밸류업액티브'!$B$11:$E$1000,4,0)</f>
        <v>0.61</v>
      </c>
      <c r="D33" s="65">
        <f>IFERROR(VLOOKUP(B33,'TIMEFOLIO 코리아밸류업액티브(과거)'!$B$11:$E$1000,4,0),0)</f>
        <v>0</v>
      </c>
      <c r="E33" s="20">
        <f t="shared" ref="E33:E34" si="14">C33-D33</f>
        <v>0.61</v>
      </c>
      <c r="F33" s="21" t="str">
        <f t="shared" ref="F33:F34" si="15">IFERROR(C33/D33-1,"신규편입")</f>
        <v>신규편입</v>
      </c>
      <c r="G33" s="63" t="str">
        <f>VLOOKUP(H33,유니버스!$C$14:$D$2561,2,0)</f>
        <v>KS</v>
      </c>
      <c r="H33" s="65" t="str">
        <f>'PLUS K제조업핵심기업액티브'!B39</f>
        <v>솔루스첨단소재</v>
      </c>
      <c r="I33" s="65">
        <f>VLOOKUP(H33,'PLUS K제조업핵심기업액티브'!$B$11:$E$1000,4,0)</f>
        <v>0.82</v>
      </c>
      <c r="J33" s="65">
        <f>IFERROR(VLOOKUP(H33,'PLUS K제조업핵심기업액티브(과거)'!$B$11:$E$1000,4,0),0)</f>
        <v>0.91</v>
      </c>
      <c r="K33" s="20">
        <f t="shared" si="8"/>
        <v>-9.000000000000008E-2</v>
      </c>
      <c r="L33" s="21">
        <f t="shared" si="9"/>
        <v>-9.8901098901098994E-2</v>
      </c>
      <c r="M33" s="62" t="str">
        <f>VLOOKUP(N33,유니버스!$C$14:$D$2561,2,0)</f>
        <v>KQ</v>
      </c>
      <c r="N33" s="26" t="str">
        <f>'타이커 기술이전'!B39</f>
        <v>티움바이오</v>
      </c>
      <c r="O33" s="20">
        <f>VLOOKUP(N33,'타이커 기술이전'!$B$11:$E$1000,4,0)</f>
        <v>0.13</v>
      </c>
      <c r="P33" s="20">
        <f>IFERROR(VLOOKUP(N33,'타이커 기술이전(과거)'!$B$11:$E$1000,4,0),0)</f>
        <v>0.28999999999999998</v>
      </c>
      <c r="Q33" s="20">
        <f t="shared" si="12"/>
        <v>-0.15999999999999998</v>
      </c>
      <c r="R33" s="21">
        <f t="shared" si="13"/>
        <v>-0.55172413793103448</v>
      </c>
    </row>
    <row r="34" spans="1:18" x14ac:dyDescent="0.4">
      <c r="A34" s="63" t="str">
        <f>VLOOKUP(B34,유니버스!$C$14:$D$2561,2,0)</f>
        <v>KQ</v>
      </c>
      <c r="B34" s="65" t="str">
        <f>'TIMEFOLIO 코리아밸류업액티브'!B40</f>
        <v>파마리서치</v>
      </c>
      <c r="C34" s="65">
        <f>VLOOKUP(B34,'TIMEFOLIO 코리아밸류업액티브'!$B$11:$E$1000,4,0)</f>
        <v>0.51</v>
      </c>
      <c r="D34" s="65">
        <f>IFERROR(VLOOKUP(B34,'TIMEFOLIO 코리아밸류업액티브(과거)'!$B$11:$E$1000,4,0),0)</f>
        <v>0</v>
      </c>
      <c r="E34" s="20">
        <f t="shared" si="14"/>
        <v>0.51</v>
      </c>
      <c r="F34" s="21" t="str">
        <f t="shared" si="15"/>
        <v>신규편입</v>
      </c>
      <c r="G34" s="63" t="str">
        <f>VLOOKUP(H34,유니버스!$C$14:$D$2561,2,0)</f>
        <v>KQ</v>
      </c>
      <c r="H34" s="65" t="str">
        <f>'PLUS K제조업핵심기업액티브'!B40</f>
        <v>에코프로비엠</v>
      </c>
      <c r="I34" s="65">
        <f>VLOOKUP(H34,'PLUS K제조업핵심기업액티브'!$B$11:$E$1000,4,0)</f>
        <v>0.61</v>
      </c>
      <c r="J34" s="65">
        <f>IFERROR(VLOOKUP(H34,'PLUS K제조업핵심기업액티브(과거)'!$B$11:$E$1000,4,0),0)</f>
        <v>0.73</v>
      </c>
      <c r="K34" s="20">
        <f t="shared" si="8"/>
        <v>-0.12</v>
      </c>
      <c r="L34" s="21">
        <f t="shared" si="9"/>
        <v>-0.16438356164383561</v>
      </c>
      <c r="M34" s="62" t="e">
        <f>VLOOKUP(N34,유니버스!$C$14:$D$2561,2,0)</f>
        <v>#N/A</v>
      </c>
      <c r="N34" s="26" t="str">
        <f>'타이커 기술이전'!B40</f>
        <v>원화현금</v>
      </c>
      <c r="O34" s="20">
        <f>VLOOKUP(N34,'타이커 기술이전'!$B$11:$E$1000,4,0)</f>
        <v>3.28</v>
      </c>
      <c r="P34" s="20">
        <f>IFERROR(VLOOKUP(N34,'타이커 기술이전(과거)'!$B$11:$E$1000,4,0),0)</f>
        <v>3.23</v>
      </c>
      <c r="Q34" s="20">
        <f t="shared" si="12"/>
        <v>4.9999999999999822E-2</v>
      </c>
      <c r="R34" s="21">
        <f t="shared" si="13"/>
        <v>1.5479876160990669E-2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키움증권</v>
      </c>
      <c r="C35" s="65">
        <f>VLOOKUP(B35,'TIMEFOLIO 코리아밸류업액티브'!$B$11:$E$1000,4,0)</f>
        <v>0.41</v>
      </c>
      <c r="D35" s="65">
        <f>IFERROR(VLOOKUP(B35,'TIMEFOLIO 코리아밸류업액티브(과거)'!$B$11:$E$1000,4,0),0)</f>
        <v>2.54</v>
      </c>
      <c r="E35" s="20">
        <f t="shared" ref="E35" si="16">C35-D35</f>
        <v>-2.13</v>
      </c>
      <c r="F35" s="21">
        <f t="shared" ref="F35" si="17">IFERROR(C35/D35-1,"신규편입")</f>
        <v>-0.8385826771653544</v>
      </c>
      <c r="G35" s="63" t="str">
        <f>VLOOKUP(H35,유니버스!$C$14:$D$2561,2,0)</f>
        <v>KS</v>
      </c>
      <c r="H35" s="65" t="str">
        <f>'PLUS K제조업핵심기업액티브'!B41</f>
        <v>한화솔루션</v>
      </c>
      <c r="I35" s="65">
        <f>VLOOKUP(H35,'PLUS K제조업핵심기업액티브'!$B$11:$E$1000,4,0)</f>
        <v>0.23</v>
      </c>
      <c r="J35" s="65">
        <f>IFERROR(VLOOKUP(H35,'PLUS K제조업핵심기업액티브(과거)'!$B$11:$E$1000,4,0),0)</f>
        <v>1.1000000000000001</v>
      </c>
      <c r="K35" s="20">
        <f t="shared" si="8"/>
        <v>-0.87000000000000011</v>
      </c>
      <c r="L35" s="21">
        <f t="shared" si="9"/>
        <v>-0.79090909090909089</v>
      </c>
      <c r="M35" s="62" t="e">
        <f>VLOOKUP(N35,유니버스!$C$14:$D$2561,2,0)</f>
        <v>#N/A</v>
      </c>
      <c r="N35" s="26">
        <f>'타이커 기술이전'!B41</f>
        <v>0</v>
      </c>
      <c r="O35" s="20" t="e">
        <f>VLOOKUP(N35,'타이커 기술이전'!$B$11:$E$1000,4,0)</f>
        <v>#N/A</v>
      </c>
      <c r="P35" s="20">
        <f>IFERROR(VLOOKUP(N35,'타이커 기술이전(과거)'!$B$11:$E$1000,4,0),0)</f>
        <v>0</v>
      </c>
      <c r="Q35" s="20" t="e">
        <f t="shared" si="12"/>
        <v>#N/A</v>
      </c>
      <c r="R35" s="21" t="str">
        <f t="shared" si="13"/>
        <v>신규편입</v>
      </c>
    </row>
    <row r="36" spans="1:18" x14ac:dyDescent="0.4">
      <c r="B36" s="65"/>
      <c r="C36" s="65"/>
      <c r="D36" s="65"/>
      <c r="E36" s="20"/>
      <c r="F36" s="21"/>
      <c r="H36" s="65" t="str">
        <f>'PLUS K제조업핵심기업액티브'!B42</f>
        <v>원화현금</v>
      </c>
      <c r="I36" s="65">
        <f>VLOOKUP(H36,'PLUS K제조업핵심기업액티브'!$B$11:$E$1000,4,0)</f>
        <v>0.02</v>
      </c>
      <c r="J36" s="65">
        <f>IFERROR(VLOOKUP(H36,'PLUS K제조업핵심기업액티브(과거)'!$B$11:$E$1000,4,0),0)</f>
        <v>0</v>
      </c>
      <c r="K36" s="20">
        <f t="shared" si="8"/>
        <v>0.02</v>
      </c>
      <c r="L36" s="21" t="str">
        <f t="shared" si="9"/>
        <v>신규편입</v>
      </c>
      <c r="N36" s="26"/>
      <c r="O36" s="20"/>
      <c r="P36" s="20"/>
      <c r="Q36" s="20"/>
      <c r="R36" s="21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0"/>
      <c r="P37" s="20"/>
      <c r="Q37" s="20"/>
      <c r="R37" s="21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C27" zoomScaleNormal="100" workbookViewId="0">
      <selection activeCell="H43" sqref="H43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[20260701]</v>
      </c>
      <c r="D4" s="64" t="str">
        <f>'KODEX 신재생에너지액티브(과거)'!B4</f>
        <v>20260619</v>
      </c>
      <c r="E4" s="22" t="s">
        <v>76</v>
      </c>
      <c r="F4" s="22" t="s">
        <v>77</v>
      </c>
      <c r="H4" s="26" t="s">
        <v>75</v>
      </c>
      <c r="I4" s="64" t="str">
        <f>C4</f>
        <v>CPD [20260701]</v>
      </c>
      <c r="J4" s="64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[20260701]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11.86</v>
      </c>
      <c r="D5" s="26">
        <f>IFERROR(VLOOKUP(B5,'TIMEFOLIO K바이오액티브(과거)'!$B$11:$E$1000,4,0),0)</f>
        <v>10.14</v>
      </c>
      <c r="E5" s="20">
        <f t="shared" ref="E5" si="0">C5-D5</f>
        <v>1.7199999999999989</v>
      </c>
      <c r="F5" s="21">
        <f t="shared" ref="F5" si="1">IFERROR(C5/D5-1,"신규편입")</f>
        <v>0.16962524654832345</v>
      </c>
      <c r="G5" s="62" t="str">
        <f>VLOOKUP(H5,유니버스!$C$14:$D$2561,2,0)</f>
        <v>KQ</v>
      </c>
      <c r="H5" s="69" t="str">
        <f>'KoAct 바이오헬스케어액티브'!B11</f>
        <v>올릭스</v>
      </c>
      <c r="I5" s="26">
        <f>VLOOKUP(H5,'KoAct 바이오헬스케어액티브'!$B$11:$E$1000,4,0)</f>
        <v>10</v>
      </c>
      <c r="J5" s="26">
        <f>IFERROR(VLOOKUP(H5,'KoAct 바이오헬스케어액티브(과거)'!$B$11:$E$1000,4,0),0)</f>
        <v>8.26</v>
      </c>
      <c r="K5" s="26">
        <f t="shared" ref="K5" si="2">I5-J5</f>
        <v>1.7400000000000002</v>
      </c>
      <c r="L5" s="27">
        <f t="shared" ref="L5" si="3">IFERROR(I5/J5-1,"신규편입")</f>
        <v>0.21065375302663436</v>
      </c>
      <c r="M5" s="62" t="str">
        <f>VLOOKUP(N5,유니버스!$C$14:$D$2561,2,0)</f>
        <v>KQ</v>
      </c>
      <c r="N5" s="69" t="str">
        <f>'RISE 바이오TOP10액티브'!B11</f>
        <v>올릭스</v>
      </c>
      <c r="O5" s="26">
        <f>VLOOKUP(N5,'RISE 바이오TOP10액티브'!$B$11:$E$1000,4,0)</f>
        <v>13.66</v>
      </c>
      <c r="P5" s="26">
        <f>IFERROR(VLOOKUP(N5,'RISE 바이오TOP10액티브(과거)'!$B$11:$E$1000,4,0),0)</f>
        <v>11.07</v>
      </c>
      <c r="Q5" s="26">
        <f t="shared" ref="Q5" si="4">O5-P5</f>
        <v>2.59</v>
      </c>
      <c r="R5" s="27">
        <f t="shared" ref="R5" si="5">IFERROR(O5/P5-1,"신규편입")</f>
        <v>0.23396567299006321</v>
      </c>
    </row>
    <row r="6" spans="1:18" x14ac:dyDescent="0.4">
      <c r="A6" s="62" t="str">
        <f>VLOOKUP(B6,유니버스!$C$14:$D$2561,2,0)</f>
        <v>KQ</v>
      </c>
      <c r="B6" s="69" t="str">
        <f>'TIMEFOLIO K바이오액티브'!B12</f>
        <v>알테오젠</v>
      </c>
      <c r="C6" s="26">
        <f>VLOOKUP(B6,'TIMEFOLIO K바이오액티브'!$B$11:$E$1000,4,0)</f>
        <v>10.77</v>
      </c>
      <c r="D6" s="26">
        <f>IFERROR(VLOOKUP(B6,'TIMEFOLIO K바이오액티브(과거)'!$B$11:$E$1000,4,0),0)</f>
        <v>11.03</v>
      </c>
      <c r="E6" s="20">
        <f t="shared" ref="E6:E38" si="6">C6-D6</f>
        <v>-0.25999999999999979</v>
      </c>
      <c r="F6" s="21">
        <f t="shared" ref="F6:F38" si="7">IFERROR(C6/D6-1,"신규편입")</f>
        <v>-2.3572076155938371E-2</v>
      </c>
      <c r="G6" s="62" t="str">
        <f>VLOOKUP(H6,유니버스!$C$14:$D$2561,2,0)</f>
        <v>KQ</v>
      </c>
      <c r="H6" s="69" t="str">
        <f>'KoAct 바이오헬스케어액티브'!B12</f>
        <v>리가켐바이오</v>
      </c>
      <c r="I6" s="26">
        <f>VLOOKUP(H6,'KoAct 바이오헬스케어액티브'!$B$11:$E$1000,4,0)</f>
        <v>8.75</v>
      </c>
      <c r="J6" s="26">
        <f>IFERROR(VLOOKUP(H6,'KoAct 바이오헬스케어액티브(과거)'!$B$11:$E$1000,4,0),0)</f>
        <v>8.2100000000000009</v>
      </c>
      <c r="K6" s="26">
        <f t="shared" ref="K6:K29" si="8">I6-J6</f>
        <v>0.53999999999999915</v>
      </c>
      <c r="L6" s="27">
        <f t="shared" ref="L6:L29" si="9">IFERROR(I6/J6-1,"신규편입")</f>
        <v>6.5773447015834208E-2</v>
      </c>
      <c r="M6" s="62" t="str">
        <f>VLOOKUP(N6,유니버스!$C$14:$D$2561,2,0)</f>
        <v>KQ</v>
      </c>
      <c r="N6" s="69" t="str">
        <f>'RISE 바이오TOP10액티브'!B12</f>
        <v>리가켐바이오</v>
      </c>
      <c r="O6" s="26">
        <f>VLOOKUP(N6,'RISE 바이오TOP10액티브'!$B$11:$E$1000,4,0)</f>
        <v>10.49</v>
      </c>
      <c r="P6" s="26">
        <f>IFERROR(VLOOKUP(N6,'RISE 바이오TOP10액티브(과거)'!$B$11:$E$1000,4,0),0)</f>
        <v>9.65</v>
      </c>
      <c r="Q6" s="26">
        <f t="shared" ref="Q6:Q26" si="10">O6-P6</f>
        <v>0.83999999999999986</v>
      </c>
      <c r="R6" s="27">
        <f t="shared" ref="R6:R26" si="11">IFERROR(O6/P6-1,"신규편입")</f>
        <v>8.7046632124352374E-2</v>
      </c>
    </row>
    <row r="7" spans="1:18" x14ac:dyDescent="0.4">
      <c r="A7" s="62" t="str">
        <f>VLOOKUP(B7,유니버스!$C$14:$D$2561,2,0)</f>
        <v>KQ</v>
      </c>
      <c r="B7" s="26" t="str">
        <f>'TIMEFOLIO K바이오액티브'!B13</f>
        <v>올릭스</v>
      </c>
      <c r="C7" s="26">
        <f>VLOOKUP(B7,'TIMEFOLIO K바이오액티브'!$B$11:$E$1000,4,0)</f>
        <v>7.98</v>
      </c>
      <c r="D7" s="26">
        <f>IFERROR(VLOOKUP(B7,'TIMEFOLIO K바이오액티브(과거)'!$B$11:$E$1000,4,0),0)</f>
        <v>6.51</v>
      </c>
      <c r="E7" s="20">
        <f t="shared" si="6"/>
        <v>1.4700000000000006</v>
      </c>
      <c r="F7" s="21">
        <f t="shared" si="7"/>
        <v>0.22580645161290325</v>
      </c>
      <c r="G7" s="62" t="str">
        <f>VLOOKUP(H7,유니버스!$C$14:$D$2561,2,0)</f>
        <v>KQ</v>
      </c>
      <c r="H7" s="69" t="str">
        <f>'KoAct 바이오헬스케어액티브'!B13</f>
        <v>에이비엘바이오</v>
      </c>
      <c r="I7" s="26">
        <f>VLOOKUP(H7,'KoAct 바이오헬스케어액티브'!$B$11:$E$1000,4,0)</f>
        <v>8.06</v>
      </c>
      <c r="J7" s="26">
        <f>IFERROR(VLOOKUP(H7,'KoAct 바이오헬스케어액티브(과거)'!$B$11:$E$1000,4,0),0)</f>
        <v>7.93</v>
      </c>
      <c r="K7" s="26">
        <f t="shared" si="8"/>
        <v>0.13000000000000078</v>
      </c>
      <c r="L7" s="27">
        <f t="shared" si="9"/>
        <v>1.6393442622950838E-2</v>
      </c>
      <c r="M7" s="62" t="str">
        <f>VLOOKUP(N7,유니버스!$C$14:$D$2561,2,0)</f>
        <v>KQ</v>
      </c>
      <c r="N7" s="69" t="str">
        <f>'RISE 바이오TOP10액티브'!B13</f>
        <v>알테오젠</v>
      </c>
      <c r="O7" s="26">
        <f>VLOOKUP(N7,'RISE 바이오TOP10액티브'!$B$11:$E$1000,4,0)</f>
        <v>9.9499999999999993</v>
      </c>
      <c r="P7" s="26">
        <f>IFERROR(VLOOKUP(N7,'RISE 바이오TOP10액티브(과거)'!$B$11:$E$1000,4,0),0)</f>
        <v>11.17</v>
      </c>
      <c r="Q7" s="26">
        <f t="shared" si="10"/>
        <v>-1.2200000000000006</v>
      </c>
      <c r="R7" s="27">
        <f t="shared" si="11"/>
        <v>-0.1092211280214862</v>
      </c>
    </row>
    <row r="8" spans="1:18" x14ac:dyDescent="0.4">
      <c r="A8" s="62" t="str">
        <f>VLOOKUP(B8,유니버스!$C$14:$D$2561,2,0)</f>
        <v>KS</v>
      </c>
      <c r="B8" s="69" t="str">
        <f>'TIMEFOLIO K바이오액티브'!B14</f>
        <v>삼성바이오로직스</v>
      </c>
      <c r="C8" s="26">
        <f>VLOOKUP(B8,'TIMEFOLIO K바이오액티브'!$B$11:$E$1000,4,0)</f>
        <v>7.67</v>
      </c>
      <c r="D8" s="26">
        <f>IFERROR(VLOOKUP(B8,'TIMEFOLIO K바이오액티브(과거)'!$B$11:$E$1000,4,0),0)</f>
        <v>7.79</v>
      </c>
      <c r="E8" s="20">
        <f t="shared" si="6"/>
        <v>-0.12000000000000011</v>
      </c>
      <c r="F8" s="21">
        <f t="shared" si="7"/>
        <v>-1.5404364569961526E-2</v>
      </c>
      <c r="G8" s="62" t="str">
        <f>VLOOKUP(H8,유니버스!$C$14:$D$2561,2,0)</f>
        <v>KQ</v>
      </c>
      <c r="H8" s="26" t="str">
        <f>'KoAct 바이오헬스케어액티브'!B14</f>
        <v>에스티팜</v>
      </c>
      <c r="I8" s="26">
        <f>VLOOKUP(H8,'KoAct 바이오헬스케어액티브'!$B$11:$E$1000,4,0)</f>
        <v>7.88</v>
      </c>
      <c r="J8" s="26">
        <f>IFERROR(VLOOKUP(H8,'KoAct 바이오헬스케어액티브(과거)'!$B$11:$E$1000,4,0),0)</f>
        <v>7.62</v>
      </c>
      <c r="K8" s="26">
        <f t="shared" si="8"/>
        <v>0.25999999999999979</v>
      </c>
      <c r="L8" s="27">
        <f t="shared" si="9"/>
        <v>3.4120734908136496E-2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7.35</v>
      </c>
      <c r="P8" s="26">
        <f>IFERROR(VLOOKUP(N8,'RISE 바이오TOP10액티브(과거)'!$B$11:$E$1000,4,0),0)</f>
        <v>7.36</v>
      </c>
      <c r="Q8" s="26">
        <f t="shared" si="10"/>
        <v>-1.0000000000000675E-2</v>
      </c>
      <c r="R8" s="27">
        <f t="shared" si="11"/>
        <v>-1.3586956521740579E-3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한미약품</v>
      </c>
      <c r="C9" s="26">
        <f>VLOOKUP(B9,'TIMEFOLIO K바이오액티브'!$B$11:$E$1000,4,0)</f>
        <v>6.95</v>
      </c>
      <c r="D9" s="26">
        <f>IFERROR(VLOOKUP(B9,'TIMEFOLIO K바이오액티브(과거)'!$B$11:$E$1000,4,0),0)</f>
        <v>6.99</v>
      </c>
      <c r="E9" s="20">
        <f t="shared" si="6"/>
        <v>-4.0000000000000036E-2</v>
      </c>
      <c r="F9" s="21">
        <f t="shared" si="7"/>
        <v>-5.7224606580830173E-3</v>
      </c>
      <c r="G9" s="62" t="str">
        <f>VLOOKUP(H9,유니버스!$C$14:$D$2561,2,0)</f>
        <v>KQ</v>
      </c>
      <c r="H9" s="26" t="str">
        <f>'KoAct 바이오헬스케어액티브'!B15</f>
        <v>알테오젠</v>
      </c>
      <c r="I9" s="26">
        <f>VLOOKUP(H9,'KoAct 바이오헬스케어액티브'!$B$11:$E$1000,4,0)</f>
        <v>7.76</v>
      </c>
      <c r="J9" s="26">
        <f>IFERROR(VLOOKUP(H9,'KoAct 바이오헬스케어액티브(과거)'!$B$11:$E$1000,4,0),0)</f>
        <v>8.31</v>
      </c>
      <c r="K9" s="26">
        <f t="shared" si="8"/>
        <v>-0.55000000000000071</v>
      </c>
      <c r="L9" s="27">
        <f t="shared" si="9"/>
        <v>-6.6185318892900247E-2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6.51</v>
      </c>
      <c r="P9" s="26">
        <f>IFERROR(VLOOKUP(N9,'RISE 바이오TOP10액티브(과거)'!$B$11:$E$1000,4,0),0)</f>
        <v>7.15</v>
      </c>
      <c r="Q9" s="26">
        <f t="shared" si="10"/>
        <v>-0.64000000000000057</v>
      </c>
      <c r="R9" s="27">
        <f t="shared" si="11"/>
        <v>-8.9510489510489566E-2</v>
      </c>
    </row>
    <row r="10" spans="1:18" x14ac:dyDescent="0.4">
      <c r="A10" s="62" t="str">
        <f>VLOOKUP(B10,유니버스!$C$14:$D$2561,2,0)</f>
        <v>KQ</v>
      </c>
      <c r="B10" s="69" t="str">
        <f>'TIMEFOLIO K바이오액티브'!B16</f>
        <v>리가켐바이오</v>
      </c>
      <c r="C10" s="26">
        <f>VLOOKUP(B10,'TIMEFOLIO K바이오액티브'!$B$11:$E$1000,4,0)</f>
        <v>6.16</v>
      </c>
      <c r="D10" s="26">
        <f>IFERROR(VLOOKUP(B10,'TIMEFOLIO K바이오액티브(과거)'!$B$11:$E$1000,4,0),0)</f>
        <v>5.73</v>
      </c>
      <c r="E10" s="20">
        <f t="shared" si="6"/>
        <v>0.42999999999999972</v>
      </c>
      <c r="F10" s="21">
        <f t="shared" si="7"/>
        <v>7.5043630017451957E-2</v>
      </c>
      <c r="G10" s="62" t="str">
        <f>VLOOKUP(H10,유니버스!$C$14:$D$2561,2,0)</f>
        <v>KQ</v>
      </c>
      <c r="H10" s="26" t="str">
        <f>'KoAct 바이오헬스케어액티브'!B16</f>
        <v>디앤디파마텍</v>
      </c>
      <c r="I10" s="26">
        <f>VLOOKUP(H10,'KoAct 바이오헬스케어액티브'!$B$11:$E$1000,4,0)</f>
        <v>6.73</v>
      </c>
      <c r="J10" s="26">
        <f>IFERROR(VLOOKUP(H10,'KoAct 바이오헬스케어액티브(과거)'!$B$11:$E$1000,4,0),0)</f>
        <v>8.4600000000000009</v>
      </c>
      <c r="K10" s="26">
        <f t="shared" si="8"/>
        <v>-1.7300000000000004</v>
      </c>
      <c r="L10" s="27">
        <f t="shared" si="9"/>
        <v>-0.20449172576832153</v>
      </c>
      <c r="M10" s="62" t="str">
        <f>VLOOKUP(N10,유니버스!$C$14:$D$2561,2,0)</f>
        <v>KS</v>
      </c>
      <c r="N10" s="26" t="str">
        <f>'RISE 바이오TOP10액티브'!B16</f>
        <v>셀트리온</v>
      </c>
      <c r="O10" s="26">
        <f>VLOOKUP(N10,'RISE 바이오TOP10액티브'!$B$11:$E$1000,4,0)</f>
        <v>4.7</v>
      </c>
      <c r="P10" s="26">
        <f>IFERROR(VLOOKUP(N10,'RISE 바이오TOP10액티브(과거)'!$B$11:$E$1000,4,0),0)</f>
        <v>4.7</v>
      </c>
      <c r="Q10" s="26">
        <f t="shared" si="10"/>
        <v>0</v>
      </c>
      <c r="R10" s="27">
        <f t="shared" si="11"/>
        <v>0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4.5199999999999996</v>
      </c>
      <c r="D11" s="26">
        <f>IFERROR(VLOOKUP(B11,'TIMEFOLIO K바이오액티브(과거)'!$B$11:$E$1000,4,0),0)</f>
        <v>4.32</v>
      </c>
      <c r="E11" s="20">
        <f t="shared" si="6"/>
        <v>0.19999999999999929</v>
      </c>
      <c r="F11" s="21">
        <f t="shared" si="7"/>
        <v>4.6296296296296058E-2</v>
      </c>
      <c r="G11" s="62" t="str">
        <f>VLOOKUP(H11,유니버스!$C$14:$D$2561,2,0)</f>
        <v>KS</v>
      </c>
      <c r="H11" s="26" t="str">
        <f>'KoAct 바이오헬스케어액티브'!B17</f>
        <v>셀트리온</v>
      </c>
      <c r="I11" s="26">
        <f>VLOOKUP(H11,'KoAct 바이오헬스케어액티브'!$B$11:$E$1000,4,0)</f>
        <v>6.46</v>
      </c>
      <c r="J11" s="26">
        <f>IFERROR(VLOOKUP(H11,'KoAct 바이오헬스케어액티브(과거)'!$B$11:$E$1000,4,0),0)</f>
        <v>6.59</v>
      </c>
      <c r="K11" s="26">
        <f t="shared" si="8"/>
        <v>-0.12999999999999989</v>
      </c>
      <c r="L11" s="27">
        <f t="shared" si="9"/>
        <v>-1.9726858877086473E-2</v>
      </c>
      <c r="M11" s="62" t="str">
        <f>VLOOKUP(N11,유니버스!$C$14:$D$2561,2,0)</f>
        <v>KS</v>
      </c>
      <c r="N11" s="26" t="str">
        <f>'RISE 바이오TOP10액티브'!B17</f>
        <v>한올바이오파마</v>
      </c>
      <c r="O11" s="26">
        <f>VLOOKUP(N11,'RISE 바이오TOP10액티브'!$B$11:$E$1000,4,0)</f>
        <v>4.46</v>
      </c>
      <c r="P11" s="26">
        <f>IFERROR(VLOOKUP(N11,'RISE 바이오TOP10액티브(과거)'!$B$11:$E$1000,4,0),0)</f>
        <v>3.77</v>
      </c>
      <c r="Q11" s="26">
        <f t="shared" si="10"/>
        <v>0.69</v>
      </c>
      <c r="R11" s="27">
        <f t="shared" si="11"/>
        <v>0.18302387267904519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3.76</v>
      </c>
      <c r="D12" s="26">
        <f>IFERROR(VLOOKUP(B12,'TIMEFOLIO K바이오액티브(과거)'!$B$11:$E$1000,4,0),0)</f>
        <v>4.7300000000000004</v>
      </c>
      <c r="E12" s="20">
        <f t="shared" si="6"/>
        <v>-0.97000000000000064</v>
      </c>
      <c r="F12" s="21">
        <f t="shared" si="7"/>
        <v>-0.20507399577167029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5.05</v>
      </c>
      <c r="J12" s="26">
        <f>IFERROR(VLOOKUP(H12,'KoAct 바이오헬스케어액티브(과거)'!$B$11:$E$1000,4,0),0)</f>
        <v>5.17</v>
      </c>
      <c r="K12" s="26">
        <f t="shared" si="8"/>
        <v>-0.12000000000000011</v>
      </c>
      <c r="L12" s="27">
        <f t="shared" si="9"/>
        <v>-2.3210831721470093E-2</v>
      </c>
      <c r="M12" s="62" t="str">
        <f>VLOOKUP(N12,유니버스!$C$14:$D$2561,2,0)</f>
        <v>KS</v>
      </c>
      <c r="N12" s="26" t="str">
        <f>'RISE 바이오TOP10액티브'!B18</f>
        <v>한미약품</v>
      </c>
      <c r="O12" s="26">
        <f>VLOOKUP(N12,'RISE 바이오TOP10액티브'!$B$11:$E$1000,4,0)</f>
        <v>4.41</v>
      </c>
      <c r="P12" s="26">
        <f>IFERROR(VLOOKUP(N12,'RISE 바이오TOP10액티브(과거)'!$B$11:$E$1000,4,0),0)</f>
        <v>3.43</v>
      </c>
      <c r="Q12" s="26">
        <f t="shared" si="10"/>
        <v>0.98</v>
      </c>
      <c r="R12" s="27">
        <f t="shared" si="11"/>
        <v>0.28571428571428559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3.48</v>
      </c>
      <c r="D13" s="26">
        <f>IFERROR(VLOOKUP(B13,'TIMEFOLIO K바이오액티브(과거)'!$B$11:$E$1000,4,0),0)</f>
        <v>3.51</v>
      </c>
      <c r="E13" s="20">
        <f t="shared" si="6"/>
        <v>-2.9999999999999805E-2</v>
      </c>
      <c r="F13" s="21">
        <f t="shared" si="7"/>
        <v>-8.5470085470085166E-3</v>
      </c>
      <c r="G13" s="62" t="str">
        <f>VLOOKUP(H13,유니버스!$C$14:$D$2561,2,0)</f>
        <v>KS</v>
      </c>
      <c r="H13" s="26" t="str">
        <f>'KoAct 바이오헬스케어액티브'!B19</f>
        <v>한미약품</v>
      </c>
      <c r="I13" s="26">
        <f>VLOOKUP(H13,'KoAct 바이오헬스케어액티브'!$B$11:$E$1000,4,0)</f>
        <v>4.91</v>
      </c>
      <c r="J13" s="26">
        <f>IFERROR(VLOOKUP(H13,'KoAct 바이오헬스케어액티브(과거)'!$B$11:$E$1000,4,0),0)</f>
        <v>4.5</v>
      </c>
      <c r="K13" s="26">
        <f t="shared" si="8"/>
        <v>0.41000000000000014</v>
      </c>
      <c r="L13" s="27">
        <f t="shared" si="9"/>
        <v>9.1111111111111143E-2</v>
      </c>
      <c r="M13" s="62" t="str">
        <f>VLOOKUP(N13,유니버스!$C$14:$D$2561,2,0)</f>
        <v>KQ</v>
      </c>
      <c r="N13" s="26" t="str">
        <f>'RISE 바이오TOP10액티브'!B19</f>
        <v>에스티팜</v>
      </c>
      <c r="O13" s="26">
        <f>VLOOKUP(N13,'RISE 바이오TOP10액티브'!$B$11:$E$1000,4,0)</f>
        <v>4.29</v>
      </c>
      <c r="P13" s="26">
        <f>IFERROR(VLOOKUP(N13,'RISE 바이오TOP10액티브(과거)'!$B$11:$E$1000,4,0),0)</f>
        <v>4.07</v>
      </c>
      <c r="Q13" s="26">
        <f t="shared" si="10"/>
        <v>0.21999999999999975</v>
      </c>
      <c r="R13" s="27">
        <f t="shared" si="11"/>
        <v>5.4054054054053946E-2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2.5299999999999998</v>
      </c>
      <c r="D14" s="26">
        <f>IFERROR(VLOOKUP(B14,'TIMEFOLIO K바이오액티브(과거)'!$B$11:$E$1000,4,0),0)</f>
        <v>2.5499999999999998</v>
      </c>
      <c r="E14" s="20">
        <f t="shared" si="6"/>
        <v>-2.0000000000000018E-2</v>
      </c>
      <c r="F14" s="21">
        <f t="shared" si="7"/>
        <v>-7.8431372549019329E-3</v>
      </c>
      <c r="G14" s="62" t="str">
        <f>VLOOKUP(H14,유니버스!$C$14:$D$2561,2,0)</f>
        <v>KQ</v>
      </c>
      <c r="H14" s="26" t="str">
        <f>'KoAct 바이오헬스케어액티브'!B20</f>
        <v>에이프릴바이오</v>
      </c>
      <c r="I14" s="26">
        <f>VLOOKUP(H14,'KoAct 바이오헬스케어액티브'!$B$11:$E$1000,4,0)</f>
        <v>4.5</v>
      </c>
      <c r="J14" s="26">
        <f>IFERROR(VLOOKUP(H14,'KoAct 바이오헬스케어액티브(과거)'!$B$11:$E$1000,4,0),0)</f>
        <v>4.5999999999999996</v>
      </c>
      <c r="K14" s="26">
        <f t="shared" si="8"/>
        <v>-9.9999999999999645E-2</v>
      </c>
      <c r="L14" s="27">
        <f t="shared" si="9"/>
        <v>-2.1739130434782483E-2</v>
      </c>
      <c r="M14" s="62" t="str">
        <f>VLOOKUP(N14,유니버스!$C$14:$D$2561,2,0)</f>
        <v>KQ</v>
      </c>
      <c r="N14" s="26" t="str">
        <f>'RISE 바이오TOP10액티브'!B20</f>
        <v>휴젤</v>
      </c>
      <c r="O14" s="26">
        <f>VLOOKUP(N14,'RISE 바이오TOP10액티브'!$B$11:$E$1000,4,0)</f>
        <v>3.89</v>
      </c>
      <c r="P14" s="26">
        <f>IFERROR(VLOOKUP(N14,'RISE 바이오TOP10액티브(과거)'!$B$11:$E$1000,4,0),0)</f>
        <v>3.52</v>
      </c>
      <c r="Q14" s="26">
        <f t="shared" si="10"/>
        <v>0.37000000000000011</v>
      </c>
      <c r="R14" s="27">
        <f t="shared" si="11"/>
        <v>0.10511363636363646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2.29</v>
      </c>
      <c r="D15" s="26">
        <f>IFERROR(VLOOKUP(B15,'TIMEFOLIO K바이오액티브(과거)'!$B$11:$E$1000,4,0),0)</f>
        <v>2.4300000000000002</v>
      </c>
      <c r="E15" s="20">
        <f t="shared" si="6"/>
        <v>-0.14000000000000012</v>
      </c>
      <c r="F15" s="21">
        <f t="shared" si="7"/>
        <v>-5.7613168724279906E-2</v>
      </c>
      <c r="G15" s="62" t="str">
        <f>VLOOKUP(H15,유니버스!$C$14:$D$2561,2,0)</f>
        <v>KS</v>
      </c>
      <c r="H15" s="26" t="str">
        <f>'KoAct 바이오헬스케어액티브'!B21</f>
        <v>한올바이오파마</v>
      </c>
      <c r="I15" s="26">
        <f>VLOOKUP(H15,'KoAct 바이오헬스케어액티브'!$B$11:$E$1000,4,0)</f>
        <v>4.4400000000000004</v>
      </c>
      <c r="J15" s="26">
        <f>IFERROR(VLOOKUP(H15,'KoAct 바이오헬스케어액티브(과거)'!$B$11:$E$1000,4,0),0)</f>
        <v>3.83</v>
      </c>
      <c r="K15" s="26">
        <f t="shared" si="8"/>
        <v>0.61000000000000032</v>
      </c>
      <c r="L15" s="27">
        <f t="shared" si="9"/>
        <v>0.15926892950391647</v>
      </c>
      <c r="M15" s="62" t="str">
        <f>VLOOKUP(N15,유니버스!$C$14:$D$2561,2,0)</f>
        <v>KQ</v>
      </c>
      <c r="N15" s="26" t="str">
        <f>'RISE 바이오TOP10액티브'!B21</f>
        <v>코오롱티슈진</v>
      </c>
      <c r="O15" s="26">
        <f>VLOOKUP(N15,'RISE 바이오TOP10액티브'!$B$11:$E$1000,4,0)</f>
        <v>3.24</v>
      </c>
      <c r="P15" s="26">
        <f>IFERROR(VLOOKUP(N15,'RISE 바이오TOP10액티브(과거)'!$B$11:$E$1000,4,0),0)</f>
        <v>3.65</v>
      </c>
      <c r="Q15" s="26">
        <f t="shared" si="10"/>
        <v>-0.4099999999999997</v>
      </c>
      <c r="R15" s="27">
        <f t="shared" si="11"/>
        <v>-0.11232876712328754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2.2599999999999998</v>
      </c>
      <c r="D16" s="26">
        <f>IFERROR(VLOOKUP(B16,'TIMEFOLIO K바이오액티브(과거)'!$B$11:$E$1000,4,0),0)</f>
        <v>2.38</v>
      </c>
      <c r="E16" s="20">
        <f t="shared" si="6"/>
        <v>-0.12000000000000011</v>
      </c>
      <c r="F16" s="21">
        <f t="shared" si="7"/>
        <v>-5.0420168067226934E-2</v>
      </c>
      <c r="G16" s="62" t="str">
        <f>VLOOKUP(H16,유니버스!$C$14:$D$2561,2,0)</f>
        <v>KQ</v>
      </c>
      <c r="H16" s="26" t="str">
        <f>'KoAct 바이오헬스케어액티브'!B22</f>
        <v>파마리서치</v>
      </c>
      <c r="I16" s="26">
        <f>VLOOKUP(H16,'KoAct 바이오헬스케어액티브'!$B$11:$E$1000,4,0)</f>
        <v>3.84</v>
      </c>
      <c r="J16" s="26">
        <f>IFERROR(VLOOKUP(H16,'KoAct 바이오헬스케어액티브(과거)'!$B$11:$E$1000,4,0),0)</f>
        <v>3.22</v>
      </c>
      <c r="K16" s="26">
        <f t="shared" si="8"/>
        <v>0.61999999999999966</v>
      </c>
      <c r="L16" s="27">
        <f t="shared" si="9"/>
        <v>0.19254658385093149</v>
      </c>
      <c r="M16" s="62" t="str">
        <f>VLOOKUP(N16,유니버스!$C$14:$D$2561,2,0)</f>
        <v>KQ</v>
      </c>
      <c r="N16" s="26" t="str">
        <f>'RISE 바이오TOP10액티브'!B22</f>
        <v>에이프릴바이오</v>
      </c>
      <c r="O16" s="26">
        <f>VLOOKUP(N16,'RISE 바이오TOP10액티브'!$B$11:$E$1000,4,0)</f>
        <v>3.17</v>
      </c>
      <c r="P16" s="26">
        <f>IFERROR(VLOOKUP(N16,'RISE 바이오TOP10액티브(과거)'!$B$11:$E$1000,4,0),0)</f>
        <v>3.18</v>
      </c>
      <c r="Q16" s="26">
        <f t="shared" si="10"/>
        <v>-1.0000000000000231E-2</v>
      </c>
      <c r="R16" s="27">
        <f t="shared" si="11"/>
        <v>-3.1446540880504248E-3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씨어스</v>
      </c>
      <c r="C17" s="26">
        <f>VLOOKUP(B17,'TIMEFOLIO K바이오액티브'!$B$11:$E$1000,4,0)</f>
        <v>2.19</v>
      </c>
      <c r="D17" s="26">
        <f>IFERROR(VLOOKUP(B17,'TIMEFOLIO K바이오액티브(과거)'!$B$11:$E$1000,4,0),0)</f>
        <v>1.84</v>
      </c>
      <c r="E17" s="20">
        <f t="shared" si="6"/>
        <v>0.34999999999999987</v>
      </c>
      <c r="F17" s="21">
        <f t="shared" si="7"/>
        <v>0.19021739130434767</v>
      </c>
      <c r="G17" s="62" t="str">
        <f>VLOOKUP(H17,유니버스!$C$14:$D$2561,2,0)</f>
        <v>KQ</v>
      </c>
      <c r="H17" s="26" t="str">
        <f>'KoAct 바이오헬스케어액티브'!B23</f>
        <v>휴젤</v>
      </c>
      <c r="I17" s="26">
        <f>VLOOKUP(H17,'KoAct 바이오헬스케어액티브'!$B$11:$E$1000,4,0)</f>
        <v>3.13</v>
      </c>
      <c r="J17" s="26">
        <f>IFERROR(VLOOKUP(H17,'KoAct 바이오헬스케어액티브(과거)'!$B$11:$E$1000,4,0),0)</f>
        <v>2.89</v>
      </c>
      <c r="K17" s="26">
        <f t="shared" si="8"/>
        <v>0.23999999999999977</v>
      </c>
      <c r="L17" s="27">
        <f t="shared" si="9"/>
        <v>8.3044982698961878E-2</v>
      </c>
      <c r="M17" s="62" t="str">
        <f>VLOOKUP(N17,유니버스!$C$14:$D$2561,2,0)</f>
        <v>KQ</v>
      </c>
      <c r="N17" s="26" t="str">
        <f>'RISE 바이오TOP10액티브'!B23</f>
        <v>오스코텍</v>
      </c>
      <c r="O17" s="26">
        <f>VLOOKUP(N17,'RISE 바이오TOP10액티브'!$B$11:$E$1000,4,0)</f>
        <v>3.09</v>
      </c>
      <c r="P17" s="26">
        <f>IFERROR(VLOOKUP(N17,'RISE 바이오TOP10액티브(과거)'!$B$11:$E$1000,4,0),0)</f>
        <v>3.2</v>
      </c>
      <c r="Q17" s="26">
        <f t="shared" si="10"/>
        <v>-0.11000000000000032</v>
      </c>
      <c r="R17" s="27">
        <f t="shared" si="11"/>
        <v>-3.4375000000000044E-2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HLB</v>
      </c>
      <c r="C18" s="26">
        <f>VLOOKUP(B18,'TIMEFOLIO K바이오액티브'!$B$11:$E$1000,4,0)</f>
        <v>2.0699999999999998</v>
      </c>
      <c r="D18" s="26">
        <f>IFERROR(VLOOKUP(B18,'TIMEFOLIO K바이오액티브(과거)'!$B$11:$E$1000,4,0),0)</f>
        <v>2.0499999999999998</v>
      </c>
      <c r="E18" s="20">
        <f t="shared" si="6"/>
        <v>2.0000000000000018E-2</v>
      </c>
      <c r="F18" s="21">
        <f t="shared" si="7"/>
        <v>9.7560975609756184E-3</v>
      </c>
      <c r="G18" s="62" t="str">
        <f>VLOOKUP(H18,유니버스!$C$14:$D$2561,2,0)</f>
        <v>KQ</v>
      </c>
      <c r="H18" s="26" t="str">
        <f>'KoAct 바이오헬스케어액티브'!B24</f>
        <v>오스코텍</v>
      </c>
      <c r="I18" s="26">
        <f>VLOOKUP(H18,'KoAct 바이오헬스케어액티브'!$B$11:$E$1000,4,0)</f>
        <v>3</v>
      </c>
      <c r="J18" s="26">
        <f>IFERROR(VLOOKUP(H18,'KoAct 바이오헬스케어액티브(과거)'!$B$11:$E$1000,4,0),0)</f>
        <v>3.17</v>
      </c>
      <c r="K18" s="26">
        <f t="shared" si="8"/>
        <v>-0.16999999999999993</v>
      </c>
      <c r="L18" s="27">
        <f t="shared" si="9"/>
        <v>-5.362776025236593E-2</v>
      </c>
      <c r="M18" s="62" t="str">
        <f>VLOOKUP(N18,유니버스!$C$14:$D$2561,2,0)</f>
        <v>KQ</v>
      </c>
      <c r="N18" s="26" t="str">
        <f>'RISE 바이오TOP10액티브'!B24</f>
        <v>알지노믹스</v>
      </c>
      <c r="O18" s="26">
        <f>VLOOKUP(N18,'RISE 바이오TOP10액티브'!$B$11:$E$1000,4,0)</f>
        <v>2.87</v>
      </c>
      <c r="P18" s="26">
        <f>IFERROR(VLOOKUP(N18,'RISE 바이오TOP10액티브(과거)'!$B$11:$E$1000,4,0),0)</f>
        <v>3.05</v>
      </c>
      <c r="Q18" s="26">
        <f t="shared" si="10"/>
        <v>-0.17999999999999972</v>
      </c>
      <c r="R18" s="27">
        <f t="shared" si="11"/>
        <v>-5.9016393442622883E-2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알지노믹스</v>
      </c>
      <c r="C19" s="26">
        <f>VLOOKUP(B19,'TIMEFOLIO K바이오액티브'!$B$11:$E$1000,4,0)</f>
        <v>2.0499999999999998</v>
      </c>
      <c r="D19" s="26">
        <f>IFERROR(VLOOKUP(B19,'TIMEFOLIO K바이오액티브(과거)'!$B$11:$E$1000,4,0),0)</f>
        <v>2.2000000000000002</v>
      </c>
      <c r="E19" s="20">
        <f t="shared" si="6"/>
        <v>-0.15000000000000036</v>
      </c>
      <c r="F19" s="21">
        <f t="shared" si="7"/>
        <v>-6.8181818181818343E-2</v>
      </c>
      <c r="G19" s="62" t="str">
        <f>VLOOKUP(H19,유니버스!$C$14:$D$2561,2,0)</f>
        <v>KS</v>
      </c>
      <c r="H19" s="26" t="str">
        <f>'KoAct 바이오헬스케어액티브'!B25</f>
        <v>녹십자</v>
      </c>
      <c r="I19" s="26">
        <f>VLOOKUP(H19,'KoAct 바이오헬스케어액티브'!$B$11:$E$1000,4,0)</f>
        <v>2.82</v>
      </c>
      <c r="J19" s="26">
        <f>IFERROR(VLOOKUP(H19,'KoAct 바이오헬스케어액티브(과거)'!$B$11:$E$1000,4,0),0)</f>
        <v>2.96</v>
      </c>
      <c r="K19" s="26">
        <f t="shared" si="8"/>
        <v>-0.14000000000000012</v>
      </c>
      <c r="L19" s="27">
        <f t="shared" si="9"/>
        <v>-4.7297297297297369E-2</v>
      </c>
      <c r="M19" s="62" t="str">
        <f>VLOOKUP(N19,유니버스!$C$14:$D$2561,2,0)</f>
        <v>KQ</v>
      </c>
      <c r="N19" s="26" t="str">
        <f>'RISE 바이오TOP10액티브'!B25</f>
        <v>한스바이오메드</v>
      </c>
      <c r="O19" s="26">
        <f>VLOOKUP(N19,'RISE 바이오TOP10액티브'!$B$11:$E$1000,4,0)</f>
        <v>2.71</v>
      </c>
      <c r="P19" s="26">
        <f>IFERROR(VLOOKUP(N19,'RISE 바이오TOP10액티브(과거)'!$B$11:$E$1000,4,0),0)</f>
        <v>2.72</v>
      </c>
      <c r="Q19" s="26">
        <f t="shared" si="10"/>
        <v>-1.0000000000000231E-2</v>
      </c>
      <c r="R19" s="27">
        <f t="shared" si="11"/>
        <v>-3.6764705882353921E-3</v>
      </c>
    </row>
    <row r="20" spans="1:18" x14ac:dyDescent="0.4">
      <c r="A20" s="62" t="str">
        <f>VLOOKUP(B20,유니버스!$C$14:$D$2561,2,0)</f>
        <v>KS</v>
      </c>
      <c r="B20" s="26" t="str">
        <f>'TIMEFOLIO K바이오액티브'!B26</f>
        <v>유한양행</v>
      </c>
      <c r="C20" s="26">
        <f>VLOOKUP(B20,'TIMEFOLIO K바이오액티브'!$B$11:$E$1000,4,0)</f>
        <v>1.95</v>
      </c>
      <c r="D20" s="26">
        <f>IFERROR(VLOOKUP(B20,'TIMEFOLIO K바이오액티브(과거)'!$B$11:$E$1000,4,0),0)</f>
        <v>2.16</v>
      </c>
      <c r="E20" s="20">
        <f t="shared" si="6"/>
        <v>-0.21000000000000019</v>
      </c>
      <c r="F20" s="21">
        <f t="shared" si="7"/>
        <v>-9.7222222222222321E-2</v>
      </c>
      <c r="G20" s="62" t="str">
        <f>VLOOKUP(H20,유니버스!$C$14:$D$2561,2,0)</f>
        <v>KQ</v>
      </c>
      <c r="H20" s="26" t="str">
        <f>'KoAct 바이오헬스케어액티브'!B26</f>
        <v>보로노이</v>
      </c>
      <c r="I20" s="26">
        <f>VLOOKUP(H20,'KoAct 바이오헬스케어액티브'!$B$11:$E$1000,4,0)</f>
        <v>2.36</v>
      </c>
      <c r="J20" s="26">
        <f>IFERROR(VLOOKUP(H20,'KoAct 바이오헬스케어액티브(과거)'!$B$11:$E$1000,4,0),0)</f>
        <v>3.01</v>
      </c>
      <c r="K20" s="26">
        <f t="shared" si="8"/>
        <v>-0.64999999999999991</v>
      </c>
      <c r="L20" s="27">
        <f t="shared" si="9"/>
        <v>-0.21594684385382057</v>
      </c>
      <c r="M20" s="62" t="str">
        <f>VLOOKUP(N20,유니버스!$C$14:$D$2561,2,0)</f>
        <v>KQ</v>
      </c>
      <c r="N20" s="26" t="str">
        <f>'RISE 바이오TOP10액티브'!B26</f>
        <v>리브스메드</v>
      </c>
      <c r="O20" s="26">
        <f>VLOOKUP(N20,'RISE 바이오TOP10액티브'!$B$11:$E$1000,4,0)</f>
        <v>2.2799999999999998</v>
      </c>
      <c r="P20" s="26">
        <f>IFERROR(VLOOKUP(N20,'RISE 바이오TOP10액티브(과거)'!$B$11:$E$1000,4,0),0)</f>
        <v>2.52</v>
      </c>
      <c r="Q20" s="26">
        <f t="shared" si="10"/>
        <v>-0.24000000000000021</v>
      </c>
      <c r="R20" s="27">
        <f t="shared" si="11"/>
        <v>-9.5238095238095344E-2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휴젤</v>
      </c>
      <c r="C21" s="26">
        <f>VLOOKUP(B21,'TIMEFOLIO K바이오액티브'!$B$11:$E$1000,4,0)</f>
        <v>1.88</v>
      </c>
      <c r="D21" s="26">
        <f>IFERROR(VLOOKUP(B21,'TIMEFOLIO K바이오액티브(과거)'!$B$11:$E$1000,4,0),0)</f>
        <v>1.72</v>
      </c>
      <c r="E21" s="20">
        <f t="shared" si="6"/>
        <v>0.15999999999999992</v>
      </c>
      <c r="F21" s="21">
        <f t="shared" si="7"/>
        <v>9.3023255813953432E-2</v>
      </c>
      <c r="G21" s="62" t="str">
        <f>VLOOKUP(H21,유니버스!$C$14:$D$2561,2,0)</f>
        <v>KQ</v>
      </c>
      <c r="H21" s="26" t="str">
        <f>'KoAct 바이오헬스케어액티브'!B27</f>
        <v>넥스트바이오메디컬</v>
      </c>
      <c r="I21" s="26">
        <f>VLOOKUP(H21,'KoAct 바이오헬스케어액티브'!$B$11:$E$1000,4,0)</f>
        <v>1.8</v>
      </c>
      <c r="J21" s="26">
        <f>IFERROR(VLOOKUP(H21,'KoAct 바이오헬스케어액티브(과거)'!$B$11:$E$1000,4,0),0)</f>
        <v>1.81</v>
      </c>
      <c r="K21" s="26">
        <f t="shared" si="8"/>
        <v>-1.0000000000000009E-2</v>
      </c>
      <c r="L21" s="27">
        <f t="shared" si="9"/>
        <v>-5.5248618784530246E-3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2.23</v>
      </c>
      <c r="P21" s="26">
        <f>IFERROR(VLOOKUP(N21,'RISE 바이오TOP10액티브(과거)'!$B$11:$E$1000,4,0),0)</f>
        <v>2.41</v>
      </c>
      <c r="Q21" s="26">
        <f t="shared" si="10"/>
        <v>-0.18000000000000016</v>
      </c>
      <c r="R21" s="27">
        <f t="shared" si="11"/>
        <v>-7.4688796680497993E-2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지투지바이오</v>
      </c>
      <c r="C22" s="26">
        <f>VLOOKUP(B22,'TIMEFOLIO K바이오액티브'!$B$11:$E$1000,4,0)</f>
        <v>1.74</v>
      </c>
      <c r="D22" s="26">
        <f>IFERROR(VLOOKUP(B22,'TIMEFOLIO K바이오액티브(과거)'!$B$11:$E$1000,4,0),0)</f>
        <v>1.8</v>
      </c>
      <c r="E22" s="20">
        <f t="shared" si="6"/>
        <v>-6.0000000000000053E-2</v>
      </c>
      <c r="F22" s="21">
        <f t="shared" si="7"/>
        <v>-3.3333333333333326E-2</v>
      </c>
      <c r="G22" s="62" t="str">
        <f>VLOOKUP(H22,유니버스!$C$14:$D$2561,2,0)</f>
        <v>KQ</v>
      </c>
      <c r="H22" s="26" t="str">
        <f>'KoAct 바이오헬스케어액티브'!B28</f>
        <v>앱클론</v>
      </c>
      <c r="I22" s="26">
        <f>VLOOKUP(H22,'KoAct 바이오헬스케어액티브'!$B$11:$E$1000,4,0)</f>
        <v>1.78</v>
      </c>
      <c r="J22" s="26">
        <f>IFERROR(VLOOKUP(H22,'KoAct 바이오헬스케어액티브(과거)'!$B$11:$E$1000,4,0),0)</f>
        <v>1.97</v>
      </c>
      <c r="K22" s="26">
        <f t="shared" si="8"/>
        <v>-0.18999999999999995</v>
      </c>
      <c r="L22" s="27">
        <f t="shared" si="9"/>
        <v>-9.6446700507614169E-2</v>
      </c>
      <c r="M22" s="62" t="str">
        <f>VLOOKUP(N22,유니버스!$C$14:$D$2561,2,0)</f>
        <v>KQ</v>
      </c>
      <c r="N22" s="26" t="str">
        <f>'RISE 바이오TOP10액티브'!B28</f>
        <v>보로노이</v>
      </c>
      <c r="O22" s="26">
        <f>VLOOKUP(N22,'RISE 바이오TOP10액티브'!$B$11:$E$1000,4,0)</f>
        <v>2.08</v>
      </c>
      <c r="P22" s="26">
        <f>IFERROR(VLOOKUP(N22,'RISE 바이오TOP10액티브(과거)'!$B$11:$E$1000,4,0),0)</f>
        <v>2.19</v>
      </c>
      <c r="Q22" s="26">
        <f t="shared" si="10"/>
        <v>-0.10999999999999988</v>
      </c>
      <c r="R22" s="27">
        <f t="shared" si="11"/>
        <v>-5.0228310502283047E-2</v>
      </c>
    </row>
    <row r="23" spans="1:18" x14ac:dyDescent="0.4">
      <c r="A23" s="62" t="str">
        <f>VLOOKUP(B23,유니버스!$C$14:$D$2561,2,0)</f>
        <v>KS</v>
      </c>
      <c r="B23" s="26" t="str">
        <f>'TIMEFOLIO K바이오액티브'!B29</f>
        <v>한올바이오파마</v>
      </c>
      <c r="C23" s="26">
        <f>VLOOKUP(B23,'TIMEFOLIO K바이오액티브'!$B$11:$E$1000,4,0)</f>
        <v>1.69</v>
      </c>
      <c r="D23" s="26">
        <f>IFERROR(VLOOKUP(B23,'TIMEFOLIO K바이오액티브(과거)'!$B$11:$E$1000,4,0),0)</f>
        <v>1.44</v>
      </c>
      <c r="E23" s="20">
        <f t="shared" si="6"/>
        <v>0.25</v>
      </c>
      <c r="F23" s="21">
        <f t="shared" si="7"/>
        <v>0.17361111111111116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1.7</v>
      </c>
      <c r="J23" s="26">
        <f>IFERROR(VLOOKUP(H23,'KoAct 바이오헬스케어액티브(과거)'!$B$11:$E$1000,4,0),0)</f>
        <v>1.44</v>
      </c>
      <c r="K23" s="26">
        <f t="shared" si="8"/>
        <v>0.26</v>
      </c>
      <c r="L23" s="27">
        <f t="shared" si="9"/>
        <v>0.18055555555555558</v>
      </c>
      <c r="M23" s="62" t="str">
        <f>VLOOKUP(N23,유니버스!$C$14:$D$2561,2,0)</f>
        <v>KQ</v>
      </c>
      <c r="N23" s="26" t="str">
        <f>'RISE 바이오TOP10액티브'!B29</f>
        <v>파마리서치</v>
      </c>
      <c r="O23" s="26">
        <f>VLOOKUP(N23,'RISE 바이오TOP10액티브'!$B$11:$E$1000,4,0)</f>
        <v>2.08</v>
      </c>
      <c r="P23" s="26">
        <f>IFERROR(VLOOKUP(N23,'RISE 바이오TOP10액티브(과거)'!$B$11:$E$1000,4,0),0)</f>
        <v>0</v>
      </c>
      <c r="Q23" s="26">
        <f t="shared" si="10"/>
        <v>2.08</v>
      </c>
      <c r="R23" s="27" t="str">
        <f t="shared" si="11"/>
        <v>신규편입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인벤티지랩</v>
      </c>
      <c r="C24" s="26">
        <f>VLOOKUP(B24,'TIMEFOLIO K바이오액티브'!$B$11:$E$1000,4,0)</f>
        <v>1.63</v>
      </c>
      <c r="D24" s="26">
        <f>IFERROR(VLOOKUP(B24,'TIMEFOLIO K바이오액티브(과거)'!$B$11:$E$1000,4,0),0)</f>
        <v>1.66</v>
      </c>
      <c r="E24" s="20">
        <f t="shared" si="6"/>
        <v>-3.0000000000000027E-2</v>
      </c>
      <c r="F24" s="21">
        <f t="shared" si="7"/>
        <v>-1.8072289156626509E-2</v>
      </c>
      <c r="G24" s="62" t="str">
        <f>VLOOKUP(H24,유니버스!$C$14:$D$2561,2,0)</f>
        <v>KQ</v>
      </c>
      <c r="H24" s="26" t="str">
        <f>'KoAct 바이오헬스케어액티브'!B30</f>
        <v>HLB이노베이션</v>
      </c>
      <c r="I24" s="26">
        <f>VLOOKUP(H24,'KoAct 바이오헬스케어액티브'!$B$11:$E$1000,4,0)</f>
        <v>1.42</v>
      </c>
      <c r="J24" s="26">
        <f>IFERROR(VLOOKUP(H24,'KoAct 바이오헬스케어액티브(과거)'!$B$11:$E$1000,4,0),0)</f>
        <v>1.47</v>
      </c>
      <c r="K24" s="26">
        <f t="shared" si="8"/>
        <v>-5.0000000000000044E-2</v>
      </c>
      <c r="L24" s="27">
        <f t="shared" si="9"/>
        <v>-3.4013605442176909E-2</v>
      </c>
      <c r="M24" s="62" t="str">
        <f>VLOOKUP(N24,유니버스!$C$14:$D$2561,2,0)</f>
        <v>KQ</v>
      </c>
      <c r="N24" s="26" t="str">
        <f>'RISE 바이오TOP10액티브'!B30</f>
        <v>펩트론</v>
      </c>
      <c r="O24" s="26">
        <f>VLOOKUP(N24,'RISE 바이오TOP10액티브'!$B$11:$E$1000,4,0)</f>
        <v>1.99</v>
      </c>
      <c r="P24" s="26">
        <f>IFERROR(VLOOKUP(N24,'RISE 바이오TOP10액티브(과거)'!$B$11:$E$1000,4,0),0)</f>
        <v>1.97</v>
      </c>
      <c r="Q24" s="26">
        <f t="shared" si="10"/>
        <v>2.0000000000000018E-2</v>
      </c>
      <c r="R24" s="27">
        <f t="shared" si="11"/>
        <v>1.0152284263959421E-2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보로노이</v>
      </c>
      <c r="C25" s="26">
        <f>VLOOKUP(B25,'TIMEFOLIO K바이오액티브'!$B$11:$E$1000,4,0)</f>
        <v>1.56</v>
      </c>
      <c r="D25" s="26">
        <f>IFERROR(VLOOKUP(B25,'TIMEFOLIO K바이오액티브(과거)'!$B$11:$E$1000,4,0),0)</f>
        <v>1.66</v>
      </c>
      <c r="E25" s="20">
        <f t="shared" si="6"/>
        <v>-9.9999999999999867E-2</v>
      </c>
      <c r="F25" s="21">
        <f t="shared" si="7"/>
        <v>-6.0240963855421659E-2</v>
      </c>
      <c r="G25" s="62" t="str">
        <f>VLOOKUP(H25,유니버스!$C$14:$D$2561,2,0)</f>
        <v>KQ</v>
      </c>
      <c r="H25" s="26" t="str">
        <f>'KoAct 바이오헬스케어액티브'!B31</f>
        <v>큐라클</v>
      </c>
      <c r="I25" s="26">
        <f>VLOOKUP(H25,'KoAct 바이오헬스케어액티브'!$B$11:$E$1000,4,0)</f>
        <v>1.31</v>
      </c>
      <c r="J25" s="26">
        <f>IFERROR(VLOOKUP(H25,'KoAct 바이오헬스케어액티브(과거)'!$B$11:$E$1000,4,0),0)</f>
        <v>1.07</v>
      </c>
      <c r="K25" s="26">
        <f t="shared" si="8"/>
        <v>0.24</v>
      </c>
      <c r="L25" s="27">
        <f t="shared" si="9"/>
        <v>0.22429906542056077</v>
      </c>
      <c r="M25" s="62" t="e">
        <f>VLOOKUP(N25,유니버스!$C$14:$D$2561,2,0)</f>
        <v>#N/A</v>
      </c>
      <c r="N25" s="26" t="str">
        <f>'RISE 바이오TOP10액티브'!B31</f>
        <v>리센스메디컬</v>
      </c>
      <c r="O25" s="26">
        <f>VLOOKUP(N25,'RISE 바이오TOP10액티브'!$B$11:$E$1000,4,0)</f>
        <v>1.68</v>
      </c>
      <c r="P25" s="26">
        <f>IFERROR(VLOOKUP(N25,'RISE 바이오TOP10액티브(과거)'!$B$11:$E$1000,4,0),0)</f>
        <v>2.15</v>
      </c>
      <c r="Q25" s="26">
        <f t="shared" si="10"/>
        <v>-0.47</v>
      </c>
      <c r="R25" s="27">
        <f t="shared" si="11"/>
        <v>-0.21860465116279071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오스코텍</v>
      </c>
      <c r="C26" s="26">
        <f>VLOOKUP(B26,'TIMEFOLIO K바이오액티브'!$B$11:$E$1000,4,0)</f>
        <v>1.52</v>
      </c>
      <c r="D26" s="26">
        <f>IFERROR(VLOOKUP(B26,'TIMEFOLIO K바이오액티브(과거)'!$B$11:$E$1000,4,0),0)</f>
        <v>1.59</v>
      </c>
      <c r="E26" s="20">
        <f t="shared" si="6"/>
        <v>-7.0000000000000062E-2</v>
      </c>
      <c r="F26" s="21">
        <f t="shared" si="7"/>
        <v>-4.4025157232704393E-2</v>
      </c>
      <c r="G26" s="62" t="str">
        <f>VLOOKUP(H26,유니버스!$C$14:$D$2561,2,0)</f>
        <v>KQ</v>
      </c>
      <c r="H26" s="26" t="str">
        <f>'KoAct 바이오헬스케어액티브'!B32</f>
        <v>나이벡</v>
      </c>
      <c r="I26" s="26">
        <f>VLOOKUP(H26,'KoAct 바이오헬스케어액티브'!$B$11:$E$1000,4,0)</f>
        <v>1.05</v>
      </c>
      <c r="J26" s="26">
        <f>IFERROR(VLOOKUP(H26,'KoAct 바이오헬스케어액티브(과거)'!$B$11:$E$1000,4,0),0)</f>
        <v>1.1399999999999999</v>
      </c>
      <c r="K26" s="26">
        <f t="shared" si="8"/>
        <v>-8.9999999999999858E-2</v>
      </c>
      <c r="L26" s="27">
        <f t="shared" si="9"/>
        <v>-7.8947368421052544E-2</v>
      </c>
      <c r="M26" s="62" t="str">
        <f>VLOOKUP(N26,유니버스!$C$14:$D$2561,2,0)</f>
        <v>KQ</v>
      </c>
      <c r="N26" s="26" t="str">
        <f>'RISE 바이오TOP10액티브'!B32</f>
        <v>큐라클</v>
      </c>
      <c r="O26" s="26">
        <f>VLOOKUP(N26,'RISE 바이오TOP10액티브'!$B$11:$E$1000,4,0)</f>
        <v>1.34</v>
      </c>
      <c r="P26" s="26">
        <f>IFERROR(VLOOKUP(N26,'RISE 바이오TOP10액티브(과거)'!$B$11:$E$1000,4,0),0)</f>
        <v>1.6</v>
      </c>
      <c r="Q26" s="26">
        <f t="shared" si="10"/>
        <v>-0.26</v>
      </c>
      <c r="R26" s="27">
        <f t="shared" si="11"/>
        <v>-0.16249999999999998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파마리서치</v>
      </c>
      <c r="C27" s="26">
        <f>VLOOKUP(B27,'TIMEFOLIO K바이오액티브'!$B$11:$E$1000,4,0)</f>
        <v>1.51</v>
      </c>
      <c r="D27" s="26">
        <f>IFERROR(VLOOKUP(B27,'TIMEFOLIO K바이오액티브(과거)'!$B$11:$E$1000,4,0),0)</f>
        <v>1.25</v>
      </c>
      <c r="E27" s="20">
        <f t="shared" si="6"/>
        <v>0.26</v>
      </c>
      <c r="F27" s="21">
        <f t="shared" si="7"/>
        <v>0.20799999999999996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0.7</v>
      </c>
      <c r="J27" s="26">
        <f>IFERROR(VLOOKUP(H27,'KoAct 바이오헬스케어액티브(과거)'!$B$11:$E$1000,4,0),0)</f>
        <v>0.8</v>
      </c>
      <c r="K27" s="26">
        <f t="shared" si="8"/>
        <v>-0.10000000000000009</v>
      </c>
      <c r="L27" s="27">
        <f t="shared" si="9"/>
        <v>-0.12500000000000011</v>
      </c>
      <c r="M27" s="62" t="str">
        <f>VLOOKUP(N27,유니버스!$C$14:$D$2561,2,0)</f>
        <v>KQ</v>
      </c>
      <c r="N27" s="26" t="str">
        <f>'RISE 바이오TOP10액티브'!B33</f>
        <v>지아이이노베이션</v>
      </c>
      <c r="O27" s="26">
        <f>VLOOKUP(N27,'RISE 바이오TOP10액티브'!$B$11:$E$1000,4,0)</f>
        <v>1.21</v>
      </c>
      <c r="P27" s="26">
        <f>IFERROR(VLOOKUP(N27,'RISE 바이오TOP10액티브(과거)'!$B$11:$E$1000,4,0),0)</f>
        <v>1.44</v>
      </c>
      <c r="Q27" s="26">
        <f t="shared" ref="Q27" si="12">O27-P27</f>
        <v>-0.22999999999999998</v>
      </c>
      <c r="R27" s="27">
        <f t="shared" ref="R27" si="13">IFERROR(O27/P27-1,"신규편입")</f>
        <v>-0.15972222222222221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케어젠</v>
      </c>
      <c r="C28" s="26">
        <f>VLOOKUP(B28,'TIMEFOLIO K바이오액티브'!$B$11:$E$1000,4,0)</f>
        <v>1.07</v>
      </c>
      <c r="D28" s="26">
        <f>IFERROR(VLOOKUP(B28,'TIMEFOLIO K바이오액티브(과거)'!$B$11:$E$1000,4,0),0)</f>
        <v>1.03</v>
      </c>
      <c r="E28" s="20">
        <f t="shared" si="6"/>
        <v>4.0000000000000036E-2</v>
      </c>
      <c r="F28" s="21">
        <f t="shared" si="7"/>
        <v>3.8834951456310662E-2</v>
      </c>
      <c r="G28" s="62" t="str">
        <f>VLOOKUP(H28,유니버스!$C$14:$D$2561,2,0)</f>
        <v>KS</v>
      </c>
      <c r="H28" s="26" t="str">
        <f>'KoAct 바이오헬스케어액티브'!B34</f>
        <v>삼성바이오로직스</v>
      </c>
      <c r="I28" s="26">
        <f>VLOOKUP(H28,'KoAct 바이오헬스케어액티브'!$B$11:$E$1000,4,0)</f>
        <v>0.16</v>
      </c>
      <c r="J28" s="26">
        <f>IFERROR(VLOOKUP(H28,'KoAct 바이오헬스케어액티브(과거)'!$B$11:$E$1000,4,0),0)</f>
        <v>0.17</v>
      </c>
      <c r="K28" s="26">
        <f t="shared" si="8"/>
        <v>-1.0000000000000009E-2</v>
      </c>
      <c r="L28" s="27">
        <f t="shared" si="9"/>
        <v>-5.8823529411764719E-2</v>
      </c>
      <c r="M28" s="62" t="e">
        <f>VLOOKUP(N28,유니버스!$C$14:$D$2561,2,0)</f>
        <v>#N/A</v>
      </c>
      <c r="N28" s="26" t="str">
        <f>'RISE 바이오TOP10액티브'!B34</f>
        <v>원화현금</v>
      </c>
      <c r="O28" s="26">
        <f>VLOOKUP(N28,'RISE 바이오TOP10액티브'!$B$11:$E$1000,4,0)</f>
        <v>0.34</v>
      </c>
      <c r="P28" s="26">
        <f>IFERROR(VLOOKUP(N28,'RISE 바이오TOP10액티브(과거)'!$B$11:$E$1000,4,0),0)</f>
        <v>0.64</v>
      </c>
      <c r="Q28" s="26">
        <f t="shared" ref="Q28:Q30" si="14">O28-P28</f>
        <v>-0.3</v>
      </c>
      <c r="R28" s="27">
        <f t="shared" ref="R28:R30" si="15">IFERROR(O28/P28-1,"신규편입")</f>
        <v>-0.46875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리브스메드</v>
      </c>
      <c r="C29" s="26">
        <f>VLOOKUP(B29,'TIMEFOLIO K바이오액티브'!$B$11:$E$1000,4,0)</f>
        <v>1.02</v>
      </c>
      <c r="D29" s="26">
        <f>IFERROR(VLOOKUP(B29,'TIMEFOLIO K바이오액티브(과거)'!$B$11:$E$1000,4,0),0)</f>
        <v>1.1299999999999999</v>
      </c>
      <c r="E29" s="20">
        <f t="shared" si="6"/>
        <v>-0.10999999999999988</v>
      </c>
      <c r="F29" s="21">
        <f t="shared" si="7"/>
        <v>-9.7345132743362761E-2</v>
      </c>
      <c r="G29" s="62" t="e">
        <f>VLOOKUP(H29,유니버스!$C$14:$D$2561,2,0)</f>
        <v>#N/A</v>
      </c>
      <c r="H29" s="26" t="str">
        <f>'KoAct 바이오헬스케어액티브'!B35</f>
        <v>원화현금</v>
      </c>
      <c r="I29" s="26">
        <f>VLOOKUP(H29,'KoAct 바이오헬스케어액티브'!$B$11:$E$1000,4,0)</f>
        <v>0.39</v>
      </c>
      <c r="J29" s="26">
        <f>IFERROR(VLOOKUP(H29,'KoAct 바이오헬스케어액티브(과거)'!$B$11:$E$1000,4,0),0)</f>
        <v>0.38</v>
      </c>
      <c r="K29" s="26">
        <f t="shared" si="8"/>
        <v>1.0000000000000009E-2</v>
      </c>
      <c r="L29" s="27">
        <f t="shared" si="9"/>
        <v>2.6315789473684292E-2</v>
      </c>
      <c r="M29" s="62" t="e">
        <f>VLOOKUP(N29,유니버스!$C$14:$D$2561,2,0)</f>
        <v>#N/A</v>
      </c>
      <c r="N29" s="26">
        <f>'RISE 바이오TOP10액티브'!B35</f>
        <v>0</v>
      </c>
      <c r="O29" s="26" t="e">
        <f>VLOOKUP(N29,'RISE 바이오TOP10액티브'!$B$11:$E$1000,4,0)</f>
        <v>#N/A</v>
      </c>
      <c r="P29" s="26">
        <f>IFERROR(VLOOKUP(N29,'RISE 바이오TOP10액티브(과거)'!$B$11:$E$1000,4,0),0)</f>
        <v>0</v>
      </c>
      <c r="Q29" s="26" t="e">
        <f t="shared" si="14"/>
        <v>#N/A</v>
      </c>
      <c r="R29" s="27" t="str">
        <f t="shared" si="15"/>
        <v>신규편입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펩트론</v>
      </c>
      <c r="C30" s="26">
        <f>VLOOKUP(B30,'TIMEFOLIO K바이오액티브'!$B$11:$E$1000,4,0)</f>
        <v>1</v>
      </c>
      <c r="D30" s="26">
        <f>IFERROR(VLOOKUP(B30,'TIMEFOLIO K바이오액티브(과거)'!$B$11:$E$1000,4,0),0)</f>
        <v>1.45</v>
      </c>
      <c r="E30" s="20">
        <f t="shared" si="6"/>
        <v>-0.44999999999999996</v>
      </c>
      <c r="F30" s="21">
        <f t="shared" si="7"/>
        <v>-0.31034482758620685</v>
      </c>
      <c r="H30" s="26"/>
      <c r="I30" s="26"/>
      <c r="J30" s="26"/>
      <c r="K30" s="26"/>
      <c r="L30" s="27"/>
      <c r="M30" s="62" t="e">
        <f>VLOOKUP(N30,유니버스!$C$14:$D$2561,2,0)</f>
        <v>#N/A</v>
      </c>
      <c r="N30" s="26">
        <f>'RISE 바이오TOP10액티브'!B36</f>
        <v>0</v>
      </c>
      <c r="O30" s="26" t="e">
        <f>VLOOKUP(N30,'RISE 바이오TOP10액티브'!$B$11:$E$1000,4,0)</f>
        <v>#N/A</v>
      </c>
      <c r="P30" s="26">
        <f>IFERROR(VLOOKUP(N30,'RISE 바이오TOP10액티브(과거)'!$B$11:$E$1000,4,0),0)</f>
        <v>0</v>
      </c>
      <c r="Q30" s="26" t="e">
        <f t="shared" si="14"/>
        <v>#N/A</v>
      </c>
      <c r="R30" s="27" t="str">
        <f t="shared" si="15"/>
        <v>신규편입</v>
      </c>
    </row>
    <row r="31" spans="1:18" x14ac:dyDescent="0.4">
      <c r="A31" s="62" t="str">
        <f>VLOOKUP(B31,유니버스!$C$14:$D$2561,2,0)</f>
        <v>KS</v>
      </c>
      <c r="B31" s="26" t="str">
        <f>'TIMEFOLIO K바이오액티브'!B37</f>
        <v>일동제약</v>
      </c>
      <c r="C31" s="26">
        <f>VLOOKUP(B31,'TIMEFOLIO K바이오액티브'!$B$11:$E$1000,4,0)</f>
        <v>0.92</v>
      </c>
      <c r="D31" s="26">
        <f>IFERROR(VLOOKUP(B31,'TIMEFOLIO K바이오액티브(과거)'!$B$11:$E$1000,4,0),0)</f>
        <v>1.04</v>
      </c>
      <c r="E31" s="20">
        <f t="shared" si="6"/>
        <v>-0.12</v>
      </c>
      <c r="F31" s="21">
        <f t="shared" si="7"/>
        <v>-0.11538461538461542</v>
      </c>
      <c r="H31" s="26"/>
      <c r="I31" s="26"/>
      <c r="J31" s="26"/>
      <c r="K31" s="26"/>
      <c r="L31" s="27"/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KQ</v>
      </c>
      <c r="B32" s="26" t="str">
        <f>'TIMEFOLIO K바이오액티브'!B38</f>
        <v>고영</v>
      </c>
      <c r="C32" s="26">
        <f>VLOOKUP(B32,'TIMEFOLIO K바이오액티브'!$B$11:$E$1000,4,0)</f>
        <v>0.9</v>
      </c>
      <c r="D32" s="26">
        <f>IFERROR(VLOOKUP(B32,'TIMEFOLIO K바이오액티브(과거)'!$B$11:$E$1000,4,0),0)</f>
        <v>0.91</v>
      </c>
      <c r="E32" s="20">
        <f t="shared" si="6"/>
        <v>-1.0000000000000009E-2</v>
      </c>
      <c r="F32" s="21">
        <f t="shared" si="7"/>
        <v>-1.098901098901095E-2</v>
      </c>
      <c r="H32" s="26"/>
      <c r="I32" s="26"/>
      <c r="J32" s="26"/>
      <c r="K32" s="26"/>
      <c r="L32" s="27"/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오름테라퓨틱</v>
      </c>
      <c r="C33" s="26">
        <f>VLOOKUP(B33,'TIMEFOLIO K바이오액티브'!$B$11:$E$1000,4,0)</f>
        <v>0.79</v>
      </c>
      <c r="D33" s="26">
        <f>IFERROR(VLOOKUP(B33,'TIMEFOLIO K바이오액티브(과거)'!$B$11:$E$1000,4,0),0)</f>
        <v>1.76</v>
      </c>
      <c r="E33" s="20">
        <f t="shared" si="6"/>
        <v>-0.97</v>
      </c>
      <c r="F33" s="21">
        <f t="shared" si="7"/>
        <v>-0.55113636363636354</v>
      </c>
      <c r="H33" s="26"/>
      <c r="I33" s="26"/>
      <c r="J33" s="26"/>
      <c r="K33" s="26"/>
      <c r="L33" s="27"/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에임드바이오</v>
      </c>
      <c r="C34" s="26">
        <f>VLOOKUP(B34,'TIMEFOLIO K바이오액티브'!$B$11:$E$1000,4,0)</f>
        <v>0.75</v>
      </c>
      <c r="D34" s="26">
        <f>IFERROR(VLOOKUP(B34,'TIMEFOLIO K바이오액티브(과거)'!$B$11:$E$1000,4,0),0)</f>
        <v>0.74</v>
      </c>
      <c r="E34" s="20">
        <f t="shared" si="6"/>
        <v>1.0000000000000009E-2</v>
      </c>
      <c r="F34" s="21">
        <f t="shared" si="7"/>
        <v>1.3513513513513598E-2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네이처셀</v>
      </c>
      <c r="C35" s="26">
        <f>VLOOKUP(B35,'TIMEFOLIO K바이오액티브'!$B$11:$E$1000,4,0)</f>
        <v>0.64</v>
      </c>
      <c r="D35" s="26">
        <f>IFERROR(VLOOKUP(B35,'TIMEFOLIO K바이오액티브(과거)'!$B$11:$E$1000,4,0),0)</f>
        <v>0.82</v>
      </c>
      <c r="E35" s="20">
        <f t="shared" si="6"/>
        <v>-0.17999999999999994</v>
      </c>
      <c r="F35" s="21">
        <f t="shared" si="7"/>
        <v>-0.21951219512195119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HK이노엔</v>
      </c>
      <c r="C36" s="26">
        <f>VLOOKUP(B36,'TIMEFOLIO K바이오액티브'!$B$11:$E$1000,4,0)</f>
        <v>0.57999999999999996</v>
      </c>
      <c r="D36" s="26">
        <f>IFERROR(VLOOKUP(B36,'TIMEFOLIO K바이오액티브(과거)'!$B$11:$E$1000,4,0),0)</f>
        <v>0.57999999999999996</v>
      </c>
      <c r="E36" s="20">
        <f t="shared" si="6"/>
        <v>0</v>
      </c>
      <c r="F36" s="21">
        <f t="shared" si="7"/>
        <v>0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앱클론</v>
      </c>
      <c r="C37" s="26">
        <f>VLOOKUP(B37,'TIMEFOLIO K바이오액티브'!$B$11:$E$1000,4,0)</f>
        <v>0.57999999999999996</v>
      </c>
      <c r="D37" s="26">
        <f>IFERROR(VLOOKUP(B37,'TIMEFOLIO K바이오액티브(과거)'!$B$11:$E$1000,4,0),0)</f>
        <v>0.63</v>
      </c>
      <c r="E37" s="20">
        <f t="shared" si="6"/>
        <v>-5.0000000000000044E-2</v>
      </c>
      <c r="F37" s="21">
        <f t="shared" si="7"/>
        <v>-7.9365079365079416E-2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0.49</v>
      </c>
      <c r="D38" s="26">
        <f>IFERROR(VLOOKUP(B38,'TIMEFOLIO K바이오액티브(과거)'!$B$11:$E$1000,4,0),0)</f>
        <v>0.53</v>
      </c>
      <c r="E38" s="20">
        <f t="shared" si="6"/>
        <v>-4.0000000000000036E-2</v>
      </c>
      <c r="F38" s="21">
        <f t="shared" si="7"/>
        <v>-7.5471698113207641E-2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지아이이노베이션</v>
      </c>
      <c r="C39" s="26">
        <f>VLOOKUP(B39,'TIMEFOLIO K바이오액티브'!$B$11:$E$1000,4,0)</f>
        <v>0.27</v>
      </c>
      <c r="D39" s="26">
        <f>IFERROR(VLOOKUP(B39,'TIMEFOLIO K바이오액티브(과거)'!$B$11:$E$1000,4,0),0)</f>
        <v>0.33</v>
      </c>
      <c r="E39" s="20">
        <f t="shared" ref="E39:E40" si="16">C39-D39</f>
        <v>-0.06</v>
      </c>
      <c r="F39" s="21">
        <f t="shared" ref="F39:F40" si="17">IFERROR(C39/D39-1,"신규편입")</f>
        <v>-0.18181818181818177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e">
        <f>VLOOKUP(B40,유니버스!$C$14:$D$2561,2,0)</f>
        <v>#N/A</v>
      </c>
      <c r="B40" s="26" t="str">
        <f>'TIMEFOLIO K바이오액티브'!B46</f>
        <v>원화현금</v>
      </c>
      <c r="C40" s="26">
        <f>VLOOKUP(B40,'TIMEFOLIO K바이오액티브'!$B$11:$E$1000,4,0)</f>
        <v>0.96</v>
      </c>
      <c r="D40" s="26">
        <f>IFERROR(VLOOKUP(B40,'TIMEFOLIO K바이오액티브(과거)'!$B$11:$E$1000,4,0),0)</f>
        <v>1.07</v>
      </c>
      <c r="E40" s="20">
        <f t="shared" si="16"/>
        <v>-0.1100000000000001</v>
      </c>
      <c r="F40" s="21">
        <f t="shared" si="17"/>
        <v>-0.10280373831775713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B41" s="26"/>
      <c r="C41" s="26"/>
      <c r="D41" s="26"/>
      <c r="E41" s="20"/>
      <c r="F41" s="21"/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5221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772</v>
      </c>
      <c r="C3" s="40"/>
      <c r="D3" s="40"/>
    </row>
    <row r="4" spans="1:11" x14ac:dyDescent="0.4">
      <c r="B4" s="41" t="s">
        <v>773</v>
      </c>
      <c r="C4" s="41" t="s">
        <v>774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775</v>
      </c>
      <c r="C5" s="43" t="s">
        <v>776</v>
      </c>
      <c r="D5" s="43" t="s">
        <v>777</v>
      </c>
      <c r="F5" s="44"/>
      <c r="G5" s="44"/>
      <c r="H5" s="44"/>
    </row>
    <row r="6" spans="1:11" ht="12" thickBot="1" x14ac:dyDescent="0.45">
      <c r="B6" s="45" t="s">
        <v>778</v>
      </c>
      <c r="C6" s="46">
        <v>20260227</v>
      </c>
      <c r="D6" s="45" t="s">
        <v>779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780</v>
      </c>
      <c r="D9" s="48" t="s">
        <v>781</v>
      </c>
      <c r="E9" s="48" t="s">
        <v>782</v>
      </c>
      <c r="F9" s="48" t="s">
        <v>783</v>
      </c>
      <c r="G9" s="48" t="s">
        <v>784</v>
      </c>
      <c r="H9" s="45"/>
    </row>
    <row r="10" spans="1:11" ht="12" thickBot="1" x14ac:dyDescent="0.45">
      <c r="B10" s="79"/>
      <c r="C10" s="79" t="s">
        <v>785</v>
      </c>
      <c r="D10" s="79"/>
      <c r="E10" s="46">
        <f>C6</f>
        <v>20260227</v>
      </c>
      <c r="F10" s="46">
        <f>C6</f>
        <v>20260227</v>
      </c>
      <c r="G10" s="79"/>
      <c r="H10" s="45"/>
    </row>
    <row r="11" spans="1:11" ht="12" thickBot="1" x14ac:dyDescent="0.45">
      <c r="A11" s="49"/>
      <c r="B11" s="79"/>
      <c r="C11" s="79" t="s">
        <v>786</v>
      </c>
      <c r="D11" s="79" t="s">
        <v>787</v>
      </c>
      <c r="E11" s="79" t="s">
        <v>788</v>
      </c>
      <c r="F11" s="79" t="s">
        <v>789</v>
      </c>
      <c r="G11" s="79" t="s">
        <v>790</v>
      </c>
      <c r="H11" s="45"/>
    </row>
    <row r="12" spans="1:11" x14ac:dyDescent="0.4">
      <c r="B12" s="80"/>
      <c r="C12" s="80" t="s">
        <v>791</v>
      </c>
      <c r="D12" s="79"/>
      <c r="E12" s="79"/>
      <c r="F12" s="79"/>
      <c r="G12" s="50">
        <f>C6</f>
        <v>20260227</v>
      </c>
      <c r="H12" s="45"/>
    </row>
    <row r="13" spans="1:11" x14ac:dyDescent="0.4">
      <c r="B13" s="51" t="s">
        <v>792</v>
      </c>
      <c r="C13" s="52" t="s">
        <v>793</v>
      </c>
      <c r="D13" s="52" t="s">
        <v>794</v>
      </c>
      <c r="E13" s="52" t="s">
        <v>795</v>
      </c>
      <c r="F13" s="52" t="s">
        <v>796</v>
      </c>
      <c r="G13" s="52" t="s">
        <v>797</v>
      </c>
      <c r="H13" s="53"/>
    </row>
    <row r="14" spans="1:11" x14ac:dyDescent="0.4">
      <c r="A14" s="49"/>
      <c r="B14" s="54" t="s">
        <v>798</v>
      </c>
      <c r="C14" s="37" t="s">
        <v>799</v>
      </c>
      <c r="D14" s="55" t="s">
        <v>800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801</v>
      </c>
      <c r="C15" s="37" t="s">
        <v>802</v>
      </c>
      <c r="D15" s="55" t="s">
        <v>800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803</v>
      </c>
      <c r="C16" s="37" t="s">
        <v>804</v>
      </c>
      <c r="D16" s="55" t="s">
        <v>800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805</v>
      </c>
      <c r="C17" s="37" t="s">
        <v>806</v>
      </c>
      <c r="D17" s="55" t="s">
        <v>800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807</v>
      </c>
      <c r="C18" s="37" t="s">
        <v>808</v>
      </c>
      <c r="D18" s="55" t="s">
        <v>800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746</v>
      </c>
      <c r="C19" s="37" t="s">
        <v>747</v>
      </c>
      <c r="D19" s="55" t="s">
        <v>800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800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809</v>
      </c>
      <c r="C21" s="37" t="s">
        <v>810</v>
      </c>
      <c r="D21" s="55" t="s">
        <v>800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800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811</v>
      </c>
      <c r="C23" s="37" t="s">
        <v>812</v>
      </c>
      <c r="D23" s="55" t="s">
        <v>800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813</v>
      </c>
      <c r="C24" s="37" t="s">
        <v>814</v>
      </c>
      <c r="D24" s="55" t="s">
        <v>815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816</v>
      </c>
      <c r="C25" s="37" t="s">
        <v>817</v>
      </c>
      <c r="D25" s="55" t="s">
        <v>800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818</v>
      </c>
      <c r="C26" s="37" t="s">
        <v>819</v>
      </c>
      <c r="D26" s="55" t="s">
        <v>800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820</v>
      </c>
      <c r="C27" s="37" t="s">
        <v>821</v>
      </c>
      <c r="D27" s="55" t="s">
        <v>800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822</v>
      </c>
      <c r="C28" s="37" t="s">
        <v>823</v>
      </c>
      <c r="D28" s="55" t="s">
        <v>800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815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800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824</v>
      </c>
      <c r="C31" s="37" t="s">
        <v>825</v>
      </c>
      <c r="D31" s="55" t="s">
        <v>800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826</v>
      </c>
      <c r="C32" s="37" t="s">
        <v>827</v>
      </c>
      <c r="D32" s="55" t="s">
        <v>800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828</v>
      </c>
      <c r="C33" s="37" t="s">
        <v>829</v>
      </c>
      <c r="D33" s="55" t="s">
        <v>800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830</v>
      </c>
      <c r="C34" s="37" t="s">
        <v>5196</v>
      </c>
      <c r="D34" s="55" t="s">
        <v>800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831</v>
      </c>
      <c r="C35" s="37" t="s">
        <v>832</v>
      </c>
      <c r="D35" s="55" t="s">
        <v>800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833</v>
      </c>
      <c r="C36" s="37" t="s">
        <v>834</v>
      </c>
      <c r="D36" s="55" t="s">
        <v>800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835</v>
      </c>
      <c r="C37" s="37" t="s">
        <v>836</v>
      </c>
      <c r="D37" s="55" t="s">
        <v>815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837</v>
      </c>
      <c r="C38" s="37" t="s">
        <v>838</v>
      </c>
      <c r="D38" s="55" t="s">
        <v>800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839</v>
      </c>
      <c r="C39" s="37" t="s">
        <v>840</v>
      </c>
      <c r="D39" s="55" t="s">
        <v>800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841</v>
      </c>
      <c r="C40" s="37" t="s">
        <v>842</v>
      </c>
      <c r="D40" s="55" t="s">
        <v>815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843</v>
      </c>
      <c r="C41" s="37" t="s">
        <v>844</v>
      </c>
      <c r="D41" s="55" t="s">
        <v>800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845</v>
      </c>
      <c r="C42" s="37" t="s">
        <v>846</v>
      </c>
      <c r="D42" s="55" t="s">
        <v>800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847</v>
      </c>
      <c r="C43" s="37" t="s">
        <v>848</v>
      </c>
      <c r="D43" s="55" t="s">
        <v>800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849</v>
      </c>
      <c r="C44" s="37" t="s">
        <v>850</v>
      </c>
      <c r="D44" s="55" t="s">
        <v>800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851</v>
      </c>
      <c r="C45" s="37" t="s">
        <v>852</v>
      </c>
      <c r="D45" s="55" t="s">
        <v>800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853</v>
      </c>
      <c r="C46" s="37" t="s">
        <v>854</v>
      </c>
      <c r="D46" s="55" t="s">
        <v>800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800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855</v>
      </c>
      <c r="C48" s="37" t="s">
        <v>856</v>
      </c>
      <c r="D48" s="55" t="s">
        <v>800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857</v>
      </c>
      <c r="C49" s="37" t="s">
        <v>858</v>
      </c>
      <c r="D49" s="55" t="s">
        <v>800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859</v>
      </c>
      <c r="C50" s="37" t="s">
        <v>860</v>
      </c>
      <c r="D50" s="55" t="s">
        <v>800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800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861</v>
      </c>
      <c r="C52" s="37" t="s">
        <v>862</v>
      </c>
      <c r="D52" s="55" t="s">
        <v>800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863</v>
      </c>
      <c r="C53" s="37" t="s">
        <v>864</v>
      </c>
      <c r="D53" s="55" t="s">
        <v>815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800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865</v>
      </c>
      <c r="C55" s="37" t="s">
        <v>866</v>
      </c>
      <c r="D55" s="55" t="s">
        <v>800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867</v>
      </c>
      <c r="C56" s="37" t="s">
        <v>868</v>
      </c>
      <c r="D56" s="55" t="s">
        <v>800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800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869</v>
      </c>
      <c r="C58" s="37" t="s">
        <v>870</v>
      </c>
      <c r="D58" s="55" t="s">
        <v>800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871</v>
      </c>
      <c r="C59" s="37" t="s">
        <v>872</v>
      </c>
      <c r="D59" s="55" t="s">
        <v>815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873</v>
      </c>
      <c r="C60" s="37" t="s">
        <v>874</v>
      </c>
      <c r="D60" s="55" t="s">
        <v>800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875</v>
      </c>
      <c r="C61" s="37" t="s">
        <v>876</v>
      </c>
      <c r="D61" s="55" t="s">
        <v>800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877</v>
      </c>
      <c r="C62" s="37" t="s">
        <v>878</v>
      </c>
      <c r="D62" s="55" t="s">
        <v>800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800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686</v>
      </c>
      <c r="C64" s="37" t="s">
        <v>687</v>
      </c>
      <c r="D64" s="55" t="s">
        <v>815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879</v>
      </c>
      <c r="C65" s="37" t="s">
        <v>880</v>
      </c>
      <c r="D65" s="55" t="s">
        <v>815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881</v>
      </c>
      <c r="C66" s="37" t="s">
        <v>882</v>
      </c>
      <c r="D66" s="55" t="s">
        <v>800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800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722</v>
      </c>
      <c r="C68" s="37" t="s">
        <v>723</v>
      </c>
      <c r="D68" s="55" t="s">
        <v>800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883</v>
      </c>
      <c r="C69" s="37" t="s">
        <v>884</v>
      </c>
      <c r="D69" s="55" t="s">
        <v>800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885</v>
      </c>
      <c r="C70" s="37" t="s">
        <v>886</v>
      </c>
      <c r="D70" s="55" t="s">
        <v>800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887</v>
      </c>
      <c r="C71" s="37" t="s">
        <v>888</v>
      </c>
      <c r="D71" s="55" t="s">
        <v>815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889</v>
      </c>
      <c r="C72" s="37" t="s">
        <v>890</v>
      </c>
      <c r="D72" s="55" t="s">
        <v>800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891</v>
      </c>
      <c r="C73" s="37" t="s">
        <v>892</v>
      </c>
      <c r="D73" s="55" t="s">
        <v>800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893</v>
      </c>
      <c r="C74" s="37" t="s">
        <v>894</v>
      </c>
      <c r="D74" s="55" t="s">
        <v>800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895</v>
      </c>
      <c r="C75" s="37" t="s">
        <v>896</v>
      </c>
      <c r="D75" s="55" t="s">
        <v>800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897</v>
      </c>
      <c r="C76" s="37" t="s">
        <v>898</v>
      </c>
      <c r="D76" s="55" t="s">
        <v>800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899</v>
      </c>
      <c r="C77" s="37" t="s">
        <v>900</v>
      </c>
      <c r="D77" s="55" t="s">
        <v>800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901</v>
      </c>
      <c r="C78" s="37" t="s">
        <v>902</v>
      </c>
      <c r="D78" s="55" t="s">
        <v>800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903</v>
      </c>
      <c r="C79" s="37" t="s">
        <v>904</v>
      </c>
      <c r="D79" s="55" t="s">
        <v>800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905</v>
      </c>
      <c r="C80" s="37" t="s">
        <v>906</v>
      </c>
      <c r="D80" s="55" t="s">
        <v>800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907</v>
      </c>
      <c r="C81" s="37" t="s">
        <v>908</v>
      </c>
      <c r="D81" s="55" t="s">
        <v>800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909</v>
      </c>
      <c r="C82" s="37" t="s">
        <v>910</v>
      </c>
      <c r="D82" s="55" t="s">
        <v>800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911</v>
      </c>
      <c r="C83" s="37" t="s">
        <v>912</v>
      </c>
      <c r="D83" s="55" t="s">
        <v>800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913</v>
      </c>
      <c r="C84" s="37" t="s">
        <v>914</v>
      </c>
      <c r="D84" s="55" t="s">
        <v>800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915</v>
      </c>
      <c r="C85" s="37" t="s">
        <v>916</v>
      </c>
      <c r="D85" s="55" t="s">
        <v>815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917</v>
      </c>
      <c r="C86" s="37" t="s">
        <v>918</v>
      </c>
      <c r="D86" s="55" t="s">
        <v>800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588</v>
      </c>
      <c r="C87" s="37" t="s">
        <v>589</v>
      </c>
      <c r="D87" s="55" t="s">
        <v>800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800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919</v>
      </c>
      <c r="C89" s="37" t="s">
        <v>920</v>
      </c>
      <c r="D89" s="55" t="s">
        <v>800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921</v>
      </c>
      <c r="C90" s="37" t="s">
        <v>922</v>
      </c>
      <c r="D90" s="55" t="s">
        <v>800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923</v>
      </c>
      <c r="C91" s="37" t="s">
        <v>924</v>
      </c>
      <c r="D91" s="55" t="s">
        <v>800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925</v>
      </c>
      <c r="C92" s="37" t="s">
        <v>926</v>
      </c>
      <c r="D92" s="55" t="s">
        <v>800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927</v>
      </c>
      <c r="C93" s="37" t="s">
        <v>928</v>
      </c>
      <c r="D93" s="55" t="s">
        <v>800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929</v>
      </c>
      <c r="C94" s="37" t="s">
        <v>930</v>
      </c>
      <c r="D94" s="55" t="s">
        <v>800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931</v>
      </c>
      <c r="C95" s="37" t="s">
        <v>932</v>
      </c>
      <c r="D95" s="55" t="s">
        <v>800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933</v>
      </c>
      <c r="C96" s="37" t="s">
        <v>934</v>
      </c>
      <c r="D96" s="55" t="s">
        <v>815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935</v>
      </c>
      <c r="C97" s="37" t="s">
        <v>936</v>
      </c>
      <c r="D97" s="55" t="s">
        <v>800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937</v>
      </c>
      <c r="C98" s="37" t="s">
        <v>938</v>
      </c>
      <c r="D98" s="55" t="s">
        <v>800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939</v>
      </c>
      <c r="C99" s="37" t="s">
        <v>940</v>
      </c>
      <c r="D99" s="55" t="s">
        <v>800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941</v>
      </c>
      <c r="C100" s="37" t="s">
        <v>942</v>
      </c>
      <c r="D100" s="55" t="s">
        <v>815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943</v>
      </c>
      <c r="C101" s="37" t="s">
        <v>944</v>
      </c>
      <c r="D101" s="55" t="s">
        <v>815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945</v>
      </c>
      <c r="C102" s="37" t="s">
        <v>946</v>
      </c>
      <c r="D102" s="55" t="s">
        <v>815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947</v>
      </c>
      <c r="C103" s="37" t="s">
        <v>948</v>
      </c>
      <c r="D103" s="55" t="s">
        <v>800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949</v>
      </c>
      <c r="C104" s="37" t="s">
        <v>950</v>
      </c>
      <c r="D104" s="55" t="s">
        <v>800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951</v>
      </c>
      <c r="C105" s="37" t="s">
        <v>952</v>
      </c>
      <c r="D105" s="55" t="s">
        <v>800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953</v>
      </c>
      <c r="C106" s="37" t="s">
        <v>954</v>
      </c>
      <c r="D106" s="55" t="s">
        <v>800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955</v>
      </c>
      <c r="C107" s="37" t="s">
        <v>956</v>
      </c>
      <c r="D107" s="55" t="s">
        <v>800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957</v>
      </c>
      <c r="C108" s="37" t="s">
        <v>958</v>
      </c>
      <c r="D108" s="55" t="s">
        <v>800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959</v>
      </c>
      <c r="C109" s="37" t="s">
        <v>960</v>
      </c>
      <c r="D109" s="55" t="s">
        <v>800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961</v>
      </c>
      <c r="C110" s="37" t="s">
        <v>962</v>
      </c>
      <c r="D110" s="55" t="s">
        <v>800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963</v>
      </c>
      <c r="C111" s="37" t="s">
        <v>964</v>
      </c>
      <c r="D111" s="55" t="s">
        <v>800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638</v>
      </c>
      <c r="C112" s="37" t="s">
        <v>639</v>
      </c>
      <c r="D112" s="55" t="s">
        <v>800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965</v>
      </c>
      <c r="C113" s="37" t="s">
        <v>966</v>
      </c>
      <c r="D113" s="55" t="s">
        <v>815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967</v>
      </c>
      <c r="C114" s="37" t="s">
        <v>968</v>
      </c>
      <c r="D114" s="55" t="s">
        <v>800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969</v>
      </c>
      <c r="C115" s="37" t="s">
        <v>970</v>
      </c>
      <c r="D115" s="55" t="s">
        <v>815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971</v>
      </c>
      <c r="C116" s="37" t="s">
        <v>972</v>
      </c>
      <c r="D116" s="55" t="s">
        <v>800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973</v>
      </c>
      <c r="C117" s="37" t="s">
        <v>974</v>
      </c>
      <c r="D117" s="55" t="s">
        <v>800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975</v>
      </c>
      <c r="C118" s="37" t="s">
        <v>976</v>
      </c>
      <c r="D118" s="55" t="s">
        <v>800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977</v>
      </c>
      <c r="C119" s="37" t="s">
        <v>978</v>
      </c>
      <c r="D119" s="55" t="s">
        <v>800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979</v>
      </c>
      <c r="C120" s="37" t="s">
        <v>980</v>
      </c>
      <c r="D120" s="55" t="s">
        <v>800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981</v>
      </c>
      <c r="C121" s="37" t="s">
        <v>982</v>
      </c>
      <c r="D121" s="55" t="s">
        <v>800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983</v>
      </c>
      <c r="C122" s="37" t="s">
        <v>984</v>
      </c>
      <c r="D122" s="55" t="s">
        <v>800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985</v>
      </c>
      <c r="C123" s="37" t="s">
        <v>5174</v>
      </c>
      <c r="D123" s="55" t="s">
        <v>800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986</v>
      </c>
      <c r="C124" s="37" t="s">
        <v>987</v>
      </c>
      <c r="D124" s="55" t="s">
        <v>800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988</v>
      </c>
      <c r="C125" s="37" t="s">
        <v>989</v>
      </c>
      <c r="D125" s="55" t="s">
        <v>800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990</v>
      </c>
      <c r="C126" s="37" t="s">
        <v>991</v>
      </c>
      <c r="D126" s="55" t="s">
        <v>800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992</v>
      </c>
      <c r="C127" s="37" t="s">
        <v>993</v>
      </c>
      <c r="D127" s="55" t="s">
        <v>815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994</v>
      </c>
      <c r="C128" s="37" t="s">
        <v>995</v>
      </c>
      <c r="D128" s="55" t="s">
        <v>800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996</v>
      </c>
      <c r="C129" s="37" t="s">
        <v>997</v>
      </c>
      <c r="D129" s="55" t="s">
        <v>815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998</v>
      </c>
      <c r="C130" s="37" t="s">
        <v>999</v>
      </c>
      <c r="D130" s="55" t="s">
        <v>800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1000</v>
      </c>
      <c r="C131" s="37" t="s">
        <v>1001</v>
      </c>
      <c r="D131" s="55" t="s">
        <v>800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1002</v>
      </c>
      <c r="C132" s="37" t="s">
        <v>1003</v>
      </c>
      <c r="D132" s="55" t="s">
        <v>800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1004</v>
      </c>
      <c r="C133" s="37" t="s">
        <v>1005</v>
      </c>
      <c r="D133" s="55" t="s">
        <v>800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800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1006</v>
      </c>
      <c r="C135" s="37" t="s">
        <v>1007</v>
      </c>
      <c r="D135" s="55" t="s">
        <v>800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1008</v>
      </c>
      <c r="C136" s="37" t="s">
        <v>1009</v>
      </c>
      <c r="D136" s="55" t="s">
        <v>800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1010</v>
      </c>
      <c r="C137" s="37" t="s">
        <v>1011</v>
      </c>
      <c r="D137" s="55" t="s">
        <v>800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1012</v>
      </c>
      <c r="C138" s="37" t="s">
        <v>1013</v>
      </c>
      <c r="D138" s="55" t="s">
        <v>800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1014</v>
      </c>
      <c r="C139" s="37" t="s">
        <v>1015</v>
      </c>
      <c r="D139" s="55" t="s">
        <v>800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1016</v>
      </c>
      <c r="C140" s="37" t="s">
        <v>1017</v>
      </c>
      <c r="D140" s="55" t="s">
        <v>800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1018</v>
      </c>
      <c r="C141" s="37" t="s">
        <v>1019</v>
      </c>
      <c r="D141" s="55" t="s">
        <v>800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1020</v>
      </c>
      <c r="C142" s="37" t="s">
        <v>1021</v>
      </c>
      <c r="D142" s="55" t="s">
        <v>800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1022</v>
      </c>
      <c r="C143" s="37" t="s">
        <v>1023</v>
      </c>
      <c r="D143" s="55" t="s">
        <v>815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1024</v>
      </c>
      <c r="C144" s="37" t="s">
        <v>1025</v>
      </c>
      <c r="D144" s="55" t="s">
        <v>800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1026</v>
      </c>
      <c r="C145" s="37" t="s">
        <v>1027</v>
      </c>
      <c r="D145" s="55" t="s">
        <v>800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1028</v>
      </c>
      <c r="C146" s="37" t="s">
        <v>1029</v>
      </c>
      <c r="D146" s="55" t="s">
        <v>800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1030</v>
      </c>
      <c r="C147" s="37" t="s">
        <v>1031</v>
      </c>
      <c r="D147" s="55" t="s">
        <v>800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1032</v>
      </c>
      <c r="C148" s="37" t="s">
        <v>1033</v>
      </c>
      <c r="D148" s="55" t="s">
        <v>800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1034</v>
      </c>
      <c r="C149" s="37" t="s">
        <v>1035</v>
      </c>
      <c r="D149" s="55" t="s">
        <v>800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1036</v>
      </c>
      <c r="C150" s="37" t="s">
        <v>1037</v>
      </c>
      <c r="D150" s="55" t="s">
        <v>800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1038</v>
      </c>
      <c r="C151" s="37" t="s">
        <v>1039</v>
      </c>
      <c r="D151" s="55" t="s">
        <v>815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1040</v>
      </c>
      <c r="C152" s="37" t="s">
        <v>1041</v>
      </c>
      <c r="D152" s="55" t="s">
        <v>800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1042</v>
      </c>
      <c r="C153" s="37" t="s">
        <v>1043</v>
      </c>
      <c r="D153" s="55" t="s">
        <v>800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1044</v>
      </c>
      <c r="C154" s="37" t="s">
        <v>1045</v>
      </c>
      <c r="D154" s="55" t="s">
        <v>800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1046</v>
      </c>
      <c r="C155" s="37" t="s">
        <v>1047</v>
      </c>
      <c r="D155" s="55" t="s">
        <v>800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1048</v>
      </c>
      <c r="C156" s="37" t="s">
        <v>5164</v>
      </c>
      <c r="D156" s="55" t="s">
        <v>800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1049</v>
      </c>
      <c r="C157" s="37" t="s">
        <v>1050</v>
      </c>
      <c r="D157" s="55" t="s">
        <v>800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1051</v>
      </c>
      <c r="C158" s="37" t="s">
        <v>1052</v>
      </c>
      <c r="D158" s="55" t="s">
        <v>800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1053</v>
      </c>
      <c r="C159" s="37" t="s">
        <v>1054</v>
      </c>
      <c r="D159" s="55" t="s">
        <v>800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1055</v>
      </c>
      <c r="C160" s="37" t="s">
        <v>1056</v>
      </c>
      <c r="D160" s="55" t="s">
        <v>800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1057</v>
      </c>
      <c r="C161" s="37" t="s">
        <v>1058</v>
      </c>
      <c r="D161" s="55" t="s">
        <v>800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1059</v>
      </c>
      <c r="C162" s="37" t="s">
        <v>1060</v>
      </c>
      <c r="D162" s="55" t="s">
        <v>800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800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1061</v>
      </c>
      <c r="C164" s="37" t="s">
        <v>1062</v>
      </c>
      <c r="D164" s="55" t="s">
        <v>800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1063</v>
      </c>
      <c r="C165" s="37" t="s">
        <v>1064</v>
      </c>
      <c r="D165" s="55" t="s">
        <v>800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1065</v>
      </c>
      <c r="C166" s="37" t="s">
        <v>1066</v>
      </c>
      <c r="D166" s="55" t="s">
        <v>800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1067</v>
      </c>
      <c r="C167" s="37" t="s">
        <v>1068</v>
      </c>
      <c r="D167" s="55" t="s">
        <v>800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1069</v>
      </c>
      <c r="C168" s="37" t="s">
        <v>1070</v>
      </c>
      <c r="D168" s="55" t="s">
        <v>815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1071</v>
      </c>
      <c r="C169" s="37" t="s">
        <v>1072</v>
      </c>
      <c r="D169" s="55" t="s">
        <v>800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546</v>
      </c>
      <c r="C170" s="37" t="s">
        <v>547</v>
      </c>
      <c r="D170" s="55" t="s">
        <v>800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1073</v>
      </c>
      <c r="C171" s="37" t="s">
        <v>1074</v>
      </c>
      <c r="D171" s="55" t="s">
        <v>800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1075</v>
      </c>
      <c r="C172" s="37" t="s">
        <v>1076</v>
      </c>
      <c r="D172" s="55" t="s">
        <v>800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800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800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1077</v>
      </c>
      <c r="C175" s="37" t="s">
        <v>1078</v>
      </c>
      <c r="D175" s="55" t="s">
        <v>800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1079</v>
      </c>
      <c r="C176" s="37" t="s">
        <v>1080</v>
      </c>
      <c r="D176" s="55" t="s">
        <v>800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1081</v>
      </c>
      <c r="C177" s="37" t="s">
        <v>1082</v>
      </c>
      <c r="D177" s="55" t="s">
        <v>815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1083</v>
      </c>
      <c r="C178" s="37" t="s">
        <v>1084</v>
      </c>
      <c r="D178" s="55" t="s">
        <v>800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700</v>
      </c>
      <c r="C179" s="37" t="s">
        <v>701</v>
      </c>
      <c r="D179" s="55" t="s">
        <v>815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1085</v>
      </c>
      <c r="C180" s="37" t="s">
        <v>1086</v>
      </c>
      <c r="D180" s="55" t="s">
        <v>800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1087</v>
      </c>
      <c r="C181" s="37" t="s">
        <v>1088</v>
      </c>
      <c r="D181" s="55" t="s">
        <v>800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1089</v>
      </c>
      <c r="C182" s="37" t="s">
        <v>1090</v>
      </c>
      <c r="D182" s="55" t="s">
        <v>800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608</v>
      </c>
      <c r="C183" s="37" t="s">
        <v>609</v>
      </c>
      <c r="D183" s="55" t="s">
        <v>800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1091</v>
      </c>
      <c r="C184" s="37" t="s">
        <v>1092</v>
      </c>
      <c r="D184" s="55" t="s">
        <v>800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800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464</v>
      </c>
      <c r="C186" s="37" t="s">
        <v>465</v>
      </c>
      <c r="D186" s="55" t="s">
        <v>800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1093</v>
      </c>
      <c r="C187" s="37" t="s">
        <v>1094</v>
      </c>
      <c r="D187" s="55" t="s">
        <v>800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1095</v>
      </c>
      <c r="C188" s="37" t="s">
        <v>1096</v>
      </c>
      <c r="D188" s="55" t="s">
        <v>800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1097</v>
      </c>
      <c r="C189" s="37" t="s">
        <v>1098</v>
      </c>
      <c r="D189" s="55" t="s">
        <v>800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1099</v>
      </c>
      <c r="C190" s="37" t="s">
        <v>1100</v>
      </c>
      <c r="D190" s="55" t="s">
        <v>800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1101</v>
      </c>
      <c r="C191" s="37" t="s">
        <v>1102</v>
      </c>
      <c r="D191" s="55" t="s">
        <v>800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1103</v>
      </c>
      <c r="C192" s="37" t="s">
        <v>1104</v>
      </c>
      <c r="D192" s="55" t="s">
        <v>800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800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1105</v>
      </c>
      <c r="C194" s="37" t="s">
        <v>1106</v>
      </c>
      <c r="D194" s="55" t="s">
        <v>800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1107</v>
      </c>
      <c r="C195" s="37" t="s">
        <v>1108</v>
      </c>
      <c r="D195" s="55" t="s">
        <v>800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1109</v>
      </c>
      <c r="C196" s="37" t="s">
        <v>1110</v>
      </c>
      <c r="D196" s="55" t="s">
        <v>800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1111</v>
      </c>
      <c r="C197" s="37" t="s">
        <v>1112</v>
      </c>
      <c r="D197" s="55" t="s">
        <v>800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1113</v>
      </c>
      <c r="C198" s="37" t="s">
        <v>1114</v>
      </c>
      <c r="D198" s="55" t="s">
        <v>815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1115</v>
      </c>
      <c r="C199" s="37" t="s">
        <v>1116</v>
      </c>
      <c r="D199" s="55" t="s">
        <v>800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1117</v>
      </c>
      <c r="C200" s="37" t="s">
        <v>1118</v>
      </c>
      <c r="D200" s="55" t="s">
        <v>800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1119</v>
      </c>
      <c r="C201" s="37" t="s">
        <v>1120</v>
      </c>
      <c r="D201" s="55" t="s">
        <v>800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1121</v>
      </c>
      <c r="C202" s="37" t="s">
        <v>1122</v>
      </c>
      <c r="D202" s="55" t="s">
        <v>800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800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1123</v>
      </c>
      <c r="C204" s="37" t="s">
        <v>1124</v>
      </c>
      <c r="D204" s="55" t="s">
        <v>800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1125</v>
      </c>
      <c r="C205" s="37" t="s">
        <v>1126</v>
      </c>
      <c r="D205" s="55" t="s">
        <v>800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1127</v>
      </c>
      <c r="C206" s="37" t="s">
        <v>1128</v>
      </c>
      <c r="D206" s="55" t="s">
        <v>800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1129</v>
      </c>
      <c r="C207" s="37" t="s">
        <v>1130</v>
      </c>
      <c r="D207" s="55" t="s">
        <v>800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1131</v>
      </c>
      <c r="C208" s="37" t="s">
        <v>1132</v>
      </c>
      <c r="D208" s="55" t="s">
        <v>800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1133</v>
      </c>
      <c r="C209" s="37" t="s">
        <v>1134</v>
      </c>
      <c r="D209" s="55" t="s">
        <v>800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1135</v>
      </c>
      <c r="C210" s="37" t="s">
        <v>1136</v>
      </c>
      <c r="D210" s="55" t="s">
        <v>800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800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1137</v>
      </c>
      <c r="C212" s="37" t="s">
        <v>1138</v>
      </c>
      <c r="D212" s="55" t="s">
        <v>800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1139</v>
      </c>
      <c r="C213" s="37" t="s">
        <v>1140</v>
      </c>
      <c r="D213" s="55" t="s">
        <v>800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1141</v>
      </c>
      <c r="C214" s="37" t="s">
        <v>1142</v>
      </c>
      <c r="D214" s="55" t="s">
        <v>800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1143</v>
      </c>
      <c r="C215" s="37" t="s">
        <v>1144</v>
      </c>
      <c r="D215" s="55" t="s">
        <v>800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1145</v>
      </c>
      <c r="C216" s="37" t="s">
        <v>1146</v>
      </c>
      <c r="D216" s="55" t="s">
        <v>800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1147</v>
      </c>
      <c r="C217" s="37" t="s">
        <v>1148</v>
      </c>
      <c r="D217" s="55" t="s">
        <v>800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1149</v>
      </c>
      <c r="C218" s="37" t="s">
        <v>1150</v>
      </c>
      <c r="D218" s="55" t="s">
        <v>800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1151</v>
      </c>
      <c r="C219" s="37" t="s">
        <v>1152</v>
      </c>
      <c r="D219" s="55" t="s">
        <v>800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1153</v>
      </c>
      <c r="C220" s="37" t="s">
        <v>1154</v>
      </c>
      <c r="D220" s="55" t="s">
        <v>800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1155</v>
      </c>
      <c r="C221" s="37" t="s">
        <v>1156</v>
      </c>
      <c r="D221" s="55" t="s">
        <v>800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1157</v>
      </c>
      <c r="C222" s="37" t="s">
        <v>1158</v>
      </c>
      <c r="D222" s="55" t="s">
        <v>800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1159</v>
      </c>
      <c r="C223" s="37" t="s">
        <v>1160</v>
      </c>
      <c r="D223" s="55" t="s">
        <v>800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1161</v>
      </c>
      <c r="C224" s="37" t="s">
        <v>1162</v>
      </c>
      <c r="D224" s="55" t="s">
        <v>800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1163</v>
      </c>
      <c r="C225" s="37" t="s">
        <v>1164</v>
      </c>
      <c r="D225" s="55" t="s">
        <v>815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1165</v>
      </c>
      <c r="C226" s="37" t="s">
        <v>1166</v>
      </c>
      <c r="D226" s="55" t="s">
        <v>815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1167</v>
      </c>
      <c r="C227" s="37" t="s">
        <v>1168</v>
      </c>
      <c r="D227" s="55" t="s">
        <v>800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1169</v>
      </c>
      <c r="C228" s="37" t="s">
        <v>1170</v>
      </c>
      <c r="D228" s="55" t="s">
        <v>800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1171</v>
      </c>
      <c r="C229" s="37" t="s">
        <v>1172</v>
      </c>
      <c r="D229" s="55" t="s">
        <v>800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1173</v>
      </c>
      <c r="C230" s="37" t="s">
        <v>1174</v>
      </c>
      <c r="D230" s="55" t="s">
        <v>800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1175</v>
      </c>
      <c r="C231" s="37" t="s">
        <v>1176</v>
      </c>
      <c r="D231" s="55" t="s">
        <v>800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1177</v>
      </c>
      <c r="C232" s="37" t="s">
        <v>1178</v>
      </c>
      <c r="D232" s="55" t="s">
        <v>815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1179</v>
      </c>
      <c r="C233" s="37" t="s">
        <v>1180</v>
      </c>
      <c r="D233" s="55" t="s">
        <v>800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1181</v>
      </c>
      <c r="C234" s="37" t="s">
        <v>1182</v>
      </c>
      <c r="D234" s="55" t="s">
        <v>800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1183</v>
      </c>
      <c r="C235" s="37" t="s">
        <v>1184</v>
      </c>
      <c r="D235" s="55" t="s">
        <v>800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1185</v>
      </c>
      <c r="C236" s="37" t="s">
        <v>1186</v>
      </c>
      <c r="D236" s="55" t="s">
        <v>800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1187</v>
      </c>
      <c r="C237" s="37" t="s">
        <v>1188</v>
      </c>
      <c r="D237" s="55" t="s">
        <v>800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1189</v>
      </c>
      <c r="C238" s="37" t="s">
        <v>1190</v>
      </c>
      <c r="D238" s="55" t="s">
        <v>800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1191</v>
      </c>
      <c r="C239" s="37" t="s">
        <v>1192</v>
      </c>
      <c r="D239" s="55" t="s">
        <v>800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1193</v>
      </c>
      <c r="C240" s="37" t="s">
        <v>1194</v>
      </c>
      <c r="D240" s="55" t="s">
        <v>800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1195</v>
      </c>
      <c r="C241" s="37" t="s">
        <v>1196</v>
      </c>
      <c r="D241" s="55" t="s">
        <v>800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1197</v>
      </c>
      <c r="C242" s="37" t="s">
        <v>1198</v>
      </c>
      <c r="D242" s="55" t="s">
        <v>800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1199</v>
      </c>
      <c r="C243" s="37" t="s">
        <v>1200</v>
      </c>
      <c r="D243" s="55" t="s">
        <v>800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438</v>
      </c>
      <c r="C244" s="37" t="s">
        <v>439</v>
      </c>
      <c r="D244" s="55" t="s">
        <v>800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1201</v>
      </c>
      <c r="C245" s="37" t="s">
        <v>1202</v>
      </c>
      <c r="D245" s="55" t="s">
        <v>800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800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760</v>
      </c>
      <c r="C247" s="37" t="s">
        <v>761</v>
      </c>
      <c r="D247" s="55" t="s">
        <v>800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1203</v>
      </c>
      <c r="C248" s="37" t="s">
        <v>1204</v>
      </c>
      <c r="D248" s="55" t="s">
        <v>800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1205</v>
      </c>
      <c r="C249" s="37" t="s">
        <v>1206</v>
      </c>
      <c r="D249" s="55" t="s">
        <v>815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1207</v>
      </c>
      <c r="C250" s="37" t="s">
        <v>1208</v>
      </c>
      <c r="D250" s="55" t="s">
        <v>800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1209</v>
      </c>
      <c r="C251" s="37" t="s">
        <v>1210</v>
      </c>
      <c r="D251" s="55" t="s">
        <v>800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815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800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1211</v>
      </c>
      <c r="C254" s="37" t="s">
        <v>1212</v>
      </c>
      <c r="D254" s="55" t="s">
        <v>800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1213</v>
      </c>
      <c r="C255" s="37" t="s">
        <v>1214</v>
      </c>
      <c r="D255" s="55" t="s">
        <v>800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800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1215</v>
      </c>
      <c r="C257" s="37" t="s">
        <v>1216</v>
      </c>
      <c r="D257" s="55" t="s">
        <v>800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1217</v>
      </c>
      <c r="C258" s="37" t="s">
        <v>1218</v>
      </c>
      <c r="D258" s="55" t="s">
        <v>800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1219</v>
      </c>
      <c r="C259" s="37" t="s">
        <v>1220</v>
      </c>
      <c r="D259" s="55" t="s">
        <v>800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800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1221</v>
      </c>
      <c r="C261" s="37" t="s">
        <v>1222</v>
      </c>
      <c r="D261" s="55" t="s">
        <v>800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1223</v>
      </c>
      <c r="C262" s="37" t="s">
        <v>5184</v>
      </c>
      <c r="D262" s="55" t="s">
        <v>800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1224</v>
      </c>
      <c r="C263" s="37" t="s">
        <v>1225</v>
      </c>
      <c r="D263" s="55" t="s">
        <v>815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1226</v>
      </c>
      <c r="C264" s="37" t="s">
        <v>1227</v>
      </c>
      <c r="D264" s="55" t="s">
        <v>800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750</v>
      </c>
      <c r="C265" s="37" t="s">
        <v>751</v>
      </c>
      <c r="D265" s="55" t="s">
        <v>800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1228</v>
      </c>
      <c r="C266" s="37" t="s">
        <v>1229</v>
      </c>
      <c r="D266" s="55" t="s">
        <v>815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1230</v>
      </c>
      <c r="C267" s="37" t="s">
        <v>1231</v>
      </c>
      <c r="D267" s="55" t="s">
        <v>800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1232</v>
      </c>
      <c r="C268" s="37" t="s">
        <v>1233</v>
      </c>
      <c r="D268" s="55" t="s">
        <v>800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1234</v>
      </c>
      <c r="C269" s="37" t="s">
        <v>1235</v>
      </c>
      <c r="D269" s="55" t="s">
        <v>800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1236</v>
      </c>
      <c r="C270" s="37" t="s">
        <v>1237</v>
      </c>
      <c r="D270" s="55" t="s">
        <v>800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1238</v>
      </c>
      <c r="C271" s="37" t="s">
        <v>1239</v>
      </c>
      <c r="D271" s="55" t="s">
        <v>800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1240</v>
      </c>
      <c r="C272" s="37" t="s">
        <v>1241</v>
      </c>
      <c r="D272" s="55" t="s">
        <v>800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800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564</v>
      </c>
      <c r="C274" s="37" t="s">
        <v>565</v>
      </c>
      <c r="D274" s="55" t="s">
        <v>800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1242</v>
      </c>
      <c r="C275" s="37" t="s">
        <v>1243</v>
      </c>
      <c r="D275" s="55" t="s">
        <v>815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1244</v>
      </c>
      <c r="C276" s="37" t="s">
        <v>1245</v>
      </c>
      <c r="D276" s="55" t="s">
        <v>800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800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800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800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1246</v>
      </c>
      <c r="C280" s="37" t="s">
        <v>1247</v>
      </c>
      <c r="D280" s="55" t="s">
        <v>800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1248</v>
      </c>
      <c r="C281" s="37" t="s">
        <v>1249</v>
      </c>
      <c r="D281" s="55" t="s">
        <v>800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1250</v>
      </c>
      <c r="C282" s="37" t="s">
        <v>1251</v>
      </c>
      <c r="D282" s="55" t="s">
        <v>815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1252</v>
      </c>
      <c r="C283" s="37" t="s">
        <v>1253</v>
      </c>
      <c r="D283" s="55" t="s">
        <v>800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1254</v>
      </c>
      <c r="C284" s="37" t="s">
        <v>1255</v>
      </c>
      <c r="D284" s="55" t="s">
        <v>815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1256</v>
      </c>
      <c r="C285" s="37" t="s">
        <v>1257</v>
      </c>
      <c r="D285" s="55" t="s">
        <v>800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1258</v>
      </c>
      <c r="C286" s="37" t="s">
        <v>1259</v>
      </c>
      <c r="D286" s="55" t="s">
        <v>800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1260</v>
      </c>
      <c r="C287" s="37" t="s">
        <v>1261</v>
      </c>
      <c r="D287" s="55" t="s">
        <v>800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1262</v>
      </c>
      <c r="C288" s="37" t="s">
        <v>1263</v>
      </c>
      <c r="D288" s="55" t="s">
        <v>800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1264</v>
      </c>
      <c r="C289" s="37" t="s">
        <v>1265</v>
      </c>
      <c r="D289" s="55" t="s">
        <v>815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1266</v>
      </c>
      <c r="C290" s="37" t="s">
        <v>1267</v>
      </c>
      <c r="D290" s="55" t="s">
        <v>800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1268</v>
      </c>
      <c r="C291" s="37" t="s">
        <v>1269</v>
      </c>
      <c r="D291" s="55" t="s">
        <v>800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800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594</v>
      </c>
      <c r="C293" s="37" t="s">
        <v>595</v>
      </c>
      <c r="D293" s="55" t="s">
        <v>800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412</v>
      </c>
      <c r="C294" s="37" t="s">
        <v>413</v>
      </c>
      <c r="D294" s="55" t="s">
        <v>800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584</v>
      </c>
      <c r="C295" s="37" t="s">
        <v>585</v>
      </c>
      <c r="D295" s="55" t="s">
        <v>800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1270</v>
      </c>
      <c r="C296" s="37" t="s">
        <v>1271</v>
      </c>
      <c r="D296" s="55" t="s">
        <v>800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1272</v>
      </c>
      <c r="C297" s="37" t="s">
        <v>1273</v>
      </c>
      <c r="D297" s="55" t="s">
        <v>800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800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1274</v>
      </c>
      <c r="C299" s="37" t="s">
        <v>5209</v>
      </c>
      <c r="D299" s="55" t="s">
        <v>800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1275</v>
      </c>
      <c r="C300" s="37" t="s">
        <v>1276</v>
      </c>
      <c r="D300" s="55" t="s">
        <v>800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1277</v>
      </c>
      <c r="C301" s="37" t="s">
        <v>1278</v>
      </c>
      <c r="D301" s="55" t="s">
        <v>815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1279</v>
      </c>
      <c r="C302" s="37" t="s">
        <v>1280</v>
      </c>
      <c r="D302" s="55" t="s">
        <v>800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1281</v>
      </c>
      <c r="C303" s="37" t="s">
        <v>1282</v>
      </c>
      <c r="D303" s="55" t="s">
        <v>800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815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1283</v>
      </c>
      <c r="C305" s="37" t="s">
        <v>1284</v>
      </c>
      <c r="D305" s="55" t="s">
        <v>800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800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1285</v>
      </c>
      <c r="C307" s="37" t="s">
        <v>1286</v>
      </c>
      <c r="D307" s="55" t="s">
        <v>800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1287</v>
      </c>
      <c r="C308" s="37" t="s">
        <v>1288</v>
      </c>
      <c r="D308" s="55" t="s">
        <v>800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1289</v>
      </c>
      <c r="C309" s="37" t="s">
        <v>1290</v>
      </c>
      <c r="D309" s="55" t="s">
        <v>800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1291</v>
      </c>
      <c r="C310" s="37" t="s">
        <v>1292</v>
      </c>
      <c r="D310" s="55" t="s">
        <v>815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1293</v>
      </c>
      <c r="C311" s="37" t="s">
        <v>1294</v>
      </c>
      <c r="D311" s="55" t="s">
        <v>815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1295</v>
      </c>
      <c r="C312" s="37" t="s">
        <v>1296</v>
      </c>
      <c r="D312" s="55" t="s">
        <v>800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800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1297</v>
      </c>
      <c r="C314" s="37" t="s">
        <v>1298</v>
      </c>
      <c r="D314" s="55" t="s">
        <v>800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1299</v>
      </c>
      <c r="C315" s="37" t="s">
        <v>1300</v>
      </c>
      <c r="D315" s="55" t="s">
        <v>800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1301</v>
      </c>
      <c r="C316" s="37" t="s">
        <v>1302</v>
      </c>
      <c r="D316" s="55" t="s">
        <v>800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1303</v>
      </c>
      <c r="C317" s="37" t="s">
        <v>1304</v>
      </c>
      <c r="D317" s="55" t="s">
        <v>800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1305</v>
      </c>
      <c r="C318" s="37" t="s">
        <v>1306</v>
      </c>
      <c r="D318" s="55" t="s">
        <v>800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1307</v>
      </c>
      <c r="C319" s="37" t="s">
        <v>1308</v>
      </c>
      <c r="D319" s="55" t="s">
        <v>800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1309</v>
      </c>
      <c r="C320" s="37" t="s">
        <v>1310</v>
      </c>
      <c r="D320" s="55" t="s">
        <v>815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1311</v>
      </c>
      <c r="C321" s="37" t="s">
        <v>1312</v>
      </c>
      <c r="D321" s="55" t="s">
        <v>800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1313</v>
      </c>
      <c r="C322" s="37" t="s">
        <v>1314</v>
      </c>
      <c r="D322" s="55" t="s">
        <v>815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708</v>
      </c>
      <c r="C323" s="37" t="s">
        <v>709</v>
      </c>
      <c r="D323" s="55" t="s">
        <v>815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1315</v>
      </c>
      <c r="C324" s="37" t="s">
        <v>1316</v>
      </c>
      <c r="D324" s="55" t="s">
        <v>800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1317</v>
      </c>
      <c r="C325" s="37" t="s">
        <v>1318</v>
      </c>
      <c r="D325" s="55" t="s">
        <v>815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1319</v>
      </c>
      <c r="C326" s="37" t="s">
        <v>1320</v>
      </c>
      <c r="D326" s="55" t="s">
        <v>800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1321</v>
      </c>
      <c r="C327" s="37" t="s">
        <v>1322</v>
      </c>
      <c r="D327" s="55" t="s">
        <v>800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1323</v>
      </c>
      <c r="C328" s="37" t="s">
        <v>1324</v>
      </c>
      <c r="D328" s="55" t="s">
        <v>800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1325</v>
      </c>
      <c r="C329" s="37" t="s">
        <v>1326</v>
      </c>
      <c r="D329" s="55" t="s">
        <v>800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800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1327</v>
      </c>
      <c r="C331" s="37" t="s">
        <v>1328</v>
      </c>
      <c r="D331" s="55" t="s">
        <v>815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1329</v>
      </c>
      <c r="C332" s="37" t="s">
        <v>1330</v>
      </c>
      <c r="D332" s="55" t="s">
        <v>800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1331</v>
      </c>
      <c r="C333" s="37" t="s">
        <v>1332</v>
      </c>
      <c r="D333" s="55" t="s">
        <v>800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1333</v>
      </c>
      <c r="C334" s="37" t="s">
        <v>1334</v>
      </c>
      <c r="D334" s="55" t="s">
        <v>815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1335</v>
      </c>
      <c r="C335" s="37" t="s">
        <v>1336</v>
      </c>
      <c r="D335" s="55" t="s">
        <v>815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764</v>
      </c>
      <c r="C336" s="37" t="s">
        <v>765</v>
      </c>
      <c r="D336" s="55" t="s">
        <v>800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1337</v>
      </c>
      <c r="C337" s="37" t="s">
        <v>5175</v>
      </c>
      <c r="D337" s="55" t="s">
        <v>815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1338</v>
      </c>
      <c r="C338" s="37" t="s">
        <v>1339</v>
      </c>
      <c r="D338" s="55" t="s">
        <v>800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1340</v>
      </c>
      <c r="C339" s="37" t="s">
        <v>1341</v>
      </c>
      <c r="D339" s="55" t="s">
        <v>800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1342</v>
      </c>
      <c r="C340" s="37" t="s">
        <v>1343</v>
      </c>
      <c r="D340" s="55" t="s">
        <v>800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1344</v>
      </c>
      <c r="C341" s="37" t="s">
        <v>1345</v>
      </c>
      <c r="D341" s="55" t="s">
        <v>800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1346</v>
      </c>
      <c r="C342" s="37" t="s">
        <v>1347</v>
      </c>
      <c r="D342" s="55" t="s">
        <v>5147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1348</v>
      </c>
      <c r="C343" s="37" t="s">
        <v>1349</v>
      </c>
      <c r="D343" s="55" t="s">
        <v>800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1350</v>
      </c>
      <c r="C344" s="37" t="s">
        <v>1351</v>
      </c>
      <c r="D344" s="55" t="s">
        <v>800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1352</v>
      </c>
      <c r="C345" s="37" t="s">
        <v>1353</v>
      </c>
      <c r="D345" s="55" t="s">
        <v>815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1354</v>
      </c>
      <c r="C346" s="37" t="s">
        <v>1355</v>
      </c>
      <c r="D346" s="55" t="s">
        <v>800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1356</v>
      </c>
      <c r="C347" s="37" t="s">
        <v>1357</v>
      </c>
      <c r="D347" s="55" t="s">
        <v>815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1358</v>
      </c>
      <c r="C348" s="37" t="s">
        <v>1359</v>
      </c>
      <c r="D348" s="55" t="s">
        <v>800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1360</v>
      </c>
      <c r="C349" s="37" t="s">
        <v>1361</v>
      </c>
      <c r="D349" s="55" t="s">
        <v>815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1362</v>
      </c>
      <c r="C350" s="37" t="s">
        <v>1363</v>
      </c>
      <c r="D350" s="55" t="s">
        <v>800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1364</v>
      </c>
      <c r="C351" s="37" t="s">
        <v>1365</v>
      </c>
      <c r="D351" s="55" t="s">
        <v>5147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1366</v>
      </c>
      <c r="C352" s="37" t="s">
        <v>1367</v>
      </c>
      <c r="D352" s="55" t="s">
        <v>800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1368</v>
      </c>
      <c r="C353" s="37" t="s">
        <v>1369</v>
      </c>
      <c r="D353" s="55" t="s">
        <v>800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1370</v>
      </c>
      <c r="C354" s="37" t="s">
        <v>1371</v>
      </c>
      <c r="D354" s="55" t="s">
        <v>800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800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1372</v>
      </c>
      <c r="C356" s="37" t="s">
        <v>1373</v>
      </c>
      <c r="D356" s="55" t="s">
        <v>815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1374</v>
      </c>
      <c r="C357" s="37" t="s">
        <v>1375</v>
      </c>
      <c r="D357" s="55" t="s">
        <v>800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1376</v>
      </c>
      <c r="C358" s="37" t="s">
        <v>1377</v>
      </c>
      <c r="D358" s="55" t="s">
        <v>800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1378</v>
      </c>
      <c r="C359" s="37" t="s">
        <v>1379</v>
      </c>
      <c r="D359" s="55" t="s">
        <v>800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1380</v>
      </c>
      <c r="C360" s="37" t="s">
        <v>1381</v>
      </c>
      <c r="D360" s="55" t="s">
        <v>800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1382</v>
      </c>
      <c r="C361" s="37" t="s">
        <v>1383</v>
      </c>
      <c r="D361" s="55" t="s">
        <v>800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451</v>
      </c>
      <c r="C362" s="37" t="s">
        <v>452</v>
      </c>
      <c r="D362" s="55" t="s">
        <v>800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1384</v>
      </c>
      <c r="C363" s="37" t="s">
        <v>1385</v>
      </c>
      <c r="D363" s="55" t="s">
        <v>800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1386</v>
      </c>
      <c r="C364" s="37" t="s">
        <v>1387</v>
      </c>
      <c r="D364" s="55" t="s">
        <v>800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1388</v>
      </c>
      <c r="C365" s="37" t="s">
        <v>1389</v>
      </c>
      <c r="D365" s="55" t="s">
        <v>800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1390</v>
      </c>
      <c r="C366" s="37" t="s">
        <v>1391</v>
      </c>
      <c r="D366" s="55" t="s">
        <v>800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1392</v>
      </c>
      <c r="C367" s="37" t="s">
        <v>1393</v>
      </c>
      <c r="D367" s="55" t="s">
        <v>800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1394</v>
      </c>
      <c r="C368" s="37" t="s">
        <v>1395</v>
      </c>
      <c r="D368" s="55" t="s">
        <v>800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1396</v>
      </c>
      <c r="C369" s="37" t="s">
        <v>1397</v>
      </c>
      <c r="D369" s="55" t="s">
        <v>800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1398</v>
      </c>
      <c r="C370" s="37" t="s">
        <v>1399</v>
      </c>
      <c r="D370" s="55" t="s">
        <v>815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1400</v>
      </c>
      <c r="C371" s="37" t="s">
        <v>1401</v>
      </c>
      <c r="D371" s="55" t="s">
        <v>800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1402</v>
      </c>
      <c r="C372" s="37" t="s">
        <v>1403</v>
      </c>
      <c r="D372" s="55" t="s">
        <v>800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1404</v>
      </c>
      <c r="C373" s="37" t="s">
        <v>1405</v>
      </c>
      <c r="D373" s="55" t="s">
        <v>800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644</v>
      </c>
      <c r="C374" s="37" t="s">
        <v>645</v>
      </c>
      <c r="D374" s="55" t="s">
        <v>800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1406</v>
      </c>
      <c r="C375" s="37" t="s">
        <v>1407</v>
      </c>
      <c r="D375" s="55" t="s">
        <v>800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1408</v>
      </c>
      <c r="C376" s="37" t="s">
        <v>1409</v>
      </c>
      <c r="D376" s="55" t="s">
        <v>800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1410</v>
      </c>
      <c r="C377" s="37" t="s">
        <v>1411</v>
      </c>
      <c r="D377" s="55" t="s">
        <v>800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1412</v>
      </c>
      <c r="C378" s="37" t="s">
        <v>1413</v>
      </c>
      <c r="D378" s="55" t="s">
        <v>800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1414</v>
      </c>
      <c r="C379" s="37" t="s">
        <v>1415</v>
      </c>
      <c r="D379" s="55" t="s">
        <v>815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800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1416</v>
      </c>
      <c r="C381" s="37" t="s">
        <v>1417</v>
      </c>
      <c r="D381" s="55" t="s">
        <v>800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1418</v>
      </c>
      <c r="C382" s="37" t="s">
        <v>1419</v>
      </c>
      <c r="D382" s="55" t="s">
        <v>815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1420</v>
      </c>
      <c r="C383" s="37" t="s">
        <v>1421</v>
      </c>
      <c r="D383" s="55" t="s">
        <v>800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1422</v>
      </c>
      <c r="C384" s="37" t="s">
        <v>1423</v>
      </c>
      <c r="D384" s="55" t="s">
        <v>815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1424</v>
      </c>
      <c r="C385" s="37" t="s">
        <v>1425</v>
      </c>
      <c r="D385" s="55" t="s">
        <v>800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1426</v>
      </c>
      <c r="C386" s="37" t="s">
        <v>1427</v>
      </c>
      <c r="D386" s="55" t="s">
        <v>815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1428</v>
      </c>
      <c r="C387" s="37" t="s">
        <v>1429</v>
      </c>
      <c r="D387" s="55" t="s">
        <v>800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800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1430</v>
      </c>
      <c r="C389" s="37" t="s">
        <v>1431</v>
      </c>
      <c r="D389" s="55" t="s">
        <v>800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1432</v>
      </c>
      <c r="C390" s="37" t="s">
        <v>1433</v>
      </c>
      <c r="D390" s="55" t="s">
        <v>800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1434</v>
      </c>
      <c r="C391" s="37" t="s">
        <v>1435</v>
      </c>
      <c r="D391" s="55" t="s">
        <v>800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800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1436</v>
      </c>
      <c r="C393" s="37" t="s">
        <v>1437</v>
      </c>
      <c r="D393" s="55" t="s">
        <v>800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800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800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800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1438</v>
      </c>
      <c r="C397" s="37" t="s">
        <v>1439</v>
      </c>
      <c r="D397" s="55" t="s">
        <v>815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1440</v>
      </c>
      <c r="C398" s="37" t="s">
        <v>1441</v>
      </c>
      <c r="D398" s="55" t="s">
        <v>815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1442</v>
      </c>
      <c r="C399" s="37" t="s">
        <v>1443</v>
      </c>
      <c r="D399" s="55" t="s">
        <v>815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1444</v>
      </c>
      <c r="C400" s="37" t="s">
        <v>1445</v>
      </c>
      <c r="D400" s="55" t="s">
        <v>800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1446</v>
      </c>
      <c r="C401" s="37" t="s">
        <v>1447</v>
      </c>
      <c r="D401" s="55" t="s">
        <v>815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1448</v>
      </c>
      <c r="C402" s="37" t="s">
        <v>1449</v>
      </c>
      <c r="D402" s="55" t="s">
        <v>800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1450</v>
      </c>
      <c r="C403" s="37" t="s">
        <v>1451</v>
      </c>
      <c r="D403" s="55" t="s">
        <v>800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1452</v>
      </c>
      <c r="C404" s="37" t="s">
        <v>1453</v>
      </c>
      <c r="D404" s="55" t="s">
        <v>800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1454</v>
      </c>
      <c r="C405" s="37" t="s">
        <v>1455</v>
      </c>
      <c r="D405" s="55" t="s">
        <v>800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1456</v>
      </c>
      <c r="C406" s="37" t="s">
        <v>1457</v>
      </c>
      <c r="D406" s="55" t="s">
        <v>800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1458</v>
      </c>
      <c r="C407" s="37" t="s">
        <v>1459</v>
      </c>
      <c r="D407" s="55" t="s">
        <v>800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1460</v>
      </c>
      <c r="C408" s="37" t="s">
        <v>1461</v>
      </c>
      <c r="D408" s="55" t="s">
        <v>800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800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1462</v>
      </c>
      <c r="C410" s="37" t="s">
        <v>1463</v>
      </c>
      <c r="D410" s="55" t="s">
        <v>800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1464</v>
      </c>
      <c r="C411" s="37" t="s">
        <v>1465</v>
      </c>
      <c r="D411" s="55" t="s">
        <v>800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1466</v>
      </c>
      <c r="C412" s="37" t="s">
        <v>1467</v>
      </c>
      <c r="D412" s="55" t="s">
        <v>815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449</v>
      </c>
      <c r="C413" s="37" t="s">
        <v>450</v>
      </c>
      <c r="D413" s="55" t="s">
        <v>800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1468</v>
      </c>
      <c r="C414" s="37" t="s">
        <v>1469</v>
      </c>
      <c r="D414" s="55" t="s">
        <v>815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1470</v>
      </c>
      <c r="C415" s="37" t="s">
        <v>1471</v>
      </c>
      <c r="D415" s="55" t="s">
        <v>800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1472</v>
      </c>
      <c r="C416" s="37" t="s">
        <v>1473</v>
      </c>
      <c r="D416" s="55" t="s">
        <v>800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1474</v>
      </c>
      <c r="C417" s="37" t="s">
        <v>1475</v>
      </c>
      <c r="D417" s="55" t="s">
        <v>800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800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1476</v>
      </c>
      <c r="C419" s="37" t="s">
        <v>1477</v>
      </c>
      <c r="D419" s="55" t="s">
        <v>800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1478</v>
      </c>
      <c r="C420" s="37" t="s">
        <v>1479</v>
      </c>
      <c r="D420" s="55" t="s">
        <v>800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1480</v>
      </c>
      <c r="C421" s="37" t="s">
        <v>1481</v>
      </c>
      <c r="D421" s="55" t="s">
        <v>800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1482</v>
      </c>
      <c r="C422" s="37" t="s">
        <v>5176</v>
      </c>
      <c r="D422" s="55" t="s">
        <v>800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1483</v>
      </c>
      <c r="C423" s="37" t="s">
        <v>1484</v>
      </c>
      <c r="D423" s="55" t="s">
        <v>815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1485</v>
      </c>
      <c r="C424" s="37" t="s">
        <v>1486</v>
      </c>
      <c r="D424" s="55" t="s">
        <v>800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1487</v>
      </c>
      <c r="C425" s="37" t="s">
        <v>1488</v>
      </c>
      <c r="D425" s="55" t="s">
        <v>815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1489</v>
      </c>
      <c r="C426" s="37" t="s">
        <v>1490</v>
      </c>
      <c r="D426" s="55" t="s">
        <v>800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1491</v>
      </c>
      <c r="C427" s="37" t="s">
        <v>1492</v>
      </c>
      <c r="D427" s="55" t="s">
        <v>800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1493</v>
      </c>
      <c r="C428" s="37" t="s">
        <v>1494</v>
      </c>
      <c r="D428" s="55" t="s">
        <v>800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1495</v>
      </c>
      <c r="C429" s="37" t="s">
        <v>1496</v>
      </c>
      <c r="D429" s="55" t="s">
        <v>815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1497</v>
      </c>
      <c r="C430" s="37" t="s">
        <v>1498</v>
      </c>
      <c r="D430" s="55" t="s">
        <v>800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1499</v>
      </c>
      <c r="C431" s="37" t="s">
        <v>1500</v>
      </c>
      <c r="D431" s="55" t="s">
        <v>800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1501</v>
      </c>
      <c r="C432" s="37" t="s">
        <v>1502</v>
      </c>
      <c r="D432" s="55" t="s">
        <v>800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800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800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1503</v>
      </c>
      <c r="C435" s="37" t="s">
        <v>1504</v>
      </c>
      <c r="D435" s="55" t="s">
        <v>800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728</v>
      </c>
      <c r="C436" s="37" t="s">
        <v>729</v>
      </c>
      <c r="D436" s="55" t="s">
        <v>800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1505</v>
      </c>
      <c r="C437" s="37" t="s">
        <v>1506</v>
      </c>
      <c r="D437" s="55" t="s">
        <v>800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562</v>
      </c>
      <c r="C438" s="37" t="s">
        <v>563</v>
      </c>
      <c r="D438" s="55" t="s">
        <v>800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1507</v>
      </c>
      <c r="C439" s="37" t="s">
        <v>1508</v>
      </c>
      <c r="D439" s="55" t="s">
        <v>800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1509</v>
      </c>
      <c r="C440" s="37" t="s">
        <v>1510</v>
      </c>
      <c r="D440" s="55" t="s">
        <v>800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1511</v>
      </c>
      <c r="C441" s="37" t="s">
        <v>1512</v>
      </c>
      <c r="D441" s="55" t="s">
        <v>800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1513</v>
      </c>
      <c r="C442" s="37" t="s">
        <v>1514</v>
      </c>
      <c r="D442" s="55" t="s">
        <v>815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1515</v>
      </c>
      <c r="C443" s="37" t="s">
        <v>1516</v>
      </c>
      <c r="D443" s="55" t="s">
        <v>800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1517</v>
      </c>
      <c r="C444" s="37" t="s">
        <v>1518</v>
      </c>
      <c r="D444" s="55" t="s">
        <v>800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800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1519</v>
      </c>
      <c r="C446" s="37" t="s">
        <v>1520</v>
      </c>
      <c r="D446" s="55" t="s">
        <v>815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800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800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1521</v>
      </c>
      <c r="C449" s="37" t="s">
        <v>1522</v>
      </c>
      <c r="D449" s="55" t="s">
        <v>800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1523</v>
      </c>
      <c r="C450" s="37" t="s">
        <v>1524</v>
      </c>
      <c r="D450" s="55" t="s">
        <v>815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458</v>
      </c>
      <c r="C451" s="37" t="s">
        <v>459</v>
      </c>
      <c r="D451" s="55" t="s">
        <v>800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1525</v>
      </c>
      <c r="C452" s="37" t="s">
        <v>1526</v>
      </c>
      <c r="D452" s="55" t="s">
        <v>800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558</v>
      </c>
      <c r="C453" s="37" t="s">
        <v>559</v>
      </c>
      <c r="D453" s="55" t="s">
        <v>800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1527</v>
      </c>
      <c r="C454" s="37" t="s">
        <v>1528</v>
      </c>
      <c r="D454" s="55" t="s">
        <v>815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1529</v>
      </c>
      <c r="C455" s="37" t="s">
        <v>1530</v>
      </c>
      <c r="D455" s="55" t="s">
        <v>800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1531</v>
      </c>
      <c r="C456" s="37" t="s">
        <v>1532</v>
      </c>
      <c r="D456" s="55" t="s">
        <v>815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1533</v>
      </c>
      <c r="C457" s="37" t="s">
        <v>1534</v>
      </c>
      <c r="D457" s="55" t="s">
        <v>800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1535</v>
      </c>
      <c r="C458" s="37" t="s">
        <v>1536</v>
      </c>
      <c r="D458" s="55" t="s">
        <v>815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1537</v>
      </c>
      <c r="C459" s="37" t="s">
        <v>1538</v>
      </c>
      <c r="D459" s="55" t="s">
        <v>800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1539</v>
      </c>
      <c r="C460" s="37" t="s">
        <v>1540</v>
      </c>
      <c r="D460" s="55" t="s">
        <v>815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1541</v>
      </c>
      <c r="C461" s="37" t="s">
        <v>1542</v>
      </c>
      <c r="D461" s="55" t="s">
        <v>815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1543</v>
      </c>
      <c r="C462" s="37" t="s">
        <v>1544</v>
      </c>
      <c r="D462" s="55" t="s">
        <v>815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1545</v>
      </c>
      <c r="C463" s="37" t="s">
        <v>1546</v>
      </c>
      <c r="D463" s="55" t="s">
        <v>800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1547</v>
      </c>
      <c r="C464" s="37" t="s">
        <v>1548</v>
      </c>
      <c r="D464" s="55" t="s">
        <v>800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1549</v>
      </c>
      <c r="C465" s="37" t="s">
        <v>1550</v>
      </c>
      <c r="D465" s="55" t="s">
        <v>800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1551</v>
      </c>
      <c r="C466" s="37" t="s">
        <v>1552</v>
      </c>
      <c r="D466" s="55" t="s">
        <v>800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1553</v>
      </c>
      <c r="C467" s="37" t="s">
        <v>1554</v>
      </c>
      <c r="D467" s="55" t="s">
        <v>800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1555</v>
      </c>
      <c r="C468" s="37" t="s">
        <v>5217</v>
      </c>
      <c r="D468" s="55" t="s">
        <v>815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청보</v>
      </c>
      <c r="K468" s="37" t="str">
        <f t="shared" si="42"/>
        <v>A013720</v>
      </c>
    </row>
    <row r="469" spans="1:11" x14ac:dyDescent="0.4">
      <c r="A469" s="49"/>
      <c r="B469" s="54" t="s">
        <v>1556</v>
      </c>
      <c r="C469" s="37" t="s">
        <v>1557</v>
      </c>
      <c r="D469" s="55" t="s">
        <v>815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1558</v>
      </c>
      <c r="C470" s="37" t="s">
        <v>1559</v>
      </c>
      <c r="D470" s="55" t="s">
        <v>800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1560</v>
      </c>
      <c r="C471" s="37" t="s">
        <v>1561</v>
      </c>
      <c r="D471" s="55" t="s">
        <v>800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1562</v>
      </c>
      <c r="C472" s="37" t="s">
        <v>1563</v>
      </c>
      <c r="D472" s="55" t="s">
        <v>815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1564</v>
      </c>
      <c r="C473" s="37" t="s">
        <v>1565</v>
      </c>
      <c r="D473" s="55" t="s">
        <v>815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1566</v>
      </c>
      <c r="C474" s="37" t="s">
        <v>1567</v>
      </c>
      <c r="D474" s="55" t="s">
        <v>800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1568</v>
      </c>
      <c r="C475" s="37" t="s">
        <v>1569</v>
      </c>
      <c r="D475" s="55" t="s">
        <v>800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1570</v>
      </c>
      <c r="C476" s="37" t="s">
        <v>1571</v>
      </c>
      <c r="D476" s="55" t="s">
        <v>815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1572</v>
      </c>
      <c r="C477" s="37" t="s">
        <v>1573</v>
      </c>
      <c r="D477" s="55" t="s">
        <v>800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1574</v>
      </c>
      <c r="C478" s="37" t="s">
        <v>1575</v>
      </c>
      <c r="D478" s="55" t="s">
        <v>800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1576</v>
      </c>
      <c r="C479" s="37" t="s">
        <v>1577</v>
      </c>
      <c r="D479" s="55" t="s">
        <v>815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1578</v>
      </c>
      <c r="C480" s="37" t="s">
        <v>1579</v>
      </c>
      <c r="D480" s="55" t="s">
        <v>800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1580</v>
      </c>
      <c r="C481" s="37" t="s">
        <v>1581</v>
      </c>
      <c r="D481" s="55" t="s">
        <v>815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1582</v>
      </c>
      <c r="C482" s="37" t="s">
        <v>1583</v>
      </c>
      <c r="D482" s="55" t="s">
        <v>800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815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800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1584</v>
      </c>
      <c r="C485" s="37" t="s">
        <v>1585</v>
      </c>
      <c r="D485" s="55" t="s">
        <v>800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1586</v>
      </c>
      <c r="C486" s="37" t="s">
        <v>1587</v>
      </c>
      <c r="D486" s="55" t="s">
        <v>800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652</v>
      </c>
      <c r="C487" s="37" t="s">
        <v>653</v>
      </c>
      <c r="D487" s="55" t="s">
        <v>800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1588</v>
      </c>
      <c r="C488" s="37" t="s">
        <v>1589</v>
      </c>
      <c r="D488" s="55" t="s">
        <v>800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1590</v>
      </c>
      <c r="C489" s="37" t="s">
        <v>1591</v>
      </c>
      <c r="D489" s="55" t="s">
        <v>800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1592</v>
      </c>
      <c r="C490" s="37" t="s">
        <v>1593</v>
      </c>
      <c r="D490" s="55" t="s">
        <v>815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1594</v>
      </c>
      <c r="C491" s="37" t="s">
        <v>1595</v>
      </c>
      <c r="D491" s="55" t="s">
        <v>815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1596</v>
      </c>
      <c r="C492" s="37" t="s">
        <v>1597</v>
      </c>
      <c r="D492" s="55" t="s">
        <v>815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1598</v>
      </c>
      <c r="C493" s="37" t="s">
        <v>1599</v>
      </c>
      <c r="D493" s="55" t="s">
        <v>800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1600</v>
      </c>
      <c r="C494" s="37" t="s">
        <v>1601</v>
      </c>
      <c r="D494" s="55" t="s">
        <v>800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1602</v>
      </c>
      <c r="C495" s="37" t="s">
        <v>1603</v>
      </c>
      <c r="D495" s="55" t="s">
        <v>800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1604</v>
      </c>
      <c r="C496" s="37" t="s">
        <v>1605</v>
      </c>
      <c r="D496" s="55" t="s">
        <v>800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1606</v>
      </c>
      <c r="C497" s="37" t="s">
        <v>1607</v>
      </c>
      <c r="D497" s="55" t="s">
        <v>800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1608</v>
      </c>
      <c r="C498" s="37" t="s">
        <v>1609</v>
      </c>
      <c r="D498" s="55" t="s">
        <v>800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1610</v>
      </c>
      <c r="C499" s="37" t="s">
        <v>1611</v>
      </c>
      <c r="D499" s="55" t="s">
        <v>815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1612</v>
      </c>
      <c r="C500" s="37" t="s">
        <v>1613</v>
      </c>
      <c r="D500" s="55" t="s">
        <v>815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800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1614</v>
      </c>
      <c r="C502" s="37" t="s">
        <v>1615</v>
      </c>
      <c r="D502" s="55" t="s">
        <v>800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1616</v>
      </c>
      <c r="C503" s="37" t="s">
        <v>1617</v>
      </c>
      <c r="D503" s="55" t="s">
        <v>800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1618</v>
      </c>
      <c r="C504" s="37" t="s">
        <v>1619</v>
      </c>
      <c r="D504" s="55" t="s">
        <v>800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1620</v>
      </c>
      <c r="C505" s="37" t="s">
        <v>1621</v>
      </c>
      <c r="D505" s="55" t="s">
        <v>815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1622</v>
      </c>
      <c r="C506" s="37" t="s">
        <v>1623</v>
      </c>
      <c r="D506" s="55" t="s">
        <v>815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800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1624</v>
      </c>
      <c r="C508" s="37" t="s">
        <v>1625</v>
      </c>
      <c r="D508" s="55" t="s">
        <v>800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1626</v>
      </c>
      <c r="C509" s="37" t="s">
        <v>1627</v>
      </c>
      <c r="D509" s="55" t="s">
        <v>800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1628</v>
      </c>
      <c r="C510" s="37" t="s">
        <v>1629</v>
      </c>
      <c r="D510" s="55" t="s">
        <v>800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1630</v>
      </c>
      <c r="C511" s="37" t="s">
        <v>1631</v>
      </c>
      <c r="D511" s="55" t="s">
        <v>800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1632</v>
      </c>
      <c r="C512" s="37" t="s">
        <v>1633</v>
      </c>
      <c r="D512" s="55" t="s">
        <v>815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460</v>
      </c>
      <c r="C513" s="37" t="s">
        <v>461</v>
      </c>
      <c r="D513" s="55" t="s">
        <v>800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1634</v>
      </c>
      <c r="C514" s="37" t="s">
        <v>1635</v>
      </c>
      <c r="D514" s="55" t="s">
        <v>815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1636</v>
      </c>
      <c r="C515" s="37" t="s">
        <v>1637</v>
      </c>
      <c r="D515" s="55" t="s">
        <v>800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1638</v>
      </c>
      <c r="C516" s="37" t="s">
        <v>1639</v>
      </c>
      <c r="D516" s="55" t="s">
        <v>800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1640</v>
      </c>
      <c r="C517" s="37" t="s">
        <v>1641</v>
      </c>
      <c r="D517" s="55" t="s">
        <v>815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1642</v>
      </c>
      <c r="C518" s="37" t="s">
        <v>1643</v>
      </c>
      <c r="D518" s="55" t="s">
        <v>800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1644</v>
      </c>
      <c r="C519" s="37" t="s">
        <v>1645</v>
      </c>
      <c r="D519" s="55" t="s">
        <v>800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1646</v>
      </c>
      <c r="C520" s="37" t="s">
        <v>1647</v>
      </c>
      <c r="D520" s="55" t="s">
        <v>815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1648</v>
      </c>
      <c r="C521" s="37" t="s">
        <v>1649</v>
      </c>
      <c r="D521" s="55" t="s">
        <v>815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1650</v>
      </c>
      <c r="C522" s="37" t="s">
        <v>1651</v>
      </c>
      <c r="D522" s="55" t="s">
        <v>800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1652</v>
      </c>
      <c r="C523" s="37" t="s">
        <v>1653</v>
      </c>
      <c r="D523" s="55" t="s">
        <v>800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1654</v>
      </c>
      <c r="C524" s="37" t="s">
        <v>1655</v>
      </c>
      <c r="D524" s="55" t="s">
        <v>815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1656</v>
      </c>
      <c r="C525" s="37" t="s">
        <v>1657</v>
      </c>
      <c r="D525" s="55" t="s">
        <v>800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1658</v>
      </c>
      <c r="C526" s="37" t="s">
        <v>1659</v>
      </c>
      <c r="D526" s="55" t="s">
        <v>800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1660</v>
      </c>
      <c r="C527" s="37" t="s">
        <v>1661</v>
      </c>
      <c r="D527" s="55" t="s">
        <v>815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1662</v>
      </c>
      <c r="C528" s="37" t="s">
        <v>1663</v>
      </c>
      <c r="D528" s="55" t="s">
        <v>815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1664</v>
      </c>
      <c r="C529" s="37" t="s">
        <v>1665</v>
      </c>
      <c r="D529" s="55" t="s">
        <v>800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1666</v>
      </c>
      <c r="C530" s="37" t="s">
        <v>1667</v>
      </c>
      <c r="D530" s="55" t="s">
        <v>815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650</v>
      </c>
      <c r="C531" s="37" t="s">
        <v>651</v>
      </c>
      <c r="D531" s="55" t="s">
        <v>800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800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1668</v>
      </c>
      <c r="C533" s="37" t="s">
        <v>1669</v>
      </c>
      <c r="D533" s="55" t="s">
        <v>800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1670</v>
      </c>
      <c r="C534" s="37" t="s">
        <v>1671</v>
      </c>
      <c r="D534" s="55" t="s">
        <v>800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1672</v>
      </c>
      <c r="C535" s="37" t="s">
        <v>1673</v>
      </c>
      <c r="D535" s="55" t="s">
        <v>815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1674</v>
      </c>
      <c r="C536" s="37" t="s">
        <v>1675</v>
      </c>
      <c r="D536" s="55" t="s">
        <v>800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1676</v>
      </c>
      <c r="C537" s="37" t="s">
        <v>1677</v>
      </c>
      <c r="D537" s="55" t="s">
        <v>800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800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426</v>
      </c>
      <c r="C539" s="37" t="s">
        <v>427</v>
      </c>
      <c r="D539" s="55" t="s">
        <v>815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1678</v>
      </c>
      <c r="C540" s="37" t="s">
        <v>1679</v>
      </c>
      <c r="D540" s="55" t="s">
        <v>815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1680</v>
      </c>
      <c r="C541" s="37" t="s">
        <v>1681</v>
      </c>
      <c r="D541" s="55" t="s">
        <v>800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800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1682</v>
      </c>
      <c r="C543" s="37" t="s">
        <v>1683</v>
      </c>
      <c r="D543" s="55" t="s">
        <v>815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1684</v>
      </c>
      <c r="C544" s="37" t="s">
        <v>1685</v>
      </c>
      <c r="D544" s="55" t="s">
        <v>815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1686</v>
      </c>
      <c r="C545" s="37" t="s">
        <v>1687</v>
      </c>
      <c r="D545" s="55" t="s">
        <v>800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1688</v>
      </c>
      <c r="C546" s="37" t="s">
        <v>1689</v>
      </c>
      <c r="D546" s="55" t="s">
        <v>800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1690</v>
      </c>
      <c r="C547" s="37" t="s">
        <v>1691</v>
      </c>
      <c r="D547" s="55" t="s">
        <v>815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1692</v>
      </c>
      <c r="C548" s="37" t="s">
        <v>1693</v>
      </c>
      <c r="D548" s="55" t="s">
        <v>800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1694</v>
      </c>
      <c r="C549" s="37" t="s">
        <v>1695</v>
      </c>
      <c r="D549" s="55" t="s">
        <v>815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1696</v>
      </c>
      <c r="C550" s="37" t="s">
        <v>5201</v>
      </c>
      <c r="D550" s="55" t="s">
        <v>815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800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1697</v>
      </c>
      <c r="C552" s="37" t="s">
        <v>1698</v>
      </c>
      <c r="D552" s="55" t="s">
        <v>815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1699</v>
      </c>
      <c r="C553" s="37" t="s">
        <v>1700</v>
      </c>
      <c r="D553" s="55" t="s">
        <v>800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1701</v>
      </c>
      <c r="C554" s="37" t="s">
        <v>1702</v>
      </c>
      <c r="D554" s="55" t="s">
        <v>800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1703</v>
      </c>
      <c r="C555" s="37" t="s">
        <v>1704</v>
      </c>
      <c r="D555" s="55" t="s">
        <v>815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1705</v>
      </c>
      <c r="C556" s="37" t="s">
        <v>1706</v>
      </c>
      <c r="D556" s="55" t="s">
        <v>800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1707</v>
      </c>
      <c r="C557" s="37" t="s">
        <v>1708</v>
      </c>
      <c r="D557" s="55" t="s">
        <v>815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1709</v>
      </c>
      <c r="C558" s="37" t="s">
        <v>1710</v>
      </c>
      <c r="D558" s="55" t="s">
        <v>815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1711</v>
      </c>
      <c r="C559" s="37" t="s">
        <v>1712</v>
      </c>
      <c r="D559" s="55" t="s">
        <v>815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1713</v>
      </c>
      <c r="C560" s="37" t="s">
        <v>1714</v>
      </c>
      <c r="D560" s="55" t="s">
        <v>815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1715</v>
      </c>
      <c r="C561" s="37" t="s">
        <v>1716</v>
      </c>
      <c r="D561" s="55" t="s">
        <v>800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1717</v>
      </c>
      <c r="C562" s="37" t="s">
        <v>1718</v>
      </c>
      <c r="D562" s="55" t="s">
        <v>815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1719</v>
      </c>
      <c r="C563" s="37" t="s">
        <v>1720</v>
      </c>
      <c r="D563" s="55" t="s">
        <v>815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1721</v>
      </c>
      <c r="C564" s="37" t="s">
        <v>1722</v>
      </c>
      <c r="D564" s="55" t="s">
        <v>800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1723</v>
      </c>
      <c r="C565" s="37" t="s">
        <v>1724</v>
      </c>
      <c r="D565" s="55" t="s">
        <v>800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800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1725</v>
      </c>
      <c r="C567" s="37" t="s">
        <v>1726</v>
      </c>
      <c r="D567" s="55" t="s">
        <v>815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1727</v>
      </c>
      <c r="C568" s="37" t="s">
        <v>1728</v>
      </c>
      <c r="D568" s="55" t="s">
        <v>815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1729</v>
      </c>
      <c r="C569" s="37" t="s">
        <v>1730</v>
      </c>
      <c r="D569" s="55" t="s">
        <v>800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1731</v>
      </c>
      <c r="C570" s="37" t="s">
        <v>1732</v>
      </c>
      <c r="D570" s="55" t="s">
        <v>815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1733</v>
      </c>
      <c r="C571" s="37" t="s">
        <v>1734</v>
      </c>
      <c r="D571" s="55" t="s">
        <v>800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1735</v>
      </c>
      <c r="C572" s="37" t="s">
        <v>1736</v>
      </c>
      <c r="D572" s="55" t="s">
        <v>815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1737</v>
      </c>
      <c r="C573" s="37" t="s">
        <v>1738</v>
      </c>
      <c r="D573" s="55" t="s">
        <v>800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1739</v>
      </c>
      <c r="C574" s="37" t="s">
        <v>1740</v>
      </c>
      <c r="D574" s="55" t="s">
        <v>815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800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1741</v>
      </c>
      <c r="C576" s="37" t="s">
        <v>1742</v>
      </c>
      <c r="D576" s="55" t="s">
        <v>815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1743</v>
      </c>
      <c r="C577" s="37" t="s">
        <v>1744</v>
      </c>
      <c r="D577" s="55" t="s">
        <v>815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1745</v>
      </c>
      <c r="C578" s="37" t="s">
        <v>1746</v>
      </c>
      <c r="D578" s="55" t="s">
        <v>800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1747</v>
      </c>
      <c r="C579" s="37" t="s">
        <v>1748</v>
      </c>
      <c r="D579" s="55" t="s">
        <v>815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800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1749</v>
      </c>
      <c r="C581" s="37" t="s">
        <v>1750</v>
      </c>
      <c r="D581" s="55" t="s">
        <v>815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1751</v>
      </c>
      <c r="C582" s="37" t="s">
        <v>1752</v>
      </c>
      <c r="D582" s="55" t="s">
        <v>800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1753</v>
      </c>
      <c r="C583" s="37" t="s">
        <v>1754</v>
      </c>
      <c r="D583" s="55" t="s">
        <v>800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1755</v>
      </c>
      <c r="C584" s="37" t="s">
        <v>1756</v>
      </c>
      <c r="D584" s="55" t="s">
        <v>815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1757</v>
      </c>
      <c r="C585" s="37" t="s">
        <v>1758</v>
      </c>
      <c r="D585" s="55" t="s">
        <v>800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1759</v>
      </c>
      <c r="C586" s="37" t="s">
        <v>1760</v>
      </c>
      <c r="D586" s="55" t="s">
        <v>815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1761</v>
      </c>
      <c r="C587" s="37" t="s">
        <v>1762</v>
      </c>
      <c r="D587" s="55" t="s">
        <v>815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1763</v>
      </c>
      <c r="C588" s="37" t="s">
        <v>1764</v>
      </c>
      <c r="D588" s="55" t="s">
        <v>800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800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1765</v>
      </c>
      <c r="C590" s="37" t="s">
        <v>1766</v>
      </c>
      <c r="D590" s="55" t="s">
        <v>800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1767</v>
      </c>
      <c r="C591" s="37" t="s">
        <v>1768</v>
      </c>
      <c r="D591" s="55" t="s">
        <v>815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1769</v>
      </c>
      <c r="C592" s="37" t="s">
        <v>1770</v>
      </c>
      <c r="D592" s="55" t="s">
        <v>815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1771</v>
      </c>
      <c r="C593" s="37" t="s">
        <v>1772</v>
      </c>
      <c r="D593" s="55" t="s">
        <v>815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1773</v>
      </c>
      <c r="C594" s="37" t="s">
        <v>1774</v>
      </c>
      <c r="D594" s="55" t="s">
        <v>815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1775</v>
      </c>
      <c r="C595" s="37" t="s">
        <v>1776</v>
      </c>
      <c r="D595" s="55" t="s">
        <v>800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1777</v>
      </c>
      <c r="C596" s="37" t="s">
        <v>1778</v>
      </c>
      <c r="D596" s="55" t="s">
        <v>800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1779</v>
      </c>
      <c r="C597" s="37" t="s">
        <v>1780</v>
      </c>
      <c r="D597" s="55" t="s">
        <v>815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1781</v>
      </c>
      <c r="C598" s="37" t="s">
        <v>1782</v>
      </c>
      <c r="D598" s="55" t="s">
        <v>815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1783</v>
      </c>
      <c r="C599" s="37" t="s">
        <v>1784</v>
      </c>
      <c r="D599" s="55" t="s">
        <v>800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1785</v>
      </c>
      <c r="C600" s="37" t="s">
        <v>1786</v>
      </c>
      <c r="D600" s="55" t="s">
        <v>815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1787</v>
      </c>
      <c r="C601" s="37" t="s">
        <v>1788</v>
      </c>
      <c r="D601" s="55" t="s">
        <v>800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1789</v>
      </c>
      <c r="C602" s="37" t="s">
        <v>1790</v>
      </c>
      <c r="D602" s="55" t="s">
        <v>800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800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1791</v>
      </c>
      <c r="C604" s="37" t="s">
        <v>1792</v>
      </c>
      <c r="D604" s="55" t="s">
        <v>815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1793</v>
      </c>
      <c r="C605" s="37" t="s">
        <v>1794</v>
      </c>
      <c r="D605" s="55" t="s">
        <v>800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1795</v>
      </c>
      <c r="C606" s="37" t="s">
        <v>1796</v>
      </c>
      <c r="D606" s="55" t="s">
        <v>815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1797</v>
      </c>
      <c r="C607" s="37" t="s">
        <v>1798</v>
      </c>
      <c r="D607" s="55" t="s">
        <v>815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1799</v>
      </c>
      <c r="C608" s="37" t="s">
        <v>1800</v>
      </c>
      <c r="D608" s="55" t="s">
        <v>815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1801</v>
      </c>
      <c r="C609" s="37" t="s">
        <v>1802</v>
      </c>
      <c r="D609" s="55" t="s">
        <v>815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688</v>
      </c>
      <c r="C610" s="37" t="s">
        <v>689</v>
      </c>
      <c r="D610" s="55" t="s">
        <v>815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1803</v>
      </c>
      <c r="C611" s="37" t="s">
        <v>1804</v>
      </c>
      <c r="D611" s="55" t="s">
        <v>815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1805</v>
      </c>
      <c r="C612" s="37" t="s">
        <v>1806</v>
      </c>
      <c r="D612" s="55" t="s">
        <v>800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1807</v>
      </c>
      <c r="C613" s="37" t="s">
        <v>1808</v>
      </c>
      <c r="D613" s="55" t="s">
        <v>800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1809</v>
      </c>
      <c r="C614" s="37" t="s">
        <v>1810</v>
      </c>
      <c r="D614" s="55" t="s">
        <v>815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1811</v>
      </c>
      <c r="C615" s="37" t="s">
        <v>1812</v>
      </c>
      <c r="D615" s="55" t="s">
        <v>815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1813</v>
      </c>
      <c r="C616" s="37" t="s">
        <v>1814</v>
      </c>
      <c r="D616" s="55" t="s">
        <v>815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1815</v>
      </c>
      <c r="C617" s="37" t="s">
        <v>1816</v>
      </c>
      <c r="D617" s="55" t="s">
        <v>800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1817</v>
      </c>
      <c r="C618" s="37" t="s">
        <v>1818</v>
      </c>
      <c r="D618" s="55" t="s">
        <v>815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1819</v>
      </c>
      <c r="C619" s="37" t="s">
        <v>1820</v>
      </c>
      <c r="D619" s="55" t="s">
        <v>815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1821</v>
      </c>
      <c r="C620" s="37" t="s">
        <v>1822</v>
      </c>
      <c r="D620" s="55" t="s">
        <v>800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1823</v>
      </c>
      <c r="C621" s="37" t="s">
        <v>1824</v>
      </c>
      <c r="D621" s="55" t="s">
        <v>800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1825</v>
      </c>
      <c r="C622" s="37" t="s">
        <v>1826</v>
      </c>
      <c r="D622" s="55" t="s">
        <v>815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1827</v>
      </c>
      <c r="C623" s="37" t="s">
        <v>1828</v>
      </c>
      <c r="D623" s="55" t="s">
        <v>800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1829</v>
      </c>
      <c r="C624" s="37" t="s">
        <v>1830</v>
      </c>
      <c r="D624" s="55" t="s">
        <v>800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1831</v>
      </c>
      <c r="C625" s="37" t="s">
        <v>1832</v>
      </c>
      <c r="D625" s="55" t="s">
        <v>800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1833</v>
      </c>
      <c r="C626" s="37" t="s">
        <v>1834</v>
      </c>
      <c r="D626" s="55" t="s">
        <v>815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1835</v>
      </c>
      <c r="C627" s="37" t="s">
        <v>1836</v>
      </c>
      <c r="D627" s="55" t="s">
        <v>800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1837</v>
      </c>
      <c r="C628" s="37" t="s">
        <v>1838</v>
      </c>
      <c r="D628" s="55" t="s">
        <v>800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1839</v>
      </c>
      <c r="C629" s="37" t="s">
        <v>1840</v>
      </c>
      <c r="D629" s="55" t="s">
        <v>815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1841</v>
      </c>
      <c r="C630" s="37" t="s">
        <v>1842</v>
      </c>
      <c r="D630" s="55" t="s">
        <v>815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1843</v>
      </c>
      <c r="C631" s="37" t="s">
        <v>1844</v>
      </c>
      <c r="D631" s="55" t="s">
        <v>800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1845</v>
      </c>
      <c r="C632" s="37" t="s">
        <v>1846</v>
      </c>
      <c r="D632" s="55" t="s">
        <v>815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1847</v>
      </c>
      <c r="C633" s="37" t="s">
        <v>1848</v>
      </c>
      <c r="D633" s="55" t="s">
        <v>815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1849</v>
      </c>
      <c r="C634" s="37" t="s">
        <v>1850</v>
      </c>
      <c r="D634" s="55" t="s">
        <v>815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1851</v>
      </c>
      <c r="C635" s="37" t="s">
        <v>1852</v>
      </c>
      <c r="D635" s="55" t="s">
        <v>815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1853</v>
      </c>
      <c r="C636" s="37" t="s">
        <v>1854</v>
      </c>
      <c r="D636" s="55" t="s">
        <v>815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1855</v>
      </c>
      <c r="C637" s="37" t="s">
        <v>1856</v>
      </c>
      <c r="D637" s="55" t="s">
        <v>800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1857</v>
      </c>
      <c r="C638" s="37" t="s">
        <v>1858</v>
      </c>
      <c r="D638" s="55" t="s">
        <v>815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1859</v>
      </c>
      <c r="C639" s="37" t="s">
        <v>1860</v>
      </c>
      <c r="D639" s="55" t="s">
        <v>800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1861</v>
      </c>
      <c r="C640" s="37" t="s">
        <v>1862</v>
      </c>
      <c r="D640" s="55" t="s">
        <v>800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1863</v>
      </c>
      <c r="C641" s="37" t="s">
        <v>1864</v>
      </c>
      <c r="D641" s="55" t="s">
        <v>815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1865</v>
      </c>
      <c r="C642" s="37" t="s">
        <v>1866</v>
      </c>
      <c r="D642" s="55" t="s">
        <v>815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1867</v>
      </c>
      <c r="C643" s="37" t="s">
        <v>1868</v>
      </c>
      <c r="D643" s="55" t="s">
        <v>815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1869</v>
      </c>
      <c r="C644" s="37" t="s">
        <v>1870</v>
      </c>
      <c r="D644" s="55" t="s">
        <v>800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1871</v>
      </c>
      <c r="C645" s="37" t="s">
        <v>1872</v>
      </c>
      <c r="D645" s="55" t="s">
        <v>815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1873</v>
      </c>
      <c r="C646" s="37" t="s">
        <v>1874</v>
      </c>
      <c r="D646" s="55" t="s">
        <v>815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1875</v>
      </c>
      <c r="C647" s="37" t="s">
        <v>1876</v>
      </c>
      <c r="D647" s="55" t="s">
        <v>800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1877</v>
      </c>
      <c r="C648" s="37" t="s">
        <v>1878</v>
      </c>
      <c r="D648" s="55" t="s">
        <v>815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1879</v>
      </c>
      <c r="C649" s="37" t="s">
        <v>1880</v>
      </c>
      <c r="D649" s="55" t="s">
        <v>800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800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1881</v>
      </c>
      <c r="C651" s="37" t="s">
        <v>1882</v>
      </c>
      <c r="D651" s="55" t="s">
        <v>815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1883</v>
      </c>
      <c r="C652" s="37" t="s">
        <v>1884</v>
      </c>
      <c r="D652" s="55" t="s">
        <v>800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800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661</v>
      </c>
      <c r="C654" s="37" t="s">
        <v>662</v>
      </c>
      <c r="D654" s="55" t="s">
        <v>815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800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1885</v>
      </c>
      <c r="C656" s="37" t="s">
        <v>1886</v>
      </c>
      <c r="D656" s="55" t="s">
        <v>800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1887</v>
      </c>
      <c r="C657" s="37" t="s">
        <v>1888</v>
      </c>
      <c r="D657" s="55" t="s">
        <v>815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1889</v>
      </c>
      <c r="C658" s="37" t="s">
        <v>1890</v>
      </c>
      <c r="D658" s="55" t="s">
        <v>800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800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1891</v>
      </c>
      <c r="C660" s="37" t="s">
        <v>1892</v>
      </c>
      <c r="D660" s="55" t="s">
        <v>800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1893</v>
      </c>
      <c r="C661" s="37" t="s">
        <v>1894</v>
      </c>
      <c r="D661" s="55" t="s">
        <v>800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800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1895</v>
      </c>
      <c r="C663" s="37" t="s">
        <v>1896</v>
      </c>
      <c r="D663" s="55" t="s">
        <v>800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1897</v>
      </c>
      <c r="C664" s="37" t="s">
        <v>1898</v>
      </c>
      <c r="D664" s="55" t="s">
        <v>815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1899</v>
      </c>
      <c r="C665" s="37" t="s">
        <v>1900</v>
      </c>
      <c r="D665" s="55" t="s">
        <v>815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815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1901</v>
      </c>
      <c r="C667" s="37" t="s">
        <v>1902</v>
      </c>
      <c r="D667" s="55" t="s">
        <v>800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1903</v>
      </c>
      <c r="C668" s="37" t="s">
        <v>1904</v>
      </c>
      <c r="D668" s="55" t="s">
        <v>800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1905</v>
      </c>
      <c r="C669" s="37" t="s">
        <v>1906</v>
      </c>
      <c r="D669" s="55" t="s">
        <v>815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1907</v>
      </c>
      <c r="C670" s="37" t="s">
        <v>1908</v>
      </c>
      <c r="D670" s="55" t="s">
        <v>800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1909</v>
      </c>
      <c r="C671" s="37" t="s">
        <v>1910</v>
      </c>
      <c r="D671" s="55" t="s">
        <v>815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1911</v>
      </c>
      <c r="C672" s="37" t="s">
        <v>1912</v>
      </c>
      <c r="D672" s="55" t="s">
        <v>815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1913</v>
      </c>
      <c r="C673" s="37" t="s">
        <v>1914</v>
      </c>
      <c r="D673" s="55" t="s">
        <v>800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1915</v>
      </c>
      <c r="C674" s="37" t="s">
        <v>1916</v>
      </c>
      <c r="D674" s="55" t="s">
        <v>800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1917</v>
      </c>
      <c r="C675" s="37" t="s">
        <v>1918</v>
      </c>
      <c r="D675" s="55" t="s">
        <v>815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1919</v>
      </c>
      <c r="C676" s="37" t="s">
        <v>1920</v>
      </c>
      <c r="D676" s="55" t="s">
        <v>800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1921</v>
      </c>
      <c r="C677" s="37" t="s">
        <v>1922</v>
      </c>
      <c r="D677" s="55" t="s">
        <v>815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477</v>
      </c>
      <c r="C678" s="37" t="s">
        <v>478</v>
      </c>
      <c r="D678" s="55" t="s">
        <v>815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1923</v>
      </c>
      <c r="C679" s="37" t="s">
        <v>1924</v>
      </c>
      <c r="D679" s="55" t="s">
        <v>815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754</v>
      </c>
      <c r="C680" s="37" t="s">
        <v>755</v>
      </c>
      <c r="D680" s="55" t="s">
        <v>815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1925</v>
      </c>
      <c r="C681" s="37" t="s">
        <v>1926</v>
      </c>
      <c r="D681" s="55" t="s">
        <v>815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1927</v>
      </c>
      <c r="C682" s="37" t="s">
        <v>1928</v>
      </c>
      <c r="D682" s="55" t="s">
        <v>815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1929</v>
      </c>
      <c r="C683" s="37" t="s">
        <v>1930</v>
      </c>
      <c r="D683" s="55" t="s">
        <v>800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1931</v>
      </c>
      <c r="C684" s="37" t="s">
        <v>1932</v>
      </c>
      <c r="D684" s="55" t="s">
        <v>815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1933</v>
      </c>
      <c r="C685" s="37" t="s">
        <v>1934</v>
      </c>
      <c r="D685" s="55" t="s">
        <v>815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1935</v>
      </c>
      <c r="C686" s="37" t="s">
        <v>1936</v>
      </c>
      <c r="D686" s="55" t="s">
        <v>800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1937</v>
      </c>
      <c r="C687" s="37" t="s">
        <v>1938</v>
      </c>
      <c r="D687" s="55" t="s">
        <v>815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1939</v>
      </c>
      <c r="C688" s="37" t="s">
        <v>5162</v>
      </c>
      <c r="D688" s="55" t="s">
        <v>815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800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1940</v>
      </c>
      <c r="C690" s="37" t="s">
        <v>1941</v>
      </c>
      <c r="D690" s="55" t="s">
        <v>815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1942</v>
      </c>
      <c r="C691" s="37" t="s">
        <v>1943</v>
      </c>
      <c r="D691" s="55" t="s">
        <v>815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1944</v>
      </c>
      <c r="C692" s="37" t="s">
        <v>1945</v>
      </c>
      <c r="D692" s="55" t="s">
        <v>815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1946</v>
      </c>
      <c r="C693" s="37" t="s">
        <v>1947</v>
      </c>
      <c r="D693" s="55" t="s">
        <v>815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1948</v>
      </c>
      <c r="C694" s="37" t="s">
        <v>1949</v>
      </c>
      <c r="D694" s="55" t="s">
        <v>815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800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1950</v>
      </c>
      <c r="C696" s="37" t="s">
        <v>1951</v>
      </c>
      <c r="D696" s="55" t="s">
        <v>815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1952</v>
      </c>
      <c r="C697" s="37" t="s">
        <v>1953</v>
      </c>
      <c r="D697" s="55" t="s">
        <v>815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1954</v>
      </c>
      <c r="C698" s="37" t="s">
        <v>1955</v>
      </c>
      <c r="D698" s="55" t="s">
        <v>815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1956</v>
      </c>
      <c r="C699" s="37" t="s">
        <v>1957</v>
      </c>
      <c r="D699" s="55" t="s">
        <v>815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1958</v>
      </c>
      <c r="C700" s="37" t="s">
        <v>1959</v>
      </c>
      <c r="D700" s="55" t="s">
        <v>5147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1960</v>
      </c>
      <c r="C701" s="37" t="s">
        <v>1961</v>
      </c>
      <c r="D701" s="55" t="s">
        <v>815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1962</v>
      </c>
      <c r="C702" s="37" t="s">
        <v>1963</v>
      </c>
      <c r="D702" s="55" t="s">
        <v>815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1964</v>
      </c>
      <c r="C703" s="37" t="s">
        <v>1965</v>
      </c>
      <c r="D703" s="55" t="s">
        <v>815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1966</v>
      </c>
      <c r="C704" s="37" t="s">
        <v>1967</v>
      </c>
      <c r="D704" s="55" t="s">
        <v>815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1968</v>
      </c>
      <c r="C705" s="37" t="s">
        <v>1969</v>
      </c>
      <c r="D705" s="55" t="s">
        <v>815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1970</v>
      </c>
      <c r="C706" s="37" t="s">
        <v>1971</v>
      </c>
      <c r="D706" s="55" t="s">
        <v>815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1972</v>
      </c>
      <c r="C707" s="37" t="s">
        <v>1973</v>
      </c>
      <c r="D707" s="55" t="s">
        <v>815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1974</v>
      </c>
      <c r="C708" s="37" t="s">
        <v>1975</v>
      </c>
      <c r="D708" s="55" t="s">
        <v>800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1976</v>
      </c>
      <c r="C709" s="37" t="s">
        <v>1977</v>
      </c>
      <c r="D709" s="55" t="s">
        <v>800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1978</v>
      </c>
      <c r="C710" s="37" t="s">
        <v>1979</v>
      </c>
      <c r="D710" s="55" t="s">
        <v>800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1980</v>
      </c>
      <c r="C711" s="37" t="s">
        <v>1981</v>
      </c>
      <c r="D711" s="55" t="s">
        <v>815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1982</v>
      </c>
      <c r="C712" s="37" t="s">
        <v>1983</v>
      </c>
      <c r="D712" s="55" t="s">
        <v>815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1984</v>
      </c>
      <c r="C713" s="37" t="s">
        <v>1985</v>
      </c>
      <c r="D713" s="55" t="s">
        <v>815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1986</v>
      </c>
      <c r="C714" s="37" t="s">
        <v>1987</v>
      </c>
      <c r="D714" s="55" t="s">
        <v>815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815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1988</v>
      </c>
      <c r="C716" s="37" t="s">
        <v>1989</v>
      </c>
      <c r="D716" s="55" t="s">
        <v>800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1990</v>
      </c>
      <c r="C717" s="37" t="s">
        <v>1991</v>
      </c>
      <c r="D717" s="55" t="s">
        <v>815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1992</v>
      </c>
      <c r="C718" s="37" t="s">
        <v>1993</v>
      </c>
      <c r="D718" s="55" t="s">
        <v>815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1994</v>
      </c>
      <c r="C719" s="37" t="s">
        <v>1995</v>
      </c>
      <c r="D719" s="55" t="s">
        <v>815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800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1996</v>
      </c>
      <c r="C721" s="37" t="s">
        <v>1997</v>
      </c>
      <c r="D721" s="55" t="s">
        <v>815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1998</v>
      </c>
      <c r="C722" s="37" t="s">
        <v>1999</v>
      </c>
      <c r="D722" s="55" t="s">
        <v>815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2000</v>
      </c>
      <c r="C723" s="37" t="s">
        <v>2001</v>
      </c>
      <c r="D723" s="55" t="s">
        <v>800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800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2002</v>
      </c>
      <c r="C725" s="37" t="s">
        <v>2003</v>
      </c>
      <c r="D725" s="55" t="s">
        <v>800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2004</v>
      </c>
      <c r="C726" s="37" t="s">
        <v>2005</v>
      </c>
      <c r="D726" s="55" t="s">
        <v>800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800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2006</v>
      </c>
      <c r="C728" s="37" t="s">
        <v>2007</v>
      </c>
      <c r="D728" s="55" t="s">
        <v>800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2008</v>
      </c>
      <c r="C729" s="37" t="s">
        <v>2009</v>
      </c>
      <c r="D729" s="55" t="s">
        <v>800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800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2010</v>
      </c>
      <c r="C731" s="37" t="s">
        <v>2011</v>
      </c>
      <c r="D731" s="55" t="s">
        <v>815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726</v>
      </c>
      <c r="C732" s="37" t="s">
        <v>727</v>
      </c>
      <c r="D732" s="55" t="s">
        <v>800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2012</v>
      </c>
      <c r="C733" s="37" t="s">
        <v>2013</v>
      </c>
      <c r="D733" s="55" t="s">
        <v>815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2014</v>
      </c>
      <c r="C734" s="37" t="s">
        <v>2015</v>
      </c>
      <c r="D734" s="55" t="s">
        <v>815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2016</v>
      </c>
      <c r="C735" s="37" t="s">
        <v>2017</v>
      </c>
      <c r="D735" s="55" t="s">
        <v>800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2018</v>
      </c>
      <c r="C736" s="37" t="s">
        <v>2019</v>
      </c>
      <c r="D736" s="55" t="s">
        <v>815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2020</v>
      </c>
      <c r="C737" s="37" t="s">
        <v>2021</v>
      </c>
      <c r="D737" s="55" t="s">
        <v>800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2022</v>
      </c>
      <c r="C738" s="37" t="s">
        <v>2023</v>
      </c>
      <c r="D738" s="55" t="s">
        <v>815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800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2024</v>
      </c>
      <c r="C740" s="37" t="s">
        <v>2025</v>
      </c>
      <c r="D740" s="55" t="s">
        <v>815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800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2026</v>
      </c>
      <c r="C742" s="37" t="s">
        <v>2027</v>
      </c>
      <c r="D742" s="55" t="s">
        <v>815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2028</v>
      </c>
      <c r="C743" s="37" t="s">
        <v>2029</v>
      </c>
      <c r="D743" s="55" t="s">
        <v>800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2030</v>
      </c>
      <c r="C744" s="37" t="s">
        <v>2031</v>
      </c>
      <c r="D744" s="55" t="s">
        <v>815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2032</v>
      </c>
      <c r="C745" s="37" t="s">
        <v>2033</v>
      </c>
      <c r="D745" s="55" t="s">
        <v>815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2034</v>
      </c>
      <c r="C746" s="37" t="s">
        <v>2035</v>
      </c>
      <c r="D746" s="55" t="s">
        <v>815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800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815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2036</v>
      </c>
      <c r="C749" s="37" t="s">
        <v>2037</v>
      </c>
      <c r="D749" s="55" t="s">
        <v>815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2038</v>
      </c>
      <c r="C750" s="37" t="s">
        <v>2039</v>
      </c>
      <c r="D750" s="55" t="s">
        <v>815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815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2040</v>
      </c>
      <c r="C752" s="37" t="s">
        <v>2041</v>
      </c>
      <c r="D752" s="55" t="s">
        <v>815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2042</v>
      </c>
      <c r="C753" s="37" t="s">
        <v>2043</v>
      </c>
      <c r="D753" s="55" t="s">
        <v>815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2044</v>
      </c>
      <c r="C754" s="37" t="s">
        <v>2045</v>
      </c>
      <c r="D754" s="55" t="s">
        <v>815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2046</v>
      </c>
      <c r="C755" s="37" t="s">
        <v>2047</v>
      </c>
      <c r="D755" s="55" t="s">
        <v>815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2048</v>
      </c>
      <c r="C756" s="37" t="s">
        <v>2049</v>
      </c>
      <c r="D756" s="55" t="s">
        <v>815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2050</v>
      </c>
      <c r="C757" s="37" t="s">
        <v>2051</v>
      </c>
      <c r="D757" s="55" t="s">
        <v>815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2052</v>
      </c>
      <c r="C758" s="37" t="s">
        <v>2053</v>
      </c>
      <c r="D758" s="55" t="s">
        <v>5147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2054</v>
      </c>
      <c r="C759" s="37" t="s">
        <v>2055</v>
      </c>
      <c r="D759" s="55" t="s">
        <v>815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2056</v>
      </c>
      <c r="C760" s="37" t="s">
        <v>2057</v>
      </c>
      <c r="D760" s="55" t="s">
        <v>815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2058</v>
      </c>
      <c r="C761" s="37" t="s">
        <v>2059</v>
      </c>
      <c r="D761" s="55" t="s">
        <v>815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2060</v>
      </c>
      <c r="C762" s="37" t="s">
        <v>2061</v>
      </c>
      <c r="D762" s="55" t="s">
        <v>800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2062</v>
      </c>
      <c r="C763" s="37" t="s">
        <v>2063</v>
      </c>
      <c r="D763" s="55" t="s">
        <v>800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2064</v>
      </c>
      <c r="C764" s="37" t="s">
        <v>2065</v>
      </c>
      <c r="D764" s="55" t="s">
        <v>815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2066</v>
      </c>
      <c r="C765" s="37" t="s">
        <v>2067</v>
      </c>
      <c r="D765" s="55" t="s">
        <v>800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2068</v>
      </c>
      <c r="C766" s="37" t="s">
        <v>2069</v>
      </c>
      <c r="D766" s="55" t="s">
        <v>815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2070</v>
      </c>
      <c r="C767" s="37" t="s">
        <v>2071</v>
      </c>
      <c r="D767" s="55" t="s">
        <v>815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5165</v>
      </c>
      <c r="D768" s="55" t="s">
        <v>800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2072</v>
      </c>
      <c r="C769" s="37" t="s">
        <v>2073</v>
      </c>
      <c r="D769" s="55" t="s">
        <v>800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2074</v>
      </c>
      <c r="C770" s="37" t="s">
        <v>2075</v>
      </c>
      <c r="D770" s="55" t="s">
        <v>815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2076</v>
      </c>
      <c r="C771" s="37" t="s">
        <v>2077</v>
      </c>
      <c r="D771" s="55" t="s">
        <v>815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2078</v>
      </c>
      <c r="C772" s="37" t="s">
        <v>2079</v>
      </c>
      <c r="D772" s="55" t="s">
        <v>815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2080</v>
      </c>
      <c r="C773" s="37" t="s">
        <v>2081</v>
      </c>
      <c r="D773" s="55" t="s">
        <v>815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2082</v>
      </c>
      <c r="C774" s="37" t="s">
        <v>2083</v>
      </c>
      <c r="D774" s="55" t="s">
        <v>815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2084</v>
      </c>
      <c r="C775" s="37" t="s">
        <v>2085</v>
      </c>
      <c r="D775" s="55" t="s">
        <v>815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2086</v>
      </c>
      <c r="C776" s="37" t="s">
        <v>2087</v>
      </c>
      <c r="D776" s="55" t="s">
        <v>815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489</v>
      </c>
      <c r="C777" s="37" t="s">
        <v>490</v>
      </c>
      <c r="D777" s="55" t="s">
        <v>815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698</v>
      </c>
      <c r="C778" s="37" t="s">
        <v>699</v>
      </c>
      <c r="D778" s="55" t="s">
        <v>815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2088</v>
      </c>
      <c r="C779" s="37" t="s">
        <v>2089</v>
      </c>
      <c r="D779" s="55" t="s">
        <v>815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491</v>
      </c>
      <c r="C780" s="37" t="s">
        <v>492</v>
      </c>
      <c r="D780" s="55" t="s">
        <v>815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2090</v>
      </c>
      <c r="C781" s="37" t="s">
        <v>2091</v>
      </c>
      <c r="D781" s="55" t="s">
        <v>815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2092</v>
      </c>
      <c r="C782" s="37" t="s">
        <v>2093</v>
      </c>
      <c r="D782" s="55" t="s">
        <v>815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2094</v>
      </c>
      <c r="C783" s="37" t="s">
        <v>2095</v>
      </c>
      <c r="D783" s="55" t="s">
        <v>815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2096</v>
      </c>
      <c r="C784" s="37" t="s">
        <v>2097</v>
      </c>
      <c r="D784" s="55" t="s">
        <v>800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2098</v>
      </c>
      <c r="C785" s="37" t="s">
        <v>2099</v>
      </c>
      <c r="D785" s="55" t="s">
        <v>815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2100</v>
      </c>
      <c r="C786" s="37" t="s">
        <v>2101</v>
      </c>
      <c r="D786" s="55" t="s">
        <v>815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2102</v>
      </c>
      <c r="C787" s="37" t="s">
        <v>2103</v>
      </c>
      <c r="D787" s="55" t="s">
        <v>815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2104</v>
      </c>
      <c r="C788" s="37" t="s">
        <v>2105</v>
      </c>
      <c r="D788" s="55" t="s">
        <v>815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2106</v>
      </c>
      <c r="C789" s="37" t="s">
        <v>2107</v>
      </c>
      <c r="D789" s="55" t="s">
        <v>815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2108</v>
      </c>
      <c r="C790" s="37" t="s">
        <v>2109</v>
      </c>
      <c r="D790" s="55" t="s">
        <v>815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2110</v>
      </c>
      <c r="C791" s="37" t="s">
        <v>2111</v>
      </c>
      <c r="D791" s="55" t="s">
        <v>800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2112</v>
      </c>
      <c r="C792" s="37" t="s">
        <v>2113</v>
      </c>
      <c r="D792" s="55" t="s">
        <v>800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2114</v>
      </c>
      <c r="C793" s="37" t="s">
        <v>2115</v>
      </c>
      <c r="D793" s="55" t="s">
        <v>815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2116</v>
      </c>
      <c r="C794" s="37" t="s">
        <v>2117</v>
      </c>
      <c r="D794" s="55" t="s">
        <v>815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2118</v>
      </c>
      <c r="C795" s="37" t="s">
        <v>2119</v>
      </c>
      <c r="D795" s="55" t="s">
        <v>815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2120</v>
      </c>
      <c r="C796" s="37" t="s">
        <v>2121</v>
      </c>
      <c r="D796" s="55" t="s">
        <v>815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2122</v>
      </c>
      <c r="C797" s="37" t="s">
        <v>2123</v>
      </c>
      <c r="D797" s="55" t="s">
        <v>815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2124</v>
      </c>
      <c r="C798" s="37" t="s">
        <v>2125</v>
      </c>
      <c r="D798" s="55" t="s">
        <v>815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2126</v>
      </c>
      <c r="C799" s="37" t="s">
        <v>2127</v>
      </c>
      <c r="D799" s="55" t="s">
        <v>815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2128</v>
      </c>
      <c r="C800" s="37" t="s">
        <v>2129</v>
      </c>
      <c r="D800" s="55" t="s">
        <v>815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2130</v>
      </c>
      <c r="C801" s="37" t="s">
        <v>2131</v>
      </c>
      <c r="D801" s="55" t="s">
        <v>815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2132</v>
      </c>
      <c r="C802" s="37" t="s">
        <v>2133</v>
      </c>
      <c r="D802" s="55" t="s">
        <v>815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2134</v>
      </c>
      <c r="C803" s="37" t="s">
        <v>5177</v>
      </c>
      <c r="D803" s="55" t="s">
        <v>815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2135</v>
      </c>
      <c r="C804" s="37" t="s">
        <v>2136</v>
      </c>
      <c r="D804" s="55" t="s">
        <v>815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2137</v>
      </c>
      <c r="C805" s="37" t="s">
        <v>2138</v>
      </c>
      <c r="D805" s="55" t="s">
        <v>815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2139</v>
      </c>
      <c r="C806" s="37" t="s">
        <v>2140</v>
      </c>
      <c r="D806" s="55" t="s">
        <v>815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2141</v>
      </c>
      <c r="C807" s="37" t="s">
        <v>5171</v>
      </c>
      <c r="D807" s="55" t="s">
        <v>815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2142</v>
      </c>
      <c r="C808" s="37" t="s">
        <v>2143</v>
      </c>
      <c r="D808" s="55" t="s">
        <v>815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2144</v>
      </c>
      <c r="C809" s="37" t="s">
        <v>2145</v>
      </c>
      <c r="D809" s="55" t="s">
        <v>815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2146</v>
      </c>
      <c r="C810" s="37" t="s">
        <v>2147</v>
      </c>
      <c r="D810" s="55" t="s">
        <v>815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2148</v>
      </c>
      <c r="C811" s="37" t="s">
        <v>2149</v>
      </c>
      <c r="D811" s="55" t="s">
        <v>815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815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2150</v>
      </c>
      <c r="C813" s="37" t="s">
        <v>2151</v>
      </c>
      <c r="D813" s="55" t="s">
        <v>800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815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2152</v>
      </c>
      <c r="C815" s="37" t="s">
        <v>2153</v>
      </c>
      <c r="D815" s="55" t="s">
        <v>815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2154</v>
      </c>
      <c r="C816" s="37" t="s">
        <v>2155</v>
      </c>
      <c r="D816" s="55" t="s">
        <v>815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2156</v>
      </c>
      <c r="C817" s="37" t="s">
        <v>2157</v>
      </c>
      <c r="D817" s="55" t="s">
        <v>815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2158</v>
      </c>
      <c r="C818" s="37" t="s">
        <v>2159</v>
      </c>
      <c r="D818" s="55" t="s">
        <v>815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2160</v>
      </c>
      <c r="C819" s="37" t="s">
        <v>2161</v>
      </c>
      <c r="D819" s="55" t="s">
        <v>815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576</v>
      </c>
      <c r="C820" s="37" t="s">
        <v>577</v>
      </c>
      <c r="D820" s="55" t="s">
        <v>815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800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2162</v>
      </c>
      <c r="C822" s="37" t="s">
        <v>2163</v>
      </c>
      <c r="D822" s="55" t="s">
        <v>815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2164</v>
      </c>
      <c r="C823" s="37" t="s">
        <v>2165</v>
      </c>
      <c r="D823" s="55" t="s">
        <v>800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2166</v>
      </c>
      <c r="C824" s="37" t="s">
        <v>2167</v>
      </c>
      <c r="D824" s="55" t="s">
        <v>815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2168</v>
      </c>
      <c r="C825" s="37" t="s">
        <v>2169</v>
      </c>
      <c r="D825" s="55" t="s">
        <v>815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2170</v>
      </c>
      <c r="C826" s="37" t="s">
        <v>2171</v>
      </c>
      <c r="D826" s="55" t="s">
        <v>815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2172</v>
      </c>
      <c r="C827" s="37" t="s">
        <v>2173</v>
      </c>
      <c r="D827" s="55" t="s">
        <v>815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2174</v>
      </c>
      <c r="C828" s="37" t="s">
        <v>2175</v>
      </c>
      <c r="D828" s="55" t="s">
        <v>815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2176</v>
      </c>
      <c r="C829" s="37" t="s">
        <v>2177</v>
      </c>
      <c r="D829" s="55" t="s">
        <v>815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2178</v>
      </c>
      <c r="C830" s="37" t="s">
        <v>2179</v>
      </c>
      <c r="D830" s="55" t="s">
        <v>815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2180</v>
      </c>
      <c r="C831" s="37" t="s">
        <v>2181</v>
      </c>
      <c r="D831" s="55" t="s">
        <v>815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2182</v>
      </c>
      <c r="C832" s="37" t="s">
        <v>2183</v>
      </c>
      <c r="D832" s="55" t="s">
        <v>815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2184</v>
      </c>
      <c r="C833" s="37" t="s">
        <v>2185</v>
      </c>
      <c r="D833" s="55" t="s">
        <v>815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2186</v>
      </c>
      <c r="C834" s="37" t="s">
        <v>2187</v>
      </c>
      <c r="D834" s="55" t="s">
        <v>815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2188</v>
      </c>
      <c r="C835" s="37" t="s">
        <v>2189</v>
      </c>
      <c r="D835" s="55" t="s">
        <v>815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2190</v>
      </c>
      <c r="C836" s="37" t="s">
        <v>2191</v>
      </c>
      <c r="D836" s="55" t="s">
        <v>815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2192</v>
      </c>
      <c r="C837" s="37" t="s">
        <v>2193</v>
      </c>
      <c r="D837" s="55" t="s">
        <v>815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2194</v>
      </c>
      <c r="C838" s="37" t="s">
        <v>2195</v>
      </c>
      <c r="D838" s="55" t="s">
        <v>815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2196</v>
      </c>
      <c r="C839" s="37" t="s">
        <v>2197</v>
      </c>
      <c r="D839" s="55" t="s">
        <v>815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815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2198</v>
      </c>
      <c r="C841" s="37" t="s">
        <v>2199</v>
      </c>
      <c r="D841" s="55" t="s">
        <v>815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2200</v>
      </c>
      <c r="C842" s="37" t="s">
        <v>2201</v>
      </c>
      <c r="D842" s="55" t="s">
        <v>815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2202</v>
      </c>
      <c r="C843" s="37" t="s">
        <v>2203</v>
      </c>
      <c r="D843" s="55" t="s">
        <v>800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815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2204</v>
      </c>
      <c r="C845" s="37" t="s">
        <v>2205</v>
      </c>
      <c r="D845" s="55" t="s">
        <v>815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2206</v>
      </c>
      <c r="C846" s="37" t="s">
        <v>2207</v>
      </c>
      <c r="D846" s="55" t="s">
        <v>815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2208</v>
      </c>
      <c r="C847" s="37" t="s">
        <v>5192</v>
      </c>
      <c r="D847" s="55" t="s">
        <v>815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2209</v>
      </c>
      <c r="C848" s="37" t="s">
        <v>2210</v>
      </c>
      <c r="D848" s="55" t="s">
        <v>815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2211</v>
      </c>
      <c r="C849" s="37" t="s">
        <v>2212</v>
      </c>
      <c r="D849" s="55" t="s">
        <v>815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2213</v>
      </c>
      <c r="C850" s="37" t="s">
        <v>2214</v>
      </c>
      <c r="D850" s="55" t="s">
        <v>815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2215</v>
      </c>
      <c r="C851" s="37" t="s">
        <v>2216</v>
      </c>
      <c r="D851" s="55" t="s">
        <v>815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2217</v>
      </c>
      <c r="C852" s="37" t="s">
        <v>2218</v>
      </c>
      <c r="D852" s="55" t="s">
        <v>815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2219</v>
      </c>
      <c r="C853" s="37" t="s">
        <v>2220</v>
      </c>
      <c r="D853" s="55" t="s">
        <v>815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2221</v>
      </c>
      <c r="C854" s="37" t="s">
        <v>2222</v>
      </c>
      <c r="D854" s="55" t="s">
        <v>815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2223</v>
      </c>
      <c r="C855" s="37" t="s">
        <v>2224</v>
      </c>
      <c r="D855" s="55" t="s">
        <v>815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508</v>
      </c>
      <c r="C856" s="37" t="s">
        <v>509</v>
      </c>
      <c r="D856" s="55" t="s">
        <v>815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2225</v>
      </c>
      <c r="C857" s="37" t="s">
        <v>2226</v>
      </c>
      <c r="D857" s="55" t="s">
        <v>815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800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696</v>
      </c>
      <c r="C859" s="37" t="s">
        <v>697</v>
      </c>
      <c r="D859" s="55" t="s">
        <v>800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2227</v>
      </c>
      <c r="C860" s="37" t="s">
        <v>2228</v>
      </c>
      <c r="D860" s="55" t="s">
        <v>815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2229</v>
      </c>
      <c r="C861" s="37" t="s">
        <v>2230</v>
      </c>
      <c r="D861" s="55" t="s">
        <v>815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2231</v>
      </c>
      <c r="C862" s="37" t="s">
        <v>2232</v>
      </c>
      <c r="D862" s="55" t="s">
        <v>815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2233</v>
      </c>
      <c r="C863" s="37" t="s">
        <v>2234</v>
      </c>
      <c r="D863" s="55" t="s">
        <v>815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2235</v>
      </c>
      <c r="C864" s="37" t="s">
        <v>2236</v>
      </c>
      <c r="D864" s="55" t="s">
        <v>815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2237</v>
      </c>
      <c r="C865" s="37" t="s">
        <v>2238</v>
      </c>
      <c r="D865" s="55" t="s">
        <v>815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2239</v>
      </c>
      <c r="C866" s="37" t="s">
        <v>2240</v>
      </c>
      <c r="D866" s="55" t="s">
        <v>815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2241</v>
      </c>
      <c r="C867" s="37" t="s">
        <v>2242</v>
      </c>
      <c r="D867" s="55" t="s">
        <v>815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2243</v>
      </c>
      <c r="C868" s="37" t="s">
        <v>2244</v>
      </c>
      <c r="D868" s="55" t="s">
        <v>815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2245</v>
      </c>
      <c r="C869" s="37" t="s">
        <v>2246</v>
      </c>
      <c r="D869" s="55" t="s">
        <v>815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2247</v>
      </c>
      <c r="C870" s="37" t="s">
        <v>2248</v>
      </c>
      <c r="D870" s="55" t="s">
        <v>815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2249</v>
      </c>
      <c r="C871" s="37" t="s">
        <v>2250</v>
      </c>
      <c r="D871" s="55" t="s">
        <v>815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2251</v>
      </c>
      <c r="C872" s="37" t="s">
        <v>2252</v>
      </c>
      <c r="D872" s="55" t="s">
        <v>815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2253</v>
      </c>
      <c r="C873" s="37" t="s">
        <v>5197</v>
      </c>
      <c r="D873" s="55" t="s">
        <v>815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2254</v>
      </c>
      <c r="C874" s="37" t="s">
        <v>2255</v>
      </c>
      <c r="D874" s="55" t="s">
        <v>815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2256</v>
      </c>
      <c r="C875" s="37" t="s">
        <v>2257</v>
      </c>
      <c r="D875" s="55" t="s">
        <v>815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2258</v>
      </c>
      <c r="C876" s="37" t="s">
        <v>2259</v>
      </c>
      <c r="D876" s="55" t="s">
        <v>815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2260</v>
      </c>
      <c r="C877" s="37" t="s">
        <v>2261</v>
      </c>
      <c r="D877" s="55" t="s">
        <v>800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800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2262</v>
      </c>
      <c r="C879" s="37" t="s">
        <v>2263</v>
      </c>
      <c r="D879" s="55" t="s">
        <v>815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815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2264</v>
      </c>
      <c r="C881" s="37" t="s">
        <v>2265</v>
      </c>
      <c r="D881" s="55" t="s">
        <v>815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2266</v>
      </c>
      <c r="C882" s="37" t="s">
        <v>2267</v>
      </c>
      <c r="D882" s="55" t="s">
        <v>800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2268</v>
      </c>
      <c r="C883" s="37" t="s">
        <v>2269</v>
      </c>
      <c r="D883" s="55" t="s">
        <v>815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2270</v>
      </c>
      <c r="C884" s="37" t="s">
        <v>2271</v>
      </c>
      <c r="D884" s="55" t="s">
        <v>815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2272</v>
      </c>
      <c r="C885" s="37" t="s">
        <v>2273</v>
      </c>
      <c r="D885" s="55" t="s">
        <v>815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2274</v>
      </c>
      <c r="C886" s="37" t="s">
        <v>2275</v>
      </c>
      <c r="D886" s="55" t="s">
        <v>815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2276</v>
      </c>
      <c r="C887" s="37" t="s">
        <v>2277</v>
      </c>
      <c r="D887" s="55" t="s">
        <v>815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2278</v>
      </c>
      <c r="C888" s="37" t="s">
        <v>2279</v>
      </c>
      <c r="D888" s="55" t="s">
        <v>815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2280</v>
      </c>
      <c r="C889" s="37" t="s">
        <v>2281</v>
      </c>
      <c r="D889" s="55" t="s">
        <v>815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2282</v>
      </c>
      <c r="C890" s="37" t="s">
        <v>2283</v>
      </c>
      <c r="D890" s="55" t="s">
        <v>815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2284</v>
      </c>
      <c r="C891" s="37" t="s">
        <v>2285</v>
      </c>
      <c r="D891" s="55" t="s">
        <v>815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2286</v>
      </c>
      <c r="C892" s="37" t="s">
        <v>2287</v>
      </c>
      <c r="D892" s="55" t="s">
        <v>815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2288</v>
      </c>
      <c r="C893" s="37" t="s">
        <v>2289</v>
      </c>
      <c r="D893" s="55" t="s">
        <v>815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2290</v>
      </c>
      <c r="C894" s="37" t="s">
        <v>2291</v>
      </c>
      <c r="D894" s="55" t="s">
        <v>815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2292</v>
      </c>
      <c r="C895" s="37" t="s">
        <v>2293</v>
      </c>
      <c r="D895" s="55" t="s">
        <v>815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2294</v>
      </c>
      <c r="C896" s="37" t="s">
        <v>2295</v>
      </c>
      <c r="D896" s="55" t="s">
        <v>815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2296</v>
      </c>
      <c r="C897" s="37" t="s">
        <v>2297</v>
      </c>
      <c r="D897" s="55" t="s">
        <v>815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2298</v>
      </c>
      <c r="C898" s="37" t="s">
        <v>2299</v>
      </c>
      <c r="D898" s="55" t="s">
        <v>815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2300</v>
      </c>
      <c r="C899" s="37" t="s">
        <v>5166</v>
      </c>
      <c r="D899" s="55" t="s">
        <v>815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2301</v>
      </c>
      <c r="C900" s="37" t="s">
        <v>2302</v>
      </c>
      <c r="D900" s="55" t="s">
        <v>815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2303</v>
      </c>
      <c r="C901" s="37" t="s">
        <v>2304</v>
      </c>
      <c r="D901" s="55" t="s">
        <v>815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2305</v>
      </c>
      <c r="C902" s="37" t="s">
        <v>2306</v>
      </c>
      <c r="D902" s="55" t="s">
        <v>815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800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800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2307</v>
      </c>
      <c r="C905" s="37" t="s">
        <v>2308</v>
      </c>
      <c r="D905" s="55" t="s">
        <v>815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2309</v>
      </c>
      <c r="C906" s="37" t="s">
        <v>2310</v>
      </c>
      <c r="D906" s="55" t="s">
        <v>815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2311</v>
      </c>
      <c r="C907" s="37" t="s">
        <v>2312</v>
      </c>
      <c r="D907" s="55" t="s">
        <v>800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2313</v>
      </c>
      <c r="C908" s="37" t="s">
        <v>2314</v>
      </c>
      <c r="D908" s="55" t="s">
        <v>815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2315</v>
      </c>
      <c r="C909" s="37" t="s">
        <v>2316</v>
      </c>
      <c r="D909" s="55" t="s">
        <v>815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550</v>
      </c>
      <c r="C910" s="37" t="s">
        <v>551</v>
      </c>
      <c r="D910" s="55" t="s">
        <v>800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2317</v>
      </c>
      <c r="C911" s="37" t="s">
        <v>2318</v>
      </c>
      <c r="D911" s="55" t="s">
        <v>815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2319</v>
      </c>
      <c r="C912" s="37" t="s">
        <v>2320</v>
      </c>
      <c r="D912" s="55" t="s">
        <v>815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2321</v>
      </c>
      <c r="C913" s="37" t="s">
        <v>2322</v>
      </c>
      <c r="D913" s="55" t="s">
        <v>815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2323</v>
      </c>
      <c r="C914" s="37" t="s">
        <v>2324</v>
      </c>
      <c r="D914" s="55" t="s">
        <v>815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2325</v>
      </c>
      <c r="C915" s="37" t="s">
        <v>2326</v>
      </c>
      <c r="D915" s="55" t="s">
        <v>815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2327</v>
      </c>
      <c r="C916" s="37" t="s">
        <v>2328</v>
      </c>
      <c r="D916" s="55" t="s">
        <v>815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2329</v>
      </c>
      <c r="C917" s="37" t="s">
        <v>2330</v>
      </c>
      <c r="D917" s="55" t="s">
        <v>815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2331</v>
      </c>
      <c r="C918" s="37" t="s">
        <v>5172</v>
      </c>
      <c r="D918" s="55" t="s">
        <v>815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2332</v>
      </c>
      <c r="C919" s="37" t="s">
        <v>2333</v>
      </c>
      <c r="D919" s="55" t="s">
        <v>815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2334</v>
      </c>
      <c r="C920" s="37" t="s">
        <v>2335</v>
      </c>
      <c r="D920" s="55" t="s">
        <v>815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2336</v>
      </c>
      <c r="C921" s="37" t="s">
        <v>2337</v>
      </c>
      <c r="D921" s="55" t="s">
        <v>815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2338</v>
      </c>
      <c r="C922" s="37" t="s">
        <v>2339</v>
      </c>
      <c r="D922" s="55" t="s">
        <v>815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2340</v>
      </c>
      <c r="C923" s="37" t="s">
        <v>2341</v>
      </c>
      <c r="D923" s="55" t="s">
        <v>815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2342</v>
      </c>
      <c r="C924" s="37" t="s">
        <v>2343</v>
      </c>
      <c r="D924" s="55" t="s">
        <v>815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2344</v>
      </c>
      <c r="C925" s="37" t="s">
        <v>2345</v>
      </c>
      <c r="D925" s="55" t="s">
        <v>815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2346</v>
      </c>
      <c r="C926" s="37" t="s">
        <v>2347</v>
      </c>
      <c r="D926" s="55" t="s">
        <v>815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2348</v>
      </c>
      <c r="C927" s="37" t="s">
        <v>2349</v>
      </c>
      <c r="D927" s="55" t="s">
        <v>815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2350</v>
      </c>
      <c r="C928" s="37" t="s">
        <v>2351</v>
      </c>
      <c r="D928" s="55" t="s">
        <v>815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2352</v>
      </c>
      <c r="C929" s="37" t="s">
        <v>2353</v>
      </c>
      <c r="D929" s="55" t="s">
        <v>815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2354</v>
      </c>
      <c r="C930" s="37" t="s">
        <v>2355</v>
      </c>
      <c r="D930" s="55" t="s">
        <v>815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2356</v>
      </c>
      <c r="C931" s="37" t="s">
        <v>2357</v>
      </c>
      <c r="D931" s="55" t="s">
        <v>815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2358</v>
      </c>
      <c r="C932" s="37" t="s">
        <v>2359</v>
      </c>
      <c r="D932" s="55" t="s">
        <v>815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2360</v>
      </c>
      <c r="C933" s="37" t="s">
        <v>2361</v>
      </c>
      <c r="D933" s="55" t="s">
        <v>800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2362</v>
      </c>
      <c r="C934" s="37" t="s">
        <v>2363</v>
      </c>
      <c r="D934" s="55" t="s">
        <v>815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2364</v>
      </c>
      <c r="C935" s="37" t="s">
        <v>2365</v>
      </c>
      <c r="D935" s="55" t="s">
        <v>815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2366</v>
      </c>
      <c r="C936" s="37" t="s">
        <v>2367</v>
      </c>
      <c r="D936" s="55" t="s">
        <v>815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2368</v>
      </c>
      <c r="C937" s="37" t="s">
        <v>2369</v>
      </c>
      <c r="D937" s="55" t="s">
        <v>815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2370</v>
      </c>
      <c r="C938" s="37" t="s">
        <v>2371</v>
      </c>
      <c r="D938" s="55" t="s">
        <v>815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2372</v>
      </c>
      <c r="C939" s="37" t="s">
        <v>2373</v>
      </c>
      <c r="D939" s="55" t="s">
        <v>815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2374</v>
      </c>
      <c r="C940" s="37" t="s">
        <v>2375</v>
      </c>
      <c r="D940" s="55" t="s">
        <v>815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2376</v>
      </c>
      <c r="C941" s="37" t="s">
        <v>2377</v>
      </c>
      <c r="D941" s="55" t="s">
        <v>815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2378</v>
      </c>
      <c r="C942" s="37" t="s">
        <v>2379</v>
      </c>
      <c r="D942" s="55" t="s">
        <v>815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2380</v>
      </c>
      <c r="C943" s="37" t="s">
        <v>2381</v>
      </c>
      <c r="D943" s="55" t="s">
        <v>815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2382</v>
      </c>
      <c r="C944" s="37" t="s">
        <v>2383</v>
      </c>
      <c r="D944" s="55" t="s">
        <v>815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2384</v>
      </c>
      <c r="C945" s="37" t="s">
        <v>2385</v>
      </c>
      <c r="D945" s="55" t="s">
        <v>815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2386</v>
      </c>
      <c r="C946" s="37" t="s">
        <v>2387</v>
      </c>
      <c r="D946" s="55" t="s">
        <v>815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2388</v>
      </c>
      <c r="C947" s="37" t="s">
        <v>2389</v>
      </c>
      <c r="D947" s="55" t="s">
        <v>815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2390</v>
      </c>
      <c r="C948" s="37" t="s">
        <v>2391</v>
      </c>
      <c r="D948" s="55" t="s">
        <v>815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2392</v>
      </c>
      <c r="C949" s="37" t="s">
        <v>2393</v>
      </c>
      <c r="D949" s="55" t="s">
        <v>815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2394</v>
      </c>
      <c r="C950" s="37" t="s">
        <v>2395</v>
      </c>
      <c r="D950" s="55" t="s">
        <v>815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800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2396</v>
      </c>
      <c r="C952" s="37" t="s">
        <v>2397</v>
      </c>
      <c r="D952" s="55" t="s">
        <v>800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2398</v>
      </c>
      <c r="C953" s="37" t="s">
        <v>2399</v>
      </c>
      <c r="D953" s="55" t="s">
        <v>815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2400</v>
      </c>
      <c r="C954" s="37" t="s">
        <v>2401</v>
      </c>
      <c r="D954" s="55" t="s">
        <v>800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800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2402</v>
      </c>
      <c r="C956" s="37" t="s">
        <v>2403</v>
      </c>
      <c r="D956" s="55" t="s">
        <v>815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2404</v>
      </c>
      <c r="C957" s="37" t="s">
        <v>2405</v>
      </c>
      <c r="D957" s="55" t="s">
        <v>815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2406</v>
      </c>
      <c r="C958" s="37" t="s">
        <v>2407</v>
      </c>
      <c r="D958" s="55" t="s">
        <v>815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2408</v>
      </c>
      <c r="C959" s="37" t="s">
        <v>2409</v>
      </c>
      <c r="D959" s="55" t="s">
        <v>815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2410</v>
      </c>
      <c r="C960" s="37" t="s">
        <v>2411</v>
      </c>
      <c r="D960" s="55" t="s">
        <v>815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2412</v>
      </c>
      <c r="C961" s="37" t="s">
        <v>2413</v>
      </c>
      <c r="D961" s="55" t="s">
        <v>815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514</v>
      </c>
      <c r="C962" s="37" t="s">
        <v>515</v>
      </c>
      <c r="D962" s="55" t="s">
        <v>815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2414</v>
      </c>
      <c r="C963" s="37" t="s">
        <v>2415</v>
      </c>
      <c r="D963" s="55" t="s">
        <v>815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2416</v>
      </c>
      <c r="C964" s="37" t="s">
        <v>2417</v>
      </c>
      <c r="D964" s="55" t="s">
        <v>815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2418</v>
      </c>
      <c r="C965" s="37" t="s">
        <v>2419</v>
      </c>
      <c r="D965" s="55" t="s">
        <v>815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800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742</v>
      </c>
      <c r="C967" s="37" t="s">
        <v>743</v>
      </c>
      <c r="D967" s="55" t="s">
        <v>815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2420</v>
      </c>
      <c r="C968" s="37" t="s">
        <v>2421</v>
      </c>
      <c r="D968" s="55" t="s">
        <v>815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2422</v>
      </c>
      <c r="C969" s="37" t="s">
        <v>2423</v>
      </c>
      <c r="D969" s="55" t="s">
        <v>815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2424</v>
      </c>
      <c r="C970" s="37" t="s">
        <v>2425</v>
      </c>
      <c r="D970" s="55" t="s">
        <v>815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2426</v>
      </c>
      <c r="C971" s="37" t="s">
        <v>2427</v>
      </c>
      <c r="D971" s="55" t="s">
        <v>815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2428</v>
      </c>
      <c r="C972" s="37" t="s">
        <v>2429</v>
      </c>
      <c r="D972" s="55" t="s">
        <v>815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2430</v>
      </c>
      <c r="C973" s="37" t="s">
        <v>2431</v>
      </c>
      <c r="D973" s="55" t="s">
        <v>815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2432</v>
      </c>
      <c r="C974" s="37" t="s">
        <v>2433</v>
      </c>
      <c r="D974" s="55" t="s">
        <v>815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2434</v>
      </c>
      <c r="C975" s="37" t="s">
        <v>2435</v>
      </c>
      <c r="D975" s="55" t="s">
        <v>815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2436</v>
      </c>
      <c r="C976" s="37" t="s">
        <v>2437</v>
      </c>
      <c r="D976" s="55" t="s">
        <v>815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2438</v>
      </c>
      <c r="C977" s="37" t="s">
        <v>2439</v>
      </c>
      <c r="D977" s="55" t="s">
        <v>800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2440</v>
      </c>
      <c r="C978" s="37" t="s">
        <v>2441</v>
      </c>
      <c r="D978" s="55" t="s">
        <v>815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2442</v>
      </c>
      <c r="C979" s="37" t="s">
        <v>2443</v>
      </c>
      <c r="D979" s="55" t="s">
        <v>815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2444</v>
      </c>
      <c r="C980" s="37" t="s">
        <v>2445</v>
      </c>
      <c r="D980" s="55" t="s">
        <v>815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2446</v>
      </c>
      <c r="C981" s="37" t="s">
        <v>2447</v>
      </c>
      <c r="D981" s="55" t="s">
        <v>815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2448</v>
      </c>
      <c r="C982" s="37" t="s">
        <v>2449</v>
      </c>
      <c r="D982" s="55" t="s">
        <v>815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2450</v>
      </c>
      <c r="C983" s="37" t="s">
        <v>2451</v>
      </c>
      <c r="D983" s="55" t="s">
        <v>815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2452</v>
      </c>
      <c r="C984" s="37" t="s">
        <v>2453</v>
      </c>
      <c r="D984" s="55" t="s">
        <v>815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2454</v>
      </c>
      <c r="C985" s="37" t="s">
        <v>2455</v>
      </c>
      <c r="D985" s="55" t="s">
        <v>815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744</v>
      </c>
      <c r="C986" s="37" t="s">
        <v>745</v>
      </c>
      <c r="D986" s="55" t="s">
        <v>815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2456</v>
      </c>
      <c r="C987" s="37" t="s">
        <v>2457</v>
      </c>
      <c r="D987" s="55" t="s">
        <v>815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2458</v>
      </c>
      <c r="C988" s="37" t="s">
        <v>2459</v>
      </c>
      <c r="D988" s="55" t="s">
        <v>800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2460</v>
      </c>
      <c r="C989" s="37" t="s">
        <v>2461</v>
      </c>
      <c r="D989" s="55" t="s">
        <v>815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2462</v>
      </c>
      <c r="C990" s="37" t="s">
        <v>2463</v>
      </c>
      <c r="D990" s="55" t="s">
        <v>815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2464</v>
      </c>
      <c r="C991" s="37" t="s">
        <v>2465</v>
      </c>
      <c r="D991" s="55" t="s">
        <v>815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2466</v>
      </c>
      <c r="C992" s="37" t="s">
        <v>2467</v>
      </c>
      <c r="D992" s="55" t="s">
        <v>815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2468</v>
      </c>
      <c r="C993" s="37" t="s">
        <v>2469</v>
      </c>
      <c r="D993" s="55" t="s">
        <v>815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2470</v>
      </c>
      <c r="C994" s="37" t="s">
        <v>5200</v>
      </c>
      <c r="D994" s="55" t="s">
        <v>815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2471</v>
      </c>
      <c r="C995" s="37" t="s">
        <v>2472</v>
      </c>
      <c r="D995" s="55" t="s">
        <v>815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2473</v>
      </c>
      <c r="C996" s="37" t="s">
        <v>2474</v>
      </c>
      <c r="D996" s="55" t="s">
        <v>815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2475</v>
      </c>
      <c r="C997" s="37" t="s">
        <v>2476</v>
      </c>
      <c r="D997" s="55" t="s">
        <v>815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2477</v>
      </c>
      <c r="C998" s="37" t="s">
        <v>2478</v>
      </c>
      <c r="D998" s="55" t="s">
        <v>815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2479</v>
      </c>
      <c r="C999" s="37" t="s">
        <v>2480</v>
      </c>
      <c r="D999" s="55" t="s">
        <v>815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2481</v>
      </c>
      <c r="C1000" s="37" t="s">
        <v>2482</v>
      </c>
      <c r="D1000" s="55" t="s">
        <v>815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2483</v>
      </c>
      <c r="C1001" s="37" t="s">
        <v>2484</v>
      </c>
      <c r="D1001" s="55" t="s">
        <v>815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2485</v>
      </c>
      <c r="C1002" s="37" t="s">
        <v>2486</v>
      </c>
      <c r="D1002" s="55" t="s">
        <v>815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2487</v>
      </c>
      <c r="C1003" s="37" t="s">
        <v>2488</v>
      </c>
      <c r="D1003" s="55" t="s">
        <v>815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2489</v>
      </c>
      <c r="C1004" s="37" t="s">
        <v>2490</v>
      </c>
      <c r="D1004" s="55" t="s">
        <v>815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2491</v>
      </c>
      <c r="C1005" s="37" t="s">
        <v>2492</v>
      </c>
      <c r="D1005" s="55" t="s">
        <v>815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2493</v>
      </c>
      <c r="C1006" s="37" t="s">
        <v>2494</v>
      </c>
      <c r="D1006" s="55" t="s">
        <v>815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2495</v>
      </c>
      <c r="C1007" s="37" t="s">
        <v>2496</v>
      </c>
      <c r="D1007" s="55" t="s">
        <v>815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2497</v>
      </c>
      <c r="C1008" s="37" t="s">
        <v>2498</v>
      </c>
      <c r="D1008" s="55" t="s">
        <v>815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2499</v>
      </c>
      <c r="C1009" s="37" t="s">
        <v>2500</v>
      </c>
      <c r="D1009" s="55" t="s">
        <v>815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815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2501</v>
      </c>
      <c r="C1011" s="37" t="s">
        <v>2502</v>
      </c>
      <c r="D1011" s="55" t="s">
        <v>800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800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815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2503</v>
      </c>
      <c r="C1014" s="37" t="s">
        <v>2504</v>
      </c>
      <c r="D1014" s="55" t="s">
        <v>815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2505</v>
      </c>
      <c r="C1015" s="37" t="s">
        <v>5211</v>
      </c>
      <c r="D1015" s="55" t="s">
        <v>815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SFA</v>
      </c>
      <c r="K1015" s="37" t="str">
        <f t="shared" si="87"/>
        <v>A056190</v>
      </c>
    </row>
    <row r="1016" spans="1:11" x14ac:dyDescent="0.4">
      <c r="A1016" s="49"/>
      <c r="B1016" s="54" t="s">
        <v>2507</v>
      </c>
      <c r="C1016" s="37" t="s">
        <v>2508</v>
      </c>
      <c r="D1016" s="55" t="s">
        <v>815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2509</v>
      </c>
      <c r="C1017" s="37" t="s">
        <v>2510</v>
      </c>
      <c r="D1017" s="55" t="s">
        <v>815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2511</v>
      </c>
      <c r="C1018" s="37" t="s">
        <v>2512</v>
      </c>
      <c r="D1018" s="55" t="s">
        <v>815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2513</v>
      </c>
      <c r="C1019" s="37" t="s">
        <v>2514</v>
      </c>
      <c r="D1019" s="55" t="s">
        <v>815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800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2515</v>
      </c>
      <c r="C1021" s="37" t="s">
        <v>2516</v>
      </c>
      <c r="D1021" s="55" t="s">
        <v>815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2517</v>
      </c>
      <c r="C1022" s="37" t="s">
        <v>2518</v>
      </c>
      <c r="D1022" s="55" t="s">
        <v>815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2519</v>
      </c>
      <c r="C1023" s="37" t="s">
        <v>2520</v>
      </c>
      <c r="D1023" s="55" t="s">
        <v>815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2521</v>
      </c>
      <c r="C1024" s="37" t="s">
        <v>2522</v>
      </c>
      <c r="D1024" s="55" t="s">
        <v>815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2523</v>
      </c>
      <c r="C1025" s="37" t="s">
        <v>2524</v>
      </c>
      <c r="D1025" s="55" t="s">
        <v>800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2525</v>
      </c>
      <c r="C1026" s="37" t="s">
        <v>2526</v>
      </c>
      <c r="D1026" s="55" t="s">
        <v>815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815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815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2527</v>
      </c>
      <c r="C1029" s="37" t="s">
        <v>2528</v>
      </c>
      <c r="D1029" s="55" t="s">
        <v>815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2529</v>
      </c>
      <c r="C1030" s="37" t="s">
        <v>2530</v>
      </c>
      <c r="D1030" s="55" t="s">
        <v>800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2531</v>
      </c>
      <c r="C1031" s="37" t="s">
        <v>2532</v>
      </c>
      <c r="D1031" s="55" t="s">
        <v>800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2533</v>
      </c>
      <c r="C1032" s="37" t="s">
        <v>2534</v>
      </c>
      <c r="D1032" s="55" t="s">
        <v>815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2535</v>
      </c>
      <c r="C1033" s="37" t="s">
        <v>2536</v>
      </c>
      <c r="D1033" s="55" t="s">
        <v>800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2537</v>
      </c>
      <c r="C1034" s="37" t="s">
        <v>2538</v>
      </c>
      <c r="D1034" s="55" t="s">
        <v>800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2539</v>
      </c>
      <c r="C1035" s="37" t="s">
        <v>2540</v>
      </c>
      <c r="D1035" s="55" t="s">
        <v>815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410</v>
      </c>
      <c r="C1036" s="37" t="s">
        <v>411</v>
      </c>
      <c r="D1036" s="55" t="s">
        <v>815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2541</v>
      </c>
      <c r="C1037" s="37" t="s">
        <v>2542</v>
      </c>
      <c r="D1037" s="55" t="s">
        <v>815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2543</v>
      </c>
      <c r="C1038" s="37" t="s">
        <v>2544</v>
      </c>
      <c r="D1038" s="55" t="s">
        <v>815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2545</v>
      </c>
      <c r="C1039" s="37" t="s">
        <v>2546</v>
      </c>
      <c r="D1039" s="55" t="s">
        <v>815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2547</v>
      </c>
      <c r="C1040" s="37" t="s">
        <v>2548</v>
      </c>
      <c r="D1040" s="55" t="s">
        <v>815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2549</v>
      </c>
      <c r="C1041" s="37" t="s">
        <v>2550</v>
      </c>
      <c r="D1041" s="55" t="s">
        <v>815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2551</v>
      </c>
      <c r="C1042" s="37" t="s">
        <v>2552</v>
      </c>
      <c r="D1042" s="55" t="s">
        <v>815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2553</v>
      </c>
      <c r="C1043" s="37" t="s">
        <v>2554</v>
      </c>
      <c r="D1043" s="55" t="s">
        <v>815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2555</v>
      </c>
      <c r="C1044" s="37" t="s">
        <v>2556</v>
      </c>
      <c r="D1044" s="55" t="s">
        <v>815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2557</v>
      </c>
      <c r="C1045" s="37" t="s">
        <v>2558</v>
      </c>
      <c r="D1045" s="55" t="s">
        <v>815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815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2559</v>
      </c>
      <c r="C1047" s="37" t="s">
        <v>2560</v>
      </c>
      <c r="D1047" s="55" t="s">
        <v>815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2561</v>
      </c>
      <c r="C1048" s="37" t="s">
        <v>2562</v>
      </c>
      <c r="D1048" s="55" t="s">
        <v>815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2563</v>
      </c>
      <c r="C1049" s="37" t="s">
        <v>2564</v>
      </c>
      <c r="D1049" s="55" t="s">
        <v>815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2565</v>
      </c>
      <c r="C1050" s="37" t="s">
        <v>2566</v>
      </c>
      <c r="D1050" s="55" t="s">
        <v>815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2567</v>
      </c>
      <c r="C1051" s="37" t="s">
        <v>2568</v>
      </c>
      <c r="D1051" s="55" t="s">
        <v>815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2569</v>
      </c>
      <c r="C1052" s="37" t="s">
        <v>2570</v>
      </c>
      <c r="D1052" s="55" t="s">
        <v>815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2571</v>
      </c>
      <c r="C1053" s="37" t="s">
        <v>2572</v>
      </c>
      <c r="D1053" s="55" t="s">
        <v>815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2573</v>
      </c>
      <c r="C1054" s="37" t="s">
        <v>2574</v>
      </c>
      <c r="D1054" s="55" t="s">
        <v>815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2575</v>
      </c>
      <c r="C1055" s="37" t="s">
        <v>2576</v>
      </c>
      <c r="D1055" s="55" t="s">
        <v>815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2577</v>
      </c>
      <c r="C1056" s="37" t="s">
        <v>2578</v>
      </c>
      <c r="D1056" s="55" t="s">
        <v>815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2579</v>
      </c>
      <c r="C1057" s="37" t="s">
        <v>2580</v>
      </c>
      <c r="D1057" s="55" t="s">
        <v>815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2581</v>
      </c>
      <c r="C1058" s="37" t="s">
        <v>2582</v>
      </c>
      <c r="D1058" s="55" t="s">
        <v>800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2583</v>
      </c>
      <c r="C1059" s="37" t="s">
        <v>2584</v>
      </c>
      <c r="D1059" s="55" t="s">
        <v>815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2585</v>
      </c>
      <c r="C1060" s="37" t="s">
        <v>2586</v>
      </c>
      <c r="D1060" s="55" t="s">
        <v>815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2587</v>
      </c>
      <c r="C1061" s="37" t="s">
        <v>2588</v>
      </c>
      <c r="D1061" s="55" t="s">
        <v>815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2589</v>
      </c>
      <c r="C1062" s="37" t="s">
        <v>2590</v>
      </c>
      <c r="D1062" s="55" t="s">
        <v>815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800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2591</v>
      </c>
      <c r="C1064" s="37" t="s">
        <v>2592</v>
      </c>
      <c r="D1064" s="55" t="s">
        <v>815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2593</v>
      </c>
      <c r="C1065" s="37" t="s">
        <v>2594</v>
      </c>
      <c r="D1065" s="55" t="s">
        <v>815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2595</v>
      </c>
      <c r="C1066" s="37" t="s">
        <v>2596</v>
      </c>
      <c r="D1066" s="55" t="s">
        <v>800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2597</v>
      </c>
      <c r="C1067" s="37" t="s">
        <v>2598</v>
      </c>
      <c r="D1067" s="55" t="s">
        <v>815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2599</v>
      </c>
      <c r="C1068" s="37" t="s">
        <v>2600</v>
      </c>
      <c r="D1068" s="55" t="s">
        <v>815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2601</v>
      </c>
      <c r="C1069" s="37" t="s">
        <v>2602</v>
      </c>
      <c r="D1069" s="55" t="s">
        <v>815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2603</v>
      </c>
      <c r="C1070" s="37" t="s">
        <v>2604</v>
      </c>
      <c r="D1070" s="55" t="s">
        <v>815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2605</v>
      </c>
      <c r="C1071" s="37" t="s">
        <v>2606</v>
      </c>
      <c r="D1071" s="55" t="s">
        <v>815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2607</v>
      </c>
      <c r="C1072" s="37" t="s">
        <v>2608</v>
      </c>
      <c r="D1072" s="55" t="s">
        <v>815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666</v>
      </c>
      <c r="C1073" s="37" t="s">
        <v>667</v>
      </c>
      <c r="D1073" s="55" t="s">
        <v>815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663</v>
      </c>
      <c r="C1074" s="37" t="s">
        <v>664</v>
      </c>
      <c r="D1074" s="55" t="s">
        <v>815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800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800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2609</v>
      </c>
      <c r="C1077" s="37" t="s">
        <v>2610</v>
      </c>
      <c r="D1077" s="55" t="s">
        <v>815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2611</v>
      </c>
      <c r="C1078" s="37" t="s">
        <v>2612</v>
      </c>
      <c r="D1078" s="55" t="s">
        <v>815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2613</v>
      </c>
      <c r="C1079" s="37" t="s">
        <v>2614</v>
      </c>
      <c r="D1079" s="55" t="s">
        <v>815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493</v>
      </c>
      <c r="C1080" s="37" t="s">
        <v>494</v>
      </c>
      <c r="D1080" s="55" t="s">
        <v>815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2615</v>
      </c>
      <c r="C1081" s="37" t="s">
        <v>2616</v>
      </c>
      <c r="D1081" s="55" t="s">
        <v>815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2617</v>
      </c>
      <c r="C1082" s="37" t="s">
        <v>2618</v>
      </c>
      <c r="D1082" s="55" t="s">
        <v>815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2619</v>
      </c>
      <c r="C1083" s="37" t="s">
        <v>2620</v>
      </c>
      <c r="D1083" s="55" t="s">
        <v>815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2621</v>
      </c>
      <c r="C1084" s="37" t="s">
        <v>2622</v>
      </c>
      <c r="D1084" s="55" t="s">
        <v>800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2623</v>
      </c>
      <c r="C1085" s="37" t="s">
        <v>2624</v>
      </c>
      <c r="D1085" s="55" t="s">
        <v>815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2625</v>
      </c>
      <c r="C1086" s="37" t="s">
        <v>2626</v>
      </c>
      <c r="D1086" s="55" t="s">
        <v>815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2627</v>
      </c>
      <c r="C1087" s="37" t="s">
        <v>2628</v>
      </c>
      <c r="D1087" s="55" t="s">
        <v>815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2629</v>
      </c>
      <c r="C1088" s="37" t="s">
        <v>2630</v>
      </c>
      <c r="D1088" s="55" t="s">
        <v>815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2631</v>
      </c>
      <c r="C1089" s="37" t="s">
        <v>2632</v>
      </c>
      <c r="D1089" s="55" t="s">
        <v>815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2633</v>
      </c>
      <c r="C1090" s="37" t="s">
        <v>2634</v>
      </c>
      <c r="D1090" s="55" t="s">
        <v>815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2635</v>
      </c>
      <c r="C1091" s="37" t="s">
        <v>2636</v>
      </c>
      <c r="D1091" s="55" t="s">
        <v>815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2637</v>
      </c>
      <c r="C1092" s="37" t="s">
        <v>2638</v>
      </c>
      <c r="D1092" s="55" t="s">
        <v>815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2639</v>
      </c>
      <c r="C1093" s="37" t="s">
        <v>2640</v>
      </c>
      <c r="D1093" s="55" t="s">
        <v>815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2641</v>
      </c>
      <c r="C1094" s="37" t="s">
        <v>2642</v>
      </c>
      <c r="D1094" s="55" t="s">
        <v>815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2643</v>
      </c>
      <c r="C1095" s="37" t="s">
        <v>2644</v>
      </c>
      <c r="D1095" s="55" t="s">
        <v>815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2645</v>
      </c>
      <c r="C1096" s="37" t="s">
        <v>2646</v>
      </c>
      <c r="D1096" s="55" t="s">
        <v>815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2647</v>
      </c>
      <c r="C1097" s="37" t="s">
        <v>2648</v>
      </c>
      <c r="D1097" s="55" t="s">
        <v>815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2649</v>
      </c>
      <c r="C1098" s="37" t="s">
        <v>2650</v>
      </c>
      <c r="D1098" s="55" t="s">
        <v>815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2651</v>
      </c>
      <c r="C1099" s="37" t="s">
        <v>2652</v>
      </c>
      <c r="D1099" s="55" t="s">
        <v>815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2653</v>
      </c>
      <c r="C1100" s="37" t="s">
        <v>2654</v>
      </c>
      <c r="D1100" s="55" t="s">
        <v>815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2655</v>
      </c>
      <c r="C1101" s="37" t="s">
        <v>2656</v>
      </c>
      <c r="D1101" s="55" t="s">
        <v>815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2657</v>
      </c>
      <c r="C1102" s="37" t="s">
        <v>2658</v>
      </c>
      <c r="D1102" s="55" t="s">
        <v>815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2659</v>
      </c>
      <c r="C1103" s="37" t="s">
        <v>2660</v>
      </c>
      <c r="D1103" s="55" t="s">
        <v>815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2661</v>
      </c>
      <c r="C1104" s="37" t="s">
        <v>2662</v>
      </c>
      <c r="D1104" s="55" t="s">
        <v>815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2663</v>
      </c>
      <c r="C1105" s="37" t="s">
        <v>2664</v>
      </c>
      <c r="D1105" s="55" t="s">
        <v>815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2665</v>
      </c>
      <c r="C1106" s="37" t="s">
        <v>2666</v>
      </c>
      <c r="D1106" s="55" t="s">
        <v>815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2667</v>
      </c>
      <c r="C1107" s="37" t="s">
        <v>2668</v>
      </c>
      <c r="D1107" s="55" t="s">
        <v>815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2669</v>
      </c>
      <c r="C1108" s="37" t="s">
        <v>2670</v>
      </c>
      <c r="D1108" s="55" t="s">
        <v>815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2671</v>
      </c>
      <c r="C1109" s="37" t="s">
        <v>2672</v>
      </c>
      <c r="D1109" s="55" t="s">
        <v>815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800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2673</v>
      </c>
      <c r="C1111" s="37" t="s">
        <v>5156</v>
      </c>
      <c r="D1111" s="55" t="s">
        <v>815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2674</v>
      </c>
      <c r="C1112" s="37" t="s">
        <v>2675</v>
      </c>
      <c r="D1112" s="55" t="s">
        <v>815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2676</v>
      </c>
      <c r="C1113" s="37" t="s">
        <v>2677</v>
      </c>
      <c r="D1113" s="55" t="s">
        <v>815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2678</v>
      </c>
      <c r="C1114" s="37" t="s">
        <v>2679</v>
      </c>
      <c r="D1114" s="55" t="s">
        <v>815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2680</v>
      </c>
      <c r="C1115" s="37" t="s">
        <v>2681</v>
      </c>
      <c r="D1115" s="55" t="s">
        <v>815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2682</v>
      </c>
      <c r="C1116" s="37" t="s">
        <v>2683</v>
      </c>
      <c r="D1116" s="55" t="s">
        <v>815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2684</v>
      </c>
      <c r="C1117" s="37" t="s">
        <v>2685</v>
      </c>
      <c r="D1117" s="55" t="s">
        <v>815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800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2686</v>
      </c>
      <c r="C1119" s="37" t="s">
        <v>2687</v>
      </c>
      <c r="D1119" s="55" t="s">
        <v>815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2688</v>
      </c>
      <c r="C1120" s="37" t="s">
        <v>2689</v>
      </c>
      <c r="D1120" s="55" t="s">
        <v>815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2690</v>
      </c>
      <c r="C1121" s="37" t="s">
        <v>2691</v>
      </c>
      <c r="D1121" s="55" t="s">
        <v>815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2692</v>
      </c>
      <c r="C1122" s="37" t="s">
        <v>2693</v>
      </c>
      <c r="D1122" s="55" t="s">
        <v>815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2694</v>
      </c>
      <c r="C1123" s="37" t="s">
        <v>2695</v>
      </c>
      <c r="D1123" s="55" t="s">
        <v>815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2696</v>
      </c>
      <c r="C1124" s="37" t="s">
        <v>2697</v>
      </c>
      <c r="D1124" s="55" t="s">
        <v>815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2698</v>
      </c>
      <c r="C1125" s="37" t="s">
        <v>2699</v>
      </c>
      <c r="D1125" s="55" t="s">
        <v>815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2700</v>
      </c>
      <c r="C1126" s="37" t="s">
        <v>2701</v>
      </c>
      <c r="D1126" s="55" t="s">
        <v>815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473</v>
      </c>
      <c r="C1127" s="37" t="s">
        <v>474</v>
      </c>
      <c r="D1127" s="55" t="s">
        <v>815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2702</v>
      </c>
      <c r="C1128" s="37" t="s">
        <v>2703</v>
      </c>
      <c r="D1128" s="55" t="s">
        <v>815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2704</v>
      </c>
      <c r="C1129" s="37" t="s">
        <v>2705</v>
      </c>
      <c r="D1129" s="55" t="s">
        <v>815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2706</v>
      </c>
      <c r="C1130" s="37" t="s">
        <v>2707</v>
      </c>
      <c r="D1130" s="55" t="s">
        <v>815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2708</v>
      </c>
      <c r="C1131" s="37" t="s">
        <v>2709</v>
      </c>
      <c r="D1131" s="55" t="s">
        <v>815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2710</v>
      </c>
      <c r="C1132" s="37" t="s">
        <v>2711</v>
      </c>
      <c r="D1132" s="55" t="s">
        <v>815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2712</v>
      </c>
      <c r="C1133" s="37" t="s">
        <v>2713</v>
      </c>
      <c r="D1133" s="55" t="s">
        <v>815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2714</v>
      </c>
      <c r="C1134" s="37" t="s">
        <v>2715</v>
      </c>
      <c r="D1134" s="55" t="s">
        <v>800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2716</v>
      </c>
      <c r="C1135" s="37" t="s">
        <v>2717</v>
      </c>
      <c r="D1135" s="55" t="s">
        <v>815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2718</v>
      </c>
      <c r="C1136" s="37" t="s">
        <v>2719</v>
      </c>
      <c r="D1136" s="55" t="s">
        <v>815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2720</v>
      </c>
      <c r="C1137" s="37" t="s">
        <v>2721</v>
      </c>
      <c r="D1137" s="55" t="s">
        <v>815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2722</v>
      </c>
      <c r="C1138" s="37" t="s">
        <v>2723</v>
      </c>
      <c r="D1138" s="55" t="s">
        <v>815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2724</v>
      </c>
      <c r="C1139" s="37" t="s">
        <v>2725</v>
      </c>
      <c r="D1139" s="55" t="s">
        <v>815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2726</v>
      </c>
      <c r="C1140" s="37" t="s">
        <v>2727</v>
      </c>
      <c r="D1140" s="55" t="s">
        <v>815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800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2728</v>
      </c>
      <c r="C1142" s="37" t="s">
        <v>2729</v>
      </c>
      <c r="D1142" s="55" t="s">
        <v>800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2730</v>
      </c>
      <c r="C1143" s="37" t="s">
        <v>2731</v>
      </c>
      <c r="D1143" s="55" t="s">
        <v>815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612</v>
      </c>
      <c r="C1144" s="37" t="s">
        <v>613</v>
      </c>
      <c r="D1144" s="55" t="s">
        <v>815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2732</v>
      </c>
      <c r="C1145" s="37" t="s">
        <v>2733</v>
      </c>
      <c r="D1145" s="55" t="s">
        <v>815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2734</v>
      </c>
      <c r="C1146" s="37" t="s">
        <v>2735</v>
      </c>
      <c r="D1146" s="55" t="s">
        <v>815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2736</v>
      </c>
      <c r="C1147" s="37" t="s">
        <v>2737</v>
      </c>
      <c r="D1147" s="55" t="s">
        <v>815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2738</v>
      </c>
      <c r="C1148" s="37" t="s">
        <v>2739</v>
      </c>
      <c r="D1148" s="55" t="s">
        <v>815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2740</v>
      </c>
      <c r="C1149" s="37" t="s">
        <v>2741</v>
      </c>
      <c r="D1149" s="55" t="s">
        <v>815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2742</v>
      </c>
      <c r="C1150" s="37" t="s">
        <v>2743</v>
      </c>
      <c r="D1150" s="55" t="s">
        <v>800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2744</v>
      </c>
      <c r="C1151" s="37" t="s">
        <v>2745</v>
      </c>
      <c r="D1151" s="55" t="s">
        <v>815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2746</v>
      </c>
      <c r="C1152" s="37" t="s">
        <v>2747</v>
      </c>
      <c r="D1152" s="55" t="s">
        <v>815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2748</v>
      </c>
      <c r="C1153" s="37" t="s">
        <v>2749</v>
      </c>
      <c r="D1153" s="55" t="s">
        <v>800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2750</v>
      </c>
      <c r="C1154" s="37" t="s">
        <v>2751</v>
      </c>
      <c r="D1154" s="55" t="s">
        <v>815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2752</v>
      </c>
      <c r="C1155" s="37" t="s">
        <v>2753</v>
      </c>
      <c r="D1155" s="55" t="s">
        <v>815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2754</v>
      </c>
      <c r="C1156" s="37" t="s">
        <v>2755</v>
      </c>
      <c r="D1156" s="55" t="s">
        <v>800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2756</v>
      </c>
      <c r="C1157" s="37" t="s">
        <v>2757</v>
      </c>
      <c r="D1157" s="55" t="s">
        <v>800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2758</v>
      </c>
      <c r="C1158" s="37" t="s">
        <v>2759</v>
      </c>
      <c r="D1158" s="55" t="s">
        <v>800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2760</v>
      </c>
      <c r="C1159" s="37" t="s">
        <v>2761</v>
      </c>
      <c r="D1159" s="55" t="s">
        <v>815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453</v>
      </c>
      <c r="C1160" s="37" t="s">
        <v>454</v>
      </c>
      <c r="D1160" s="55" t="s">
        <v>800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2762</v>
      </c>
      <c r="C1161" s="37" t="s">
        <v>2763</v>
      </c>
      <c r="D1161" s="55" t="s">
        <v>815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2764</v>
      </c>
      <c r="C1162" s="37" t="s">
        <v>5155</v>
      </c>
      <c r="D1162" s="55" t="s">
        <v>815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2765</v>
      </c>
      <c r="C1163" s="37" t="s">
        <v>2766</v>
      </c>
      <c r="D1163" s="55" t="s">
        <v>800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800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2767</v>
      </c>
      <c r="C1165" s="37" t="s">
        <v>2768</v>
      </c>
      <c r="D1165" s="55" t="s">
        <v>800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2769</v>
      </c>
      <c r="C1166" s="37" t="s">
        <v>2770</v>
      </c>
      <c r="D1166" s="55" t="s">
        <v>815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2771</v>
      </c>
      <c r="C1167" s="37" t="s">
        <v>2772</v>
      </c>
      <c r="D1167" s="55" t="s">
        <v>815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512</v>
      </c>
      <c r="C1168" s="37" t="s">
        <v>513</v>
      </c>
      <c r="D1168" s="55" t="s">
        <v>800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2773</v>
      </c>
      <c r="C1169" s="37" t="s">
        <v>2774</v>
      </c>
      <c r="D1169" s="55" t="s">
        <v>815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2775</v>
      </c>
      <c r="C1170" s="37" t="s">
        <v>2776</v>
      </c>
      <c r="D1170" s="55" t="s">
        <v>800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2777</v>
      </c>
      <c r="C1171" s="37" t="s">
        <v>2778</v>
      </c>
      <c r="D1171" s="55" t="s">
        <v>815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2779</v>
      </c>
      <c r="C1172" s="37" t="s">
        <v>2780</v>
      </c>
      <c r="D1172" s="55" t="s">
        <v>800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800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2781</v>
      </c>
      <c r="C1174" s="37" t="s">
        <v>2782</v>
      </c>
      <c r="D1174" s="55" t="s">
        <v>815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2783</v>
      </c>
      <c r="C1175" s="37" t="s">
        <v>2784</v>
      </c>
      <c r="D1175" s="55" t="s">
        <v>800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2785</v>
      </c>
      <c r="C1176" s="37" t="s">
        <v>2786</v>
      </c>
      <c r="D1176" s="55" t="s">
        <v>815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2787</v>
      </c>
      <c r="C1177" s="37" t="s">
        <v>2788</v>
      </c>
      <c r="D1177" s="55" t="s">
        <v>800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2789</v>
      </c>
      <c r="C1178" s="37" t="s">
        <v>2790</v>
      </c>
      <c r="D1178" s="55" t="s">
        <v>815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2791</v>
      </c>
      <c r="C1179" s="37" t="s">
        <v>2792</v>
      </c>
      <c r="D1179" s="55" t="s">
        <v>815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2793</v>
      </c>
      <c r="C1180" s="37" t="s">
        <v>2794</v>
      </c>
      <c r="D1180" s="55" t="s">
        <v>815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2795</v>
      </c>
      <c r="C1181" s="37" t="s">
        <v>2796</v>
      </c>
      <c r="D1181" s="55" t="s">
        <v>815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2797</v>
      </c>
      <c r="C1182" s="37" t="s">
        <v>2798</v>
      </c>
      <c r="D1182" s="55" t="s">
        <v>815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2799</v>
      </c>
      <c r="C1183" s="37" t="s">
        <v>2800</v>
      </c>
      <c r="D1183" s="55" t="s">
        <v>815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2801</v>
      </c>
      <c r="C1184" s="37" t="s">
        <v>2802</v>
      </c>
      <c r="D1184" s="55" t="s">
        <v>815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2803</v>
      </c>
      <c r="C1185" s="37" t="s">
        <v>2804</v>
      </c>
      <c r="D1185" s="55" t="s">
        <v>800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2805</v>
      </c>
      <c r="C1186" s="37" t="s">
        <v>5167</v>
      </c>
      <c r="D1186" s="55" t="s">
        <v>815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2806</v>
      </c>
      <c r="C1187" s="37" t="s">
        <v>2807</v>
      </c>
      <c r="D1187" s="55" t="s">
        <v>815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2808</v>
      </c>
      <c r="C1188" s="37" t="s">
        <v>2809</v>
      </c>
      <c r="D1188" s="55" t="s">
        <v>815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2810</v>
      </c>
      <c r="C1189" s="37" t="s">
        <v>2811</v>
      </c>
      <c r="D1189" s="55" t="s">
        <v>815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2812</v>
      </c>
      <c r="C1190" s="37" t="s">
        <v>2813</v>
      </c>
      <c r="D1190" s="55" t="s">
        <v>815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2814</v>
      </c>
      <c r="C1191" s="37" t="s">
        <v>2815</v>
      </c>
      <c r="D1191" s="55" t="s">
        <v>815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2816</v>
      </c>
      <c r="C1192" s="37" t="s">
        <v>2817</v>
      </c>
      <c r="D1192" s="55" t="s">
        <v>815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2818</v>
      </c>
      <c r="C1193" s="37" t="s">
        <v>2819</v>
      </c>
      <c r="D1193" s="55" t="s">
        <v>800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2820</v>
      </c>
      <c r="C1194" s="37" t="s">
        <v>2821</v>
      </c>
      <c r="D1194" s="55" t="s">
        <v>815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2822</v>
      </c>
      <c r="C1195" s="37" t="s">
        <v>2823</v>
      </c>
      <c r="D1195" s="55" t="s">
        <v>800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422</v>
      </c>
      <c r="C1196" s="37" t="s">
        <v>423</v>
      </c>
      <c r="D1196" s="55" t="s">
        <v>800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2824</v>
      </c>
      <c r="C1197" s="37" t="s">
        <v>2825</v>
      </c>
      <c r="D1197" s="55" t="s">
        <v>815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2826</v>
      </c>
      <c r="C1198" s="37" t="s">
        <v>2827</v>
      </c>
      <c r="D1198" s="55" t="s">
        <v>815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2828</v>
      </c>
      <c r="C1199" s="37" t="s">
        <v>2829</v>
      </c>
      <c r="D1199" s="55" t="s">
        <v>815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716</v>
      </c>
      <c r="C1200" s="37" t="s">
        <v>717</v>
      </c>
      <c r="D1200" s="55" t="s">
        <v>815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2830</v>
      </c>
      <c r="C1201" s="37" t="s">
        <v>2831</v>
      </c>
      <c r="D1201" s="55" t="s">
        <v>800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800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2832</v>
      </c>
      <c r="C1203" s="37" t="s">
        <v>2833</v>
      </c>
      <c r="D1203" s="55" t="s">
        <v>800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2834</v>
      </c>
      <c r="C1204" s="37" t="s">
        <v>2835</v>
      </c>
      <c r="D1204" s="55" t="s">
        <v>815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2836</v>
      </c>
      <c r="C1205" s="37" t="s">
        <v>2837</v>
      </c>
      <c r="D1205" s="55" t="s">
        <v>815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2838</v>
      </c>
      <c r="C1206" s="37" t="s">
        <v>2839</v>
      </c>
      <c r="D1206" s="55" t="s">
        <v>815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2840</v>
      </c>
      <c r="C1207" s="37" t="s">
        <v>2841</v>
      </c>
      <c r="D1207" s="55" t="s">
        <v>815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2842</v>
      </c>
      <c r="C1208" s="37" t="s">
        <v>2843</v>
      </c>
      <c r="D1208" s="55" t="s">
        <v>815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690</v>
      </c>
      <c r="C1209" s="37" t="s">
        <v>691</v>
      </c>
      <c r="D1209" s="55" t="s">
        <v>815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2844</v>
      </c>
      <c r="C1210" s="37" t="s">
        <v>2845</v>
      </c>
      <c r="D1210" s="55" t="s">
        <v>815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554</v>
      </c>
      <c r="C1211" s="37" t="s">
        <v>555</v>
      </c>
      <c r="D1211" s="55" t="s">
        <v>815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2846</v>
      </c>
      <c r="C1212" s="37" t="s">
        <v>2847</v>
      </c>
      <c r="D1212" s="55" t="s">
        <v>800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2848</v>
      </c>
      <c r="C1213" s="37" t="s">
        <v>2849</v>
      </c>
      <c r="D1213" s="55" t="s">
        <v>815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734</v>
      </c>
      <c r="C1214" s="37" t="s">
        <v>735</v>
      </c>
      <c r="D1214" s="55" t="s">
        <v>815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2850</v>
      </c>
      <c r="C1215" s="37" t="s">
        <v>5202</v>
      </c>
      <c r="D1215" s="55" t="s">
        <v>815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2851</v>
      </c>
      <c r="C1216" s="37" t="s">
        <v>2852</v>
      </c>
      <c r="D1216" s="55" t="s">
        <v>815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800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2853</v>
      </c>
      <c r="C1218" s="37" t="s">
        <v>2854</v>
      </c>
      <c r="D1218" s="55" t="s">
        <v>815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2855</v>
      </c>
      <c r="C1219" s="37" t="s">
        <v>2856</v>
      </c>
      <c r="D1219" s="55" t="s">
        <v>800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2857</v>
      </c>
      <c r="C1220" s="37" t="s">
        <v>2858</v>
      </c>
      <c r="D1220" s="55" t="s">
        <v>815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2859</v>
      </c>
      <c r="C1221" s="37" t="s">
        <v>2860</v>
      </c>
      <c r="D1221" s="55" t="s">
        <v>815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2861</v>
      </c>
      <c r="C1222" s="37" t="s">
        <v>2862</v>
      </c>
      <c r="D1222" s="55" t="s">
        <v>815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2863</v>
      </c>
      <c r="C1223" s="37" t="s">
        <v>2864</v>
      </c>
      <c r="D1223" s="55" t="s">
        <v>800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5163</v>
      </c>
      <c r="D1224" s="55" t="s">
        <v>800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2865</v>
      </c>
      <c r="C1225" s="37" t="s">
        <v>2866</v>
      </c>
      <c r="D1225" s="55" t="s">
        <v>815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2867</v>
      </c>
      <c r="C1226" s="37" t="s">
        <v>5168</v>
      </c>
      <c r="D1226" s="55" t="s">
        <v>815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2868</v>
      </c>
      <c r="C1227" s="37" t="s">
        <v>2869</v>
      </c>
      <c r="D1227" s="55" t="s">
        <v>800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2870</v>
      </c>
      <c r="C1228" s="37" t="s">
        <v>2871</v>
      </c>
      <c r="D1228" s="55" t="s">
        <v>815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2872</v>
      </c>
      <c r="C1229" s="37" t="s">
        <v>2873</v>
      </c>
      <c r="D1229" s="55" t="s">
        <v>815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2874</v>
      </c>
      <c r="C1230" s="37" t="s">
        <v>2875</v>
      </c>
      <c r="D1230" s="55" t="s">
        <v>815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2876</v>
      </c>
      <c r="C1231" s="37" t="s">
        <v>2877</v>
      </c>
      <c r="D1231" s="55" t="s">
        <v>815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2878</v>
      </c>
      <c r="C1232" s="37" t="s">
        <v>2879</v>
      </c>
      <c r="D1232" s="55" t="s">
        <v>800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2880</v>
      </c>
      <c r="C1233" s="37" t="s">
        <v>2881</v>
      </c>
      <c r="D1233" s="55" t="s">
        <v>815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2882</v>
      </c>
      <c r="C1234" s="37" t="s">
        <v>2883</v>
      </c>
      <c r="D1234" s="55" t="s">
        <v>815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756</v>
      </c>
      <c r="C1235" s="37" t="s">
        <v>757</v>
      </c>
      <c r="D1235" s="55" t="s">
        <v>815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2884</v>
      </c>
      <c r="C1236" s="37" t="s">
        <v>2885</v>
      </c>
      <c r="D1236" s="55" t="s">
        <v>815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2886</v>
      </c>
      <c r="C1237" s="37" t="s">
        <v>2887</v>
      </c>
      <c r="D1237" s="55" t="s">
        <v>815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2888</v>
      </c>
      <c r="C1238" s="37" t="s">
        <v>2889</v>
      </c>
      <c r="D1238" s="55" t="s">
        <v>815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2890</v>
      </c>
      <c r="C1239" s="37" t="s">
        <v>2891</v>
      </c>
      <c r="D1239" s="55" t="s">
        <v>815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714</v>
      </c>
      <c r="C1240" s="37" t="s">
        <v>715</v>
      </c>
      <c r="D1240" s="55" t="s">
        <v>815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2892</v>
      </c>
      <c r="C1241" s="37" t="s">
        <v>2893</v>
      </c>
      <c r="D1241" s="55" t="s">
        <v>815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2894</v>
      </c>
      <c r="C1242" s="37" t="s">
        <v>2895</v>
      </c>
      <c r="D1242" s="55" t="s">
        <v>800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2896</v>
      </c>
      <c r="C1243" s="37" t="s">
        <v>2897</v>
      </c>
      <c r="D1243" s="55" t="s">
        <v>815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2898</v>
      </c>
      <c r="C1244" s="37" t="s">
        <v>2899</v>
      </c>
      <c r="D1244" s="55" t="s">
        <v>815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2900</v>
      </c>
      <c r="C1245" s="37" t="s">
        <v>2901</v>
      </c>
      <c r="D1245" s="55" t="s">
        <v>815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636</v>
      </c>
      <c r="C1246" s="37" t="s">
        <v>637</v>
      </c>
      <c r="D1246" s="55" t="s">
        <v>800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2902</v>
      </c>
      <c r="C1247" s="37" t="s">
        <v>2903</v>
      </c>
      <c r="D1247" s="55" t="s">
        <v>815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2904</v>
      </c>
      <c r="C1248" s="37" t="s">
        <v>2905</v>
      </c>
      <c r="D1248" s="55" t="s">
        <v>815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768</v>
      </c>
      <c r="C1249" s="37" t="s">
        <v>769</v>
      </c>
      <c r="D1249" s="55" t="s">
        <v>800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2906</v>
      </c>
      <c r="C1250" s="37" t="s">
        <v>2907</v>
      </c>
      <c r="D1250" s="55" t="s">
        <v>815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800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2908</v>
      </c>
      <c r="C1252" s="37" t="s">
        <v>2909</v>
      </c>
      <c r="D1252" s="55" t="s">
        <v>815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2910</v>
      </c>
      <c r="C1253" s="37" t="s">
        <v>2911</v>
      </c>
      <c r="D1253" s="55" t="s">
        <v>815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2912</v>
      </c>
      <c r="C1254" s="37" t="s">
        <v>2913</v>
      </c>
      <c r="D1254" s="55" t="s">
        <v>815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2914</v>
      </c>
      <c r="C1255" s="37" t="s">
        <v>2915</v>
      </c>
      <c r="D1255" s="55" t="s">
        <v>815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2916</v>
      </c>
      <c r="C1256" s="37" t="s">
        <v>2917</v>
      </c>
      <c r="D1256" s="55" t="s">
        <v>800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572</v>
      </c>
      <c r="C1257" s="37" t="s">
        <v>573</v>
      </c>
      <c r="D1257" s="55" t="s">
        <v>815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2918</v>
      </c>
      <c r="C1258" s="37" t="s">
        <v>2919</v>
      </c>
      <c r="D1258" s="55" t="s">
        <v>815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2920</v>
      </c>
      <c r="C1259" s="37" t="s">
        <v>2921</v>
      </c>
      <c r="D1259" s="55" t="s">
        <v>815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2922</v>
      </c>
      <c r="C1260" s="37" t="s">
        <v>2923</v>
      </c>
      <c r="D1260" s="55" t="s">
        <v>815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2924</v>
      </c>
      <c r="C1261" s="37" t="s">
        <v>2925</v>
      </c>
      <c r="D1261" s="55" t="s">
        <v>815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815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2926</v>
      </c>
      <c r="C1263" s="37" t="s">
        <v>2927</v>
      </c>
      <c r="D1263" s="55" t="s">
        <v>815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2928</v>
      </c>
      <c r="C1264" s="37" t="s">
        <v>2929</v>
      </c>
      <c r="D1264" s="55" t="s">
        <v>815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2930</v>
      </c>
      <c r="C1265" s="37" t="s">
        <v>2931</v>
      </c>
      <c r="D1265" s="55" t="s">
        <v>815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2932</v>
      </c>
      <c r="C1266" s="37" t="s">
        <v>2933</v>
      </c>
      <c r="D1266" s="55" t="s">
        <v>800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2934</v>
      </c>
      <c r="C1267" s="37" t="s">
        <v>2935</v>
      </c>
      <c r="D1267" s="55" t="s">
        <v>815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2936</v>
      </c>
      <c r="C1268" s="37" t="s">
        <v>2937</v>
      </c>
      <c r="D1268" s="55" t="s">
        <v>815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480</v>
      </c>
      <c r="C1269" s="37" t="s">
        <v>481</v>
      </c>
      <c r="D1269" s="55" t="s">
        <v>815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2938</v>
      </c>
      <c r="C1270" s="37" t="s">
        <v>2939</v>
      </c>
      <c r="D1270" s="55" t="s">
        <v>815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2940</v>
      </c>
      <c r="C1271" s="37" t="s">
        <v>2941</v>
      </c>
      <c r="D1271" s="55" t="s">
        <v>815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2942</v>
      </c>
      <c r="C1272" s="37" t="s">
        <v>2943</v>
      </c>
      <c r="D1272" s="55" t="s">
        <v>800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2944</v>
      </c>
      <c r="C1273" s="37" t="s">
        <v>2945</v>
      </c>
      <c r="D1273" s="55" t="s">
        <v>800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2946</v>
      </c>
      <c r="C1274" s="37" t="s">
        <v>2947</v>
      </c>
      <c r="D1274" s="55" t="s">
        <v>800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2948</v>
      </c>
      <c r="C1275" s="37" t="s">
        <v>2949</v>
      </c>
      <c r="D1275" s="55" t="s">
        <v>815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2950</v>
      </c>
      <c r="C1276" s="37" t="s">
        <v>2951</v>
      </c>
      <c r="D1276" s="55" t="s">
        <v>815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2952</v>
      </c>
      <c r="C1277" s="37" t="s">
        <v>2953</v>
      </c>
      <c r="D1277" s="55" t="s">
        <v>800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2954</v>
      </c>
      <c r="C1278" s="37" t="s">
        <v>2955</v>
      </c>
      <c r="D1278" s="55" t="s">
        <v>815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2956</v>
      </c>
      <c r="C1279" s="37" t="s">
        <v>2957</v>
      </c>
      <c r="D1279" s="55" t="s">
        <v>800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2958</v>
      </c>
      <c r="C1280" s="37" t="s">
        <v>2959</v>
      </c>
      <c r="D1280" s="55" t="s">
        <v>800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710</v>
      </c>
      <c r="C1281" s="37" t="s">
        <v>711</v>
      </c>
      <c r="D1281" s="55" t="s">
        <v>815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2960</v>
      </c>
      <c r="C1282" s="37" t="s">
        <v>2961</v>
      </c>
      <c r="D1282" s="55" t="s">
        <v>815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2962</v>
      </c>
      <c r="C1283" s="37" t="s">
        <v>2963</v>
      </c>
      <c r="D1283" s="55" t="s">
        <v>815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630</v>
      </c>
      <c r="C1284" s="37" t="s">
        <v>631</v>
      </c>
      <c r="D1284" s="55" t="s">
        <v>815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2964</v>
      </c>
      <c r="C1285" s="37" t="s">
        <v>2965</v>
      </c>
      <c r="D1285" s="55" t="s">
        <v>815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2966</v>
      </c>
      <c r="C1286" s="37" t="s">
        <v>2967</v>
      </c>
      <c r="D1286" s="55" t="s">
        <v>815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800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2968</v>
      </c>
      <c r="C1288" s="37" t="s">
        <v>2969</v>
      </c>
      <c r="D1288" s="55" t="s">
        <v>815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2970</v>
      </c>
      <c r="C1289" s="37" t="s">
        <v>2971</v>
      </c>
      <c r="D1289" s="55" t="s">
        <v>815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815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2972</v>
      </c>
      <c r="C1291" s="37" t="s">
        <v>2973</v>
      </c>
      <c r="D1291" s="55" t="s">
        <v>815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2974</v>
      </c>
      <c r="C1292" s="37" t="s">
        <v>2975</v>
      </c>
      <c r="D1292" s="55" t="s">
        <v>815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800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2976</v>
      </c>
      <c r="C1294" s="37" t="s">
        <v>2977</v>
      </c>
      <c r="D1294" s="55" t="s">
        <v>815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2978</v>
      </c>
      <c r="C1295" s="37" t="s">
        <v>2979</v>
      </c>
      <c r="D1295" s="55" t="s">
        <v>815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2980</v>
      </c>
      <c r="C1296" s="37" t="s">
        <v>2981</v>
      </c>
      <c r="D1296" s="55" t="s">
        <v>815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2982</v>
      </c>
      <c r="C1297" s="37" t="s">
        <v>2983</v>
      </c>
      <c r="D1297" s="55" t="s">
        <v>815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2984</v>
      </c>
      <c r="C1298" s="37" t="s">
        <v>2985</v>
      </c>
      <c r="D1298" s="55" t="s">
        <v>815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678</v>
      </c>
      <c r="C1299" s="37" t="s">
        <v>679</v>
      </c>
      <c r="D1299" s="55" t="s">
        <v>815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2986</v>
      </c>
      <c r="C1300" s="37" t="s">
        <v>2987</v>
      </c>
      <c r="D1300" s="55" t="s">
        <v>815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2988</v>
      </c>
      <c r="C1301" s="37" t="s">
        <v>2989</v>
      </c>
      <c r="D1301" s="55" t="s">
        <v>815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2990</v>
      </c>
      <c r="C1302" s="37" t="s">
        <v>2991</v>
      </c>
      <c r="D1302" s="55" t="s">
        <v>815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2992</v>
      </c>
      <c r="C1303" s="37" t="s">
        <v>2993</v>
      </c>
      <c r="D1303" s="55" t="s">
        <v>815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2994</v>
      </c>
      <c r="C1304" s="37" t="s">
        <v>2995</v>
      </c>
      <c r="D1304" s="55" t="s">
        <v>815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2996</v>
      </c>
      <c r="C1305" s="37" t="s">
        <v>2997</v>
      </c>
      <c r="D1305" s="55" t="s">
        <v>815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2998</v>
      </c>
      <c r="C1306" s="37" t="s">
        <v>2999</v>
      </c>
      <c r="D1306" s="55" t="s">
        <v>800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3000</v>
      </c>
      <c r="C1307" s="37" t="s">
        <v>3001</v>
      </c>
      <c r="D1307" s="55" t="s">
        <v>815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3002</v>
      </c>
      <c r="C1308" s="37" t="s">
        <v>3003</v>
      </c>
      <c r="D1308" s="55" t="s">
        <v>800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3004</v>
      </c>
      <c r="C1309" s="37" t="s">
        <v>3005</v>
      </c>
      <c r="D1309" s="55" t="s">
        <v>815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3006</v>
      </c>
      <c r="C1310" s="37" t="s">
        <v>3007</v>
      </c>
      <c r="D1310" s="55" t="s">
        <v>815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3008</v>
      </c>
      <c r="C1311" s="37" t="s">
        <v>3009</v>
      </c>
      <c r="D1311" s="55" t="s">
        <v>815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815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3010</v>
      </c>
      <c r="C1313" s="37" t="s">
        <v>3011</v>
      </c>
      <c r="D1313" s="55" t="s">
        <v>815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3012</v>
      </c>
      <c r="C1314" s="37" t="s">
        <v>3013</v>
      </c>
      <c r="D1314" s="55" t="s">
        <v>815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3014</v>
      </c>
      <c r="C1315" s="37" t="s">
        <v>3015</v>
      </c>
      <c r="D1315" s="55" t="s">
        <v>815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3016</v>
      </c>
      <c r="C1316" s="37" t="s">
        <v>3017</v>
      </c>
      <c r="D1316" s="55" t="s">
        <v>800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3018</v>
      </c>
      <c r="C1317" s="37" t="s">
        <v>3019</v>
      </c>
      <c r="D1317" s="55" t="s">
        <v>800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3020</v>
      </c>
      <c r="C1318" s="37" t="s">
        <v>3021</v>
      </c>
      <c r="D1318" s="55" t="s">
        <v>815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3022</v>
      </c>
      <c r="C1319" s="37" t="s">
        <v>3023</v>
      </c>
      <c r="D1319" s="55" t="s">
        <v>815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3024</v>
      </c>
      <c r="C1320" s="37" t="s">
        <v>3025</v>
      </c>
      <c r="D1320" s="55" t="s">
        <v>815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3026</v>
      </c>
      <c r="C1321" s="37" t="s">
        <v>3027</v>
      </c>
      <c r="D1321" s="55" t="s">
        <v>800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542</v>
      </c>
      <c r="C1322" s="37" t="s">
        <v>543</v>
      </c>
      <c r="D1322" s="55" t="s">
        <v>815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482</v>
      </c>
      <c r="C1323" s="37" t="s">
        <v>483</v>
      </c>
      <c r="D1323" s="55" t="s">
        <v>815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3028</v>
      </c>
      <c r="C1324" s="37" t="s">
        <v>3029</v>
      </c>
      <c r="D1324" s="55" t="s">
        <v>815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3030</v>
      </c>
      <c r="C1325" s="37" t="s">
        <v>3031</v>
      </c>
      <c r="D1325" s="55" t="s">
        <v>800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3032</v>
      </c>
      <c r="C1326" s="37" t="s">
        <v>3033</v>
      </c>
      <c r="D1326" s="55" t="s">
        <v>815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3034</v>
      </c>
      <c r="C1327" s="37" t="s">
        <v>3035</v>
      </c>
      <c r="D1327" s="55" t="s">
        <v>800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3036</v>
      </c>
      <c r="C1328" s="37" t="s">
        <v>3037</v>
      </c>
      <c r="D1328" s="55" t="s">
        <v>815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3038</v>
      </c>
      <c r="C1329" s="37" t="s">
        <v>3039</v>
      </c>
      <c r="D1329" s="55" t="s">
        <v>800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3040</v>
      </c>
      <c r="C1330" s="37" t="s">
        <v>3041</v>
      </c>
      <c r="D1330" s="55" t="s">
        <v>815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800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3042</v>
      </c>
      <c r="C1332" s="37" t="s">
        <v>3043</v>
      </c>
      <c r="D1332" s="55" t="s">
        <v>800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3044</v>
      </c>
      <c r="C1333" s="37" t="s">
        <v>5188</v>
      </c>
      <c r="D1333" s="55" t="s">
        <v>815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3045</v>
      </c>
      <c r="C1334" s="37" t="s">
        <v>3046</v>
      </c>
      <c r="D1334" s="55" t="s">
        <v>815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3047</v>
      </c>
      <c r="C1335" s="37" t="s">
        <v>3048</v>
      </c>
      <c r="D1335" s="55" t="s">
        <v>815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3049</v>
      </c>
      <c r="C1336" s="37" t="s">
        <v>3050</v>
      </c>
      <c r="D1336" s="55" t="s">
        <v>815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3051</v>
      </c>
      <c r="C1337" s="37" t="s">
        <v>3052</v>
      </c>
      <c r="D1337" s="55" t="s">
        <v>815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3053</v>
      </c>
      <c r="C1338" s="37" t="s">
        <v>3054</v>
      </c>
      <c r="D1338" s="55" t="s">
        <v>815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3055</v>
      </c>
      <c r="C1339" s="37" t="s">
        <v>3056</v>
      </c>
      <c r="D1339" s="55" t="s">
        <v>815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3057</v>
      </c>
      <c r="C1340" s="37" t="s">
        <v>3058</v>
      </c>
      <c r="D1340" s="55" t="s">
        <v>815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3059</v>
      </c>
      <c r="C1341" s="37" t="s">
        <v>3060</v>
      </c>
      <c r="D1341" s="55" t="s">
        <v>815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3061</v>
      </c>
      <c r="C1342" s="37" t="s">
        <v>5170</v>
      </c>
      <c r="D1342" s="55" t="s">
        <v>800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3062</v>
      </c>
      <c r="C1343" s="37" t="s">
        <v>5210</v>
      </c>
      <c r="D1343" s="55" t="s">
        <v>815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LSK아이로봇</v>
      </c>
      <c r="K1343" s="37" t="str">
        <f t="shared" si="115"/>
        <v>A091970</v>
      </c>
    </row>
    <row r="1344" spans="1:11" x14ac:dyDescent="0.4">
      <c r="A1344" s="49"/>
      <c r="B1344" s="54" t="s">
        <v>3063</v>
      </c>
      <c r="C1344" s="37" t="s">
        <v>3064</v>
      </c>
      <c r="D1344" s="55" t="s">
        <v>815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3065</v>
      </c>
      <c r="C1345" s="37" t="s">
        <v>3066</v>
      </c>
      <c r="D1345" s="55" t="s">
        <v>815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3067</v>
      </c>
      <c r="C1346" s="37" t="s">
        <v>3068</v>
      </c>
      <c r="D1346" s="55" t="s">
        <v>815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3069</v>
      </c>
      <c r="C1347" s="37" t="s">
        <v>3070</v>
      </c>
      <c r="D1347" s="55" t="s">
        <v>815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3071</v>
      </c>
      <c r="C1348" s="37" t="s">
        <v>3072</v>
      </c>
      <c r="D1348" s="55" t="s">
        <v>800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3073</v>
      </c>
      <c r="C1349" s="37" t="s">
        <v>3074</v>
      </c>
      <c r="D1349" s="55" t="s">
        <v>800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3075</v>
      </c>
      <c r="C1350" s="37" t="s">
        <v>3076</v>
      </c>
      <c r="D1350" s="55" t="s">
        <v>800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3077</v>
      </c>
      <c r="C1351" s="37" t="s">
        <v>3078</v>
      </c>
      <c r="D1351" s="55" t="s">
        <v>815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3079</v>
      </c>
      <c r="C1352" s="37" t="s">
        <v>3080</v>
      </c>
      <c r="D1352" s="55" t="s">
        <v>800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3081</v>
      </c>
      <c r="C1353" s="37" t="s">
        <v>3082</v>
      </c>
      <c r="D1353" s="55" t="s">
        <v>815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3083</v>
      </c>
      <c r="C1354" s="37" t="s">
        <v>3084</v>
      </c>
      <c r="D1354" s="55" t="s">
        <v>815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3085</v>
      </c>
      <c r="C1355" s="37" t="s">
        <v>3086</v>
      </c>
      <c r="D1355" s="55" t="s">
        <v>815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3087</v>
      </c>
      <c r="C1356" s="37" t="s">
        <v>3088</v>
      </c>
      <c r="D1356" s="55" t="s">
        <v>800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440</v>
      </c>
      <c r="C1357" s="37" t="s">
        <v>441</v>
      </c>
      <c r="D1357" s="55" t="s">
        <v>800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3089</v>
      </c>
      <c r="C1358" s="37" t="s">
        <v>3090</v>
      </c>
      <c r="D1358" s="55" t="s">
        <v>815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800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3091</v>
      </c>
      <c r="C1360" s="37" t="s">
        <v>3092</v>
      </c>
      <c r="D1360" s="55" t="s">
        <v>815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3093</v>
      </c>
      <c r="C1361" s="37" t="s">
        <v>3094</v>
      </c>
      <c r="D1361" s="55" t="s">
        <v>800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3095</v>
      </c>
      <c r="C1362" s="37" t="s">
        <v>3096</v>
      </c>
      <c r="D1362" s="55" t="s">
        <v>815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3097</v>
      </c>
      <c r="C1363" s="37" t="s">
        <v>3098</v>
      </c>
      <c r="D1363" s="55" t="s">
        <v>800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3099</v>
      </c>
      <c r="C1364" s="37" t="s">
        <v>3100</v>
      </c>
      <c r="D1364" s="55" t="s">
        <v>815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3101</v>
      </c>
      <c r="C1365" s="37" t="s">
        <v>3102</v>
      </c>
      <c r="D1365" s="55" t="s">
        <v>815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3103</v>
      </c>
      <c r="C1366" s="37" t="s">
        <v>3104</v>
      </c>
      <c r="D1366" s="55" t="s">
        <v>815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3105</v>
      </c>
      <c r="C1367" s="37" t="s">
        <v>3106</v>
      </c>
      <c r="D1367" s="55" t="s">
        <v>815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3107</v>
      </c>
      <c r="C1368" s="37" t="s">
        <v>3108</v>
      </c>
      <c r="D1368" s="55" t="s">
        <v>815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3109</v>
      </c>
      <c r="C1369" s="37" t="s">
        <v>3110</v>
      </c>
      <c r="D1369" s="55" t="s">
        <v>800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3111</v>
      </c>
      <c r="C1370" s="37" t="s">
        <v>3112</v>
      </c>
      <c r="D1370" s="55" t="s">
        <v>815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3113</v>
      </c>
      <c r="C1371" s="37" t="s">
        <v>3114</v>
      </c>
      <c r="D1371" s="55" t="s">
        <v>815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3115</v>
      </c>
      <c r="C1372" s="37" t="s">
        <v>3116</v>
      </c>
      <c r="D1372" s="55" t="s">
        <v>815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3117</v>
      </c>
      <c r="C1373" s="37" t="s">
        <v>3118</v>
      </c>
      <c r="D1373" s="55" t="s">
        <v>815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3119</v>
      </c>
      <c r="C1374" s="37" t="s">
        <v>3120</v>
      </c>
      <c r="D1374" s="55" t="s">
        <v>815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3121</v>
      </c>
      <c r="C1375" s="37" t="s">
        <v>3122</v>
      </c>
      <c r="D1375" s="55" t="s">
        <v>815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3123</v>
      </c>
      <c r="C1376" s="37" t="s">
        <v>5205</v>
      </c>
      <c r="D1376" s="55" t="s">
        <v>815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3124</v>
      </c>
      <c r="C1377" s="37" t="s">
        <v>3125</v>
      </c>
      <c r="D1377" s="55" t="s">
        <v>815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3126</v>
      </c>
      <c r="C1378" s="37" t="s">
        <v>5173</v>
      </c>
      <c r="D1378" s="55" t="s">
        <v>815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3127</v>
      </c>
      <c r="C1379" s="37" t="s">
        <v>3128</v>
      </c>
      <c r="D1379" s="55" t="s">
        <v>815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815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3129</v>
      </c>
      <c r="C1381" s="37" t="s">
        <v>3130</v>
      </c>
      <c r="D1381" s="55" t="s">
        <v>815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3131</v>
      </c>
      <c r="C1382" s="37" t="s">
        <v>3132</v>
      </c>
      <c r="D1382" s="55" t="s">
        <v>800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752</v>
      </c>
      <c r="C1383" s="37" t="s">
        <v>753</v>
      </c>
      <c r="D1383" s="55" t="s">
        <v>815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3133</v>
      </c>
      <c r="C1384" s="37" t="s">
        <v>3134</v>
      </c>
      <c r="D1384" s="55" t="s">
        <v>815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3135</v>
      </c>
      <c r="C1385" s="37" t="s">
        <v>3136</v>
      </c>
      <c r="D1385" s="55" t="s">
        <v>815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3137</v>
      </c>
      <c r="C1386" s="37" t="s">
        <v>3138</v>
      </c>
      <c r="D1386" s="55" t="s">
        <v>800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3139</v>
      </c>
      <c r="C1387" s="37" t="s">
        <v>3140</v>
      </c>
      <c r="D1387" s="55" t="s">
        <v>815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3141</v>
      </c>
      <c r="C1388" s="37" t="s">
        <v>3142</v>
      </c>
      <c r="D1388" s="55" t="s">
        <v>815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3143</v>
      </c>
      <c r="C1389" s="37" t="s">
        <v>3144</v>
      </c>
      <c r="D1389" s="55" t="s">
        <v>815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3145</v>
      </c>
      <c r="C1390" s="37" t="s">
        <v>3146</v>
      </c>
      <c r="D1390" s="55" t="s">
        <v>815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3147</v>
      </c>
      <c r="C1391" s="37" t="s">
        <v>3148</v>
      </c>
      <c r="D1391" s="55" t="s">
        <v>815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3149</v>
      </c>
      <c r="C1392" s="37" t="s">
        <v>3150</v>
      </c>
      <c r="D1392" s="55" t="s">
        <v>815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3151</v>
      </c>
      <c r="C1393" s="37" t="s">
        <v>3152</v>
      </c>
      <c r="D1393" s="55" t="s">
        <v>815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3153</v>
      </c>
      <c r="C1394" s="37" t="s">
        <v>3154</v>
      </c>
      <c r="D1394" s="55" t="s">
        <v>815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3155</v>
      </c>
      <c r="C1395" s="37" t="s">
        <v>3156</v>
      </c>
      <c r="D1395" s="55" t="s">
        <v>800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800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3157</v>
      </c>
      <c r="C1397" s="37" t="s">
        <v>3158</v>
      </c>
      <c r="D1397" s="55" t="s">
        <v>815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500</v>
      </c>
      <c r="C1398" s="37" t="s">
        <v>501</v>
      </c>
      <c r="D1398" s="55" t="s">
        <v>800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3159</v>
      </c>
      <c r="C1399" s="37" t="s">
        <v>3160</v>
      </c>
      <c r="D1399" s="55" t="s">
        <v>800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3161</v>
      </c>
      <c r="C1400" s="37" t="s">
        <v>3162</v>
      </c>
      <c r="D1400" s="55" t="s">
        <v>815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3163</v>
      </c>
      <c r="C1401" s="37" t="s">
        <v>3164</v>
      </c>
      <c r="D1401" s="55" t="s">
        <v>815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3165</v>
      </c>
      <c r="C1402" s="37" t="s">
        <v>3166</v>
      </c>
      <c r="D1402" s="55" t="s">
        <v>815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3167</v>
      </c>
      <c r="C1403" s="37" t="s">
        <v>3168</v>
      </c>
      <c r="D1403" s="55" t="s">
        <v>800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414</v>
      </c>
      <c r="C1404" s="37" t="s">
        <v>415</v>
      </c>
      <c r="D1404" s="55" t="s">
        <v>815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3169</v>
      </c>
      <c r="C1405" s="37" t="s">
        <v>3170</v>
      </c>
      <c r="D1405" s="55" t="s">
        <v>815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815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3171</v>
      </c>
      <c r="C1407" s="37" t="s">
        <v>3172</v>
      </c>
      <c r="D1407" s="55" t="s">
        <v>815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3173</v>
      </c>
      <c r="C1408" s="37" t="s">
        <v>3174</v>
      </c>
      <c r="D1408" s="55" t="s">
        <v>815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3175</v>
      </c>
      <c r="C1409" s="37" t="s">
        <v>3176</v>
      </c>
      <c r="D1409" s="55" t="s">
        <v>815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720</v>
      </c>
      <c r="C1410" s="37" t="s">
        <v>721</v>
      </c>
      <c r="D1410" s="55" t="s">
        <v>815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3177</v>
      </c>
      <c r="C1411" s="37" t="s">
        <v>3178</v>
      </c>
      <c r="D1411" s="55" t="s">
        <v>815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3179</v>
      </c>
      <c r="C1412" s="37" t="s">
        <v>3180</v>
      </c>
      <c r="D1412" s="55" t="s">
        <v>815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3181</v>
      </c>
      <c r="C1413" s="37" t="s">
        <v>3182</v>
      </c>
      <c r="D1413" s="55" t="s">
        <v>815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3183</v>
      </c>
      <c r="C1414" s="37" t="s">
        <v>3184</v>
      </c>
      <c r="D1414" s="55" t="s">
        <v>815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3185</v>
      </c>
      <c r="C1415" s="37" t="s">
        <v>3186</v>
      </c>
      <c r="D1415" s="55" t="s">
        <v>815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3187</v>
      </c>
      <c r="C1416" s="37" t="s">
        <v>3188</v>
      </c>
      <c r="D1416" s="55" t="s">
        <v>815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3189</v>
      </c>
      <c r="C1417" s="37" t="s">
        <v>3190</v>
      </c>
      <c r="D1417" s="55" t="s">
        <v>815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800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3191</v>
      </c>
      <c r="C1419" s="37" t="s">
        <v>3192</v>
      </c>
      <c r="D1419" s="55" t="s">
        <v>815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3193</v>
      </c>
      <c r="C1420" s="37" t="s">
        <v>3194</v>
      </c>
      <c r="D1420" s="55" t="s">
        <v>815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3195</v>
      </c>
      <c r="C1421" s="37" t="s">
        <v>3196</v>
      </c>
      <c r="D1421" s="55" t="s">
        <v>800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3197</v>
      </c>
      <c r="C1422" s="37" t="s">
        <v>3198</v>
      </c>
      <c r="D1422" s="55" t="s">
        <v>800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3199</v>
      </c>
      <c r="C1423" s="37" t="s">
        <v>3200</v>
      </c>
      <c r="D1423" s="55" t="s">
        <v>815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3201</v>
      </c>
      <c r="C1424" s="37" t="s">
        <v>3202</v>
      </c>
      <c r="D1424" s="55" t="s">
        <v>815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3203</v>
      </c>
      <c r="C1425" s="37" t="s">
        <v>3204</v>
      </c>
      <c r="D1425" s="55" t="s">
        <v>815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600</v>
      </c>
      <c r="C1426" s="37" t="s">
        <v>601</v>
      </c>
      <c r="D1426" s="55" t="s">
        <v>815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800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3205</v>
      </c>
      <c r="C1428" s="37" t="s">
        <v>3206</v>
      </c>
      <c r="D1428" s="55" t="s">
        <v>815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3207</v>
      </c>
      <c r="C1429" s="37" t="s">
        <v>3208</v>
      </c>
      <c r="D1429" s="55" t="s">
        <v>800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3209</v>
      </c>
      <c r="C1430" s="37" t="s">
        <v>3210</v>
      </c>
      <c r="D1430" s="55" t="s">
        <v>815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3211</v>
      </c>
      <c r="C1431" s="37" t="s">
        <v>3212</v>
      </c>
      <c r="D1431" s="55" t="s">
        <v>815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3213</v>
      </c>
      <c r="C1432" s="37" t="s">
        <v>3214</v>
      </c>
      <c r="D1432" s="55" t="s">
        <v>815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3215</v>
      </c>
      <c r="C1433" s="37" t="s">
        <v>3216</v>
      </c>
      <c r="D1433" s="55" t="s">
        <v>815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3217</v>
      </c>
      <c r="C1434" s="37" t="s">
        <v>3218</v>
      </c>
      <c r="D1434" s="55" t="s">
        <v>815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3219</v>
      </c>
      <c r="C1435" s="37" t="s">
        <v>3220</v>
      </c>
      <c r="D1435" s="55" t="s">
        <v>5147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3221</v>
      </c>
      <c r="C1436" s="37" t="s">
        <v>3222</v>
      </c>
      <c r="D1436" s="55" t="s">
        <v>815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3223</v>
      </c>
      <c r="C1437" s="37" t="s">
        <v>3224</v>
      </c>
      <c r="D1437" s="55" t="s">
        <v>815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3225</v>
      </c>
      <c r="C1438" s="37" t="s">
        <v>3226</v>
      </c>
      <c r="D1438" s="55" t="s">
        <v>800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3227</v>
      </c>
      <c r="C1439" s="37" t="s">
        <v>3228</v>
      </c>
      <c r="D1439" s="55" t="s">
        <v>815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3229</v>
      </c>
      <c r="C1440" s="37" t="s">
        <v>3230</v>
      </c>
      <c r="D1440" s="55" t="s">
        <v>815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3231</v>
      </c>
      <c r="C1441" s="37" t="s">
        <v>3232</v>
      </c>
      <c r="D1441" s="55" t="s">
        <v>815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3233</v>
      </c>
      <c r="C1442" s="37" t="s">
        <v>3234</v>
      </c>
      <c r="D1442" s="55" t="s">
        <v>815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428</v>
      </c>
      <c r="C1443" s="37" t="s">
        <v>429</v>
      </c>
      <c r="D1443" s="55" t="s">
        <v>815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3235</v>
      </c>
      <c r="C1444" s="37" t="s">
        <v>3236</v>
      </c>
      <c r="D1444" s="55" t="s">
        <v>815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3237</v>
      </c>
      <c r="C1445" s="37" t="s">
        <v>3238</v>
      </c>
      <c r="D1445" s="55" t="s">
        <v>800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3239</v>
      </c>
      <c r="C1446" s="37" t="s">
        <v>3240</v>
      </c>
      <c r="D1446" s="55" t="s">
        <v>815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3241</v>
      </c>
      <c r="C1447" s="37" t="s">
        <v>3242</v>
      </c>
      <c r="D1447" s="55" t="s">
        <v>800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574</v>
      </c>
      <c r="C1448" s="37" t="s">
        <v>575</v>
      </c>
      <c r="D1448" s="55" t="s">
        <v>815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3243</v>
      </c>
      <c r="C1449" s="37" t="s">
        <v>3244</v>
      </c>
      <c r="D1449" s="55" t="s">
        <v>815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3245</v>
      </c>
      <c r="C1450" s="37" t="s">
        <v>3246</v>
      </c>
      <c r="D1450" s="55" t="s">
        <v>800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3247</v>
      </c>
      <c r="C1451" s="37" t="s">
        <v>3248</v>
      </c>
      <c r="D1451" s="55" t="s">
        <v>815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406</v>
      </c>
      <c r="C1452" s="37" t="s">
        <v>407</v>
      </c>
      <c r="D1452" s="55" t="s">
        <v>800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3249</v>
      </c>
      <c r="C1453" s="37" t="s">
        <v>3250</v>
      </c>
      <c r="D1453" s="55" t="s">
        <v>815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3251</v>
      </c>
      <c r="C1454" s="37" t="s">
        <v>5178</v>
      </c>
      <c r="D1454" s="55" t="s">
        <v>815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3252</v>
      </c>
      <c r="C1455" s="37" t="s">
        <v>3253</v>
      </c>
      <c r="D1455" s="55" t="s">
        <v>815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3254</v>
      </c>
      <c r="C1456" s="37" t="s">
        <v>3255</v>
      </c>
      <c r="D1456" s="55" t="s">
        <v>815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3256</v>
      </c>
      <c r="C1457" s="37" t="s">
        <v>3257</v>
      </c>
      <c r="D1457" s="55" t="s">
        <v>815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3258</v>
      </c>
      <c r="C1458" s="37" t="s">
        <v>3259</v>
      </c>
      <c r="D1458" s="55" t="s">
        <v>815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3260</v>
      </c>
      <c r="C1459" s="37" t="s">
        <v>3261</v>
      </c>
      <c r="D1459" s="55" t="s">
        <v>815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3262</v>
      </c>
      <c r="C1460" s="37" t="s">
        <v>3263</v>
      </c>
      <c r="D1460" s="55" t="s">
        <v>800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3264</v>
      </c>
      <c r="C1461" s="37" t="s">
        <v>3265</v>
      </c>
      <c r="D1461" s="55" t="s">
        <v>815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3266</v>
      </c>
      <c r="C1462" s="37" t="s">
        <v>3267</v>
      </c>
      <c r="D1462" s="55" t="s">
        <v>815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3268</v>
      </c>
      <c r="C1463" s="37" t="s">
        <v>3269</v>
      </c>
      <c r="D1463" s="55" t="s">
        <v>815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800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3270</v>
      </c>
      <c r="C1465" s="37" t="s">
        <v>3271</v>
      </c>
      <c r="D1465" s="55" t="s">
        <v>800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3272</v>
      </c>
      <c r="C1466" s="37" t="s">
        <v>3273</v>
      </c>
      <c r="D1466" s="55" t="s">
        <v>815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3274</v>
      </c>
      <c r="C1467" s="37" t="s">
        <v>3275</v>
      </c>
      <c r="D1467" s="55" t="s">
        <v>815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3276</v>
      </c>
      <c r="C1468" s="37" t="s">
        <v>3277</v>
      </c>
      <c r="D1468" s="55" t="s">
        <v>800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3278</v>
      </c>
      <c r="C1469" s="37" t="s">
        <v>3279</v>
      </c>
      <c r="D1469" s="55" t="s">
        <v>815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3280</v>
      </c>
      <c r="C1470" s="37" t="s">
        <v>3281</v>
      </c>
      <c r="D1470" s="55" t="s">
        <v>815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3282</v>
      </c>
      <c r="C1471" s="37" t="s">
        <v>3283</v>
      </c>
      <c r="D1471" s="55" t="s">
        <v>815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3284</v>
      </c>
      <c r="C1472" s="37" t="s">
        <v>3285</v>
      </c>
      <c r="D1472" s="55" t="s">
        <v>5147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3286</v>
      </c>
      <c r="C1473" s="37" t="s">
        <v>3287</v>
      </c>
      <c r="D1473" s="55" t="s">
        <v>800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3288</v>
      </c>
      <c r="C1474" s="37" t="s">
        <v>3289</v>
      </c>
      <c r="D1474" s="55" t="s">
        <v>815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815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3290</v>
      </c>
      <c r="C1476" s="37" t="s">
        <v>3291</v>
      </c>
      <c r="D1476" s="55" t="s">
        <v>815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3292</v>
      </c>
      <c r="C1477" s="37" t="s">
        <v>3293</v>
      </c>
      <c r="D1477" s="55" t="s">
        <v>800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3294</v>
      </c>
      <c r="C1478" s="37" t="s">
        <v>3295</v>
      </c>
      <c r="D1478" s="55" t="s">
        <v>815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815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3296</v>
      </c>
      <c r="C1480" s="37" t="s">
        <v>3297</v>
      </c>
      <c r="D1480" s="55" t="s">
        <v>800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3298</v>
      </c>
      <c r="C1481" s="37" t="s">
        <v>3299</v>
      </c>
      <c r="D1481" s="55" t="s">
        <v>815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3300</v>
      </c>
      <c r="C1482" s="37" t="s">
        <v>3301</v>
      </c>
      <c r="D1482" s="55" t="s">
        <v>800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3302</v>
      </c>
      <c r="C1483" s="37" t="s">
        <v>3303</v>
      </c>
      <c r="D1483" s="55" t="s">
        <v>815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3304</v>
      </c>
      <c r="C1484" s="37" t="s">
        <v>3305</v>
      </c>
      <c r="D1484" s="55" t="s">
        <v>815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3306</v>
      </c>
      <c r="C1485" s="37" t="s">
        <v>3307</v>
      </c>
      <c r="D1485" s="55" t="s">
        <v>815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3308</v>
      </c>
      <c r="C1486" s="37" t="s">
        <v>3309</v>
      </c>
      <c r="D1486" s="55" t="s">
        <v>815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3310</v>
      </c>
      <c r="C1487" s="37" t="s">
        <v>3311</v>
      </c>
      <c r="D1487" s="55" t="s">
        <v>815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3312</v>
      </c>
      <c r="C1488" s="37" t="s">
        <v>3313</v>
      </c>
      <c r="D1488" s="55" t="s">
        <v>815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3314</v>
      </c>
      <c r="C1489" s="37" t="s">
        <v>3315</v>
      </c>
      <c r="D1489" s="55" t="s">
        <v>815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3316</v>
      </c>
      <c r="C1490" s="37" t="s">
        <v>3317</v>
      </c>
      <c r="D1490" s="55" t="s">
        <v>815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3318</v>
      </c>
      <c r="C1491" s="37" t="s">
        <v>3319</v>
      </c>
      <c r="D1491" s="55" t="s">
        <v>815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762</v>
      </c>
      <c r="C1492" s="37" t="s">
        <v>763</v>
      </c>
      <c r="D1492" s="55" t="s">
        <v>815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3320</v>
      </c>
      <c r="C1493" s="37" t="s">
        <v>3321</v>
      </c>
      <c r="D1493" s="55" t="s">
        <v>800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3322</v>
      </c>
      <c r="C1494" s="37" t="s">
        <v>3323</v>
      </c>
      <c r="D1494" s="55" t="s">
        <v>800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3324</v>
      </c>
      <c r="C1495" s="37" t="s">
        <v>3325</v>
      </c>
      <c r="D1495" s="55" t="s">
        <v>815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592</v>
      </c>
      <c r="C1496" s="37" t="s">
        <v>593</v>
      </c>
      <c r="D1496" s="55" t="s">
        <v>800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3326</v>
      </c>
      <c r="C1497" s="37" t="s">
        <v>3327</v>
      </c>
      <c r="D1497" s="55" t="s">
        <v>815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770</v>
      </c>
      <c r="C1498" s="37" t="s">
        <v>771</v>
      </c>
      <c r="D1498" s="55" t="s">
        <v>815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800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3328</v>
      </c>
      <c r="C1500" s="37" t="s">
        <v>3329</v>
      </c>
      <c r="D1500" s="55" t="s">
        <v>815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3330</v>
      </c>
      <c r="C1501" s="37" t="s">
        <v>3331</v>
      </c>
      <c r="D1501" s="55" t="s">
        <v>800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3332</v>
      </c>
      <c r="C1502" s="37" t="s">
        <v>3333</v>
      </c>
      <c r="D1502" s="55" t="s">
        <v>815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3334</v>
      </c>
      <c r="C1503" s="37" t="s">
        <v>3335</v>
      </c>
      <c r="D1503" s="55" t="s">
        <v>815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3336</v>
      </c>
      <c r="C1504" s="37" t="s">
        <v>3337</v>
      </c>
      <c r="D1504" s="55" t="s">
        <v>815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738</v>
      </c>
      <c r="C1505" s="37" t="s">
        <v>739</v>
      </c>
      <c r="D1505" s="55" t="s">
        <v>815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3338</v>
      </c>
      <c r="C1506" s="37" t="s">
        <v>3339</v>
      </c>
      <c r="D1506" s="55" t="s">
        <v>815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3340</v>
      </c>
      <c r="C1507" s="37" t="s">
        <v>3341</v>
      </c>
      <c r="D1507" s="55" t="s">
        <v>815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3342</v>
      </c>
      <c r="C1508" s="37" t="s">
        <v>3343</v>
      </c>
      <c r="D1508" s="55" t="s">
        <v>815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3344</v>
      </c>
      <c r="C1509" s="37" t="s">
        <v>3345</v>
      </c>
      <c r="D1509" s="55" t="s">
        <v>815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3346</v>
      </c>
      <c r="C1510" s="37" t="s">
        <v>3347</v>
      </c>
      <c r="D1510" s="55" t="s">
        <v>815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3348</v>
      </c>
      <c r="C1511" s="37" t="s">
        <v>3349</v>
      </c>
      <c r="D1511" s="55" t="s">
        <v>815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3350</v>
      </c>
      <c r="C1512" s="37" t="s">
        <v>3351</v>
      </c>
      <c r="D1512" s="55" t="s">
        <v>815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3352</v>
      </c>
      <c r="C1513" s="37" t="s">
        <v>3353</v>
      </c>
      <c r="D1513" s="55" t="s">
        <v>815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3354</v>
      </c>
      <c r="C1514" s="37" t="s">
        <v>3355</v>
      </c>
      <c r="D1514" s="55" t="s">
        <v>815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3356</v>
      </c>
      <c r="C1515" s="37" t="s">
        <v>3357</v>
      </c>
      <c r="D1515" s="55" t="s">
        <v>815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3358</v>
      </c>
      <c r="C1516" s="37" t="s">
        <v>3359</v>
      </c>
      <c r="D1516" s="55" t="s">
        <v>815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3360</v>
      </c>
      <c r="C1517" s="37" t="s">
        <v>3361</v>
      </c>
      <c r="D1517" s="55" t="s">
        <v>800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3362</v>
      </c>
      <c r="C1518" s="37" t="s">
        <v>3363</v>
      </c>
      <c r="D1518" s="55" t="s">
        <v>815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3364</v>
      </c>
      <c r="C1519" s="37" t="s">
        <v>3365</v>
      </c>
      <c r="D1519" s="55" t="s">
        <v>815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3366</v>
      </c>
      <c r="C1520" s="37" t="s">
        <v>3367</v>
      </c>
      <c r="D1520" s="55" t="s">
        <v>800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3368</v>
      </c>
      <c r="C1521" s="37" t="s">
        <v>3369</v>
      </c>
      <c r="D1521" s="55" t="s">
        <v>815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3370</v>
      </c>
      <c r="C1522" s="37" t="s">
        <v>3371</v>
      </c>
      <c r="D1522" s="55" t="s">
        <v>815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3372</v>
      </c>
      <c r="C1523" s="37" t="s">
        <v>3373</v>
      </c>
      <c r="D1523" s="55" t="s">
        <v>815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3374</v>
      </c>
      <c r="C1524" s="37" t="s">
        <v>3375</v>
      </c>
      <c r="D1524" s="55" t="s">
        <v>800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3376</v>
      </c>
      <c r="C1525" s="37" t="s">
        <v>3377</v>
      </c>
      <c r="D1525" s="55" t="s">
        <v>815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815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3378</v>
      </c>
      <c r="C1527" s="37" t="s">
        <v>3379</v>
      </c>
      <c r="D1527" s="55" t="s">
        <v>800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3380</v>
      </c>
      <c r="C1528" s="37" t="s">
        <v>3381</v>
      </c>
      <c r="D1528" s="55" t="s">
        <v>800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3382</v>
      </c>
      <c r="C1529" s="37" t="s">
        <v>3383</v>
      </c>
      <c r="D1529" s="55" t="s">
        <v>815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3384</v>
      </c>
      <c r="C1530" s="37" t="s">
        <v>3385</v>
      </c>
      <c r="D1530" s="55" t="s">
        <v>815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3386</v>
      </c>
      <c r="C1531" s="37" t="s">
        <v>3387</v>
      </c>
      <c r="D1531" s="55" t="s">
        <v>815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3388</v>
      </c>
      <c r="C1532" s="37" t="s">
        <v>3389</v>
      </c>
      <c r="D1532" s="55" t="s">
        <v>815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3390</v>
      </c>
      <c r="C1533" s="37" t="s">
        <v>3391</v>
      </c>
      <c r="D1533" s="55" t="s">
        <v>815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3392</v>
      </c>
      <c r="C1534" s="37" t="s">
        <v>3393</v>
      </c>
      <c r="D1534" s="55" t="s">
        <v>815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3394</v>
      </c>
      <c r="C1535" s="37" t="s">
        <v>3395</v>
      </c>
      <c r="D1535" s="55" t="s">
        <v>815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3396</v>
      </c>
      <c r="C1536" s="37" t="s">
        <v>3397</v>
      </c>
      <c r="D1536" s="55" t="s">
        <v>815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3398</v>
      </c>
      <c r="C1537" s="37" t="s">
        <v>3399</v>
      </c>
      <c r="D1537" s="55" t="s">
        <v>815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3400</v>
      </c>
      <c r="C1538" s="37" t="s">
        <v>3401</v>
      </c>
      <c r="D1538" s="55" t="s">
        <v>815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3402</v>
      </c>
      <c r="C1539" s="37" t="s">
        <v>3403</v>
      </c>
      <c r="D1539" s="55" t="s">
        <v>815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815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3404</v>
      </c>
      <c r="C1541" s="37" t="s">
        <v>3405</v>
      </c>
      <c r="D1541" s="55" t="s">
        <v>800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3406</v>
      </c>
      <c r="C1542" s="37" t="s">
        <v>3407</v>
      </c>
      <c r="D1542" s="55" t="s">
        <v>815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3408</v>
      </c>
      <c r="C1543" s="37" t="s">
        <v>3409</v>
      </c>
      <c r="D1543" s="55" t="s">
        <v>815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3410</v>
      </c>
      <c r="C1544" s="37" t="s">
        <v>3411</v>
      </c>
      <c r="D1544" s="55" t="s">
        <v>815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732</v>
      </c>
      <c r="C1545" s="37" t="s">
        <v>733</v>
      </c>
      <c r="D1545" s="55" t="s">
        <v>815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3412</v>
      </c>
      <c r="C1546" s="37" t="s">
        <v>3413</v>
      </c>
      <c r="D1546" s="55" t="s">
        <v>815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3414</v>
      </c>
      <c r="C1547" s="37" t="s">
        <v>3415</v>
      </c>
      <c r="D1547" s="55" t="s">
        <v>815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3416</v>
      </c>
      <c r="C1548" s="37" t="s">
        <v>3417</v>
      </c>
      <c r="D1548" s="55" t="s">
        <v>815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3418</v>
      </c>
      <c r="C1549" s="37" t="s">
        <v>3419</v>
      </c>
      <c r="D1549" s="55" t="s">
        <v>800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3420</v>
      </c>
      <c r="C1550" s="37" t="s">
        <v>3421</v>
      </c>
      <c r="D1550" s="55" t="s">
        <v>800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3422</v>
      </c>
      <c r="C1551" s="37" t="s">
        <v>3423</v>
      </c>
      <c r="D1551" s="55" t="s">
        <v>815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3424</v>
      </c>
      <c r="C1552" s="37" t="s">
        <v>3425</v>
      </c>
      <c r="D1552" s="55" t="s">
        <v>815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3426</v>
      </c>
      <c r="C1553" s="37" t="s">
        <v>3427</v>
      </c>
      <c r="D1553" s="55" t="s">
        <v>815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3428</v>
      </c>
      <c r="C1554" s="37" t="s">
        <v>3429</v>
      </c>
      <c r="D1554" s="55" t="s">
        <v>800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510</v>
      </c>
      <c r="C1555" s="37" t="s">
        <v>511</v>
      </c>
      <c r="D1555" s="55" t="s">
        <v>815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3430</v>
      </c>
      <c r="C1556" s="37" t="s">
        <v>3431</v>
      </c>
      <c r="D1556" s="55" t="s">
        <v>815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3432</v>
      </c>
      <c r="C1557" s="37" t="s">
        <v>3433</v>
      </c>
      <c r="D1557" s="55" t="s">
        <v>815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3434</v>
      </c>
      <c r="C1558" s="37" t="s">
        <v>3435</v>
      </c>
      <c r="D1558" s="55" t="s">
        <v>815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3436</v>
      </c>
      <c r="C1559" s="37" t="s">
        <v>3437</v>
      </c>
      <c r="D1559" s="55" t="s">
        <v>815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420</v>
      </c>
      <c r="C1560" s="37" t="s">
        <v>421</v>
      </c>
      <c r="D1560" s="55" t="s">
        <v>815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3438</v>
      </c>
      <c r="C1561" s="37" t="s">
        <v>3439</v>
      </c>
      <c r="D1561" s="55" t="s">
        <v>800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3440</v>
      </c>
      <c r="C1562" s="37" t="s">
        <v>3441</v>
      </c>
      <c r="D1562" s="55" t="s">
        <v>815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3442</v>
      </c>
      <c r="C1563" s="37" t="s">
        <v>3443</v>
      </c>
      <c r="D1563" s="55" t="s">
        <v>815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736</v>
      </c>
      <c r="C1564" s="37" t="s">
        <v>737</v>
      </c>
      <c r="D1564" s="55" t="s">
        <v>815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724</v>
      </c>
      <c r="C1565" s="37" t="s">
        <v>725</v>
      </c>
      <c r="D1565" s="55" t="s">
        <v>800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3444</v>
      </c>
      <c r="C1566" s="37" t="s">
        <v>3445</v>
      </c>
      <c r="D1566" s="55" t="s">
        <v>815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3446</v>
      </c>
      <c r="C1567" s="37" t="s">
        <v>3447</v>
      </c>
      <c r="D1567" s="55" t="s">
        <v>815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3448</v>
      </c>
      <c r="C1568" s="37" t="s">
        <v>3449</v>
      </c>
      <c r="D1568" s="55" t="s">
        <v>815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3450</v>
      </c>
      <c r="C1569" s="37" t="s">
        <v>3451</v>
      </c>
      <c r="D1569" s="55" t="s">
        <v>815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3452</v>
      </c>
      <c r="C1570" s="37" t="s">
        <v>3453</v>
      </c>
      <c r="D1570" s="55" t="s">
        <v>815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3454</v>
      </c>
      <c r="C1571" s="37" t="s">
        <v>3455</v>
      </c>
      <c r="D1571" s="55" t="s">
        <v>815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3456</v>
      </c>
      <c r="C1572" s="37" t="s">
        <v>3457</v>
      </c>
      <c r="D1572" s="55" t="s">
        <v>815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3458</v>
      </c>
      <c r="C1573" s="37" t="s">
        <v>3459</v>
      </c>
      <c r="D1573" s="55" t="s">
        <v>800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800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3460</v>
      </c>
      <c r="C1575" s="37" t="s">
        <v>3461</v>
      </c>
      <c r="D1575" s="55" t="s">
        <v>800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3462</v>
      </c>
      <c r="C1576" s="37" t="s">
        <v>3463</v>
      </c>
      <c r="D1576" s="55" t="s">
        <v>815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3464</v>
      </c>
      <c r="C1577" s="37" t="s">
        <v>3465</v>
      </c>
      <c r="D1577" s="55" t="s">
        <v>815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3466</v>
      </c>
      <c r="C1578" s="37" t="s">
        <v>3467</v>
      </c>
      <c r="D1578" s="55" t="s">
        <v>815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3468</v>
      </c>
      <c r="C1579" s="37" t="s">
        <v>3469</v>
      </c>
      <c r="D1579" s="55" t="s">
        <v>815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3470</v>
      </c>
      <c r="C1580" s="37" t="s">
        <v>3471</v>
      </c>
      <c r="D1580" s="55" t="s">
        <v>800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3472</v>
      </c>
      <c r="C1581" s="37" t="s">
        <v>3473</v>
      </c>
      <c r="D1581" s="55" t="s">
        <v>815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3474</v>
      </c>
      <c r="C1582" s="37" t="s">
        <v>3475</v>
      </c>
      <c r="D1582" s="55" t="s">
        <v>815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3476</v>
      </c>
      <c r="C1583" s="37" t="s">
        <v>3477</v>
      </c>
      <c r="D1583" s="55" t="s">
        <v>815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3478</v>
      </c>
      <c r="C1584" s="37" t="s">
        <v>3479</v>
      </c>
      <c r="D1584" s="55" t="s">
        <v>815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3480</v>
      </c>
      <c r="C1585" s="37" t="s">
        <v>3481</v>
      </c>
      <c r="D1585" s="55" t="s">
        <v>815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3482</v>
      </c>
      <c r="C1586" s="37" t="s">
        <v>3483</v>
      </c>
      <c r="D1586" s="55" t="s">
        <v>815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566</v>
      </c>
      <c r="C1587" s="37" t="s">
        <v>567</v>
      </c>
      <c r="D1587" s="55" t="s">
        <v>815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3484</v>
      </c>
      <c r="C1588" s="37" t="s">
        <v>3485</v>
      </c>
      <c r="D1588" s="55" t="s">
        <v>815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3486</v>
      </c>
      <c r="C1589" s="37" t="s">
        <v>3487</v>
      </c>
      <c r="D1589" s="55" t="s">
        <v>815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3488</v>
      </c>
      <c r="C1590" s="37" t="s">
        <v>3489</v>
      </c>
      <c r="D1590" s="55" t="s">
        <v>815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676</v>
      </c>
      <c r="C1591" s="37" t="s">
        <v>677</v>
      </c>
      <c r="D1591" s="55" t="s">
        <v>815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3490</v>
      </c>
      <c r="C1592" s="37" t="s">
        <v>3491</v>
      </c>
      <c r="D1592" s="55" t="s">
        <v>815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3492</v>
      </c>
      <c r="C1593" s="37" t="s">
        <v>3493</v>
      </c>
      <c r="D1593" s="55" t="s">
        <v>800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3494</v>
      </c>
      <c r="C1594" s="37" t="s">
        <v>3495</v>
      </c>
      <c r="D1594" s="55" t="s">
        <v>815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3496</v>
      </c>
      <c r="C1595" s="37" t="s">
        <v>3497</v>
      </c>
      <c r="D1595" s="55" t="s">
        <v>800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3498</v>
      </c>
      <c r="C1596" s="37" t="s">
        <v>3499</v>
      </c>
      <c r="D1596" s="55" t="s">
        <v>815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3500</v>
      </c>
      <c r="C1597" s="37" t="s">
        <v>3501</v>
      </c>
      <c r="D1597" s="55" t="s">
        <v>800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3502</v>
      </c>
      <c r="C1598" s="37" t="s">
        <v>3503</v>
      </c>
      <c r="D1598" s="55" t="s">
        <v>815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3504</v>
      </c>
      <c r="C1599" s="37" t="s">
        <v>3505</v>
      </c>
      <c r="D1599" s="55" t="s">
        <v>815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3506</v>
      </c>
      <c r="C1600" s="37" t="s">
        <v>3507</v>
      </c>
      <c r="D1600" s="55" t="s">
        <v>815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3508</v>
      </c>
      <c r="C1601" s="37" t="s">
        <v>3509</v>
      </c>
      <c r="D1601" s="55" t="s">
        <v>800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3510</v>
      </c>
      <c r="C1602" s="37" t="s">
        <v>3511</v>
      </c>
      <c r="D1602" s="55" t="s">
        <v>815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3512</v>
      </c>
      <c r="C1603" s="37" t="s">
        <v>3513</v>
      </c>
      <c r="D1603" s="55" t="s">
        <v>815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3514</v>
      </c>
      <c r="C1604" s="37" t="s">
        <v>3515</v>
      </c>
      <c r="D1604" s="55" t="s">
        <v>800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3516</v>
      </c>
      <c r="C1605" s="37" t="s">
        <v>3517</v>
      </c>
      <c r="D1605" s="55" t="s">
        <v>815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3518</v>
      </c>
      <c r="C1606" s="37" t="s">
        <v>3519</v>
      </c>
      <c r="D1606" s="55" t="s">
        <v>815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3520</v>
      </c>
      <c r="C1607" s="37" t="s">
        <v>3521</v>
      </c>
      <c r="D1607" s="55" t="s">
        <v>815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800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3522</v>
      </c>
      <c r="C1609" s="37" t="s">
        <v>3523</v>
      </c>
      <c r="D1609" s="55" t="s">
        <v>815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3524</v>
      </c>
      <c r="C1610" s="37" t="s">
        <v>3525</v>
      </c>
      <c r="D1610" s="55" t="s">
        <v>815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3526</v>
      </c>
      <c r="C1611" s="37" t="s">
        <v>3527</v>
      </c>
      <c r="D1611" s="55" t="s">
        <v>815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3528</v>
      </c>
      <c r="C1612" s="37" t="s">
        <v>3529</v>
      </c>
      <c r="D1612" s="55" t="s">
        <v>5147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506</v>
      </c>
      <c r="C1613" s="37" t="s">
        <v>507</v>
      </c>
      <c r="D1613" s="55" t="s">
        <v>815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800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3530</v>
      </c>
      <c r="C1615" s="37" t="s">
        <v>3531</v>
      </c>
      <c r="D1615" s="55" t="s">
        <v>5147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3532</v>
      </c>
      <c r="C1616" s="37" t="s">
        <v>3533</v>
      </c>
      <c r="D1616" s="55" t="s">
        <v>800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800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3534</v>
      </c>
      <c r="C1618" s="37" t="s">
        <v>3535</v>
      </c>
      <c r="D1618" s="55" t="s">
        <v>815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3536</v>
      </c>
      <c r="C1619" s="37" t="s">
        <v>3537</v>
      </c>
      <c r="D1619" s="55" t="s">
        <v>800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3538</v>
      </c>
      <c r="C1620" s="37" t="s">
        <v>3539</v>
      </c>
      <c r="D1620" s="55" t="s">
        <v>815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598</v>
      </c>
      <c r="C1621" s="37" t="s">
        <v>599</v>
      </c>
      <c r="D1621" s="55" t="s">
        <v>815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3540</v>
      </c>
      <c r="C1622" s="37" t="s">
        <v>3541</v>
      </c>
      <c r="D1622" s="55" t="s">
        <v>815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3542</v>
      </c>
      <c r="C1623" s="37" t="s">
        <v>3543</v>
      </c>
      <c r="D1623" s="55" t="s">
        <v>815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3544</v>
      </c>
      <c r="C1624" s="37" t="s">
        <v>3545</v>
      </c>
      <c r="D1624" s="55" t="s">
        <v>815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484</v>
      </c>
      <c r="C1625" s="37" t="s">
        <v>485</v>
      </c>
      <c r="D1625" s="55" t="s">
        <v>815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3546</v>
      </c>
      <c r="C1626" s="37" t="s">
        <v>3547</v>
      </c>
      <c r="D1626" s="55" t="s">
        <v>815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815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3548</v>
      </c>
      <c r="C1628" s="37" t="s">
        <v>3549</v>
      </c>
      <c r="D1628" s="55" t="s">
        <v>815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3550</v>
      </c>
      <c r="C1629" s="37" t="s">
        <v>3551</v>
      </c>
      <c r="D1629" s="55" t="s">
        <v>815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3552</v>
      </c>
      <c r="C1630" s="37" t="s">
        <v>3553</v>
      </c>
      <c r="D1630" s="55" t="s">
        <v>815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3554</v>
      </c>
      <c r="C1631" s="37" t="s">
        <v>3555</v>
      </c>
      <c r="D1631" s="55" t="s">
        <v>815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3556</v>
      </c>
      <c r="C1632" s="37" t="s">
        <v>3557</v>
      </c>
      <c r="D1632" s="55" t="s">
        <v>800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3558</v>
      </c>
      <c r="C1633" s="37" t="s">
        <v>3559</v>
      </c>
      <c r="D1633" s="55" t="s">
        <v>815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3560</v>
      </c>
      <c r="C1634" s="37" t="s">
        <v>3561</v>
      </c>
      <c r="D1634" s="55" t="s">
        <v>815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3562</v>
      </c>
      <c r="C1635" s="37" t="s">
        <v>3563</v>
      </c>
      <c r="D1635" s="55" t="s">
        <v>815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3564</v>
      </c>
      <c r="C1636" s="37" t="s">
        <v>3565</v>
      </c>
      <c r="D1636" s="55" t="s">
        <v>815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815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3566</v>
      </c>
      <c r="C1638" s="37" t="s">
        <v>3567</v>
      </c>
      <c r="D1638" s="55" t="s">
        <v>815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3568</v>
      </c>
      <c r="C1639" s="37" t="s">
        <v>3569</v>
      </c>
      <c r="D1639" s="55" t="s">
        <v>800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800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3570</v>
      </c>
      <c r="C1641" s="37" t="s">
        <v>3571</v>
      </c>
      <c r="D1641" s="55" t="s">
        <v>800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3572</v>
      </c>
      <c r="C1642" s="37" t="s">
        <v>3573</v>
      </c>
      <c r="D1642" s="55" t="s">
        <v>815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3574</v>
      </c>
      <c r="C1643" s="37" t="s">
        <v>3575</v>
      </c>
      <c r="D1643" s="55" t="s">
        <v>815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3576</v>
      </c>
      <c r="C1644" s="37" t="s">
        <v>3577</v>
      </c>
      <c r="D1644" s="55" t="s">
        <v>815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3578</v>
      </c>
      <c r="C1645" s="37" t="s">
        <v>3579</v>
      </c>
      <c r="D1645" s="55" t="s">
        <v>815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3580</v>
      </c>
      <c r="C1646" s="37" t="s">
        <v>3581</v>
      </c>
      <c r="D1646" s="55" t="s">
        <v>815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3582</v>
      </c>
      <c r="C1647" s="37" t="s">
        <v>3583</v>
      </c>
      <c r="D1647" s="55" t="s">
        <v>815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3584</v>
      </c>
      <c r="C1648" s="37" t="s">
        <v>3585</v>
      </c>
      <c r="D1648" s="55" t="s">
        <v>815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3586</v>
      </c>
      <c r="C1649" s="37" t="s">
        <v>3587</v>
      </c>
      <c r="D1649" s="55" t="s">
        <v>815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3588</v>
      </c>
      <c r="C1650" s="37" t="s">
        <v>3589</v>
      </c>
      <c r="D1650" s="55" t="s">
        <v>815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3590</v>
      </c>
      <c r="C1651" s="37" t="s">
        <v>3591</v>
      </c>
      <c r="D1651" s="55" t="s">
        <v>815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3592</v>
      </c>
      <c r="C1652" s="37" t="s">
        <v>5199</v>
      </c>
      <c r="D1652" s="55" t="s">
        <v>815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3593</v>
      </c>
      <c r="C1653" s="37" t="s">
        <v>3594</v>
      </c>
      <c r="D1653" s="55" t="s">
        <v>815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3595</v>
      </c>
      <c r="C1654" s="37" t="s">
        <v>3596</v>
      </c>
      <c r="D1654" s="55" t="s">
        <v>815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3597</v>
      </c>
      <c r="C1655" s="37" t="s">
        <v>5185</v>
      </c>
      <c r="D1655" s="55" t="s">
        <v>815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3598</v>
      </c>
      <c r="C1656" s="37" t="s">
        <v>3599</v>
      </c>
      <c r="D1656" s="55" t="s">
        <v>815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3600</v>
      </c>
      <c r="C1657" s="37" t="s">
        <v>3601</v>
      </c>
      <c r="D1657" s="55" t="s">
        <v>815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3602</v>
      </c>
      <c r="C1658" s="37" t="s">
        <v>3603</v>
      </c>
      <c r="D1658" s="55" t="s">
        <v>815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3604</v>
      </c>
      <c r="C1659" s="37" t="s">
        <v>3605</v>
      </c>
      <c r="D1659" s="55" t="s">
        <v>815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3606</v>
      </c>
      <c r="C1660" s="37" t="s">
        <v>3607</v>
      </c>
      <c r="D1660" s="55" t="s">
        <v>800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3608</v>
      </c>
      <c r="C1661" s="37" t="s">
        <v>3609</v>
      </c>
      <c r="D1661" s="55" t="s">
        <v>815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3610</v>
      </c>
      <c r="C1662" s="37" t="s">
        <v>3611</v>
      </c>
      <c r="D1662" s="55" t="s">
        <v>815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3612</v>
      </c>
      <c r="C1663" s="37" t="s">
        <v>3613</v>
      </c>
      <c r="D1663" s="55" t="s">
        <v>815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3614</v>
      </c>
      <c r="C1664" s="37" t="s">
        <v>3615</v>
      </c>
      <c r="D1664" s="55" t="s">
        <v>815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3616</v>
      </c>
      <c r="C1665" s="37" t="s">
        <v>3617</v>
      </c>
      <c r="D1665" s="55" t="s">
        <v>815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815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3618</v>
      </c>
      <c r="C1667" s="37" t="s">
        <v>3619</v>
      </c>
      <c r="D1667" s="55" t="s">
        <v>815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3620</v>
      </c>
      <c r="C1668" s="37" t="s">
        <v>3621</v>
      </c>
      <c r="D1668" s="55" t="s">
        <v>815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3622</v>
      </c>
      <c r="C1669" s="37" t="s">
        <v>3623</v>
      </c>
      <c r="D1669" s="55" t="s">
        <v>800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3624</v>
      </c>
      <c r="C1670" s="37" t="s">
        <v>3625</v>
      </c>
      <c r="D1670" s="55" t="s">
        <v>800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3626</v>
      </c>
      <c r="C1671" s="37" t="s">
        <v>3627</v>
      </c>
      <c r="D1671" s="55" t="s">
        <v>815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3628</v>
      </c>
      <c r="C1672" s="37" t="s">
        <v>3629</v>
      </c>
      <c r="D1672" s="55" t="s">
        <v>800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3630</v>
      </c>
      <c r="C1673" s="37" t="s">
        <v>3631</v>
      </c>
      <c r="D1673" s="55" t="s">
        <v>815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430</v>
      </c>
      <c r="C1674" s="37" t="s">
        <v>431</v>
      </c>
      <c r="D1674" s="55" t="s">
        <v>815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3632</v>
      </c>
      <c r="C1675" s="37" t="s">
        <v>3633</v>
      </c>
      <c r="D1675" s="55" t="s">
        <v>800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3634</v>
      </c>
      <c r="C1676" s="37" t="s">
        <v>3635</v>
      </c>
      <c r="D1676" s="55" t="s">
        <v>815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3636</v>
      </c>
      <c r="C1677" s="37" t="s">
        <v>3637</v>
      </c>
      <c r="D1677" s="55" t="s">
        <v>815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3638</v>
      </c>
      <c r="C1678" s="37" t="s">
        <v>3639</v>
      </c>
      <c r="D1678" s="55" t="s">
        <v>815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3640</v>
      </c>
      <c r="C1679" s="37" t="s">
        <v>3641</v>
      </c>
      <c r="D1679" s="55" t="s">
        <v>815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3642</v>
      </c>
      <c r="C1680" s="37" t="s">
        <v>3643</v>
      </c>
      <c r="D1680" s="55" t="s">
        <v>815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3644</v>
      </c>
      <c r="C1681" s="37" t="s">
        <v>3645</v>
      </c>
      <c r="D1681" s="55" t="s">
        <v>815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3646</v>
      </c>
      <c r="C1682" s="37" t="s">
        <v>3647</v>
      </c>
      <c r="D1682" s="55" t="s">
        <v>815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3648</v>
      </c>
      <c r="C1683" s="37" t="s">
        <v>3649</v>
      </c>
      <c r="D1683" s="55" t="s">
        <v>815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3650</v>
      </c>
      <c r="C1684" s="37" t="s">
        <v>3651</v>
      </c>
      <c r="D1684" s="55" t="s">
        <v>800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3652</v>
      </c>
      <c r="C1685" s="37" t="s">
        <v>3653</v>
      </c>
      <c r="D1685" s="55" t="s">
        <v>815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3654</v>
      </c>
      <c r="C1686" s="37" t="s">
        <v>3655</v>
      </c>
      <c r="D1686" s="55" t="s">
        <v>815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730</v>
      </c>
      <c r="C1687" s="37" t="s">
        <v>731</v>
      </c>
      <c r="D1687" s="55" t="s">
        <v>815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3656</v>
      </c>
      <c r="C1688" s="37" t="s">
        <v>3657</v>
      </c>
      <c r="D1688" s="55" t="s">
        <v>815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3658</v>
      </c>
      <c r="C1689" s="37" t="s">
        <v>3659</v>
      </c>
      <c r="D1689" s="55" t="s">
        <v>815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3660</v>
      </c>
      <c r="C1690" s="37" t="s">
        <v>3661</v>
      </c>
      <c r="D1690" s="55" t="s">
        <v>815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3662</v>
      </c>
      <c r="C1691" s="37" t="s">
        <v>3663</v>
      </c>
      <c r="D1691" s="55" t="s">
        <v>815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560</v>
      </c>
      <c r="C1692" s="37" t="s">
        <v>561</v>
      </c>
      <c r="D1692" s="55" t="s">
        <v>815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3664</v>
      </c>
      <c r="C1693" s="37" t="s">
        <v>3665</v>
      </c>
      <c r="D1693" s="55" t="s">
        <v>815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3666</v>
      </c>
      <c r="C1694" s="37" t="s">
        <v>3667</v>
      </c>
      <c r="D1694" s="55" t="s">
        <v>815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800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3668</v>
      </c>
      <c r="C1696" s="37" t="s">
        <v>3669</v>
      </c>
      <c r="D1696" s="55" t="s">
        <v>815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3670</v>
      </c>
      <c r="C1697" s="37" t="s">
        <v>3671</v>
      </c>
      <c r="D1697" s="55" t="s">
        <v>815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3672</v>
      </c>
      <c r="C1698" s="37" t="s">
        <v>3673</v>
      </c>
      <c r="D1698" s="55" t="s">
        <v>815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3674</v>
      </c>
      <c r="C1699" s="37" t="s">
        <v>3675</v>
      </c>
      <c r="D1699" s="55" t="s">
        <v>815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432</v>
      </c>
      <c r="C1700" s="37" t="s">
        <v>433</v>
      </c>
      <c r="D1700" s="55" t="s">
        <v>815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3676</v>
      </c>
      <c r="C1701" s="37" t="s">
        <v>3677</v>
      </c>
      <c r="D1701" s="55" t="s">
        <v>815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3678</v>
      </c>
      <c r="C1702" s="37" t="s">
        <v>3679</v>
      </c>
      <c r="D1702" s="55" t="s">
        <v>800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3680</v>
      </c>
      <c r="C1703" s="37" t="s">
        <v>3681</v>
      </c>
      <c r="D1703" s="55" t="s">
        <v>815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3682</v>
      </c>
      <c r="C1704" s="37" t="s">
        <v>3683</v>
      </c>
      <c r="D1704" s="37" t="s">
        <v>815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3684</v>
      </c>
      <c r="C1705" s="37" t="s">
        <v>3685</v>
      </c>
      <c r="D1705" s="55" t="s">
        <v>815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3686</v>
      </c>
      <c r="C1706" s="37" t="s">
        <v>3687</v>
      </c>
      <c r="D1706" s="55" t="s">
        <v>815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596</v>
      </c>
      <c r="C1707" s="37" t="s">
        <v>597</v>
      </c>
      <c r="D1707" s="55" t="s">
        <v>800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3688</v>
      </c>
      <c r="C1708" s="37" t="s">
        <v>3689</v>
      </c>
      <c r="D1708" s="55" t="s">
        <v>800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3690</v>
      </c>
      <c r="C1709" s="37" t="s">
        <v>3691</v>
      </c>
      <c r="D1709" s="55" t="s">
        <v>815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3692</v>
      </c>
      <c r="C1710" s="37" t="s">
        <v>5146</v>
      </c>
      <c r="D1710" s="55" t="s">
        <v>815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3693</v>
      </c>
      <c r="C1711" s="37" t="s">
        <v>3694</v>
      </c>
      <c r="D1711" s="55" t="s">
        <v>800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444</v>
      </c>
      <c r="C1712" s="37" t="s">
        <v>445</v>
      </c>
      <c r="D1712" s="55" t="s">
        <v>815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3695</v>
      </c>
      <c r="C1713" s="37" t="s">
        <v>3696</v>
      </c>
      <c r="D1713" s="55" t="s">
        <v>815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3697</v>
      </c>
      <c r="C1714" s="37" t="s">
        <v>3698</v>
      </c>
      <c r="D1714" s="55" t="s">
        <v>815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3699</v>
      </c>
      <c r="C1715" s="37" t="s">
        <v>3700</v>
      </c>
      <c r="D1715" s="55" t="s">
        <v>815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3701</v>
      </c>
      <c r="C1716" s="37" t="s">
        <v>3702</v>
      </c>
      <c r="D1716" s="55" t="s">
        <v>800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3703</v>
      </c>
      <c r="C1717" s="37" t="s">
        <v>3704</v>
      </c>
      <c r="D1717" s="55" t="s">
        <v>815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3705</v>
      </c>
      <c r="C1718" s="37" t="s">
        <v>3706</v>
      </c>
      <c r="D1718" s="55" t="s">
        <v>815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3707</v>
      </c>
      <c r="C1719" s="37" t="s">
        <v>3708</v>
      </c>
      <c r="D1719" s="55" t="s">
        <v>815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3709</v>
      </c>
      <c r="C1720" s="37" t="s">
        <v>3710</v>
      </c>
      <c r="D1720" s="55" t="s">
        <v>815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3711</v>
      </c>
      <c r="C1721" s="37" t="s">
        <v>5153</v>
      </c>
      <c r="D1721" s="55" t="s">
        <v>815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586</v>
      </c>
      <c r="C1722" s="37" t="s">
        <v>587</v>
      </c>
      <c r="D1722" s="55" t="s">
        <v>815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3712</v>
      </c>
      <c r="C1723" s="37" t="s">
        <v>3713</v>
      </c>
      <c r="D1723" s="55" t="s">
        <v>815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3714</v>
      </c>
      <c r="C1724" s="37" t="s">
        <v>3715</v>
      </c>
      <c r="D1724" s="55" t="s">
        <v>815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3716</v>
      </c>
      <c r="C1725" s="37" t="s">
        <v>3717</v>
      </c>
      <c r="D1725" s="55" t="s">
        <v>815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628</v>
      </c>
      <c r="C1726" s="37" t="s">
        <v>629</v>
      </c>
      <c r="D1726" s="55" t="s">
        <v>815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3718</v>
      </c>
      <c r="C1727" s="37" t="s">
        <v>3719</v>
      </c>
      <c r="D1727" s="55" t="s">
        <v>815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3720</v>
      </c>
      <c r="C1728" s="37" t="s">
        <v>3721</v>
      </c>
      <c r="D1728" s="55" t="s">
        <v>815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3722</v>
      </c>
      <c r="C1729" s="37" t="s">
        <v>3723</v>
      </c>
      <c r="D1729" s="55" t="s">
        <v>815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3724</v>
      </c>
      <c r="C1730" s="37" t="s">
        <v>3725</v>
      </c>
      <c r="D1730" s="55" t="s">
        <v>815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3726</v>
      </c>
      <c r="C1731" s="37" t="s">
        <v>3727</v>
      </c>
      <c r="D1731" s="55" t="s">
        <v>815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3728</v>
      </c>
      <c r="C1732" s="37" t="s">
        <v>3729</v>
      </c>
      <c r="D1732" s="55" t="s">
        <v>815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3730</v>
      </c>
      <c r="C1733" s="37" t="s">
        <v>3731</v>
      </c>
      <c r="D1733" s="55" t="s">
        <v>815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3732</v>
      </c>
      <c r="C1734" s="37" t="s">
        <v>3733</v>
      </c>
      <c r="D1734" s="55" t="s">
        <v>815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3734</v>
      </c>
      <c r="C1735" s="37" t="s">
        <v>3735</v>
      </c>
      <c r="D1735" s="55" t="s">
        <v>800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3736</v>
      </c>
      <c r="C1736" s="37" t="s">
        <v>3737</v>
      </c>
      <c r="D1736" s="55" t="s">
        <v>815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3738</v>
      </c>
      <c r="C1737" s="37" t="s">
        <v>3739</v>
      </c>
      <c r="D1737" s="55" t="s">
        <v>815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3740</v>
      </c>
      <c r="C1738" s="37" t="s">
        <v>3741</v>
      </c>
      <c r="D1738" s="55" t="s">
        <v>800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3742</v>
      </c>
      <c r="C1739" s="37" t="s">
        <v>3743</v>
      </c>
      <c r="D1739" s="55" t="s">
        <v>815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3744</v>
      </c>
      <c r="C1740" s="37" t="s">
        <v>3745</v>
      </c>
      <c r="D1740" s="55" t="s">
        <v>815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712</v>
      </c>
      <c r="C1741" s="37" t="s">
        <v>713</v>
      </c>
      <c r="D1741" s="55" t="s">
        <v>800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578</v>
      </c>
      <c r="C1742" s="37" t="s">
        <v>579</v>
      </c>
      <c r="D1742" s="55" t="s">
        <v>800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3746</v>
      </c>
      <c r="C1743" s="37" t="s">
        <v>3747</v>
      </c>
      <c r="D1743" s="55" t="s">
        <v>815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471</v>
      </c>
      <c r="C1744" s="37" t="s">
        <v>472</v>
      </c>
      <c r="D1744" s="55" t="s">
        <v>800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3748</v>
      </c>
      <c r="C1745" s="37" t="s">
        <v>3749</v>
      </c>
      <c r="D1745" s="55" t="s">
        <v>815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3750</v>
      </c>
      <c r="C1746" s="37" t="s">
        <v>3751</v>
      </c>
      <c r="D1746" s="55" t="s">
        <v>815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3752</v>
      </c>
      <c r="C1747" s="37" t="s">
        <v>3753</v>
      </c>
      <c r="D1747" s="55" t="s">
        <v>815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536</v>
      </c>
      <c r="C1748" s="37" t="s">
        <v>537</v>
      </c>
      <c r="D1748" s="55" t="s">
        <v>800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706</v>
      </c>
      <c r="C1749" s="37" t="s">
        <v>707</v>
      </c>
      <c r="D1749" s="55" t="s">
        <v>815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3754</v>
      </c>
      <c r="C1750" s="37" t="s">
        <v>3755</v>
      </c>
      <c r="D1750" s="55" t="s">
        <v>815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815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3756</v>
      </c>
      <c r="C1752" s="37" t="s">
        <v>3757</v>
      </c>
      <c r="D1752" s="55" t="s">
        <v>815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3758</v>
      </c>
      <c r="C1753" s="37" t="s">
        <v>3759</v>
      </c>
      <c r="D1753" s="55" t="s">
        <v>815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3760</v>
      </c>
      <c r="C1754" s="37" t="s">
        <v>3761</v>
      </c>
      <c r="D1754" s="55" t="s">
        <v>815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3762</v>
      </c>
      <c r="C1755" s="37" t="s">
        <v>3763</v>
      </c>
      <c r="D1755" s="55" t="s">
        <v>815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3764</v>
      </c>
      <c r="C1756" s="37" t="s">
        <v>3765</v>
      </c>
      <c r="D1756" s="55" t="s">
        <v>815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3766</v>
      </c>
      <c r="C1757" s="37" t="s">
        <v>3767</v>
      </c>
      <c r="D1757" s="55" t="s">
        <v>815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3768</v>
      </c>
      <c r="C1758" s="37" t="s">
        <v>3769</v>
      </c>
      <c r="D1758" s="55" t="s">
        <v>815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3770</v>
      </c>
      <c r="C1759" s="37" t="s">
        <v>3771</v>
      </c>
      <c r="D1759" s="55" t="s">
        <v>815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3772</v>
      </c>
      <c r="C1760" s="37" t="s">
        <v>3773</v>
      </c>
      <c r="D1760" s="55" t="s">
        <v>815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3774</v>
      </c>
      <c r="C1761" s="37" t="s">
        <v>3775</v>
      </c>
      <c r="D1761" s="55" t="s">
        <v>815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3776</v>
      </c>
      <c r="C1762" s="37" t="s">
        <v>3777</v>
      </c>
      <c r="D1762" s="55" t="s">
        <v>815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3778</v>
      </c>
      <c r="C1763" s="37" t="s">
        <v>3779</v>
      </c>
      <c r="D1763" s="55" t="s">
        <v>815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3780</v>
      </c>
      <c r="C1764" s="37" t="s">
        <v>3781</v>
      </c>
      <c r="D1764" s="55" t="s">
        <v>815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416</v>
      </c>
      <c r="C1765" s="37" t="s">
        <v>417</v>
      </c>
      <c r="D1765" s="55" t="s">
        <v>815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3782</v>
      </c>
      <c r="C1766" s="37" t="s">
        <v>3783</v>
      </c>
      <c r="D1766" s="55" t="s">
        <v>815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3784</v>
      </c>
      <c r="C1767" s="37" t="s">
        <v>3785</v>
      </c>
      <c r="D1767" s="55" t="s">
        <v>815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3786</v>
      </c>
      <c r="C1768" s="37" t="s">
        <v>3787</v>
      </c>
      <c r="D1768" s="55" t="s">
        <v>815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3788</v>
      </c>
      <c r="C1769" s="37" t="s">
        <v>3789</v>
      </c>
      <c r="D1769" s="55" t="s">
        <v>815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3790</v>
      </c>
      <c r="C1770" s="37" t="s">
        <v>3791</v>
      </c>
      <c r="D1770" s="55" t="s">
        <v>815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618</v>
      </c>
      <c r="C1771" s="37" t="s">
        <v>619</v>
      </c>
      <c r="D1771" s="55" t="s">
        <v>815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3792</v>
      </c>
      <c r="C1772" s="37" t="s">
        <v>3793</v>
      </c>
      <c r="D1772" s="55" t="s">
        <v>815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3794</v>
      </c>
      <c r="C1773" s="37" t="s">
        <v>3795</v>
      </c>
      <c r="D1773" s="55" t="s">
        <v>800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3796</v>
      </c>
      <c r="C1774" s="37" t="s">
        <v>3797</v>
      </c>
      <c r="D1774" s="55" t="s">
        <v>815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3798</v>
      </c>
      <c r="C1775" s="37" t="s">
        <v>3799</v>
      </c>
      <c r="D1775" s="55" t="s">
        <v>815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3800</v>
      </c>
      <c r="C1776" s="37" t="s">
        <v>3801</v>
      </c>
      <c r="D1776" s="55" t="s">
        <v>815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3802</v>
      </c>
      <c r="C1777" s="37" t="s">
        <v>3803</v>
      </c>
      <c r="D1777" s="55" t="s">
        <v>815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3804</v>
      </c>
      <c r="C1778" s="37" t="s">
        <v>3805</v>
      </c>
      <c r="D1778" s="55" t="s">
        <v>815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3806</v>
      </c>
      <c r="C1779" s="37" t="s">
        <v>3807</v>
      </c>
      <c r="D1779" s="55" t="s">
        <v>815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3808</v>
      </c>
      <c r="C1780" s="37" t="s">
        <v>3809</v>
      </c>
      <c r="D1780" s="55" t="s">
        <v>815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568</v>
      </c>
      <c r="C1781" s="37" t="s">
        <v>569</v>
      </c>
      <c r="D1781" s="55" t="s">
        <v>800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3810</v>
      </c>
      <c r="C1782" s="37" t="s">
        <v>3811</v>
      </c>
      <c r="D1782" s="55" t="s">
        <v>815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3812</v>
      </c>
      <c r="C1783" s="37" t="s">
        <v>3813</v>
      </c>
      <c r="D1783" s="55" t="s">
        <v>815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3814</v>
      </c>
      <c r="C1784" s="37" t="s">
        <v>3815</v>
      </c>
      <c r="D1784" s="55" t="s">
        <v>5147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3816</v>
      </c>
      <c r="C1785" s="37" t="s">
        <v>3817</v>
      </c>
      <c r="D1785" s="55" t="s">
        <v>815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3818</v>
      </c>
      <c r="C1786" s="37" t="s">
        <v>3819</v>
      </c>
      <c r="D1786" s="55" t="s">
        <v>815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3820</v>
      </c>
      <c r="C1787" s="37" t="s">
        <v>3821</v>
      </c>
      <c r="D1787" s="55" t="s">
        <v>815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3822</v>
      </c>
      <c r="C1788" s="37" t="s">
        <v>3823</v>
      </c>
      <c r="D1788" s="55" t="s">
        <v>815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3824</v>
      </c>
      <c r="C1789" s="37" t="s">
        <v>3825</v>
      </c>
      <c r="D1789" s="55" t="s">
        <v>815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3826</v>
      </c>
      <c r="C1790" s="37" t="s">
        <v>3827</v>
      </c>
      <c r="D1790" s="55" t="s">
        <v>815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3828</v>
      </c>
      <c r="C1791" s="37" t="s">
        <v>3829</v>
      </c>
      <c r="D1791" s="55" t="s">
        <v>815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3830</v>
      </c>
      <c r="C1792" s="37" t="s">
        <v>3831</v>
      </c>
      <c r="D1792" s="55" t="s">
        <v>815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3832</v>
      </c>
      <c r="C1793" s="37" t="s">
        <v>3833</v>
      </c>
      <c r="D1793" s="55" t="s">
        <v>815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556</v>
      </c>
      <c r="C1794" s="37" t="s">
        <v>557</v>
      </c>
      <c r="D1794" s="55" t="s">
        <v>800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3834</v>
      </c>
      <c r="C1795" s="37" t="s">
        <v>3835</v>
      </c>
      <c r="D1795" s="55" t="s">
        <v>815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3836</v>
      </c>
      <c r="C1796" s="37" t="s">
        <v>3837</v>
      </c>
      <c r="D1796" s="55" t="s">
        <v>815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3838</v>
      </c>
      <c r="C1797" s="37" t="s">
        <v>3839</v>
      </c>
      <c r="D1797" s="55" t="s">
        <v>815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3840</v>
      </c>
      <c r="C1798" s="37" t="s">
        <v>3841</v>
      </c>
      <c r="D1798" s="55" t="s">
        <v>815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3842</v>
      </c>
      <c r="C1799" s="37" t="s">
        <v>3843</v>
      </c>
      <c r="D1799" s="55" t="s">
        <v>815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3844</v>
      </c>
      <c r="C1800" s="37" t="s">
        <v>3845</v>
      </c>
      <c r="D1800" s="55" t="s">
        <v>815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3846</v>
      </c>
      <c r="C1801" s="37" t="s">
        <v>3847</v>
      </c>
      <c r="D1801" s="55" t="s">
        <v>815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3848</v>
      </c>
      <c r="C1802" s="37" t="s">
        <v>3849</v>
      </c>
      <c r="D1802" s="55" t="s">
        <v>815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3850</v>
      </c>
      <c r="C1803" s="37" t="s">
        <v>3851</v>
      </c>
      <c r="D1803" s="55" t="s">
        <v>800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3852</v>
      </c>
      <c r="C1804" s="37" t="s">
        <v>3853</v>
      </c>
      <c r="D1804" s="55" t="s">
        <v>800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3854</v>
      </c>
      <c r="C1805" s="37" t="s">
        <v>3855</v>
      </c>
      <c r="D1805" s="55" t="s">
        <v>815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3856</v>
      </c>
      <c r="C1806" s="37" t="s">
        <v>3857</v>
      </c>
      <c r="D1806" s="55" t="s">
        <v>815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3858</v>
      </c>
      <c r="C1807" s="37" t="s">
        <v>3859</v>
      </c>
      <c r="D1807" s="55" t="s">
        <v>815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3860</v>
      </c>
      <c r="C1808" s="37" t="s">
        <v>3861</v>
      </c>
      <c r="D1808" s="55" t="s">
        <v>815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418</v>
      </c>
      <c r="C1809" s="37" t="s">
        <v>419</v>
      </c>
      <c r="D1809" s="55" t="s">
        <v>815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3862</v>
      </c>
      <c r="C1810" s="37" t="s">
        <v>3863</v>
      </c>
      <c r="D1810" s="55" t="s">
        <v>800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672</v>
      </c>
      <c r="C1811" s="37" t="s">
        <v>673</v>
      </c>
      <c r="D1811" s="55" t="s">
        <v>815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3864</v>
      </c>
      <c r="C1812" s="37" t="s">
        <v>3865</v>
      </c>
      <c r="D1812" s="55" t="s">
        <v>815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3866</v>
      </c>
      <c r="C1813" s="37" t="s">
        <v>3867</v>
      </c>
      <c r="D1813" s="55" t="s">
        <v>815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3868</v>
      </c>
      <c r="C1814" s="37" t="s">
        <v>3869</v>
      </c>
      <c r="D1814" s="55" t="s">
        <v>815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800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3870</v>
      </c>
      <c r="C1816" s="37" t="s">
        <v>3871</v>
      </c>
      <c r="D1816" s="55" t="s">
        <v>800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684</v>
      </c>
      <c r="C1817" s="37" t="s">
        <v>685</v>
      </c>
      <c r="D1817" s="55" t="s">
        <v>815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3872</v>
      </c>
      <c r="C1818" s="37" t="s">
        <v>3873</v>
      </c>
      <c r="D1818" s="55" t="s">
        <v>800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3874</v>
      </c>
      <c r="C1819" s="37" t="s">
        <v>3875</v>
      </c>
      <c r="D1819" s="55" t="s">
        <v>800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3876</v>
      </c>
      <c r="C1820" s="37" t="s">
        <v>3877</v>
      </c>
      <c r="D1820" s="55" t="s">
        <v>815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815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3878</v>
      </c>
      <c r="C1822" s="37" t="s">
        <v>3879</v>
      </c>
      <c r="D1822" s="55" t="s">
        <v>815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3880</v>
      </c>
      <c r="C1823" s="37" t="s">
        <v>3881</v>
      </c>
      <c r="D1823" s="55" t="s">
        <v>815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3882</v>
      </c>
      <c r="C1824" s="37" t="s">
        <v>3883</v>
      </c>
      <c r="D1824" s="55" t="s">
        <v>815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3884</v>
      </c>
      <c r="C1825" s="37" t="s">
        <v>3885</v>
      </c>
      <c r="D1825" s="55" t="s">
        <v>815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3886</v>
      </c>
      <c r="C1826" s="37" t="s">
        <v>3887</v>
      </c>
      <c r="D1826" s="55" t="s">
        <v>815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815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3888</v>
      </c>
      <c r="C1828" s="37" t="s">
        <v>3889</v>
      </c>
      <c r="D1828" s="55" t="s">
        <v>815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3890</v>
      </c>
      <c r="C1829" s="37" t="s">
        <v>3891</v>
      </c>
      <c r="D1829" s="55" t="s">
        <v>815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3892</v>
      </c>
      <c r="C1830" s="37" t="s">
        <v>3893</v>
      </c>
      <c r="D1830" s="55" t="s">
        <v>815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3894</v>
      </c>
      <c r="C1831" s="37" t="s">
        <v>3895</v>
      </c>
      <c r="D1831" s="55" t="s">
        <v>815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3896</v>
      </c>
      <c r="C1832" s="37" t="s">
        <v>3897</v>
      </c>
      <c r="D1832" s="55" t="s">
        <v>815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3898</v>
      </c>
      <c r="C1833" s="37" t="s">
        <v>3899</v>
      </c>
      <c r="D1833" s="55" t="s">
        <v>815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3900</v>
      </c>
      <c r="C1834" s="37" t="s">
        <v>3901</v>
      </c>
      <c r="D1834" s="55" t="s">
        <v>815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3902</v>
      </c>
      <c r="C1835" s="37" t="s">
        <v>3903</v>
      </c>
      <c r="D1835" s="55" t="s">
        <v>815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3904</v>
      </c>
      <c r="C1836" s="37" t="s">
        <v>3905</v>
      </c>
      <c r="D1836" s="55" t="s">
        <v>815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3906</v>
      </c>
      <c r="C1837" s="37" t="s">
        <v>3907</v>
      </c>
      <c r="D1837" s="55" t="s">
        <v>815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3908</v>
      </c>
      <c r="C1838" s="37" t="s">
        <v>3909</v>
      </c>
      <c r="D1838" s="55" t="s">
        <v>815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3910</v>
      </c>
      <c r="C1839" s="37" t="s">
        <v>3911</v>
      </c>
      <c r="D1839" s="55" t="s">
        <v>815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3912</v>
      </c>
      <c r="C1840" s="37" t="s">
        <v>3913</v>
      </c>
      <c r="D1840" s="55" t="s">
        <v>800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3914</v>
      </c>
      <c r="C1841" s="37" t="s">
        <v>3915</v>
      </c>
      <c r="D1841" s="55" t="s">
        <v>5147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3916</v>
      </c>
      <c r="C1842" s="37" t="s">
        <v>3917</v>
      </c>
      <c r="D1842" s="55" t="s">
        <v>815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3918</v>
      </c>
      <c r="C1843" s="37" t="s">
        <v>3919</v>
      </c>
      <c r="D1843" s="55" t="s">
        <v>815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3920</v>
      </c>
      <c r="C1844" s="37" t="s">
        <v>3921</v>
      </c>
      <c r="D1844" s="55" t="s">
        <v>815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3922</v>
      </c>
      <c r="C1845" s="37" t="s">
        <v>3923</v>
      </c>
      <c r="D1845" s="55" t="s">
        <v>815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3924</v>
      </c>
      <c r="C1846" s="37" t="s">
        <v>3925</v>
      </c>
      <c r="D1846" s="55" t="s">
        <v>815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3926</v>
      </c>
      <c r="C1847" s="37" t="s">
        <v>3927</v>
      </c>
      <c r="D1847" s="55" t="s">
        <v>815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3928</v>
      </c>
      <c r="C1848" s="37" t="s">
        <v>3929</v>
      </c>
      <c r="D1848" s="55" t="s">
        <v>815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3930</v>
      </c>
      <c r="C1849" s="37" t="s">
        <v>3931</v>
      </c>
      <c r="D1849" s="55" t="s">
        <v>815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3932</v>
      </c>
      <c r="C1850" s="37" t="s">
        <v>3933</v>
      </c>
      <c r="D1850" s="55" t="s">
        <v>815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3934</v>
      </c>
      <c r="C1851" s="37" t="s">
        <v>3935</v>
      </c>
      <c r="D1851" s="55" t="s">
        <v>815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3936</v>
      </c>
      <c r="C1852" s="37" t="s">
        <v>3937</v>
      </c>
      <c r="D1852" s="55" t="s">
        <v>815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3938</v>
      </c>
      <c r="C1853" s="37" t="s">
        <v>5189</v>
      </c>
      <c r="D1853" s="55" t="s">
        <v>815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3939</v>
      </c>
      <c r="C1854" s="37" t="s">
        <v>3940</v>
      </c>
      <c r="D1854" s="55" t="s">
        <v>815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3941</v>
      </c>
      <c r="C1855" s="37" t="s">
        <v>3942</v>
      </c>
      <c r="D1855" s="55" t="s">
        <v>815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3943</v>
      </c>
      <c r="C1856" s="37" t="s">
        <v>3944</v>
      </c>
      <c r="D1856" s="55" t="s">
        <v>815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3945</v>
      </c>
      <c r="C1857" s="37" t="s">
        <v>5212</v>
      </c>
      <c r="D1857" s="55" t="s">
        <v>815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SFA넥셀</v>
      </c>
      <c r="K1857" s="37" t="str">
        <f t="shared" si="159"/>
        <v>A222080</v>
      </c>
    </row>
    <row r="1858" spans="1:11" x14ac:dyDescent="0.4">
      <c r="A1858" s="49"/>
      <c r="B1858" s="54" t="s">
        <v>3946</v>
      </c>
      <c r="C1858" s="37" t="s">
        <v>3947</v>
      </c>
      <c r="D1858" s="55" t="s">
        <v>815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3948</v>
      </c>
      <c r="C1859" s="37" t="s">
        <v>3949</v>
      </c>
      <c r="D1859" s="55" t="s">
        <v>815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3950</v>
      </c>
      <c r="C1860" s="37" t="s">
        <v>3951</v>
      </c>
      <c r="D1860" s="55" t="s">
        <v>815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486</v>
      </c>
      <c r="C1861" s="37" t="s">
        <v>487</v>
      </c>
      <c r="D1861" s="55" t="s">
        <v>815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3952</v>
      </c>
      <c r="C1862" s="37" t="s">
        <v>3953</v>
      </c>
      <c r="D1862" s="55" t="s">
        <v>5147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3954</v>
      </c>
      <c r="C1863" s="37" t="s">
        <v>3955</v>
      </c>
      <c r="D1863" s="55" t="s">
        <v>815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3956</v>
      </c>
      <c r="C1864" s="37" t="s">
        <v>3957</v>
      </c>
      <c r="D1864" s="55" t="s">
        <v>815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3958</v>
      </c>
      <c r="C1865" s="37" t="s">
        <v>3959</v>
      </c>
      <c r="D1865" s="55" t="s">
        <v>815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3960</v>
      </c>
      <c r="C1866" s="37" t="s">
        <v>3961</v>
      </c>
      <c r="D1866" s="55" t="s">
        <v>815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3962</v>
      </c>
      <c r="C1867" s="37" t="s">
        <v>3963</v>
      </c>
      <c r="D1867" s="55" t="s">
        <v>815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3964</v>
      </c>
      <c r="C1868" s="37" t="s">
        <v>3965</v>
      </c>
      <c r="D1868" s="55" t="s">
        <v>815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3966</v>
      </c>
      <c r="C1869" s="37" t="s">
        <v>3967</v>
      </c>
      <c r="D1869" s="55" t="s">
        <v>815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3968</v>
      </c>
      <c r="C1870" s="37" t="s">
        <v>3969</v>
      </c>
      <c r="D1870" s="55" t="s">
        <v>815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3970</v>
      </c>
      <c r="C1871" s="37" t="s">
        <v>3971</v>
      </c>
      <c r="D1871" s="55" t="s">
        <v>815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3972</v>
      </c>
      <c r="C1872" s="37" t="s">
        <v>3973</v>
      </c>
      <c r="D1872" s="55" t="s">
        <v>815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3974</v>
      </c>
      <c r="C1873" s="37" t="s">
        <v>3975</v>
      </c>
      <c r="D1873" s="55" t="s">
        <v>815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3976</v>
      </c>
      <c r="C1874" s="37" t="s">
        <v>3977</v>
      </c>
      <c r="D1874" s="55" t="s">
        <v>800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3978</v>
      </c>
      <c r="C1875" s="37" t="s">
        <v>3979</v>
      </c>
      <c r="D1875" s="55" t="s">
        <v>815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3980</v>
      </c>
      <c r="C1876" s="37" t="s">
        <v>3981</v>
      </c>
      <c r="D1876" s="55" t="s">
        <v>815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3982</v>
      </c>
      <c r="C1877" s="37" t="s">
        <v>3983</v>
      </c>
      <c r="D1877" s="55" t="s">
        <v>815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3984</v>
      </c>
      <c r="C1878" s="37" t="s">
        <v>3985</v>
      </c>
      <c r="D1878" s="55" t="s">
        <v>815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815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3986</v>
      </c>
      <c r="C1880" s="37" t="s">
        <v>3987</v>
      </c>
      <c r="D1880" s="55" t="s">
        <v>5147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3988</v>
      </c>
      <c r="C1881" s="37" t="s">
        <v>3989</v>
      </c>
      <c r="D1881" s="55" t="s">
        <v>815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3990</v>
      </c>
      <c r="C1882" s="37" t="s">
        <v>3991</v>
      </c>
      <c r="D1882" s="55" t="s">
        <v>800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3992</v>
      </c>
      <c r="C1883" s="37" t="s">
        <v>3993</v>
      </c>
      <c r="D1883" s="55" t="s">
        <v>815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3994</v>
      </c>
      <c r="C1884" s="37" t="s">
        <v>3995</v>
      </c>
      <c r="D1884" s="55" t="s">
        <v>815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3996</v>
      </c>
      <c r="C1885" s="37" t="s">
        <v>3997</v>
      </c>
      <c r="D1885" s="55" t="s">
        <v>815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3998</v>
      </c>
      <c r="C1886" s="37" t="s">
        <v>3999</v>
      </c>
      <c r="D1886" s="55" t="s">
        <v>815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4000</v>
      </c>
      <c r="C1887" s="37" t="s">
        <v>4001</v>
      </c>
      <c r="D1887" s="55" t="s">
        <v>815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4002</v>
      </c>
      <c r="C1888" s="37" t="s">
        <v>4003</v>
      </c>
      <c r="D1888" s="55" t="s">
        <v>815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434</v>
      </c>
      <c r="C1889" s="37" t="s">
        <v>435</v>
      </c>
      <c r="D1889" s="55" t="s">
        <v>800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4004</v>
      </c>
      <c r="C1890" s="37" t="s">
        <v>4005</v>
      </c>
      <c r="D1890" s="55" t="s">
        <v>815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4006</v>
      </c>
      <c r="C1891" s="37" t="s">
        <v>4007</v>
      </c>
      <c r="D1891" s="55" t="s">
        <v>5147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4008</v>
      </c>
      <c r="C1892" s="37" t="s">
        <v>4009</v>
      </c>
      <c r="D1892" s="55" t="s">
        <v>5147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495</v>
      </c>
      <c r="C1893" s="37" t="s">
        <v>496</v>
      </c>
      <c r="D1893" s="55" t="s">
        <v>815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4010</v>
      </c>
      <c r="C1894" s="37" t="s">
        <v>4011</v>
      </c>
      <c r="D1894" s="55" t="s">
        <v>815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4012</v>
      </c>
      <c r="C1895" s="37" t="s">
        <v>4013</v>
      </c>
      <c r="D1895" s="55" t="s">
        <v>815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4014</v>
      </c>
      <c r="C1896" s="37" t="s">
        <v>4015</v>
      </c>
      <c r="D1896" s="55" t="s">
        <v>815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4016</v>
      </c>
      <c r="C1897" s="37" t="s">
        <v>4017</v>
      </c>
      <c r="D1897" s="55" t="s">
        <v>800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4018</v>
      </c>
      <c r="C1898" s="37" t="s">
        <v>4019</v>
      </c>
      <c r="D1898" s="55" t="s">
        <v>815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4020</v>
      </c>
      <c r="C1899" s="37" t="s">
        <v>4021</v>
      </c>
      <c r="D1899" s="55" t="s">
        <v>815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4022</v>
      </c>
      <c r="C1900" s="37" t="s">
        <v>4023</v>
      </c>
      <c r="D1900" s="55" t="s">
        <v>815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4024</v>
      </c>
      <c r="C1901" s="37" t="s">
        <v>4025</v>
      </c>
      <c r="D1901" s="55" t="s">
        <v>815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4026</v>
      </c>
      <c r="C1902" s="37" t="s">
        <v>4027</v>
      </c>
      <c r="D1902" s="55" t="s">
        <v>815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4028</v>
      </c>
      <c r="C1903" s="37" t="s">
        <v>4029</v>
      </c>
      <c r="D1903" s="55" t="s">
        <v>815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4030</v>
      </c>
      <c r="C1904" s="37" t="s">
        <v>4031</v>
      </c>
      <c r="D1904" s="55" t="s">
        <v>815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4032</v>
      </c>
      <c r="C1905" s="37" t="s">
        <v>4033</v>
      </c>
      <c r="D1905" s="55" t="s">
        <v>815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815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4034</v>
      </c>
      <c r="C1907" s="37" t="s">
        <v>4035</v>
      </c>
      <c r="D1907" s="55" t="s">
        <v>815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4036</v>
      </c>
      <c r="C1908" s="37" t="s">
        <v>4037</v>
      </c>
      <c r="D1908" s="55" t="s">
        <v>815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4038</v>
      </c>
      <c r="C1909" s="37" t="s">
        <v>4039</v>
      </c>
      <c r="D1909" s="55" t="s">
        <v>815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4040</v>
      </c>
      <c r="C1910" s="37" t="s">
        <v>4041</v>
      </c>
      <c r="D1910" s="55" t="s">
        <v>815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4042</v>
      </c>
      <c r="C1911" s="37" t="s">
        <v>4043</v>
      </c>
      <c r="D1911" s="55" t="s">
        <v>815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4044</v>
      </c>
      <c r="C1912" s="37" t="s">
        <v>4045</v>
      </c>
      <c r="D1912" s="55" t="s">
        <v>815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4046</v>
      </c>
      <c r="C1913" s="37" t="s">
        <v>4047</v>
      </c>
      <c r="D1913" s="55" t="s">
        <v>815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4048</v>
      </c>
      <c r="C1914" s="37" t="s">
        <v>4049</v>
      </c>
      <c r="D1914" s="55" t="s">
        <v>815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4050</v>
      </c>
      <c r="C1915" s="37" t="s">
        <v>4051</v>
      </c>
      <c r="D1915" s="55" t="s">
        <v>815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4052</v>
      </c>
      <c r="C1916" s="37" t="s">
        <v>4053</v>
      </c>
      <c r="D1916" s="55" t="s">
        <v>815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4054</v>
      </c>
      <c r="C1917" s="37" t="s">
        <v>4055</v>
      </c>
      <c r="D1917" s="55" t="s">
        <v>815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4056</v>
      </c>
      <c r="C1918" s="37" t="s">
        <v>4057</v>
      </c>
      <c r="D1918" s="55" t="s">
        <v>815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815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4058</v>
      </c>
      <c r="C1920" s="37" t="s">
        <v>4059</v>
      </c>
      <c r="D1920" s="55" t="s">
        <v>815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614</v>
      </c>
      <c r="C1921" s="37" t="s">
        <v>615</v>
      </c>
      <c r="D1921" s="55" t="s">
        <v>800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4060</v>
      </c>
      <c r="C1922" s="37" t="s">
        <v>4061</v>
      </c>
      <c r="D1922" s="55" t="s">
        <v>800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4062</v>
      </c>
      <c r="C1923" s="37" t="s">
        <v>4063</v>
      </c>
      <c r="D1923" s="55" t="s">
        <v>815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694</v>
      </c>
      <c r="C1924" s="37" t="s">
        <v>695</v>
      </c>
      <c r="D1924" s="55" t="s">
        <v>815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4064</v>
      </c>
      <c r="C1925" s="37" t="s">
        <v>4065</v>
      </c>
      <c r="D1925" s="55" t="s">
        <v>815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4066</v>
      </c>
      <c r="C1926" s="37" t="s">
        <v>4067</v>
      </c>
      <c r="D1926" s="55" t="s">
        <v>815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4068</v>
      </c>
      <c r="C1927" s="37" t="s">
        <v>4069</v>
      </c>
      <c r="D1927" s="55" t="s">
        <v>815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4070</v>
      </c>
      <c r="C1928" s="37" t="s">
        <v>4071</v>
      </c>
      <c r="D1928" s="55" t="s">
        <v>815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4072</v>
      </c>
      <c r="C1929" s="37" t="s">
        <v>4073</v>
      </c>
      <c r="D1929" s="55" t="s">
        <v>815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4074</v>
      </c>
      <c r="C1930" s="37" t="s">
        <v>4075</v>
      </c>
      <c r="D1930" s="55" t="s">
        <v>815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4076</v>
      </c>
      <c r="C1931" s="37" t="s">
        <v>4077</v>
      </c>
      <c r="D1931" s="55" t="s">
        <v>815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4078</v>
      </c>
      <c r="C1932" s="37" t="s">
        <v>4079</v>
      </c>
      <c r="D1932" s="55" t="s">
        <v>815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4080</v>
      </c>
      <c r="C1933" s="37" t="s">
        <v>4081</v>
      </c>
      <c r="D1933" s="55" t="s">
        <v>800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4082</v>
      </c>
      <c r="C1934" s="37" t="s">
        <v>4083</v>
      </c>
      <c r="D1934" s="55" t="s">
        <v>815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4084</v>
      </c>
      <c r="C1935" s="37" t="s">
        <v>4085</v>
      </c>
      <c r="D1935" s="55" t="s">
        <v>815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4086</v>
      </c>
      <c r="C1936" s="37" t="s">
        <v>4087</v>
      </c>
      <c r="D1936" s="55" t="s">
        <v>815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4088</v>
      </c>
      <c r="C1937" s="37" t="s">
        <v>4089</v>
      </c>
      <c r="D1937" s="55" t="s">
        <v>815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4090</v>
      </c>
      <c r="C1938" s="37" t="s">
        <v>4091</v>
      </c>
      <c r="D1938" s="55" t="s">
        <v>815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4092</v>
      </c>
      <c r="C1939" s="37" t="s">
        <v>4093</v>
      </c>
      <c r="D1939" s="55" t="s">
        <v>815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815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4094</v>
      </c>
      <c r="C1941" s="37" t="s">
        <v>4095</v>
      </c>
      <c r="D1941" s="55" t="s">
        <v>815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4096</v>
      </c>
      <c r="C1942" s="37" t="s">
        <v>4097</v>
      </c>
      <c r="D1942" s="55" t="s">
        <v>800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4098</v>
      </c>
      <c r="C1943" s="37" t="s">
        <v>4099</v>
      </c>
      <c r="D1943" s="55" t="s">
        <v>800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800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4100</v>
      </c>
      <c r="C1945" s="37" t="s">
        <v>4101</v>
      </c>
      <c r="D1945" s="55" t="s">
        <v>815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4102</v>
      </c>
      <c r="C1946" s="37" t="s">
        <v>4103</v>
      </c>
      <c r="D1946" s="55" t="s">
        <v>815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4104</v>
      </c>
      <c r="C1947" s="37" t="s">
        <v>4105</v>
      </c>
      <c r="D1947" s="55" t="s">
        <v>815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4106</v>
      </c>
      <c r="C1948" s="37" t="s">
        <v>4107</v>
      </c>
      <c r="D1948" s="55" t="s">
        <v>815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800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4108</v>
      </c>
      <c r="C1950" s="37" t="s">
        <v>4109</v>
      </c>
      <c r="D1950" s="55" t="s">
        <v>815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4110</v>
      </c>
      <c r="C1951" s="37" t="s">
        <v>4111</v>
      </c>
      <c r="D1951" s="55" t="s">
        <v>815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4112</v>
      </c>
      <c r="C1952" s="37" t="s">
        <v>4113</v>
      </c>
      <c r="D1952" s="55" t="s">
        <v>815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4114</v>
      </c>
      <c r="C1953" s="37" t="s">
        <v>4115</v>
      </c>
      <c r="D1953" s="55" t="s">
        <v>815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504</v>
      </c>
      <c r="C1954" s="37" t="s">
        <v>505</v>
      </c>
      <c r="D1954" s="55" t="s">
        <v>815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815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4116</v>
      </c>
      <c r="C1956" s="37" t="s">
        <v>4117</v>
      </c>
      <c r="D1956" s="55" t="s">
        <v>815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4118</v>
      </c>
      <c r="C1957" s="37" t="s">
        <v>4119</v>
      </c>
      <c r="D1957" s="55" t="s">
        <v>815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4120</v>
      </c>
      <c r="C1958" s="37" t="s">
        <v>4121</v>
      </c>
      <c r="D1958" s="55" t="s">
        <v>815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4122</v>
      </c>
      <c r="C1959" s="37" t="s">
        <v>4123</v>
      </c>
      <c r="D1959" s="55" t="s">
        <v>815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4124</v>
      </c>
      <c r="C1960" s="37" t="s">
        <v>4125</v>
      </c>
      <c r="D1960" s="55" t="s">
        <v>815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4126</v>
      </c>
      <c r="C1961" s="37" t="s">
        <v>4127</v>
      </c>
      <c r="D1961" s="55" t="s">
        <v>815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4128</v>
      </c>
      <c r="C1962" s="37" t="s">
        <v>4129</v>
      </c>
      <c r="D1962" s="55" t="s">
        <v>815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4130</v>
      </c>
      <c r="C1963" s="37" t="s">
        <v>4131</v>
      </c>
      <c r="D1963" s="55" t="s">
        <v>815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4132</v>
      </c>
      <c r="C1964" s="37" t="s">
        <v>4133</v>
      </c>
      <c r="D1964" s="55" t="s">
        <v>815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4134</v>
      </c>
      <c r="C1965" s="37" t="s">
        <v>4135</v>
      </c>
      <c r="D1965" s="55" t="s">
        <v>815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4136</v>
      </c>
      <c r="C1966" s="37" t="s">
        <v>4137</v>
      </c>
      <c r="D1966" s="55" t="s">
        <v>815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548</v>
      </c>
      <c r="C1967" s="37" t="s">
        <v>549</v>
      </c>
      <c r="D1967" s="55" t="s">
        <v>815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4138</v>
      </c>
      <c r="C1968" s="37" t="s">
        <v>4139</v>
      </c>
      <c r="D1968" s="55" t="s">
        <v>815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4140</v>
      </c>
      <c r="C1969" s="37" t="s">
        <v>4141</v>
      </c>
      <c r="D1969" s="55" t="s">
        <v>815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4142</v>
      </c>
      <c r="C1970" s="37" t="s">
        <v>4143</v>
      </c>
      <c r="D1970" s="55" t="s">
        <v>815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4144</v>
      </c>
      <c r="C1971" s="37" t="s">
        <v>4145</v>
      </c>
      <c r="D1971" s="55" t="s">
        <v>815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800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4146</v>
      </c>
      <c r="C1973" s="37" t="s">
        <v>4147</v>
      </c>
      <c r="D1973" s="55" t="s">
        <v>815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4148</v>
      </c>
      <c r="C1974" s="37" t="s">
        <v>4149</v>
      </c>
      <c r="D1974" s="55" t="s">
        <v>815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403</v>
      </c>
      <c r="C1975" s="37" t="s">
        <v>404</v>
      </c>
      <c r="D1975" s="55" t="s">
        <v>815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4150</v>
      </c>
      <c r="C1976" s="37" t="s">
        <v>4151</v>
      </c>
      <c r="D1976" s="55" t="s">
        <v>815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4152</v>
      </c>
      <c r="C1977" s="37" t="s">
        <v>4153</v>
      </c>
      <c r="D1977" s="55" t="s">
        <v>815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4154</v>
      </c>
      <c r="C1978" s="37" t="s">
        <v>5206</v>
      </c>
      <c r="D1978" s="55" t="s">
        <v>815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4155</v>
      </c>
      <c r="C1979" s="37" t="s">
        <v>4156</v>
      </c>
      <c r="D1979" s="55" t="s">
        <v>815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4157</v>
      </c>
      <c r="C1980" s="37" t="s">
        <v>4158</v>
      </c>
      <c r="D1980" s="55" t="s">
        <v>815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4159</v>
      </c>
      <c r="C1981" s="37" t="s">
        <v>4160</v>
      </c>
      <c r="D1981" s="55" t="s">
        <v>815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4161</v>
      </c>
      <c r="C1982" s="37" t="s">
        <v>4162</v>
      </c>
      <c r="D1982" s="55" t="s">
        <v>815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4163</v>
      </c>
      <c r="C1983" s="37" t="s">
        <v>4164</v>
      </c>
      <c r="D1983" s="55" t="s">
        <v>815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4165</v>
      </c>
      <c r="C1984" s="37" t="s">
        <v>4166</v>
      </c>
      <c r="D1984" s="55" t="s">
        <v>815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4167</v>
      </c>
      <c r="C1985" s="37" t="s">
        <v>4168</v>
      </c>
      <c r="D1985" s="55" t="s">
        <v>815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4169</v>
      </c>
      <c r="C1986" s="37" t="s">
        <v>4170</v>
      </c>
      <c r="D1986" s="55" t="s">
        <v>815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670</v>
      </c>
      <c r="C1987" s="37" t="s">
        <v>671</v>
      </c>
      <c r="D1987" s="55" t="s">
        <v>815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4171</v>
      </c>
      <c r="C1988" s="37" t="s">
        <v>4172</v>
      </c>
      <c r="D1988" s="55" t="s">
        <v>815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4173</v>
      </c>
      <c r="C1989" s="37" t="s">
        <v>4174</v>
      </c>
      <c r="D1989" s="55" t="s">
        <v>815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4175</v>
      </c>
      <c r="C1990" s="37" t="s">
        <v>4176</v>
      </c>
      <c r="D1990" s="55" t="s">
        <v>815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4177</v>
      </c>
      <c r="C1991" s="37" t="s">
        <v>4178</v>
      </c>
      <c r="D1991" s="55" t="s">
        <v>815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4179</v>
      </c>
      <c r="C1992" s="37" t="s">
        <v>4180</v>
      </c>
      <c r="D1992" s="55" t="s">
        <v>815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4181</v>
      </c>
      <c r="C1993" s="37" t="s">
        <v>4182</v>
      </c>
      <c r="D1993" s="55" t="s">
        <v>815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4183</v>
      </c>
      <c r="C1994" s="37" t="s">
        <v>4184</v>
      </c>
      <c r="D1994" s="55" t="s">
        <v>815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4185</v>
      </c>
      <c r="C1995" s="37" t="s">
        <v>4186</v>
      </c>
      <c r="D1995" s="55" t="s">
        <v>815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4187</v>
      </c>
      <c r="C1996" s="37" t="s">
        <v>4188</v>
      </c>
      <c r="D1996" s="55" t="s">
        <v>800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4189</v>
      </c>
      <c r="C1997" s="37" t="s">
        <v>4190</v>
      </c>
      <c r="D1997" s="55" t="s">
        <v>815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4191</v>
      </c>
      <c r="C1998" s="37" t="s">
        <v>4192</v>
      </c>
      <c r="D1998" s="55" t="s">
        <v>815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4193</v>
      </c>
      <c r="C1999" s="37" t="s">
        <v>4194</v>
      </c>
      <c r="D1999" s="55" t="s">
        <v>815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800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800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541</v>
      </c>
      <c r="C2002" s="37" t="s">
        <v>665</v>
      </c>
      <c r="D2002" s="55" t="s">
        <v>800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4195</v>
      </c>
      <c r="C2003" s="37" t="s">
        <v>4196</v>
      </c>
      <c r="D2003" s="55" t="s">
        <v>800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4197</v>
      </c>
      <c r="C2004" s="37" t="s">
        <v>4198</v>
      </c>
      <c r="D2004" s="55" t="s">
        <v>815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4199</v>
      </c>
      <c r="C2005" s="37" t="s">
        <v>4200</v>
      </c>
      <c r="D2005" s="55" t="s">
        <v>815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4201</v>
      </c>
      <c r="C2006" s="37" t="s">
        <v>4202</v>
      </c>
      <c r="D2006" s="55" t="s">
        <v>800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4203</v>
      </c>
      <c r="C2007" s="37" t="s">
        <v>4204</v>
      </c>
      <c r="D2007" s="55" t="s">
        <v>815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4205</v>
      </c>
      <c r="C2008" s="37" t="s">
        <v>4206</v>
      </c>
      <c r="D2008" s="55" t="s">
        <v>800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4207</v>
      </c>
      <c r="C2009" s="37" t="s">
        <v>4208</v>
      </c>
      <c r="D2009" s="55" t="s">
        <v>815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4209</v>
      </c>
      <c r="C2010" s="37" t="s">
        <v>4210</v>
      </c>
      <c r="D2010" s="55" t="s">
        <v>815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4211</v>
      </c>
      <c r="C2011" s="37" t="s">
        <v>4212</v>
      </c>
      <c r="D2011" s="55" t="s">
        <v>815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4213</v>
      </c>
      <c r="C2012" s="37" t="s">
        <v>4214</v>
      </c>
      <c r="D2012" s="55" t="s">
        <v>815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4215</v>
      </c>
      <c r="C2013" s="37" t="s">
        <v>4216</v>
      </c>
      <c r="D2013" s="55" t="s">
        <v>800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4217</v>
      </c>
      <c r="C2014" s="37" t="s">
        <v>4218</v>
      </c>
      <c r="D2014" s="55" t="s">
        <v>815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4219</v>
      </c>
      <c r="C2015" s="37" t="s">
        <v>4220</v>
      </c>
      <c r="D2015" s="55" t="s">
        <v>800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4221</v>
      </c>
      <c r="C2016" s="37" t="s">
        <v>4222</v>
      </c>
      <c r="D2016" s="55" t="s">
        <v>800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4223</v>
      </c>
      <c r="C2017" s="37" t="s">
        <v>4224</v>
      </c>
      <c r="D2017" s="55" t="s">
        <v>815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800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632</v>
      </c>
      <c r="C2019" s="37" t="s">
        <v>633</v>
      </c>
      <c r="D2019" s="55" t="s">
        <v>815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4225</v>
      </c>
      <c r="C2020" s="37" t="s">
        <v>4226</v>
      </c>
      <c r="D2020" s="55" t="s">
        <v>800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4227</v>
      </c>
      <c r="C2021" s="37" t="s">
        <v>4228</v>
      </c>
      <c r="D2021" s="55" t="s">
        <v>800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4229</v>
      </c>
      <c r="C2022" s="37" t="s">
        <v>4230</v>
      </c>
      <c r="D2022" s="55" t="s">
        <v>815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4231</v>
      </c>
      <c r="C2023" s="37" t="s">
        <v>4232</v>
      </c>
      <c r="D2023" s="55" t="s">
        <v>815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4233</v>
      </c>
      <c r="C2024" s="37" t="s">
        <v>4234</v>
      </c>
      <c r="D2024" s="55" t="s">
        <v>815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4235</v>
      </c>
      <c r="C2025" s="37" t="s">
        <v>4236</v>
      </c>
      <c r="D2025" s="55" t="s">
        <v>815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4237</v>
      </c>
      <c r="C2026" s="37" t="s">
        <v>4238</v>
      </c>
      <c r="D2026" s="55" t="s">
        <v>815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4239</v>
      </c>
      <c r="C2027" s="37" t="s">
        <v>4240</v>
      </c>
      <c r="D2027" s="55" t="s">
        <v>815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4241</v>
      </c>
      <c r="C2028" s="37" t="s">
        <v>4242</v>
      </c>
      <c r="D2028" s="55" t="s">
        <v>815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4243</v>
      </c>
      <c r="C2029" s="37" t="s">
        <v>4244</v>
      </c>
      <c r="D2029" s="55" t="s">
        <v>815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4245</v>
      </c>
      <c r="C2030" s="37" t="s">
        <v>4246</v>
      </c>
      <c r="D2030" s="55" t="s">
        <v>815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815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4247</v>
      </c>
      <c r="C2032" s="37" t="s">
        <v>4248</v>
      </c>
      <c r="D2032" s="55" t="s">
        <v>815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4249</v>
      </c>
      <c r="C2033" s="37" t="s">
        <v>4250</v>
      </c>
      <c r="D2033" s="55" t="s">
        <v>815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800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4251</v>
      </c>
      <c r="C2035" s="37" t="s">
        <v>4252</v>
      </c>
      <c r="D2035" s="55" t="s">
        <v>815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4253</v>
      </c>
      <c r="C2036" s="37" t="s">
        <v>4254</v>
      </c>
      <c r="D2036" s="55" t="s">
        <v>815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4255</v>
      </c>
      <c r="C2037" s="37" t="s">
        <v>4256</v>
      </c>
      <c r="D2037" s="55" t="s">
        <v>800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668</v>
      </c>
      <c r="C2038" s="37" t="s">
        <v>669</v>
      </c>
      <c r="D2038" s="55" t="s">
        <v>815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447</v>
      </c>
      <c r="C2039" s="37" t="s">
        <v>448</v>
      </c>
      <c r="D2039" s="55" t="s">
        <v>800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4257</v>
      </c>
      <c r="C2040" s="37" t="s">
        <v>4258</v>
      </c>
      <c r="D2040" s="55" t="s">
        <v>800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4259</v>
      </c>
      <c r="C2041" s="37" t="s">
        <v>4260</v>
      </c>
      <c r="D2041" s="55" t="s">
        <v>815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4261</v>
      </c>
      <c r="C2042" s="37" t="s">
        <v>4262</v>
      </c>
      <c r="D2042" s="55" t="s">
        <v>815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4263</v>
      </c>
      <c r="C2043" s="37" t="s">
        <v>4264</v>
      </c>
      <c r="D2043" s="55" t="s">
        <v>815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4265</v>
      </c>
      <c r="C2044" s="37" t="s">
        <v>4266</v>
      </c>
      <c r="D2044" s="55" t="s">
        <v>800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800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4267</v>
      </c>
      <c r="C2046" s="37" t="s">
        <v>4268</v>
      </c>
      <c r="D2046" s="55" t="s">
        <v>815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4269</v>
      </c>
      <c r="C2047" s="37" t="s">
        <v>4270</v>
      </c>
      <c r="D2047" s="55" t="s">
        <v>815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4271</v>
      </c>
      <c r="C2048" s="37" t="s">
        <v>4272</v>
      </c>
      <c r="D2048" s="55" t="s">
        <v>815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4273</v>
      </c>
      <c r="C2049" s="37" t="s">
        <v>4274</v>
      </c>
      <c r="D2049" s="55" t="s">
        <v>800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4275</v>
      </c>
      <c r="C2050" s="37" t="s">
        <v>4276</v>
      </c>
      <c r="D2050" s="55" t="s">
        <v>815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4277</v>
      </c>
      <c r="C2051" s="37" t="s">
        <v>4278</v>
      </c>
      <c r="D2051" s="55" t="s">
        <v>815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4279</v>
      </c>
      <c r="C2052" s="37" t="s">
        <v>5198</v>
      </c>
      <c r="D2052" s="55" t="s">
        <v>815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4280</v>
      </c>
      <c r="C2053" s="37" t="s">
        <v>4281</v>
      </c>
      <c r="D2053" s="55" t="s">
        <v>815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4282</v>
      </c>
      <c r="C2054" s="37" t="s">
        <v>4283</v>
      </c>
      <c r="D2054" s="55" t="s">
        <v>815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4284</v>
      </c>
      <c r="C2055" s="37" t="s">
        <v>4285</v>
      </c>
      <c r="D2055" s="55" t="s">
        <v>815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4286</v>
      </c>
      <c r="C2056" s="37" t="s">
        <v>4287</v>
      </c>
      <c r="D2056" s="55" t="s">
        <v>815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4288</v>
      </c>
      <c r="C2057" s="37" t="s">
        <v>4289</v>
      </c>
      <c r="D2057" s="55" t="s">
        <v>815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4290</v>
      </c>
      <c r="C2058" s="37" t="s">
        <v>4291</v>
      </c>
      <c r="D2058" s="55" t="s">
        <v>815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4292</v>
      </c>
      <c r="C2059" s="37" t="s">
        <v>4293</v>
      </c>
      <c r="D2059" s="55" t="s">
        <v>815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4294</v>
      </c>
      <c r="C2060" s="37" t="s">
        <v>4295</v>
      </c>
      <c r="D2060" s="55" t="s">
        <v>815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4296</v>
      </c>
      <c r="C2061" s="37" t="s">
        <v>4297</v>
      </c>
      <c r="D2061" s="55" t="s">
        <v>815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4298</v>
      </c>
      <c r="C2062" s="37" t="s">
        <v>4299</v>
      </c>
      <c r="D2062" s="55" t="s">
        <v>815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4300</v>
      </c>
      <c r="C2063" s="37" t="s">
        <v>4301</v>
      </c>
      <c r="D2063" s="55" t="s">
        <v>815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532</v>
      </c>
      <c r="C2064" s="37" t="s">
        <v>533</v>
      </c>
      <c r="D2064" s="55" t="s">
        <v>815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4302</v>
      </c>
      <c r="C2065" s="37" t="s">
        <v>5193</v>
      </c>
      <c r="D2065" s="55" t="s">
        <v>815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4303</v>
      </c>
      <c r="C2066" s="37" t="s">
        <v>4304</v>
      </c>
      <c r="D2066" s="55" t="s">
        <v>815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4305</v>
      </c>
      <c r="C2067" s="37" t="s">
        <v>4306</v>
      </c>
      <c r="D2067" s="55" t="s">
        <v>815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4307</v>
      </c>
      <c r="C2068" s="37" t="s">
        <v>4308</v>
      </c>
      <c r="D2068" s="55" t="s">
        <v>815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766</v>
      </c>
      <c r="C2069" s="37" t="s">
        <v>767</v>
      </c>
      <c r="D2069" s="55" t="s">
        <v>815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4309</v>
      </c>
      <c r="C2070" s="37" t="s">
        <v>4310</v>
      </c>
      <c r="D2070" s="55" t="s">
        <v>815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4311</v>
      </c>
      <c r="C2071" s="37" t="s">
        <v>4312</v>
      </c>
      <c r="D2071" s="55" t="s">
        <v>815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4313</v>
      </c>
      <c r="C2072" s="37" t="s">
        <v>4314</v>
      </c>
      <c r="D2072" s="55" t="s">
        <v>815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4315</v>
      </c>
      <c r="C2073" s="37" t="s">
        <v>4316</v>
      </c>
      <c r="D2073" s="55" t="s">
        <v>800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4317</v>
      </c>
      <c r="C2074" s="37" t="s">
        <v>4318</v>
      </c>
      <c r="D2074" s="55" t="s">
        <v>815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4319</v>
      </c>
      <c r="C2075" s="37" t="s">
        <v>4320</v>
      </c>
      <c r="D2075" s="55" t="s">
        <v>815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4321</v>
      </c>
      <c r="C2076" s="37" t="s">
        <v>4322</v>
      </c>
      <c r="D2076" s="55" t="s">
        <v>815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4323</v>
      </c>
      <c r="C2077" s="37" t="s">
        <v>4324</v>
      </c>
      <c r="D2077" s="55" t="s">
        <v>815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4325</v>
      </c>
      <c r="C2078" s="37" t="s">
        <v>4326</v>
      </c>
      <c r="D2078" s="55" t="s">
        <v>815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4327</v>
      </c>
      <c r="C2079" s="37" t="s">
        <v>4328</v>
      </c>
      <c r="D2079" s="55" t="s">
        <v>815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4329</v>
      </c>
      <c r="C2080" s="37" t="s">
        <v>4330</v>
      </c>
      <c r="D2080" s="55" t="s">
        <v>815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4331</v>
      </c>
      <c r="C2081" s="37" t="s">
        <v>5159</v>
      </c>
      <c r="D2081" s="55" t="s">
        <v>800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4332</v>
      </c>
      <c r="C2082" s="37" t="s">
        <v>4333</v>
      </c>
      <c r="D2082" s="55" t="s">
        <v>815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4334</v>
      </c>
      <c r="C2083" s="37" t="s">
        <v>5179</v>
      </c>
      <c r="D2083" s="55" t="s">
        <v>815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424</v>
      </c>
      <c r="C2084" s="37" t="s">
        <v>425</v>
      </c>
      <c r="D2084" s="55" t="s">
        <v>815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4335</v>
      </c>
      <c r="C2085" s="37" t="s">
        <v>4336</v>
      </c>
      <c r="D2085" s="55" t="s">
        <v>815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4337</v>
      </c>
      <c r="C2086" s="37" t="s">
        <v>4338</v>
      </c>
      <c r="D2086" s="55" t="s">
        <v>815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4339</v>
      </c>
      <c r="C2087" s="37" t="s">
        <v>4340</v>
      </c>
      <c r="D2087" s="55" t="s">
        <v>800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674</v>
      </c>
      <c r="C2088" s="37" t="s">
        <v>675</v>
      </c>
      <c r="D2088" s="55" t="s">
        <v>800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800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4341</v>
      </c>
      <c r="C2090" s="37" t="s">
        <v>4342</v>
      </c>
      <c r="D2090" s="55" t="s">
        <v>800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4343</v>
      </c>
      <c r="C2091" s="37" t="s">
        <v>5186</v>
      </c>
      <c r="D2091" s="55" t="s">
        <v>815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815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4344</v>
      </c>
      <c r="C2093" s="37" t="s">
        <v>4345</v>
      </c>
      <c r="D2093" s="55" t="s">
        <v>815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4346</v>
      </c>
      <c r="C2094" s="37" t="s">
        <v>4347</v>
      </c>
      <c r="D2094" s="55" t="s">
        <v>800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4348</v>
      </c>
      <c r="C2095" s="37" t="s">
        <v>4349</v>
      </c>
      <c r="D2095" s="55" t="s">
        <v>815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4350</v>
      </c>
      <c r="C2096" s="37" t="s">
        <v>4351</v>
      </c>
      <c r="D2096" s="55" t="s">
        <v>815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646</v>
      </c>
      <c r="C2097" s="37" t="s">
        <v>647</v>
      </c>
      <c r="D2097" s="55" t="s">
        <v>815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4352</v>
      </c>
      <c r="C2098" s="37" t="s">
        <v>4353</v>
      </c>
      <c r="D2098" s="55" t="s">
        <v>815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4354</v>
      </c>
      <c r="C2099" s="37" t="s">
        <v>4355</v>
      </c>
      <c r="D2099" s="55" t="s">
        <v>815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4356</v>
      </c>
      <c r="C2100" s="37" t="s">
        <v>4357</v>
      </c>
      <c r="D2100" s="55" t="s">
        <v>815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4358</v>
      </c>
      <c r="C2101" s="37" t="s">
        <v>4359</v>
      </c>
      <c r="D2101" s="55" t="s">
        <v>815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4360</v>
      </c>
      <c r="C2102" s="37" t="s">
        <v>4361</v>
      </c>
      <c r="D2102" s="55" t="s">
        <v>800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4362</v>
      </c>
      <c r="C2103" s="37" t="s">
        <v>4363</v>
      </c>
      <c r="D2103" s="55" t="s">
        <v>815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4364</v>
      </c>
      <c r="C2104" s="37" t="s">
        <v>4365</v>
      </c>
      <c r="D2104" s="55" t="s">
        <v>815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4366</v>
      </c>
      <c r="C2105" s="37" t="s">
        <v>4367</v>
      </c>
      <c r="D2105" s="55" t="s">
        <v>800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4368</v>
      </c>
      <c r="C2106" s="37" t="s">
        <v>4369</v>
      </c>
      <c r="D2106" s="55" t="s">
        <v>815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4370</v>
      </c>
      <c r="C2107" s="37" t="s">
        <v>4371</v>
      </c>
      <c r="D2107" s="55" t="s">
        <v>815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4372</v>
      </c>
      <c r="C2108" s="37" t="s">
        <v>4373</v>
      </c>
      <c r="D2108" s="55" t="s">
        <v>815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4374</v>
      </c>
      <c r="C2109" s="37" t="s">
        <v>4375</v>
      </c>
      <c r="D2109" s="55" t="s">
        <v>815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4376</v>
      </c>
      <c r="C2110" s="37" t="s">
        <v>4377</v>
      </c>
      <c r="D2110" s="55" t="s">
        <v>815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4378</v>
      </c>
      <c r="C2111" s="37" t="s">
        <v>4379</v>
      </c>
      <c r="D2111" s="55" t="s">
        <v>815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692</v>
      </c>
      <c r="C2112" s="37" t="s">
        <v>693</v>
      </c>
      <c r="D2112" s="55" t="s">
        <v>815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4380</v>
      </c>
      <c r="C2113" s="37" t="s">
        <v>4381</v>
      </c>
      <c r="D2113" s="55" t="s">
        <v>815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4382</v>
      </c>
      <c r="C2114" s="37" t="s">
        <v>4383</v>
      </c>
      <c r="D2114" s="55" t="s">
        <v>815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4384</v>
      </c>
      <c r="C2115" s="37" t="s">
        <v>4385</v>
      </c>
      <c r="D2115" s="55" t="s">
        <v>815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436</v>
      </c>
      <c r="C2116" s="37" t="s">
        <v>437</v>
      </c>
      <c r="D2116" s="55" t="s">
        <v>800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4386</v>
      </c>
      <c r="C2117" s="37" t="s">
        <v>4387</v>
      </c>
      <c r="D2117" s="55" t="s">
        <v>815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4388</v>
      </c>
      <c r="C2118" s="37" t="s">
        <v>4389</v>
      </c>
      <c r="D2118" s="55" t="s">
        <v>815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4390</v>
      </c>
      <c r="C2119" s="37" t="s">
        <v>4391</v>
      </c>
      <c r="D2119" s="55" t="s">
        <v>815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4392</v>
      </c>
      <c r="C2120" s="37" t="s">
        <v>5190</v>
      </c>
      <c r="D2120" s="55" t="s">
        <v>815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4393</v>
      </c>
      <c r="C2121" s="37" t="s">
        <v>4394</v>
      </c>
      <c r="D2121" s="55" t="s">
        <v>815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4395</v>
      </c>
      <c r="C2122" s="37" t="s">
        <v>4396</v>
      </c>
      <c r="D2122" s="55" t="s">
        <v>815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800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4397</v>
      </c>
      <c r="C2124" s="37" t="s">
        <v>4398</v>
      </c>
      <c r="D2124" s="55" t="s">
        <v>815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4399</v>
      </c>
      <c r="C2125" s="37" t="s">
        <v>4400</v>
      </c>
      <c r="D2125" s="55" t="s">
        <v>815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4401</v>
      </c>
      <c r="C2126" s="37" t="s">
        <v>4402</v>
      </c>
      <c r="D2126" s="55" t="s">
        <v>800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4403</v>
      </c>
      <c r="C2127" s="37" t="s">
        <v>4404</v>
      </c>
      <c r="D2127" s="55" t="s">
        <v>815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4405</v>
      </c>
      <c r="C2128" s="37" t="s">
        <v>4406</v>
      </c>
      <c r="D2128" s="55" t="s">
        <v>815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4407</v>
      </c>
      <c r="C2129" s="37" t="s">
        <v>4408</v>
      </c>
      <c r="D2129" s="55" t="s">
        <v>815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4409</v>
      </c>
      <c r="C2130" s="37" t="s">
        <v>4410</v>
      </c>
      <c r="D2130" s="55" t="s">
        <v>815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4411</v>
      </c>
      <c r="C2131" s="37" t="s">
        <v>4412</v>
      </c>
      <c r="D2131" s="55" t="s">
        <v>815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815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4413</v>
      </c>
      <c r="C2133" s="37" t="s">
        <v>4414</v>
      </c>
      <c r="D2133" s="55" t="s">
        <v>815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4415</v>
      </c>
      <c r="C2134" s="37" t="s">
        <v>4416</v>
      </c>
      <c r="D2134" s="55" t="s">
        <v>815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4417</v>
      </c>
      <c r="C2135" s="37" t="s">
        <v>4418</v>
      </c>
      <c r="D2135" s="55" t="s">
        <v>815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4419</v>
      </c>
      <c r="C2136" s="37" t="s">
        <v>4420</v>
      </c>
      <c r="D2136" s="55" t="s">
        <v>815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4421</v>
      </c>
      <c r="C2137" s="37" t="s">
        <v>4422</v>
      </c>
      <c r="D2137" s="55" t="s">
        <v>815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4423</v>
      </c>
      <c r="C2138" s="37" t="s">
        <v>4424</v>
      </c>
      <c r="D2138" s="55" t="s">
        <v>815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4425</v>
      </c>
      <c r="C2139" s="37" t="s">
        <v>4426</v>
      </c>
      <c r="D2139" s="55" t="s">
        <v>815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4427</v>
      </c>
      <c r="C2140" s="37" t="s">
        <v>4428</v>
      </c>
      <c r="D2140" s="55" t="s">
        <v>815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4429</v>
      </c>
      <c r="C2141" s="37" t="s">
        <v>4430</v>
      </c>
      <c r="D2141" s="55" t="s">
        <v>815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4431</v>
      </c>
      <c r="C2142" s="37" t="s">
        <v>4432</v>
      </c>
      <c r="D2142" s="55" t="s">
        <v>815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800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4433</v>
      </c>
      <c r="C2144" s="37" t="s">
        <v>4434</v>
      </c>
      <c r="D2144" s="55" t="s">
        <v>815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4435</v>
      </c>
      <c r="C2145" s="37" t="s">
        <v>4436</v>
      </c>
      <c r="D2145" s="55" t="s">
        <v>815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4437</v>
      </c>
      <c r="C2146" s="37" t="s">
        <v>4438</v>
      </c>
      <c r="D2146" s="55" t="s">
        <v>815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4439</v>
      </c>
      <c r="C2147" s="37" t="s">
        <v>4440</v>
      </c>
      <c r="D2147" s="55" t="s">
        <v>800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4441</v>
      </c>
      <c r="C2148" s="37" t="s">
        <v>4442</v>
      </c>
      <c r="D2148" s="55" t="s">
        <v>800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4443</v>
      </c>
      <c r="C2149" s="37" t="s">
        <v>5187</v>
      </c>
      <c r="D2149" s="55" t="s">
        <v>815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4444</v>
      </c>
      <c r="C2150" s="37" t="s">
        <v>4445</v>
      </c>
      <c r="D2150" s="55" t="s">
        <v>815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4446</v>
      </c>
      <c r="C2151" s="37" t="s">
        <v>4447</v>
      </c>
      <c r="D2151" s="55" t="s">
        <v>815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4448</v>
      </c>
      <c r="C2152" s="37" t="s">
        <v>4449</v>
      </c>
      <c r="D2152" s="55" t="s">
        <v>815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4450</v>
      </c>
      <c r="C2153" s="37" t="s">
        <v>4451</v>
      </c>
      <c r="D2153" s="55" t="s">
        <v>815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4452</v>
      </c>
      <c r="C2154" s="37" t="s">
        <v>4453</v>
      </c>
      <c r="D2154" s="55" t="s">
        <v>815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4454</v>
      </c>
      <c r="C2155" s="37" t="s">
        <v>4455</v>
      </c>
      <c r="D2155" s="55" t="s">
        <v>815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4456</v>
      </c>
      <c r="C2156" s="37" t="s">
        <v>4457</v>
      </c>
      <c r="D2156" s="55" t="s">
        <v>815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4458</v>
      </c>
      <c r="C2157" s="37" t="s">
        <v>4459</v>
      </c>
      <c r="D2157" s="55" t="s">
        <v>815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682</v>
      </c>
      <c r="C2158" s="37" t="s">
        <v>683</v>
      </c>
      <c r="D2158" s="55" t="s">
        <v>815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4460</v>
      </c>
      <c r="C2159" s="37" t="s">
        <v>4461</v>
      </c>
      <c r="D2159" s="55" t="s">
        <v>815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4462</v>
      </c>
      <c r="C2160" s="37" t="s">
        <v>4463</v>
      </c>
      <c r="D2160" s="55" t="s">
        <v>815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4464</v>
      </c>
      <c r="C2161" s="37" t="s">
        <v>4465</v>
      </c>
      <c r="D2161" s="55" t="s">
        <v>815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469</v>
      </c>
      <c r="C2162" s="37" t="s">
        <v>470</v>
      </c>
      <c r="D2162" s="55" t="s">
        <v>815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4466</v>
      </c>
      <c r="C2163" s="37" t="s">
        <v>4467</v>
      </c>
      <c r="D2163" s="55" t="s">
        <v>815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4468</v>
      </c>
      <c r="C2164" s="37" t="s">
        <v>4469</v>
      </c>
      <c r="D2164" s="55" t="s">
        <v>815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4470</v>
      </c>
      <c r="C2165" s="37" t="s">
        <v>4471</v>
      </c>
      <c r="D2165" s="55" t="s">
        <v>815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4472</v>
      </c>
      <c r="C2166" s="37" t="s">
        <v>4473</v>
      </c>
      <c r="D2166" s="55" t="s">
        <v>815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4474</v>
      </c>
      <c r="C2167" s="37" t="s">
        <v>4475</v>
      </c>
      <c r="D2167" s="55" t="s">
        <v>815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408</v>
      </c>
      <c r="C2168" s="37" t="s">
        <v>409</v>
      </c>
      <c r="D2168" s="55" t="s">
        <v>800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4476</v>
      </c>
      <c r="C2169" s="37" t="s">
        <v>4477</v>
      </c>
      <c r="D2169" s="55" t="s">
        <v>815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582</v>
      </c>
      <c r="C2170" s="37" t="s">
        <v>583</v>
      </c>
      <c r="D2170" s="55" t="s">
        <v>815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4478</v>
      </c>
      <c r="C2171" s="37" t="s">
        <v>4479</v>
      </c>
      <c r="D2171" s="55" t="s">
        <v>815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4480</v>
      </c>
      <c r="C2172" s="37" t="s">
        <v>4481</v>
      </c>
      <c r="D2172" s="55" t="s">
        <v>815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4482</v>
      </c>
      <c r="C2173" s="37" t="s">
        <v>4483</v>
      </c>
      <c r="D2173" s="55" t="s">
        <v>815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4484</v>
      </c>
      <c r="C2174" s="37" t="s">
        <v>4485</v>
      </c>
      <c r="D2174" s="55" t="s">
        <v>815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4486</v>
      </c>
      <c r="C2175" s="37" t="s">
        <v>4487</v>
      </c>
      <c r="D2175" s="55" t="s">
        <v>800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4488</v>
      </c>
      <c r="C2176" s="37" t="s">
        <v>4489</v>
      </c>
      <c r="D2176" s="55" t="s">
        <v>815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800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4490</v>
      </c>
      <c r="C2178" s="37" t="s">
        <v>4491</v>
      </c>
      <c r="D2178" s="55" t="s">
        <v>815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4492</v>
      </c>
      <c r="C2179" s="37" t="s">
        <v>4493</v>
      </c>
      <c r="D2179" s="55" t="s">
        <v>815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4494</v>
      </c>
      <c r="C2180" s="37" t="s">
        <v>4495</v>
      </c>
      <c r="D2180" s="55" t="s">
        <v>815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800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4496</v>
      </c>
      <c r="C2182" s="37" t="s">
        <v>4497</v>
      </c>
      <c r="D2182" s="55" t="s">
        <v>815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4498</v>
      </c>
      <c r="C2183" s="37" t="s">
        <v>4499</v>
      </c>
      <c r="D2183" s="55" t="s">
        <v>815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4500</v>
      </c>
      <c r="C2184" s="37" t="s">
        <v>4501</v>
      </c>
      <c r="D2184" s="55" t="s">
        <v>815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4502</v>
      </c>
      <c r="C2185" s="37" t="s">
        <v>4503</v>
      </c>
      <c r="D2185" s="55" t="s">
        <v>815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4504</v>
      </c>
      <c r="C2186" s="37" t="s">
        <v>4505</v>
      </c>
      <c r="D2186" s="55" t="s">
        <v>815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4506</v>
      </c>
      <c r="C2187" s="37" t="s">
        <v>4507</v>
      </c>
      <c r="D2187" s="55" t="s">
        <v>815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4508</v>
      </c>
      <c r="C2188" s="37" t="s">
        <v>4509</v>
      </c>
      <c r="D2188" s="55" t="s">
        <v>815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4510</v>
      </c>
      <c r="C2189" s="37" t="s">
        <v>4511</v>
      </c>
      <c r="D2189" s="55" t="s">
        <v>815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4512</v>
      </c>
      <c r="C2190" s="37" t="s">
        <v>4513</v>
      </c>
      <c r="D2190" s="55" t="s">
        <v>815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4514</v>
      </c>
      <c r="C2191" s="37" t="s">
        <v>4515</v>
      </c>
      <c r="D2191" s="55" t="s">
        <v>815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4516</v>
      </c>
      <c r="C2192" s="37" t="s">
        <v>5180</v>
      </c>
      <c r="D2192" s="55" t="s">
        <v>815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4517</v>
      </c>
      <c r="C2193" s="37" t="s">
        <v>4518</v>
      </c>
      <c r="D2193" s="55" t="s">
        <v>815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4519</v>
      </c>
      <c r="C2194" s="37" t="s">
        <v>4520</v>
      </c>
      <c r="D2194" s="55" t="s">
        <v>815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4521</v>
      </c>
      <c r="C2195" s="37" t="s">
        <v>4522</v>
      </c>
      <c r="D2195" s="55" t="s">
        <v>815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4523</v>
      </c>
      <c r="C2196" s="37" t="s">
        <v>4524</v>
      </c>
      <c r="D2196" s="55" t="s">
        <v>815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4525</v>
      </c>
      <c r="C2197" s="37" t="s">
        <v>4526</v>
      </c>
      <c r="D2197" s="55" t="s">
        <v>815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4527</v>
      </c>
      <c r="C2198" s="37" t="s">
        <v>4528</v>
      </c>
      <c r="D2198" s="55" t="s">
        <v>815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800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4529</v>
      </c>
      <c r="C2200" s="37" t="s">
        <v>4530</v>
      </c>
      <c r="D2200" s="55" t="s">
        <v>800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702</v>
      </c>
      <c r="C2201" s="37" t="s">
        <v>703</v>
      </c>
      <c r="D2201" s="55" t="s">
        <v>815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4531</v>
      </c>
      <c r="C2202" s="37" t="s">
        <v>4532</v>
      </c>
      <c r="D2202" s="55" t="s">
        <v>815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4533</v>
      </c>
      <c r="C2203" s="37" t="s">
        <v>4534</v>
      </c>
      <c r="D2203" s="55" t="s">
        <v>815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4535</v>
      </c>
      <c r="C2204" s="37" t="s">
        <v>4536</v>
      </c>
      <c r="D2204" s="55" t="s">
        <v>815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4537</v>
      </c>
      <c r="C2205" s="37" t="s">
        <v>4538</v>
      </c>
      <c r="D2205" s="55" t="s">
        <v>815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4539</v>
      </c>
      <c r="C2206" s="37" t="s">
        <v>4540</v>
      </c>
      <c r="D2206" s="55" t="s">
        <v>800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4541</v>
      </c>
      <c r="C2207" s="37" t="s">
        <v>4542</v>
      </c>
      <c r="D2207" s="55" t="s">
        <v>815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4543</v>
      </c>
      <c r="C2208" s="37" t="s">
        <v>4544</v>
      </c>
      <c r="D2208" s="55" t="s">
        <v>815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4545</v>
      </c>
      <c r="C2209" s="37" t="s">
        <v>4546</v>
      </c>
      <c r="D2209" s="55" t="s">
        <v>815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4547</v>
      </c>
      <c r="C2210" s="37" t="s">
        <v>4548</v>
      </c>
      <c r="D2210" s="55" t="s">
        <v>815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4549</v>
      </c>
      <c r="C2211" s="37" t="s">
        <v>4550</v>
      </c>
      <c r="D2211" s="55" t="s">
        <v>815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4551</v>
      </c>
      <c r="C2212" s="37" t="s">
        <v>4552</v>
      </c>
      <c r="D2212" s="55" t="s">
        <v>815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4553</v>
      </c>
      <c r="C2213" s="37" t="s">
        <v>4554</v>
      </c>
      <c r="D2213" s="55" t="s">
        <v>815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4555</v>
      </c>
      <c r="C2214" s="37" t="s">
        <v>4556</v>
      </c>
      <c r="D2214" s="55" t="s">
        <v>815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4557</v>
      </c>
      <c r="C2215" s="37" t="s">
        <v>4558</v>
      </c>
      <c r="D2215" s="55" t="s">
        <v>800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4559</v>
      </c>
      <c r="C2216" s="37" t="s">
        <v>4560</v>
      </c>
      <c r="D2216" s="55" t="s">
        <v>815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4561</v>
      </c>
      <c r="C2217" s="37" t="s">
        <v>4562</v>
      </c>
      <c r="D2217" s="55" t="s">
        <v>815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590</v>
      </c>
      <c r="C2218" s="37" t="s">
        <v>591</v>
      </c>
      <c r="D2218" s="55" t="s">
        <v>815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4563</v>
      </c>
      <c r="C2219" s="37" t="s">
        <v>4564</v>
      </c>
      <c r="D2219" s="55" t="s">
        <v>815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4565</v>
      </c>
      <c r="C2220" s="37" t="s">
        <v>4566</v>
      </c>
      <c r="D2220" s="55" t="s">
        <v>815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815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4567</v>
      </c>
      <c r="C2222" s="37" t="s">
        <v>4568</v>
      </c>
      <c r="D2222" s="55" t="s">
        <v>815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4569</v>
      </c>
      <c r="C2223" s="37" t="s">
        <v>5181</v>
      </c>
      <c r="D2223" s="55" t="s">
        <v>815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4570</v>
      </c>
      <c r="C2224" s="37" t="s">
        <v>4571</v>
      </c>
      <c r="D2224" s="55" t="s">
        <v>815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4572</v>
      </c>
      <c r="C2225" s="37" t="s">
        <v>4573</v>
      </c>
      <c r="D2225" s="55" t="s">
        <v>815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4574</v>
      </c>
      <c r="C2226" s="37" t="s">
        <v>4575</v>
      </c>
      <c r="D2226" s="55" t="s">
        <v>815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4576</v>
      </c>
      <c r="C2227" s="37" t="s">
        <v>4577</v>
      </c>
      <c r="D2227" s="55" t="s">
        <v>815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815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4578</v>
      </c>
      <c r="C2229" s="37" t="s">
        <v>4579</v>
      </c>
      <c r="D2229" s="55" t="s">
        <v>815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704</v>
      </c>
      <c r="C2230" s="37" t="s">
        <v>705</v>
      </c>
      <c r="D2230" s="55" t="s">
        <v>815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4580</v>
      </c>
      <c r="C2231" s="37" t="s">
        <v>4581</v>
      </c>
      <c r="D2231" s="55" t="s">
        <v>815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4582</v>
      </c>
      <c r="C2232" s="37" t="s">
        <v>4583</v>
      </c>
      <c r="D2232" s="55" t="s">
        <v>815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4584</v>
      </c>
      <c r="C2233" s="37" t="s">
        <v>4585</v>
      </c>
      <c r="D2233" s="55" t="s">
        <v>815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4586</v>
      </c>
      <c r="C2234" s="37" t="s">
        <v>4587</v>
      </c>
      <c r="D2234" s="55" t="s">
        <v>815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4588</v>
      </c>
      <c r="C2235" s="37" t="s">
        <v>4589</v>
      </c>
      <c r="D2235" s="55" t="s">
        <v>815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4590</v>
      </c>
      <c r="C2236" s="37" t="s">
        <v>4591</v>
      </c>
      <c r="D2236" s="55" t="s">
        <v>815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4592</v>
      </c>
      <c r="C2237" s="37" t="s">
        <v>4593</v>
      </c>
      <c r="D2237" s="55" t="s">
        <v>815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800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4594</v>
      </c>
      <c r="C2239" s="37" t="s">
        <v>4595</v>
      </c>
      <c r="D2239" s="55" t="s">
        <v>815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4596</v>
      </c>
      <c r="C2240" s="37" t="s">
        <v>4597</v>
      </c>
      <c r="D2240" s="55" t="s">
        <v>815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4598</v>
      </c>
      <c r="C2241" s="37" t="s">
        <v>4599</v>
      </c>
      <c r="D2241" s="55" t="s">
        <v>815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800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4600</v>
      </c>
      <c r="C2243" s="37" t="s">
        <v>4601</v>
      </c>
      <c r="D2243" s="55" t="s">
        <v>815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4602</v>
      </c>
      <c r="C2244" s="37" t="s">
        <v>4603</v>
      </c>
      <c r="D2244" s="55" t="s">
        <v>815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4604</v>
      </c>
      <c r="C2245" s="37" t="s">
        <v>4605</v>
      </c>
      <c r="D2245" s="55" t="s">
        <v>815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4606</v>
      </c>
      <c r="C2246" s="37" t="s">
        <v>4607</v>
      </c>
      <c r="D2246" s="55" t="s">
        <v>815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4608</v>
      </c>
      <c r="C2247" s="37" t="s">
        <v>4609</v>
      </c>
      <c r="D2247" s="55" t="s">
        <v>815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4610</v>
      </c>
      <c r="C2248" s="37" t="s">
        <v>4611</v>
      </c>
      <c r="D2248" s="55" t="s">
        <v>815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4612</v>
      </c>
      <c r="C2249" s="37" t="s">
        <v>4613</v>
      </c>
      <c r="D2249" s="55" t="s">
        <v>815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4614</v>
      </c>
      <c r="C2250" s="37" t="s">
        <v>4615</v>
      </c>
      <c r="D2250" s="55" t="s">
        <v>815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4616</v>
      </c>
      <c r="C2251" s="37" t="s">
        <v>4617</v>
      </c>
      <c r="D2251" s="55" t="s">
        <v>815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4618</v>
      </c>
      <c r="C2252" s="37" t="s">
        <v>4619</v>
      </c>
      <c r="D2252" s="55" t="s">
        <v>815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4620</v>
      </c>
      <c r="C2253" s="37" t="s">
        <v>4621</v>
      </c>
      <c r="D2253" s="55" t="s">
        <v>815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4622</v>
      </c>
      <c r="C2254" s="37" t="s">
        <v>4623</v>
      </c>
      <c r="D2254" s="55" t="s">
        <v>815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475</v>
      </c>
      <c r="C2255" s="37" t="s">
        <v>476</v>
      </c>
      <c r="D2255" s="55" t="s">
        <v>815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815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4624</v>
      </c>
      <c r="C2257" s="37" t="s">
        <v>4625</v>
      </c>
      <c r="D2257" s="55" t="s">
        <v>815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4626</v>
      </c>
      <c r="C2258" s="37" t="s">
        <v>4627</v>
      </c>
      <c r="D2258" s="55" t="s">
        <v>815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4628</v>
      </c>
      <c r="C2259" s="37" t="s">
        <v>4629</v>
      </c>
      <c r="D2259" s="55" t="s">
        <v>815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4630</v>
      </c>
      <c r="C2260" s="37" t="s">
        <v>4631</v>
      </c>
      <c r="D2260" s="55" t="s">
        <v>815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4632</v>
      </c>
      <c r="C2261" s="37" t="s">
        <v>4633</v>
      </c>
      <c r="D2261" s="55" t="s">
        <v>815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4634</v>
      </c>
      <c r="C2262" s="37" t="s">
        <v>4635</v>
      </c>
      <c r="D2262" s="55" t="s">
        <v>815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4636</v>
      </c>
      <c r="C2263" s="37" t="s">
        <v>4637</v>
      </c>
      <c r="D2263" s="55" t="s">
        <v>815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4638</v>
      </c>
      <c r="C2264" s="37" t="s">
        <v>4639</v>
      </c>
      <c r="D2264" s="55" t="s">
        <v>800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4640</v>
      </c>
      <c r="C2265" s="37" t="s">
        <v>4641</v>
      </c>
      <c r="D2265" s="55" t="s">
        <v>815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4642</v>
      </c>
      <c r="C2266" s="37" t="s">
        <v>4643</v>
      </c>
      <c r="D2266" s="55" t="s">
        <v>815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4644</v>
      </c>
      <c r="C2267" s="37" t="s">
        <v>4645</v>
      </c>
      <c r="D2267" s="55" t="s">
        <v>815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4646</v>
      </c>
      <c r="C2268" s="37" t="s">
        <v>4647</v>
      </c>
      <c r="D2268" s="55" t="s">
        <v>815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4648</v>
      </c>
      <c r="C2269" s="37" t="s">
        <v>4649</v>
      </c>
      <c r="D2269" s="55" t="s">
        <v>815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4650</v>
      </c>
      <c r="C2270" s="37" t="s">
        <v>4651</v>
      </c>
      <c r="D2270" s="55" t="s">
        <v>800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4652</v>
      </c>
      <c r="C2271" s="37" t="s">
        <v>4653</v>
      </c>
      <c r="D2271" s="55" t="s">
        <v>815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4654</v>
      </c>
      <c r="C2272" s="37" t="s">
        <v>4655</v>
      </c>
      <c r="D2272" s="55" t="s">
        <v>815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4656</v>
      </c>
      <c r="C2273" s="37" t="s">
        <v>4657</v>
      </c>
      <c r="D2273" s="55" t="s">
        <v>815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4658</v>
      </c>
      <c r="C2274" s="37" t="s">
        <v>4659</v>
      </c>
      <c r="D2274" s="55" t="s">
        <v>815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4660</v>
      </c>
      <c r="C2275" s="37" t="s">
        <v>4661</v>
      </c>
      <c r="D2275" s="55" t="s">
        <v>815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4662</v>
      </c>
      <c r="C2276" s="37" t="s">
        <v>4663</v>
      </c>
      <c r="D2276" s="55" t="s">
        <v>815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4664</v>
      </c>
      <c r="C2277" s="37" t="s">
        <v>5218</v>
      </c>
      <c r="D2277" s="55" t="s">
        <v>815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나인앤컴퍼니</v>
      </c>
      <c r="K2277" s="37" t="str">
        <f t="shared" si="200"/>
        <v>A366030</v>
      </c>
    </row>
    <row r="2278" spans="1:11" x14ac:dyDescent="0.4">
      <c r="A2278" s="49"/>
      <c r="B2278" s="54" t="s">
        <v>4665</v>
      </c>
      <c r="C2278" s="37" t="s">
        <v>4666</v>
      </c>
      <c r="D2278" s="55" t="s">
        <v>815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4667</v>
      </c>
      <c r="C2279" s="37" t="s">
        <v>4668</v>
      </c>
      <c r="D2279" s="55" t="s">
        <v>815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4669</v>
      </c>
      <c r="C2280" s="37" t="s">
        <v>4670</v>
      </c>
      <c r="D2280" s="55" t="s">
        <v>815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4671</v>
      </c>
      <c r="C2281" s="37" t="s">
        <v>4672</v>
      </c>
      <c r="D2281" s="55" t="s">
        <v>815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4673</v>
      </c>
      <c r="C2282" s="37" t="s">
        <v>4674</v>
      </c>
      <c r="D2282" s="55" t="s">
        <v>815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4675</v>
      </c>
      <c r="C2283" s="37" t="s">
        <v>4676</v>
      </c>
      <c r="D2283" s="55" t="s">
        <v>815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4677</v>
      </c>
      <c r="C2284" s="37" t="s">
        <v>4678</v>
      </c>
      <c r="D2284" s="55" t="s">
        <v>815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4679</v>
      </c>
      <c r="C2285" s="37" t="s">
        <v>4680</v>
      </c>
      <c r="D2285" s="55" t="s">
        <v>815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4681</v>
      </c>
      <c r="C2286" s="37" t="s">
        <v>4682</v>
      </c>
      <c r="D2286" s="55" t="s">
        <v>815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4683</v>
      </c>
      <c r="C2287" s="37" t="s">
        <v>4684</v>
      </c>
      <c r="D2287" s="55" t="s">
        <v>815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4685</v>
      </c>
      <c r="C2288" s="37" t="s">
        <v>4686</v>
      </c>
      <c r="D2288" s="55" t="s">
        <v>800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4687</v>
      </c>
      <c r="C2289" s="37" t="s">
        <v>4688</v>
      </c>
      <c r="D2289" s="55" t="s">
        <v>815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4689</v>
      </c>
      <c r="C2290" s="37" t="s">
        <v>4690</v>
      </c>
      <c r="D2290" s="55" t="s">
        <v>815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4691</v>
      </c>
      <c r="C2291" s="37" t="s">
        <v>4692</v>
      </c>
      <c r="D2291" s="55" t="s">
        <v>815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4693</v>
      </c>
      <c r="C2292" s="37" t="s">
        <v>4694</v>
      </c>
      <c r="D2292" s="55" t="s">
        <v>815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800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4695</v>
      </c>
      <c r="C2294" s="37" t="s">
        <v>4696</v>
      </c>
      <c r="D2294" s="55" t="s">
        <v>800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4697</v>
      </c>
      <c r="C2295" s="37" t="s">
        <v>4698</v>
      </c>
      <c r="D2295" s="55" t="s">
        <v>815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4699</v>
      </c>
      <c r="C2296" s="37" t="s">
        <v>4700</v>
      </c>
      <c r="D2296" s="55" t="s">
        <v>815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4701</v>
      </c>
      <c r="C2297" s="37" t="s">
        <v>4702</v>
      </c>
      <c r="D2297" s="55" t="s">
        <v>815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4703</v>
      </c>
      <c r="C2298" s="37" t="s">
        <v>4704</v>
      </c>
      <c r="D2298" s="55" t="s">
        <v>815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498</v>
      </c>
      <c r="C2299" s="37" t="s">
        <v>499</v>
      </c>
      <c r="D2299" s="55" t="s">
        <v>815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4705</v>
      </c>
      <c r="C2300" s="37" t="s">
        <v>4706</v>
      </c>
      <c r="D2300" s="55" t="s">
        <v>815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4707</v>
      </c>
      <c r="C2301" s="37" t="s">
        <v>4708</v>
      </c>
      <c r="D2301" s="55" t="s">
        <v>815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4709</v>
      </c>
      <c r="C2302" s="37" t="s">
        <v>4710</v>
      </c>
      <c r="D2302" s="55" t="s">
        <v>815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4711</v>
      </c>
      <c r="C2303" s="37" t="s">
        <v>4712</v>
      </c>
      <c r="D2303" s="55" t="s">
        <v>815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4713</v>
      </c>
      <c r="C2304" s="37" t="s">
        <v>4714</v>
      </c>
      <c r="D2304" s="55" t="s">
        <v>800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4715</v>
      </c>
      <c r="C2305" s="37" t="s">
        <v>4716</v>
      </c>
      <c r="D2305" s="55" t="s">
        <v>815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4717</v>
      </c>
      <c r="C2306" s="37" t="s">
        <v>4718</v>
      </c>
      <c r="D2306" s="55" t="s">
        <v>815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4719</v>
      </c>
      <c r="C2307" s="37" t="s">
        <v>5191</v>
      </c>
      <c r="D2307" s="55" t="s">
        <v>815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4720</v>
      </c>
      <c r="C2308" s="37" t="s">
        <v>4721</v>
      </c>
      <c r="D2308" s="55" t="s">
        <v>815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4722</v>
      </c>
      <c r="C2309" s="37" t="s">
        <v>4723</v>
      </c>
      <c r="D2309" s="55" t="s">
        <v>800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4724</v>
      </c>
      <c r="C2310" s="37" t="s">
        <v>4725</v>
      </c>
      <c r="D2310" s="55" t="s">
        <v>815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4726</v>
      </c>
      <c r="C2311" s="37" t="s">
        <v>4727</v>
      </c>
      <c r="D2311" s="55" t="s">
        <v>815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4728</v>
      </c>
      <c r="C2312" s="37" t="s">
        <v>4729</v>
      </c>
      <c r="D2312" s="55" t="s">
        <v>800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4730</v>
      </c>
      <c r="C2313" s="37" t="s">
        <v>4731</v>
      </c>
      <c r="D2313" s="55" t="s">
        <v>815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538</v>
      </c>
      <c r="C2314" s="37" t="s">
        <v>539</v>
      </c>
      <c r="D2314" s="55" t="s">
        <v>815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4732</v>
      </c>
      <c r="C2315" s="37" t="s">
        <v>4733</v>
      </c>
      <c r="D2315" s="55" t="s">
        <v>815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4734</v>
      </c>
      <c r="C2316" s="37" t="s">
        <v>4735</v>
      </c>
      <c r="D2316" s="55" t="s">
        <v>800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4736</v>
      </c>
      <c r="C2317" s="37" t="s">
        <v>4737</v>
      </c>
      <c r="D2317" s="55" t="s">
        <v>815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4738</v>
      </c>
      <c r="C2318" s="37" t="s">
        <v>4739</v>
      </c>
      <c r="D2318" s="55" t="s">
        <v>815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4740</v>
      </c>
      <c r="C2319" s="37" t="s">
        <v>4741</v>
      </c>
      <c r="D2319" s="55" t="s">
        <v>815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4742</v>
      </c>
      <c r="C2320" s="37" t="s">
        <v>4743</v>
      </c>
      <c r="D2320" s="55" t="s">
        <v>815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4744</v>
      </c>
      <c r="C2321" s="37" t="s">
        <v>4745</v>
      </c>
      <c r="D2321" s="55" t="s">
        <v>815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800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4746</v>
      </c>
      <c r="C2323" s="37" t="s">
        <v>4747</v>
      </c>
      <c r="D2323" s="55" t="s">
        <v>815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4748</v>
      </c>
      <c r="C2324" s="37" t="s">
        <v>4749</v>
      </c>
      <c r="D2324" s="55" t="s">
        <v>800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4750</v>
      </c>
      <c r="C2325" s="37" t="s">
        <v>4751</v>
      </c>
      <c r="D2325" s="55" t="s">
        <v>815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4752</v>
      </c>
      <c r="C2326" s="37" t="s">
        <v>4753</v>
      </c>
      <c r="D2326" s="55" t="s">
        <v>815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4754</v>
      </c>
      <c r="C2327" s="37" t="s">
        <v>4755</v>
      </c>
      <c r="D2327" s="55" t="s">
        <v>815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4756</v>
      </c>
      <c r="C2328" s="37" t="s">
        <v>4757</v>
      </c>
      <c r="D2328" s="55" t="s">
        <v>815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552</v>
      </c>
      <c r="C2329" s="37" t="s">
        <v>553</v>
      </c>
      <c r="D2329" s="55" t="s">
        <v>815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4758</v>
      </c>
      <c r="C2330" s="37" t="s">
        <v>4759</v>
      </c>
      <c r="D2330" s="55" t="s">
        <v>815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815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4760</v>
      </c>
      <c r="C2332" s="37" t="s">
        <v>4761</v>
      </c>
      <c r="D2332" s="55" t="s">
        <v>815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4762</v>
      </c>
      <c r="C2333" s="37" t="s">
        <v>4763</v>
      </c>
      <c r="D2333" s="55" t="s">
        <v>815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4764</v>
      </c>
      <c r="C2334" s="37" t="s">
        <v>4765</v>
      </c>
      <c r="D2334" s="55" t="s">
        <v>815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4766</v>
      </c>
      <c r="C2335" s="37" t="s">
        <v>4767</v>
      </c>
      <c r="D2335" s="55" t="s">
        <v>815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4768</v>
      </c>
      <c r="C2336" s="37" t="s">
        <v>4769</v>
      </c>
      <c r="D2336" s="55" t="s">
        <v>815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4770</v>
      </c>
      <c r="C2337" s="37" t="s">
        <v>4771</v>
      </c>
      <c r="D2337" s="55" t="s">
        <v>815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544</v>
      </c>
      <c r="C2338" s="37" t="s">
        <v>545</v>
      </c>
      <c r="D2338" s="55" t="s">
        <v>815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626</v>
      </c>
      <c r="C2339" s="37" t="s">
        <v>627</v>
      </c>
      <c r="D2339" s="55" t="s">
        <v>815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815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4772</v>
      </c>
      <c r="C2341" s="37" t="s">
        <v>4773</v>
      </c>
      <c r="D2341" s="55" t="s">
        <v>815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4774</v>
      </c>
      <c r="C2342" s="37" t="s">
        <v>4775</v>
      </c>
      <c r="D2342" s="55" t="s">
        <v>815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4776</v>
      </c>
      <c r="C2343" s="37" t="s">
        <v>4777</v>
      </c>
      <c r="D2343" s="55" t="s">
        <v>815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4778</v>
      </c>
      <c r="C2344" s="37" t="s">
        <v>4779</v>
      </c>
      <c r="D2344" s="55" t="s">
        <v>815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4780</v>
      </c>
      <c r="C2345" s="37" t="s">
        <v>4781</v>
      </c>
      <c r="D2345" s="55" t="s">
        <v>815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4782</v>
      </c>
      <c r="C2346" s="37" t="s">
        <v>4783</v>
      </c>
      <c r="D2346" s="55" t="s">
        <v>815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4784</v>
      </c>
      <c r="C2347" s="37" t="s">
        <v>4785</v>
      </c>
      <c r="D2347" s="55" t="s">
        <v>815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4786</v>
      </c>
      <c r="C2348" s="37" t="s">
        <v>4787</v>
      </c>
      <c r="D2348" s="55" t="s">
        <v>815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4788</v>
      </c>
      <c r="C2349" s="37" t="s">
        <v>4789</v>
      </c>
      <c r="D2349" s="55" t="s">
        <v>815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4790</v>
      </c>
      <c r="C2350" s="37" t="s">
        <v>4791</v>
      </c>
      <c r="D2350" s="55" t="s">
        <v>815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815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4792</v>
      </c>
      <c r="C2352" s="37" t="s">
        <v>4793</v>
      </c>
      <c r="D2352" s="55" t="s">
        <v>815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4794</v>
      </c>
      <c r="C2353" s="37" t="s">
        <v>4795</v>
      </c>
      <c r="D2353" s="55" t="s">
        <v>815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622</v>
      </c>
      <c r="C2354" s="37" t="s">
        <v>623</v>
      </c>
      <c r="D2354" s="55" t="s">
        <v>815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815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800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4796</v>
      </c>
      <c r="C2357" s="37" t="s">
        <v>4797</v>
      </c>
      <c r="D2357" s="55" t="s">
        <v>815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4798</v>
      </c>
      <c r="C2358" s="37" t="s">
        <v>4799</v>
      </c>
      <c r="D2358" s="55" t="s">
        <v>815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4800</v>
      </c>
      <c r="C2359" s="37" t="s">
        <v>4801</v>
      </c>
      <c r="D2359" s="55" t="s">
        <v>800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624</v>
      </c>
      <c r="C2360" s="37" t="s">
        <v>625</v>
      </c>
      <c r="D2360" s="55" t="s">
        <v>815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466</v>
      </c>
      <c r="C2361" s="37" t="s">
        <v>467</v>
      </c>
      <c r="D2361" s="55" t="s">
        <v>815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4802</v>
      </c>
      <c r="C2362" s="37" t="s">
        <v>4803</v>
      </c>
      <c r="D2362" s="55" t="s">
        <v>815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4804</v>
      </c>
      <c r="C2363" s="37" t="s">
        <v>4805</v>
      </c>
      <c r="D2363" s="55" t="s">
        <v>815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4806</v>
      </c>
      <c r="C2364" s="37" t="s">
        <v>4807</v>
      </c>
      <c r="D2364" s="55" t="s">
        <v>815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4808</v>
      </c>
      <c r="C2365" s="37" t="s">
        <v>4809</v>
      </c>
      <c r="D2365" s="55" t="s">
        <v>815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4810</v>
      </c>
      <c r="C2366" s="37" t="s">
        <v>4811</v>
      </c>
      <c r="D2366" s="55" t="s">
        <v>815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4812</v>
      </c>
      <c r="C2367" s="37" t="s">
        <v>4813</v>
      </c>
      <c r="D2367" s="55" t="s">
        <v>815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4814</v>
      </c>
      <c r="C2368" s="37" t="s">
        <v>4815</v>
      </c>
      <c r="D2368" s="55" t="s">
        <v>815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4816</v>
      </c>
      <c r="C2369" s="37" t="s">
        <v>4817</v>
      </c>
      <c r="D2369" s="55" t="s">
        <v>815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4818</v>
      </c>
      <c r="C2370" s="37" t="s">
        <v>4819</v>
      </c>
      <c r="D2370" s="55" t="s">
        <v>815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4820</v>
      </c>
      <c r="C2371" s="37" t="s">
        <v>4821</v>
      </c>
      <c r="D2371" s="55" t="s">
        <v>815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4822</v>
      </c>
      <c r="C2372" s="37" t="s">
        <v>4823</v>
      </c>
      <c r="D2372" s="55" t="s">
        <v>815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4824</v>
      </c>
      <c r="C2373" s="37" t="s">
        <v>4825</v>
      </c>
      <c r="D2373" s="55" t="s">
        <v>815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4826</v>
      </c>
      <c r="C2374" s="37" t="s">
        <v>4827</v>
      </c>
      <c r="D2374" s="55" t="s">
        <v>815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4828</v>
      </c>
      <c r="C2375" s="37" t="s">
        <v>4829</v>
      </c>
      <c r="D2375" s="55" t="s">
        <v>815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4830</v>
      </c>
      <c r="C2376" s="37" t="s">
        <v>4831</v>
      </c>
      <c r="D2376" s="55" t="s">
        <v>815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4832</v>
      </c>
      <c r="C2377" s="37" t="s">
        <v>4833</v>
      </c>
      <c r="D2377" s="55" t="s">
        <v>815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4834</v>
      </c>
      <c r="C2378" s="37" t="s">
        <v>4835</v>
      </c>
      <c r="D2378" s="55" t="s">
        <v>815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4836</v>
      </c>
      <c r="C2379" s="37" t="s">
        <v>4837</v>
      </c>
      <c r="D2379" s="55" t="s">
        <v>815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4838</v>
      </c>
      <c r="C2380" s="37" t="s">
        <v>4839</v>
      </c>
      <c r="D2380" s="55" t="s">
        <v>815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4840</v>
      </c>
      <c r="C2381" s="37" t="s">
        <v>4841</v>
      </c>
      <c r="D2381" s="55" t="s">
        <v>815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4842</v>
      </c>
      <c r="C2382" s="37" t="s">
        <v>4843</v>
      </c>
      <c r="D2382" s="55" t="s">
        <v>815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4844</v>
      </c>
      <c r="C2383" s="37" t="s">
        <v>4845</v>
      </c>
      <c r="D2383" s="55" t="s">
        <v>815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4846</v>
      </c>
      <c r="C2384" s="37" t="s">
        <v>4847</v>
      </c>
      <c r="D2384" s="55" t="s">
        <v>815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4848</v>
      </c>
      <c r="C2385" s="37" t="s">
        <v>4849</v>
      </c>
      <c r="D2385" s="55" t="s">
        <v>815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4850</v>
      </c>
      <c r="C2386" s="37" t="s">
        <v>4851</v>
      </c>
      <c r="D2386" s="55" t="s">
        <v>815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4852</v>
      </c>
      <c r="C2387" s="37" t="s">
        <v>4853</v>
      </c>
      <c r="D2387" s="55" t="s">
        <v>815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4854</v>
      </c>
      <c r="C2388" s="37" t="s">
        <v>4855</v>
      </c>
      <c r="D2388" s="55" t="s">
        <v>815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4856</v>
      </c>
      <c r="C2389" s="37" t="s">
        <v>4857</v>
      </c>
      <c r="D2389" s="55" t="s">
        <v>815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4858</v>
      </c>
      <c r="C2390" s="37" t="s">
        <v>4859</v>
      </c>
      <c r="D2390" s="55" t="s">
        <v>815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4860</v>
      </c>
      <c r="C2391" s="37" t="s">
        <v>4861</v>
      </c>
      <c r="D2391" s="55" t="s">
        <v>815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4862</v>
      </c>
      <c r="C2392" s="37" t="s">
        <v>4863</v>
      </c>
      <c r="D2392" s="55" t="s">
        <v>815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4864</v>
      </c>
      <c r="C2393" s="37" t="s">
        <v>4865</v>
      </c>
      <c r="D2393" s="55" t="s">
        <v>815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4866</v>
      </c>
      <c r="C2394" s="37" t="s">
        <v>4867</v>
      </c>
      <c r="D2394" s="55" t="s">
        <v>815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4868</v>
      </c>
      <c r="C2395" s="37" t="s">
        <v>4869</v>
      </c>
      <c r="D2395" s="55" t="s">
        <v>815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640</v>
      </c>
      <c r="C2396" s="37" t="s">
        <v>641</v>
      </c>
      <c r="D2396" s="55" t="s">
        <v>815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4870</v>
      </c>
      <c r="C2397" s="37" t="s">
        <v>4871</v>
      </c>
      <c r="D2397" s="55" t="s">
        <v>815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4872</v>
      </c>
      <c r="C2398" s="37" t="s">
        <v>4873</v>
      </c>
      <c r="D2398" s="55" t="s">
        <v>815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4874</v>
      </c>
      <c r="C2399" s="37" t="s">
        <v>4875</v>
      </c>
      <c r="D2399" s="55" t="s">
        <v>815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4876</v>
      </c>
      <c r="C2400" s="37" t="s">
        <v>4877</v>
      </c>
      <c r="D2400" s="55" t="s">
        <v>815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4878</v>
      </c>
      <c r="C2401" s="37" t="s">
        <v>4879</v>
      </c>
      <c r="D2401" s="55" t="s">
        <v>815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815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4880</v>
      </c>
      <c r="C2403" s="37" t="s">
        <v>4881</v>
      </c>
      <c r="D2403" s="55" t="s">
        <v>815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4882</v>
      </c>
      <c r="C2404" s="37" t="s">
        <v>4883</v>
      </c>
      <c r="D2404" s="55" t="s">
        <v>815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4884</v>
      </c>
      <c r="C2405" s="37" t="s">
        <v>4885</v>
      </c>
      <c r="D2405" s="55" t="s">
        <v>815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4886</v>
      </c>
      <c r="C2406" s="37" t="s">
        <v>4887</v>
      </c>
      <c r="D2406" s="55" t="s">
        <v>815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4888</v>
      </c>
      <c r="C2407" s="37" t="s">
        <v>4889</v>
      </c>
      <c r="D2407" s="55" t="s">
        <v>815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4890</v>
      </c>
      <c r="C2408" s="37" t="s">
        <v>4891</v>
      </c>
      <c r="D2408" s="55" t="s">
        <v>815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4892</v>
      </c>
      <c r="C2409" s="37" t="s">
        <v>4893</v>
      </c>
      <c r="D2409" s="55" t="s">
        <v>815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4894</v>
      </c>
      <c r="C2410" s="37" t="s">
        <v>4895</v>
      </c>
      <c r="D2410" s="55" t="s">
        <v>815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4896</v>
      </c>
      <c r="C2411" s="37" t="s">
        <v>4897</v>
      </c>
      <c r="D2411" s="55" t="s">
        <v>815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610</v>
      </c>
      <c r="C2412" s="37" t="s">
        <v>611</v>
      </c>
      <c r="D2412" s="55" t="s">
        <v>815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4898</v>
      </c>
      <c r="C2413" s="37" t="s">
        <v>4899</v>
      </c>
      <c r="D2413" s="55" t="s">
        <v>815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4900</v>
      </c>
      <c r="C2414" s="37" t="s">
        <v>4901</v>
      </c>
      <c r="D2414" s="55" t="s">
        <v>815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4902</v>
      </c>
      <c r="C2415" s="37" t="s">
        <v>4903</v>
      </c>
      <c r="D2415" s="55" t="s">
        <v>800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4904</v>
      </c>
      <c r="C2416" s="37" t="s">
        <v>4905</v>
      </c>
      <c r="D2416" s="55" t="s">
        <v>815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718</v>
      </c>
      <c r="C2417" s="37" t="s">
        <v>719</v>
      </c>
      <c r="D2417" s="55" t="s">
        <v>815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4906</v>
      </c>
      <c r="C2418" s="37" t="s">
        <v>4907</v>
      </c>
      <c r="D2418" s="55" t="s">
        <v>815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4908</v>
      </c>
      <c r="C2419" s="37" t="s">
        <v>4909</v>
      </c>
      <c r="D2419" s="55" t="s">
        <v>815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4910</v>
      </c>
      <c r="C2420" s="37" t="s">
        <v>4911</v>
      </c>
      <c r="D2420" s="55" t="s">
        <v>815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800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4912</v>
      </c>
      <c r="C2422" s="37" t="s">
        <v>4913</v>
      </c>
      <c r="D2422" s="55" t="s">
        <v>815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4914</v>
      </c>
      <c r="C2423" s="37" t="s">
        <v>4915</v>
      </c>
      <c r="D2423" s="55" t="s">
        <v>815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4916</v>
      </c>
      <c r="C2424" s="37" t="s">
        <v>4917</v>
      </c>
      <c r="D2424" s="55" t="s">
        <v>815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4918</v>
      </c>
      <c r="C2425" s="37" t="s">
        <v>4919</v>
      </c>
      <c r="D2425" s="55" t="s">
        <v>815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4920</v>
      </c>
      <c r="C2426" s="37" t="s">
        <v>4921</v>
      </c>
      <c r="D2426" s="55" t="s">
        <v>815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4922</v>
      </c>
      <c r="C2427" s="37" t="s">
        <v>4923</v>
      </c>
      <c r="D2427" s="55" t="s">
        <v>815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4924</v>
      </c>
      <c r="C2428" s="37" t="s">
        <v>4925</v>
      </c>
      <c r="D2428" s="55" t="s">
        <v>800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4926</v>
      </c>
      <c r="C2429" s="37" t="s">
        <v>4927</v>
      </c>
      <c r="D2429" s="55" t="s">
        <v>815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4928</v>
      </c>
      <c r="C2430" s="37" t="s">
        <v>4929</v>
      </c>
      <c r="D2430" s="55" t="s">
        <v>815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4930</v>
      </c>
      <c r="C2431" s="37" t="s">
        <v>4931</v>
      </c>
      <c r="D2431" s="55" t="s">
        <v>815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4932</v>
      </c>
      <c r="C2432" s="37" t="s">
        <v>4933</v>
      </c>
      <c r="D2432" s="55" t="s">
        <v>815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4934</v>
      </c>
      <c r="C2433" s="37" t="s">
        <v>4935</v>
      </c>
      <c r="D2433" s="55" t="s">
        <v>815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800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4936</v>
      </c>
      <c r="C2435" s="37" t="s">
        <v>4937</v>
      </c>
      <c r="D2435" s="55" t="s">
        <v>815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4938</v>
      </c>
      <c r="C2436" s="37" t="s">
        <v>4939</v>
      </c>
      <c r="D2436" s="55" t="s">
        <v>815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4940</v>
      </c>
      <c r="C2437" s="37" t="s">
        <v>4941</v>
      </c>
      <c r="D2437" s="55" t="s">
        <v>815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4942</v>
      </c>
      <c r="C2438" s="37" t="s">
        <v>4943</v>
      </c>
      <c r="D2438" s="55" t="s">
        <v>815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4944</v>
      </c>
      <c r="C2439" s="37" t="s">
        <v>4945</v>
      </c>
      <c r="D2439" s="55" t="s">
        <v>815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4946</v>
      </c>
      <c r="C2440" s="37" t="s">
        <v>4947</v>
      </c>
      <c r="D2440" s="55" t="s">
        <v>815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4948</v>
      </c>
      <c r="C2441" s="37" t="s">
        <v>4949</v>
      </c>
      <c r="D2441" s="55" t="s">
        <v>815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4950</v>
      </c>
      <c r="C2442" s="37" t="s">
        <v>4951</v>
      </c>
      <c r="D2442" s="55" t="s">
        <v>815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4952</v>
      </c>
      <c r="C2443" s="37" t="s">
        <v>4953</v>
      </c>
      <c r="D2443" s="55" t="s">
        <v>815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4954</v>
      </c>
      <c r="C2444" s="37" t="s">
        <v>4955</v>
      </c>
      <c r="D2444" s="55" t="s">
        <v>800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4956</v>
      </c>
      <c r="C2445" s="37" t="s">
        <v>4957</v>
      </c>
      <c r="D2445" s="55" t="s">
        <v>815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4958</v>
      </c>
      <c r="C2446" s="37" t="s">
        <v>4959</v>
      </c>
      <c r="D2446" s="55" t="s">
        <v>815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4960</v>
      </c>
      <c r="C2447" s="37" t="s">
        <v>4961</v>
      </c>
      <c r="D2447" s="55" t="s">
        <v>815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620</v>
      </c>
      <c r="C2448" s="37" t="s">
        <v>621</v>
      </c>
      <c r="D2448" s="55" t="s">
        <v>815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4962</v>
      </c>
      <c r="C2449" s="37" t="s">
        <v>4963</v>
      </c>
      <c r="D2449" s="55" t="s">
        <v>815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4964</v>
      </c>
      <c r="C2450" s="37" t="s">
        <v>4965</v>
      </c>
      <c r="D2450" s="55" t="s">
        <v>800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4966</v>
      </c>
      <c r="C2451" s="37" t="s">
        <v>4967</v>
      </c>
      <c r="D2451" s="55" t="s">
        <v>815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4968</v>
      </c>
      <c r="C2452" s="37" t="s">
        <v>4969</v>
      </c>
      <c r="D2452" s="55" t="s">
        <v>815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800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4970</v>
      </c>
      <c r="C2454" s="37" t="s">
        <v>4971</v>
      </c>
      <c r="D2454" s="55" t="s">
        <v>815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815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4972</v>
      </c>
      <c r="C2456" s="37" t="s">
        <v>4973</v>
      </c>
      <c r="D2456" s="55" t="s">
        <v>815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4974</v>
      </c>
      <c r="C2457" s="37" t="s">
        <v>4975</v>
      </c>
      <c r="D2457" s="55" t="s">
        <v>800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4976</v>
      </c>
      <c r="C2458" s="37" t="s">
        <v>4977</v>
      </c>
      <c r="D2458" s="55" t="s">
        <v>815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634</v>
      </c>
      <c r="C2459" s="37" t="s">
        <v>635</v>
      </c>
      <c r="D2459" s="55" t="s">
        <v>815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648</v>
      </c>
      <c r="C2460" s="37" t="s">
        <v>649</v>
      </c>
      <c r="D2460" s="55" t="s">
        <v>800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4978</v>
      </c>
      <c r="C2461" s="37" t="s">
        <v>4979</v>
      </c>
      <c r="D2461" s="55" t="s">
        <v>815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4980</v>
      </c>
      <c r="C2462" s="37" t="s">
        <v>4981</v>
      </c>
      <c r="D2462" s="55" t="s">
        <v>815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4982</v>
      </c>
      <c r="C2463" s="37" t="s">
        <v>4983</v>
      </c>
      <c r="D2463" s="55" t="s">
        <v>815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4984</v>
      </c>
      <c r="C2464" s="37" t="s">
        <v>4985</v>
      </c>
      <c r="D2464" s="55" t="s">
        <v>815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468</v>
      </c>
      <c r="C2465" s="37" t="s">
        <v>5169</v>
      </c>
      <c r="D2465" s="55" t="s">
        <v>815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4986</v>
      </c>
      <c r="C2466" s="37" t="s">
        <v>4987</v>
      </c>
      <c r="D2466" s="55" t="s">
        <v>815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642</v>
      </c>
      <c r="C2467" s="37" t="s">
        <v>643</v>
      </c>
      <c r="D2467" s="55" t="s">
        <v>815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4988</v>
      </c>
      <c r="C2468" s="37" t="s">
        <v>4989</v>
      </c>
      <c r="D2468" s="55" t="s">
        <v>815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4990</v>
      </c>
      <c r="C2469" s="37" t="s">
        <v>4991</v>
      </c>
      <c r="D2469" s="55" t="s">
        <v>815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4992</v>
      </c>
      <c r="C2470" s="37" t="s">
        <v>4993</v>
      </c>
      <c r="D2470" s="55" t="s">
        <v>800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4994</v>
      </c>
      <c r="C2471" s="37" t="s">
        <v>4995</v>
      </c>
      <c r="D2471" s="55" t="s">
        <v>800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4996</v>
      </c>
      <c r="C2472" s="37" t="s">
        <v>4997</v>
      </c>
      <c r="D2472" s="55" t="s">
        <v>815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4998</v>
      </c>
      <c r="C2473" s="37" t="s">
        <v>4999</v>
      </c>
      <c r="D2473" s="55" t="s">
        <v>815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5000</v>
      </c>
      <c r="C2474" s="37" t="s">
        <v>5001</v>
      </c>
      <c r="D2474" s="55" t="s">
        <v>815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5002</v>
      </c>
      <c r="C2475" s="37" t="s">
        <v>5003</v>
      </c>
      <c r="D2475" s="55" t="s">
        <v>815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5004</v>
      </c>
      <c r="C2476" s="37" t="s">
        <v>5005</v>
      </c>
      <c r="D2476" s="55" t="s">
        <v>815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5006</v>
      </c>
      <c r="C2477" s="37" t="s">
        <v>5007</v>
      </c>
      <c r="D2477" s="55" t="s">
        <v>815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602</v>
      </c>
      <c r="C2478" s="37" t="s">
        <v>603</v>
      </c>
      <c r="D2478" s="55" t="s">
        <v>815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5008</v>
      </c>
      <c r="C2479" s="37" t="s">
        <v>5009</v>
      </c>
      <c r="D2479" s="55" t="s">
        <v>815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5010</v>
      </c>
      <c r="C2480" s="37" t="s">
        <v>5011</v>
      </c>
      <c r="D2480" s="55" t="s">
        <v>800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5012</v>
      </c>
      <c r="C2481" s="37" t="s">
        <v>5013</v>
      </c>
      <c r="D2481" s="55" t="s">
        <v>815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5014</v>
      </c>
      <c r="C2482" s="37" t="s">
        <v>5015</v>
      </c>
      <c r="D2482" s="55" t="s">
        <v>800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5016</v>
      </c>
      <c r="C2483" s="37" t="s">
        <v>5017</v>
      </c>
      <c r="D2483" s="55" t="s">
        <v>815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5018</v>
      </c>
      <c r="C2484" s="37" t="s">
        <v>5019</v>
      </c>
      <c r="D2484" s="55" t="s">
        <v>815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5020</v>
      </c>
      <c r="C2485" s="37" t="s">
        <v>5021</v>
      </c>
      <c r="D2485" s="55" t="s">
        <v>815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815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5022</v>
      </c>
      <c r="C2487" s="37" t="s">
        <v>5023</v>
      </c>
      <c r="D2487" s="55" t="s">
        <v>815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5024</v>
      </c>
      <c r="C2488" s="37" t="s">
        <v>5025</v>
      </c>
      <c r="D2488" s="55" t="s">
        <v>815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5026</v>
      </c>
      <c r="C2489" s="37" t="s">
        <v>5027</v>
      </c>
      <c r="D2489" s="55" t="s">
        <v>815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5028</v>
      </c>
      <c r="C2490" s="37" t="s">
        <v>5029</v>
      </c>
      <c r="D2490" s="55" t="s">
        <v>815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5030</v>
      </c>
      <c r="C2491" s="37" t="s">
        <v>5031</v>
      </c>
      <c r="D2491" s="55" t="s">
        <v>815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5032</v>
      </c>
      <c r="C2492" s="37" t="s">
        <v>5033</v>
      </c>
      <c r="D2492" s="55" t="s">
        <v>800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815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5034</v>
      </c>
      <c r="C2494" s="37" t="s">
        <v>5035</v>
      </c>
      <c r="D2494" s="55" t="s">
        <v>815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502</v>
      </c>
      <c r="C2495" s="37" t="s">
        <v>503</v>
      </c>
      <c r="D2495" s="55" t="s">
        <v>815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5036</v>
      </c>
      <c r="C2496" s="37" t="s">
        <v>5037</v>
      </c>
      <c r="D2496" s="55" t="s">
        <v>815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5038</v>
      </c>
      <c r="C2497" s="37" t="s">
        <v>5039</v>
      </c>
      <c r="D2497" s="55" t="s">
        <v>815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5040</v>
      </c>
      <c r="C2498" s="37" t="s">
        <v>5041</v>
      </c>
      <c r="D2498" s="55" t="s">
        <v>815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5042</v>
      </c>
      <c r="C2499" s="37" t="s">
        <v>5043</v>
      </c>
      <c r="D2499" s="55" t="s">
        <v>815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5044</v>
      </c>
      <c r="C2500" s="37" t="s">
        <v>5045</v>
      </c>
      <c r="D2500" s="55" t="s">
        <v>815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5046</v>
      </c>
      <c r="C2501" s="37" t="s">
        <v>5047</v>
      </c>
      <c r="D2501" s="55" t="s">
        <v>815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5048</v>
      </c>
      <c r="C2502" s="37" t="s">
        <v>5049</v>
      </c>
      <c r="D2502" s="55" t="s">
        <v>815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5050</v>
      </c>
      <c r="C2503" s="37" t="s">
        <v>5051</v>
      </c>
      <c r="D2503" s="55" t="s">
        <v>815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800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5052</v>
      </c>
      <c r="C2505" s="37" t="s">
        <v>5053</v>
      </c>
      <c r="D2505" s="55" t="s">
        <v>815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5054</v>
      </c>
      <c r="C2506" s="37" t="s">
        <v>5182</v>
      </c>
      <c r="D2506" s="55" t="s">
        <v>815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5055</v>
      </c>
      <c r="C2507" s="37" t="s">
        <v>5056</v>
      </c>
      <c r="D2507" s="55" t="s">
        <v>815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5057</v>
      </c>
      <c r="C2508" s="37" t="s">
        <v>5058</v>
      </c>
      <c r="D2508" s="55" t="s">
        <v>815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5059</v>
      </c>
      <c r="C2509" s="37" t="s">
        <v>5060</v>
      </c>
      <c r="D2509" s="55" t="s">
        <v>800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5061</v>
      </c>
      <c r="C2510" s="37" t="s">
        <v>5062</v>
      </c>
      <c r="D2510" s="55" t="s">
        <v>815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5063</v>
      </c>
      <c r="C2511" s="37" t="s">
        <v>5064</v>
      </c>
      <c r="D2511" s="55" t="s">
        <v>815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534</v>
      </c>
      <c r="C2512" s="37" t="s">
        <v>535</v>
      </c>
      <c r="D2512" s="55" t="s">
        <v>815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740</v>
      </c>
      <c r="C2513" s="37" t="s">
        <v>741</v>
      </c>
      <c r="D2513" s="55" t="s">
        <v>815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5065</v>
      </c>
      <c r="C2514" s="37" t="s">
        <v>5066</v>
      </c>
      <c r="D2514" s="55" t="s">
        <v>815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5067</v>
      </c>
      <c r="C2515" s="37" t="s">
        <v>5068</v>
      </c>
      <c r="D2515" s="55" t="s">
        <v>815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5069</v>
      </c>
      <c r="C2516" s="37" t="s">
        <v>5070</v>
      </c>
      <c r="D2516" s="55" t="s">
        <v>815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604</v>
      </c>
      <c r="C2517" s="37" t="s">
        <v>605</v>
      </c>
      <c r="D2517" s="55" t="s">
        <v>815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5071</v>
      </c>
      <c r="C2518" s="37" t="s">
        <v>5072</v>
      </c>
      <c r="D2518" s="55" t="s">
        <v>815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5073</v>
      </c>
      <c r="C2519" s="37" t="s">
        <v>5074</v>
      </c>
      <c r="D2519" s="55" t="s">
        <v>815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5075</v>
      </c>
      <c r="C2520" s="37" t="s">
        <v>5183</v>
      </c>
      <c r="D2520" s="55" t="s">
        <v>815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5076</v>
      </c>
      <c r="C2521" s="37" t="s">
        <v>5077</v>
      </c>
      <c r="D2521" s="55" t="s">
        <v>800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5078</v>
      </c>
      <c r="C2522" s="37" t="s">
        <v>5079</v>
      </c>
      <c r="D2522" s="55" t="s">
        <v>815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5080</v>
      </c>
      <c r="C2523" s="37" t="s">
        <v>5081</v>
      </c>
      <c r="D2523" s="55" t="s">
        <v>815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580</v>
      </c>
      <c r="C2524" s="37" t="s">
        <v>581</v>
      </c>
      <c r="D2524" s="55" t="s">
        <v>800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5082</v>
      </c>
      <c r="C2525" s="37" t="s">
        <v>5083</v>
      </c>
      <c r="D2525" s="55" t="s">
        <v>815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5084</v>
      </c>
      <c r="C2526" s="37" t="s">
        <v>5085</v>
      </c>
      <c r="D2526" s="55" t="s">
        <v>815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5086</v>
      </c>
      <c r="C2527" s="37" t="s">
        <v>5087</v>
      </c>
      <c r="D2527" s="55" t="s">
        <v>815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5088</v>
      </c>
      <c r="C2528" s="37" t="s">
        <v>5089</v>
      </c>
      <c r="D2528" s="55" t="s">
        <v>800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5090</v>
      </c>
      <c r="C2529" s="37" t="s">
        <v>5091</v>
      </c>
      <c r="D2529" s="55" t="s">
        <v>815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5092</v>
      </c>
      <c r="C2530" s="37" t="s">
        <v>5093</v>
      </c>
      <c r="D2530" s="55" t="s">
        <v>800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5094</v>
      </c>
      <c r="C2531" s="37" t="s">
        <v>5095</v>
      </c>
      <c r="D2531" s="55" t="s">
        <v>815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748</v>
      </c>
      <c r="C2532" s="37" t="s">
        <v>749</v>
      </c>
      <c r="D2532" s="55" t="s">
        <v>815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5096</v>
      </c>
      <c r="C2533" s="37" t="s">
        <v>5097</v>
      </c>
      <c r="D2533" s="55" t="s">
        <v>815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5098</v>
      </c>
      <c r="C2534" s="37" t="s">
        <v>5099</v>
      </c>
      <c r="D2534" s="55" t="s">
        <v>815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606</v>
      </c>
      <c r="C2535" s="37" t="s">
        <v>607</v>
      </c>
      <c r="D2535" s="55" t="s">
        <v>800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5100</v>
      </c>
      <c r="C2536" s="37" t="s">
        <v>5101</v>
      </c>
      <c r="D2536" s="55" t="s">
        <v>815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616</v>
      </c>
      <c r="C2537" s="37" t="s">
        <v>617</v>
      </c>
      <c r="D2537" s="55" t="s">
        <v>815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5102</v>
      </c>
      <c r="C2538" s="37" t="s">
        <v>5103</v>
      </c>
      <c r="D2538" s="55" t="s">
        <v>815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758</v>
      </c>
      <c r="C2539" s="37" t="s">
        <v>759</v>
      </c>
      <c r="D2539" s="55" t="s">
        <v>815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800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5104</v>
      </c>
      <c r="C2541" s="37" t="s">
        <v>5105</v>
      </c>
      <c r="D2541" s="55" t="s">
        <v>815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5106</v>
      </c>
      <c r="C2542" s="37" t="s">
        <v>5204</v>
      </c>
      <c r="D2542" s="55" t="s">
        <v>815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5107</v>
      </c>
      <c r="C2543" s="37" t="s">
        <v>5203</v>
      </c>
      <c r="D2543" s="55" t="s">
        <v>815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5108</v>
      </c>
      <c r="C2544" s="37" t="s">
        <v>5109</v>
      </c>
      <c r="D2544" s="55" t="s">
        <v>815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5110</v>
      </c>
      <c r="C2545" s="37" t="s">
        <v>5111</v>
      </c>
      <c r="D2545" s="55" t="s">
        <v>800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5112</v>
      </c>
      <c r="C2546" s="37" t="s">
        <v>5113</v>
      </c>
      <c r="D2546" s="55" t="s">
        <v>815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5114</v>
      </c>
      <c r="C2547" s="37" t="s">
        <v>5115</v>
      </c>
      <c r="D2547" s="55" t="s">
        <v>815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5116</v>
      </c>
      <c r="C2548" s="37" t="s">
        <v>5117</v>
      </c>
      <c r="D2548" s="55" t="s">
        <v>815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5118</v>
      </c>
      <c r="C2549" s="37" t="s">
        <v>5119</v>
      </c>
      <c r="D2549" s="55" t="s">
        <v>815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5120</v>
      </c>
      <c r="C2550" s="37" t="s">
        <v>5121</v>
      </c>
      <c r="D2550" s="55" t="s">
        <v>815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5122</v>
      </c>
      <c r="C2551" s="37" t="s">
        <v>5123</v>
      </c>
      <c r="D2551" s="55" t="s">
        <v>815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5124</v>
      </c>
      <c r="C2552" s="37" t="s">
        <v>5125</v>
      </c>
      <c r="D2552" s="55" t="s">
        <v>815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5126</v>
      </c>
      <c r="C2553" s="37" t="s">
        <v>5127</v>
      </c>
      <c r="D2553" s="55" t="s">
        <v>815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5128</v>
      </c>
      <c r="C2554" s="37" t="s">
        <v>5129</v>
      </c>
      <c r="D2554" s="55" t="s">
        <v>815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680</v>
      </c>
      <c r="C2555" s="37" t="s">
        <v>681</v>
      </c>
      <c r="D2555" s="55" t="s">
        <v>815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5130</v>
      </c>
      <c r="C2556" s="37" t="s">
        <v>5131</v>
      </c>
      <c r="D2556" s="55" t="s">
        <v>815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5132</v>
      </c>
      <c r="C2557" s="37" t="s">
        <v>5133</v>
      </c>
      <c r="D2557" s="55" t="s">
        <v>815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5134</v>
      </c>
      <c r="C2558" s="37" t="s">
        <v>5135</v>
      </c>
      <c r="D2558" s="55" t="s">
        <v>815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5136</v>
      </c>
      <c r="C2559" s="37" t="s">
        <v>5137</v>
      </c>
      <c r="D2559" s="55" t="s">
        <v>800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5138</v>
      </c>
      <c r="C2560" s="37" t="s">
        <v>5139</v>
      </c>
      <c r="D2560" s="55" t="s">
        <v>815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5140</v>
      </c>
      <c r="C2561" s="37" t="s">
        <v>5141</v>
      </c>
      <c r="D2561" s="55" t="s">
        <v>815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815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815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800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5147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815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5147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815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815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815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815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815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815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815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815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815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815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815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815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815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815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5147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815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815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815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815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815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815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815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815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800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815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5147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815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815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815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815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815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5147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815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800</v>
      </c>
    </row>
    <row r="2602" spans="1:11" x14ac:dyDescent="0.4">
      <c r="D2602" s="37" t="s">
        <v>5147</v>
      </c>
    </row>
    <row r="2603" spans="1:11" x14ac:dyDescent="0.4">
      <c r="D2603" s="37" t="s">
        <v>815</v>
      </c>
    </row>
    <row r="2604" spans="1:11" x14ac:dyDescent="0.4">
      <c r="D2604" s="37" t="s">
        <v>5147</v>
      </c>
    </row>
    <row r="2605" spans="1:11" x14ac:dyDescent="0.4">
      <c r="D2605" s="37" t="s">
        <v>815</v>
      </c>
    </row>
    <row r="2606" spans="1:11" x14ac:dyDescent="0.4">
      <c r="D2606" s="37" t="s">
        <v>815</v>
      </c>
    </row>
    <row r="2607" spans="1:11" x14ac:dyDescent="0.4">
      <c r="D2607" s="37" t="s">
        <v>815</v>
      </c>
    </row>
    <row r="2608" spans="1:11" x14ac:dyDescent="0.4">
      <c r="D2608" s="37" t="s">
        <v>815</v>
      </c>
    </row>
    <row r="2609" spans="4:4" x14ac:dyDescent="0.4">
      <c r="D2609" s="37" t="s">
        <v>800</v>
      </c>
    </row>
    <row r="2610" spans="4:4" x14ac:dyDescent="0.4">
      <c r="D2610" s="37" t="s">
        <v>800</v>
      </c>
    </row>
    <row r="2611" spans="4:4" x14ac:dyDescent="0.4">
      <c r="D2611" s="37" t="s">
        <v>5147</v>
      </c>
    </row>
    <row r="2612" spans="4:4" x14ac:dyDescent="0.4">
      <c r="D2612" s="37" t="s">
        <v>800</v>
      </c>
    </row>
    <row r="2613" spans="4:4" x14ac:dyDescent="0.4">
      <c r="D2613" s="37" t="s">
        <v>5147</v>
      </c>
    </row>
    <row r="2614" spans="4:4" x14ac:dyDescent="0.4">
      <c r="D2614" s="37" t="s">
        <v>800</v>
      </c>
    </row>
    <row r="2615" spans="4:4" x14ac:dyDescent="0.4">
      <c r="D2615" s="37" t="s">
        <v>5147</v>
      </c>
    </row>
    <row r="2616" spans="4:4" x14ac:dyDescent="0.4">
      <c r="D2616" s="37" t="s">
        <v>815</v>
      </c>
    </row>
    <row r="2617" spans="4:4" x14ac:dyDescent="0.4">
      <c r="D2617" s="37" t="s">
        <v>815</v>
      </c>
    </row>
    <row r="2618" spans="4:4" x14ac:dyDescent="0.4">
      <c r="D2618" s="37" t="s">
        <v>5147</v>
      </c>
    </row>
    <row r="2619" spans="4:4" x14ac:dyDescent="0.4">
      <c r="D2619" s="37" t="s">
        <v>815</v>
      </c>
    </row>
    <row r="2620" spans="4:4" x14ac:dyDescent="0.4">
      <c r="D2620" s="37" t="s">
        <v>800</v>
      </c>
    </row>
    <row r="2621" spans="4:4" x14ac:dyDescent="0.4">
      <c r="D2621" s="37" t="s">
        <v>815</v>
      </c>
    </row>
    <row r="2622" spans="4:4" x14ac:dyDescent="0.4">
      <c r="D2622" s="37" t="s">
        <v>815</v>
      </c>
    </row>
    <row r="2623" spans="4:4" x14ac:dyDescent="0.4">
      <c r="D2623" s="37" t="s">
        <v>5147</v>
      </c>
    </row>
    <row r="2624" spans="4:4" x14ac:dyDescent="0.4">
      <c r="D2624" s="37" t="s">
        <v>815</v>
      </c>
    </row>
    <row r="2625" spans="4:4" x14ac:dyDescent="0.4">
      <c r="D2625" s="37" t="s">
        <v>815</v>
      </c>
    </row>
    <row r="2626" spans="4:4" x14ac:dyDescent="0.4">
      <c r="D2626" s="37" t="s">
        <v>815</v>
      </c>
    </row>
    <row r="2627" spans="4:4" x14ac:dyDescent="0.4">
      <c r="D2627" s="37" t="s">
        <v>815</v>
      </c>
    </row>
    <row r="2628" spans="4:4" x14ac:dyDescent="0.4">
      <c r="D2628" s="37" t="s">
        <v>5147</v>
      </c>
    </row>
    <row r="2629" spans="4:4" x14ac:dyDescent="0.4">
      <c r="D2629" s="37" t="s">
        <v>815</v>
      </c>
    </row>
    <row r="2630" spans="4:4" x14ac:dyDescent="0.4">
      <c r="D2630" s="37" t="s">
        <v>800</v>
      </c>
    </row>
    <row r="2631" spans="4:4" x14ac:dyDescent="0.4">
      <c r="D2631" s="37" t="s">
        <v>5147</v>
      </c>
    </row>
    <row r="2632" spans="4:4" x14ac:dyDescent="0.4">
      <c r="D2632" s="37" t="s">
        <v>815</v>
      </c>
    </row>
    <row r="2633" spans="4:4" x14ac:dyDescent="0.4">
      <c r="D2633" s="37" t="s">
        <v>815</v>
      </c>
    </row>
    <row r="2634" spans="4:4" x14ac:dyDescent="0.4">
      <c r="D2634" s="37" t="s">
        <v>800</v>
      </c>
    </row>
    <row r="2635" spans="4:4" x14ac:dyDescent="0.4">
      <c r="D2635" s="37" t="s">
        <v>5147</v>
      </c>
    </row>
    <row r="2636" spans="4:4" x14ac:dyDescent="0.4">
      <c r="D2636" s="37" t="s">
        <v>815</v>
      </c>
    </row>
    <row r="2637" spans="4:4" x14ac:dyDescent="0.4">
      <c r="D2637" s="37" t="s">
        <v>815</v>
      </c>
    </row>
    <row r="2638" spans="4:4" x14ac:dyDescent="0.4">
      <c r="D2638" s="37" t="s">
        <v>815</v>
      </c>
    </row>
    <row r="2639" spans="4:4" x14ac:dyDescent="0.4">
      <c r="D2639" s="37" t="s">
        <v>815</v>
      </c>
    </row>
    <row r="2640" spans="4:4" x14ac:dyDescent="0.4">
      <c r="D2640" s="37" t="s">
        <v>815</v>
      </c>
    </row>
    <row r="2641" spans="4:4" x14ac:dyDescent="0.4">
      <c r="D2641" s="37" t="s">
        <v>815</v>
      </c>
    </row>
    <row r="2642" spans="4:4" x14ac:dyDescent="0.4">
      <c r="D2642" s="37" t="s">
        <v>5147</v>
      </c>
    </row>
    <row r="2643" spans="4:4" x14ac:dyDescent="0.4">
      <c r="D2643" s="37" t="s">
        <v>815</v>
      </c>
    </row>
    <row r="2644" spans="4:4" x14ac:dyDescent="0.4">
      <c r="D2644" s="37" t="s">
        <v>5147</v>
      </c>
    </row>
    <row r="2645" spans="4:4" x14ac:dyDescent="0.4">
      <c r="D2645" s="37" t="s">
        <v>815</v>
      </c>
    </row>
    <row r="2646" spans="4:4" x14ac:dyDescent="0.4">
      <c r="D2646" s="37" t="s">
        <v>815</v>
      </c>
    </row>
    <row r="2647" spans="4:4" x14ac:dyDescent="0.4">
      <c r="D2647" s="37" t="s">
        <v>815</v>
      </c>
    </row>
    <row r="2648" spans="4:4" x14ac:dyDescent="0.4">
      <c r="D2648" s="37" t="s">
        <v>800</v>
      </c>
    </row>
    <row r="2649" spans="4:4" x14ac:dyDescent="0.4">
      <c r="D2649" s="37" t="s">
        <v>5147</v>
      </c>
    </row>
    <row r="2650" spans="4:4" x14ac:dyDescent="0.4">
      <c r="D2650" s="37" t="s">
        <v>815</v>
      </c>
    </row>
    <row r="2651" spans="4:4" x14ac:dyDescent="0.4">
      <c r="D2651" s="37" t="s">
        <v>815</v>
      </c>
    </row>
    <row r="2652" spans="4:4" x14ac:dyDescent="0.4">
      <c r="D2652" s="37" t="s">
        <v>815</v>
      </c>
    </row>
    <row r="2653" spans="4:4" x14ac:dyDescent="0.4">
      <c r="D2653" s="37" t="s">
        <v>815</v>
      </c>
    </row>
    <row r="2654" spans="4:4" x14ac:dyDescent="0.4">
      <c r="D2654" s="37" t="s">
        <v>815</v>
      </c>
    </row>
    <row r="2655" spans="4:4" x14ac:dyDescent="0.4">
      <c r="D2655" s="37" t="s">
        <v>815</v>
      </c>
    </row>
    <row r="2656" spans="4:4" x14ac:dyDescent="0.4">
      <c r="D2656" s="37" t="s">
        <v>800</v>
      </c>
    </row>
    <row r="2657" spans="4:4" x14ac:dyDescent="0.4">
      <c r="D2657" s="37" t="s">
        <v>5147</v>
      </c>
    </row>
    <row r="2658" spans="4:4" x14ac:dyDescent="0.4">
      <c r="D2658" s="37" t="s">
        <v>815</v>
      </c>
    </row>
    <row r="2659" spans="4:4" x14ac:dyDescent="0.4">
      <c r="D2659" s="37" t="s">
        <v>815</v>
      </c>
    </row>
    <row r="2660" spans="4:4" x14ac:dyDescent="0.4">
      <c r="D2660" s="37" t="s">
        <v>800</v>
      </c>
    </row>
    <row r="2661" spans="4:4" x14ac:dyDescent="0.4">
      <c r="D2661" s="37" t="s">
        <v>815</v>
      </c>
    </row>
    <row r="2662" spans="4:4" x14ac:dyDescent="0.4">
      <c r="D2662" s="37" t="s">
        <v>5147</v>
      </c>
    </row>
    <row r="2663" spans="4:4" x14ac:dyDescent="0.4">
      <c r="D2663" s="37" t="s">
        <v>815</v>
      </c>
    </row>
    <row r="2664" spans="4:4" x14ac:dyDescent="0.4">
      <c r="D2664" s="37" t="s">
        <v>815</v>
      </c>
    </row>
    <row r="2665" spans="4:4" x14ac:dyDescent="0.4">
      <c r="D2665" s="37" t="s">
        <v>815</v>
      </c>
    </row>
    <row r="2666" spans="4:4" x14ac:dyDescent="0.4">
      <c r="D2666" s="37" t="s">
        <v>815</v>
      </c>
    </row>
    <row r="2667" spans="4:4" x14ac:dyDescent="0.4">
      <c r="D2667" s="37" t="s">
        <v>815</v>
      </c>
    </row>
    <row r="2668" spans="4:4" x14ac:dyDescent="0.4">
      <c r="D2668" s="37" t="s">
        <v>5147</v>
      </c>
    </row>
    <row r="2669" spans="4:4" x14ac:dyDescent="0.4">
      <c r="D2669" s="37" t="s">
        <v>815</v>
      </c>
    </row>
    <row r="2670" spans="4:4" x14ac:dyDescent="0.4">
      <c r="D2670" s="37" t="s">
        <v>815</v>
      </c>
    </row>
    <row r="2671" spans="4:4" x14ac:dyDescent="0.4">
      <c r="D2671" s="37" t="s">
        <v>815</v>
      </c>
    </row>
    <row r="2672" spans="4:4" x14ac:dyDescent="0.4">
      <c r="D2672" s="37" t="s">
        <v>815</v>
      </c>
    </row>
    <row r="2673" spans="4:4" x14ac:dyDescent="0.4">
      <c r="D2673" s="37" t="s">
        <v>815</v>
      </c>
    </row>
    <row r="2674" spans="4:4" x14ac:dyDescent="0.4">
      <c r="D2674" s="37" t="s">
        <v>815</v>
      </c>
    </row>
    <row r="2675" spans="4:4" x14ac:dyDescent="0.4">
      <c r="D2675" s="37" t="s">
        <v>815</v>
      </c>
    </row>
    <row r="2676" spans="4:4" x14ac:dyDescent="0.4">
      <c r="D2676" s="37" t="s">
        <v>815</v>
      </c>
    </row>
    <row r="2677" spans="4:4" x14ac:dyDescent="0.4">
      <c r="D2677" s="37" t="s">
        <v>815</v>
      </c>
    </row>
    <row r="2678" spans="4:4" x14ac:dyDescent="0.4">
      <c r="D2678" s="37" t="s">
        <v>5147</v>
      </c>
    </row>
    <row r="2679" spans="4:4" x14ac:dyDescent="0.4">
      <c r="D2679" s="37" t="s">
        <v>815</v>
      </c>
    </row>
    <row r="2680" spans="4:4" x14ac:dyDescent="0.4">
      <c r="D2680" s="37" t="s">
        <v>800</v>
      </c>
    </row>
    <row r="2681" spans="4:4" x14ac:dyDescent="0.4">
      <c r="D2681" s="37" t="s">
        <v>5147</v>
      </c>
    </row>
    <row r="2682" spans="4:4" x14ac:dyDescent="0.4">
      <c r="D2682" s="37" t="s">
        <v>815</v>
      </c>
    </row>
    <row r="2683" spans="4:4" x14ac:dyDescent="0.4">
      <c r="D2683" s="37" t="s">
        <v>815</v>
      </c>
    </row>
    <row r="2684" spans="4:4" x14ac:dyDescent="0.4">
      <c r="D2684" s="37" t="s">
        <v>815</v>
      </c>
    </row>
    <row r="2685" spans="4:4" x14ac:dyDescent="0.4">
      <c r="D2685" s="37" t="s">
        <v>5147</v>
      </c>
    </row>
    <row r="2686" spans="4:4" x14ac:dyDescent="0.4">
      <c r="D2686" s="37" t="s">
        <v>800</v>
      </c>
    </row>
    <row r="2687" spans="4:4" x14ac:dyDescent="0.4">
      <c r="D2687" s="37" t="s">
        <v>800</v>
      </c>
    </row>
    <row r="2688" spans="4:4" x14ac:dyDescent="0.4">
      <c r="D2688" s="37" t="s">
        <v>5147</v>
      </c>
    </row>
    <row r="2689" spans="4:4" x14ac:dyDescent="0.4">
      <c r="D2689" s="37" t="s">
        <v>815</v>
      </c>
    </row>
    <row r="2690" spans="4:4" x14ac:dyDescent="0.4">
      <c r="D2690" s="37" t="s">
        <v>815</v>
      </c>
    </row>
    <row r="2691" spans="4:4" x14ac:dyDescent="0.4">
      <c r="D2691" s="37" t="s">
        <v>815</v>
      </c>
    </row>
    <row r="2692" spans="4:4" x14ac:dyDescent="0.4">
      <c r="D2692" s="37" t="s">
        <v>815</v>
      </c>
    </row>
    <row r="2693" spans="4:4" x14ac:dyDescent="0.4">
      <c r="D2693" s="37" t="s">
        <v>815</v>
      </c>
    </row>
    <row r="2694" spans="4:4" x14ac:dyDescent="0.4">
      <c r="D2694" s="37" t="s">
        <v>815</v>
      </c>
    </row>
    <row r="2695" spans="4:4" x14ac:dyDescent="0.4">
      <c r="D2695" s="37" t="s">
        <v>815</v>
      </c>
    </row>
    <row r="2696" spans="4:4" x14ac:dyDescent="0.4">
      <c r="D2696" s="37" t="s">
        <v>815</v>
      </c>
    </row>
    <row r="2697" spans="4:4" x14ac:dyDescent="0.4">
      <c r="D2697" s="37" t="s">
        <v>815</v>
      </c>
    </row>
    <row r="2698" spans="4:4" x14ac:dyDescent="0.4">
      <c r="D2698" s="37" t="s">
        <v>815</v>
      </c>
    </row>
    <row r="2699" spans="4:4" x14ac:dyDescent="0.4">
      <c r="D2699" s="37" t="s">
        <v>815</v>
      </c>
    </row>
    <row r="2700" spans="4:4" x14ac:dyDescent="0.4">
      <c r="D2700" s="37" t="s">
        <v>815</v>
      </c>
    </row>
    <row r="2701" spans="4:4" x14ac:dyDescent="0.4">
      <c r="D2701" s="37" t="s">
        <v>815</v>
      </c>
    </row>
    <row r="2702" spans="4:4" x14ac:dyDescent="0.4">
      <c r="D2702" s="37" t="s">
        <v>5147</v>
      </c>
    </row>
    <row r="2703" spans="4:4" x14ac:dyDescent="0.4">
      <c r="D2703" s="37" t="s">
        <v>815</v>
      </c>
    </row>
    <row r="2704" spans="4:4" x14ac:dyDescent="0.4">
      <c r="D2704" s="37" t="s">
        <v>5147</v>
      </c>
    </row>
    <row r="2705" spans="4:4" x14ac:dyDescent="0.4">
      <c r="D2705" s="37" t="s">
        <v>815</v>
      </c>
    </row>
    <row r="2706" spans="4:4" x14ac:dyDescent="0.4">
      <c r="D2706" s="37" t="s">
        <v>815</v>
      </c>
    </row>
    <row r="2707" spans="4:4" x14ac:dyDescent="0.4">
      <c r="D2707" s="37" t="s">
        <v>815</v>
      </c>
    </row>
    <row r="2708" spans="4:4" x14ac:dyDescent="0.4">
      <c r="D2708" s="37" t="s">
        <v>815</v>
      </c>
    </row>
    <row r="2709" spans="4:4" x14ac:dyDescent="0.4">
      <c r="D2709" s="37" t="s">
        <v>815</v>
      </c>
    </row>
    <row r="2710" spans="4:4" x14ac:dyDescent="0.4">
      <c r="D2710" s="37" t="s">
        <v>800</v>
      </c>
    </row>
    <row r="2711" spans="4:4" x14ac:dyDescent="0.4">
      <c r="D2711" s="37" t="s">
        <v>815</v>
      </c>
    </row>
    <row r="2712" spans="4:4" x14ac:dyDescent="0.4">
      <c r="D2712" s="37" t="s">
        <v>815</v>
      </c>
    </row>
    <row r="2713" spans="4:4" x14ac:dyDescent="0.4">
      <c r="D2713" s="37" t="s">
        <v>815</v>
      </c>
    </row>
    <row r="2714" spans="4:4" x14ac:dyDescent="0.4">
      <c r="D2714" s="37" t="s">
        <v>815</v>
      </c>
    </row>
    <row r="2715" spans="4:4" x14ac:dyDescent="0.4">
      <c r="D2715" s="37" t="s">
        <v>815</v>
      </c>
    </row>
    <row r="2716" spans="4:4" x14ac:dyDescent="0.4">
      <c r="D2716" s="37" t="s">
        <v>5147</v>
      </c>
    </row>
    <row r="2717" spans="4:4" x14ac:dyDescent="0.4">
      <c r="D2717" s="37" t="s">
        <v>815</v>
      </c>
    </row>
    <row r="2718" spans="4:4" x14ac:dyDescent="0.4">
      <c r="D2718" s="37" t="s">
        <v>800</v>
      </c>
    </row>
    <row r="2719" spans="4:4" x14ac:dyDescent="0.4">
      <c r="D2719" s="37" t="s">
        <v>5147</v>
      </c>
    </row>
    <row r="2720" spans="4:4" x14ac:dyDescent="0.4">
      <c r="D2720" s="37" t="s">
        <v>815</v>
      </c>
    </row>
    <row r="2721" spans="4:4" x14ac:dyDescent="0.4">
      <c r="D2721" s="37" t="s">
        <v>800</v>
      </c>
    </row>
    <row r="2722" spans="4:4" x14ac:dyDescent="0.4">
      <c r="D2722" s="37" t="s">
        <v>5147</v>
      </c>
    </row>
    <row r="2723" spans="4:4" x14ac:dyDescent="0.4">
      <c r="D2723" s="37" t="s">
        <v>815</v>
      </c>
    </row>
    <row r="2724" spans="4:4" x14ac:dyDescent="0.4">
      <c r="D2724" s="37" t="s">
        <v>815</v>
      </c>
    </row>
    <row r="2725" spans="4:4" x14ac:dyDescent="0.4">
      <c r="D2725" s="37" t="s">
        <v>5147</v>
      </c>
    </row>
    <row r="2726" spans="4:4" x14ac:dyDescent="0.4">
      <c r="D2726" s="37" t="s">
        <v>815</v>
      </c>
    </row>
    <row r="2727" spans="4:4" x14ac:dyDescent="0.4">
      <c r="D2727" s="37" t="s">
        <v>800</v>
      </c>
    </row>
    <row r="2728" spans="4:4" x14ac:dyDescent="0.4">
      <c r="D2728" s="37" t="s">
        <v>5147</v>
      </c>
    </row>
    <row r="2729" spans="4:4" x14ac:dyDescent="0.4">
      <c r="D2729" s="37" t="s">
        <v>815</v>
      </c>
    </row>
    <row r="2730" spans="4:4" x14ac:dyDescent="0.4">
      <c r="D2730" s="37" t="s">
        <v>815</v>
      </c>
    </row>
    <row r="2731" spans="4:4" x14ac:dyDescent="0.4">
      <c r="D2731" s="37" t="s">
        <v>815</v>
      </c>
    </row>
    <row r="2732" spans="4:4" x14ac:dyDescent="0.4">
      <c r="D2732" s="37" t="s">
        <v>815</v>
      </c>
    </row>
    <row r="2733" spans="4:4" x14ac:dyDescent="0.4">
      <c r="D2733" s="37" t="s">
        <v>815</v>
      </c>
    </row>
    <row r="2734" spans="4:4" x14ac:dyDescent="0.4">
      <c r="D2734" s="37" t="s">
        <v>815</v>
      </c>
    </row>
    <row r="2735" spans="4:4" x14ac:dyDescent="0.4">
      <c r="D2735" s="37" t="s">
        <v>815</v>
      </c>
    </row>
    <row r="2736" spans="4:4" x14ac:dyDescent="0.4">
      <c r="D2736" s="37" t="s">
        <v>815</v>
      </c>
    </row>
    <row r="2737" spans="4:4" x14ac:dyDescent="0.4">
      <c r="D2737" s="37" t="s">
        <v>815</v>
      </c>
    </row>
    <row r="2738" spans="4:4" x14ac:dyDescent="0.4">
      <c r="D2738" s="37" t="s">
        <v>815</v>
      </c>
    </row>
    <row r="2739" spans="4:4" x14ac:dyDescent="0.4">
      <c r="D2739" s="37" t="s">
        <v>815</v>
      </c>
    </row>
    <row r="2740" spans="4:4" x14ac:dyDescent="0.4">
      <c r="D2740" s="37" t="s">
        <v>815</v>
      </c>
    </row>
    <row r="2741" spans="4:4" x14ac:dyDescent="0.4">
      <c r="D2741" s="37" t="s">
        <v>815</v>
      </c>
    </row>
    <row r="2742" spans="4:4" x14ac:dyDescent="0.4">
      <c r="D2742" s="37" t="s">
        <v>815</v>
      </c>
    </row>
    <row r="2743" spans="4:4" x14ac:dyDescent="0.4">
      <c r="D2743" s="37" t="s">
        <v>815</v>
      </c>
    </row>
    <row r="2744" spans="4:4" x14ac:dyDescent="0.4">
      <c r="D2744" s="37" t="s">
        <v>815</v>
      </c>
    </row>
    <row r="2745" spans="4:4" x14ac:dyDescent="0.4">
      <c r="D2745" s="37" t="s">
        <v>815</v>
      </c>
    </row>
    <row r="2746" spans="4:4" x14ac:dyDescent="0.4">
      <c r="D2746" s="37" t="s">
        <v>800</v>
      </c>
    </row>
    <row r="2747" spans="4:4" x14ac:dyDescent="0.4">
      <c r="D2747" s="37" t="s">
        <v>5147</v>
      </c>
    </row>
    <row r="2748" spans="4:4" x14ac:dyDescent="0.4">
      <c r="D2748" s="37" t="s">
        <v>800</v>
      </c>
    </row>
    <row r="2749" spans="4:4" x14ac:dyDescent="0.4">
      <c r="D2749" s="37" t="s">
        <v>5147</v>
      </c>
    </row>
    <row r="2750" spans="4:4" x14ac:dyDescent="0.4">
      <c r="D2750" s="37" t="s">
        <v>815</v>
      </c>
    </row>
    <row r="2751" spans="4:4" x14ac:dyDescent="0.4">
      <c r="D2751" s="37" t="s">
        <v>5147</v>
      </c>
    </row>
    <row r="2752" spans="4:4" x14ac:dyDescent="0.4">
      <c r="D2752" s="37" t="s">
        <v>815</v>
      </c>
    </row>
    <row r="2753" spans="4:4" x14ac:dyDescent="0.4">
      <c r="D2753" s="37" t="s">
        <v>815</v>
      </c>
    </row>
    <row r="2754" spans="4:4" x14ac:dyDescent="0.4">
      <c r="D2754" s="37" t="s">
        <v>815</v>
      </c>
    </row>
    <row r="2755" spans="4:4" x14ac:dyDescent="0.4">
      <c r="D2755" s="37" t="s">
        <v>5147</v>
      </c>
    </row>
    <row r="2756" spans="4:4" x14ac:dyDescent="0.4">
      <c r="D2756" s="37" t="s">
        <v>815</v>
      </c>
    </row>
    <row r="2757" spans="4:4" x14ac:dyDescent="0.4">
      <c r="D2757" s="37" t="s">
        <v>5147</v>
      </c>
    </row>
    <row r="2758" spans="4:4" x14ac:dyDescent="0.4">
      <c r="D2758" s="37" t="s">
        <v>800</v>
      </c>
    </row>
    <row r="2759" spans="4:4" x14ac:dyDescent="0.4">
      <c r="D2759" s="37" t="s">
        <v>815</v>
      </c>
    </row>
    <row r="2760" spans="4:4" x14ac:dyDescent="0.4">
      <c r="D2760" s="37" t="s">
        <v>815</v>
      </c>
    </row>
    <row r="2761" spans="4:4" x14ac:dyDescent="0.4">
      <c r="D2761" s="37" t="s">
        <v>815</v>
      </c>
    </row>
    <row r="2762" spans="4:4" x14ac:dyDescent="0.4">
      <c r="D2762" s="37" t="s">
        <v>815</v>
      </c>
    </row>
    <row r="2763" spans="4:4" x14ac:dyDescent="0.4">
      <c r="D2763" s="37" t="s">
        <v>815</v>
      </c>
    </row>
    <row r="2764" spans="4:4" x14ac:dyDescent="0.4">
      <c r="D2764" s="37" t="s">
        <v>5147</v>
      </c>
    </row>
    <row r="2765" spans="4:4" x14ac:dyDescent="0.4">
      <c r="D2765" s="37" t="s">
        <v>815</v>
      </c>
    </row>
    <row r="2766" spans="4:4" x14ac:dyDescent="0.4">
      <c r="D2766" s="37" t="s">
        <v>815</v>
      </c>
    </row>
    <row r="2767" spans="4:4" x14ac:dyDescent="0.4">
      <c r="D2767" s="37" t="s">
        <v>815</v>
      </c>
    </row>
    <row r="2768" spans="4:4" x14ac:dyDescent="0.4">
      <c r="D2768" s="37" t="s">
        <v>800</v>
      </c>
    </row>
    <row r="2769" spans="4:4" x14ac:dyDescent="0.4">
      <c r="D2769" s="37" t="s">
        <v>5147</v>
      </c>
    </row>
    <row r="2770" spans="4:4" x14ac:dyDescent="0.4">
      <c r="D2770" s="37" t="s">
        <v>815</v>
      </c>
    </row>
    <row r="2771" spans="4:4" x14ac:dyDescent="0.4">
      <c r="D2771" s="37" t="s">
        <v>815</v>
      </c>
    </row>
    <row r="2772" spans="4:4" x14ac:dyDescent="0.4">
      <c r="D2772" s="37" t="s">
        <v>815</v>
      </c>
    </row>
    <row r="2773" spans="4:4" x14ac:dyDescent="0.4">
      <c r="D2773" s="37" t="s">
        <v>5147</v>
      </c>
    </row>
    <row r="2774" spans="4:4" x14ac:dyDescent="0.4">
      <c r="D2774" s="37" t="s">
        <v>815</v>
      </c>
    </row>
    <row r="2775" spans="4:4" x14ac:dyDescent="0.4">
      <c r="D2775" s="37" t="s">
        <v>815</v>
      </c>
    </row>
    <row r="2776" spans="4:4" x14ac:dyDescent="0.4">
      <c r="D2776" s="37" t="s">
        <v>815</v>
      </c>
    </row>
    <row r="2777" spans="4:4" x14ac:dyDescent="0.4">
      <c r="D2777" s="37" t="s">
        <v>5147</v>
      </c>
    </row>
    <row r="2778" spans="4:4" x14ac:dyDescent="0.4">
      <c r="D2778" s="37" t="s">
        <v>815</v>
      </c>
    </row>
    <row r="2779" spans="4:4" x14ac:dyDescent="0.4">
      <c r="D2779" s="37" t="s">
        <v>815</v>
      </c>
    </row>
    <row r="2780" spans="4:4" x14ac:dyDescent="0.4">
      <c r="D2780" s="37" t="s">
        <v>815</v>
      </c>
    </row>
    <row r="2781" spans="4:4" x14ac:dyDescent="0.4">
      <c r="D2781" s="37" t="s">
        <v>815</v>
      </c>
    </row>
    <row r="2782" spans="4:4" x14ac:dyDescent="0.4">
      <c r="D2782" s="37" t="s">
        <v>815</v>
      </c>
    </row>
    <row r="2783" spans="4:4" x14ac:dyDescent="0.4">
      <c r="D2783" s="37" t="s">
        <v>815</v>
      </c>
    </row>
    <row r="2784" spans="4:4" x14ac:dyDescent="0.4">
      <c r="D2784" s="37" t="s">
        <v>5147</v>
      </c>
    </row>
    <row r="2785" spans="4:4" x14ac:dyDescent="0.4">
      <c r="D2785" s="37" t="s">
        <v>815</v>
      </c>
    </row>
    <row r="2786" spans="4:4" x14ac:dyDescent="0.4">
      <c r="D2786" s="37" t="s">
        <v>815</v>
      </c>
    </row>
    <row r="2787" spans="4:4" x14ac:dyDescent="0.4">
      <c r="D2787" s="37" t="s">
        <v>815</v>
      </c>
    </row>
    <row r="2788" spans="4:4" x14ac:dyDescent="0.4">
      <c r="D2788" s="37" t="s">
        <v>5147</v>
      </c>
    </row>
    <row r="2789" spans="4:4" x14ac:dyDescent="0.4">
      <c r="D2789" s="37" t="s">
        <v>815</v>
      </c>
    </row>
    <row r="2790" spans="4:4" x14ac:dyDescent="0.4">
      <c r="D2790" s="37" t="s">
        <v>815</v>
      </c>
    </row>
    <row r="2791" spans="4:4" x14ac:dyDescent="0.4">
      <c r="D2791" s="37" t="s">
        <v>815</v>
      </c>
    </row>
    <row r="2792" spans="4:4" x14ac:dyDescent="0.4">
      <c r="D2792" s="37" t="s">
        <v>815</v>
      </c>
    </row>
    <row r="2793" spans="4:4" x14ac:dyDescent="0.4">
      <c r="D2793" s="37" t="s">
        <v>815</v>
      </c>
    </row>
    <row r="2794" spans="4:4" x14ac:dyDescent="0.4">
      <c r="D2794" s="37" t="s">
        <v>5147</v>
      </c>
    </row>
    <row r="2795" spans="4:4" x14ac:dyDescent="0.4">
      <c r="D2795" s="37" t="s">
        <v>815</v>
      </c>
    </row>
    <row r="2796" spans="4:4" x14ac:dyDescent="0.4">
      <c r="D2796" s="37" t="s">
        <v>815</v>
      </c>
    </row>
    <row r="2797" spans="4:4" x14ac:dyDescent="0.4">
      <c r="D2797" s="37" t="s">
        <v>800</v>
      </c>
    </row>
    <row r="2798" spans="4:4" x14ac:dyDescent="0.4">
      <c r="D2798" s="37" t="s">
        <v>5147</v>
      </c>
    </row>
    <row r="2799" spans="4:4" x14ac:dyDescent="0.4">
      <c r="D2799" s="37" t="s">
        <v>815</v>
      </c>
    </row>
    <row r="2800" spans="4:4" x14ac:dyDescent="0.4">
      <c r="D2800" s="37" t="s">
        <v>815</v>
      </c>
    </row>
    <row r="2801" spans="4:4" x14ac:dyDescent="0.4">
      <c r="D2801" s="37" t="s">
        <v>815</v>
      </c>
    </row>
    <row r="2802" spans="4:4" x14ac:dyDescent="0.4">
      <c r="D2802" s="37" t="s">
        <v>800</v>
      </c>
    </row>
    <row r="2803" spans="4:4" x14ac:dyDescent="0.4">
      <c r="D2803" s="37" t="s">
        <v>815</v>
      </c>
    </row>
    <row r="2804" spans="4:4" x14ac:dyDescent="0.4">
      <c r="D2804" s="37" t="s">
        <v>815</v>
      </c>
    </row>
    <row r="2805" spans="4:4" x14ac:dyDescent="0.4">
      <c r="D2805" s="37" t="s">
        <v>815</v>
      </c>
    </row>
    <row r="2806" spans="4:4" x14ac:dyDescent="0.4">
      <c r="D2806" s="37" t="s">
        <v>815</v>
      </c>
    </row>
    <row r="2807" spans="4:4" x14ac:dyDescent="0.4">
      <c r="D2807" s="37" t="s">
        <v>815</v>
      </c>
    </row>
    <row r="2808" spans="4:4" x14ac:dyDescent="0.4">
      <c r="D2808" s="37" t="s">
        <v>815</v>
      </c>
    </row>
    <row r="2809" spans="4:4" x14ac:dyDescent="0.4">
      <c r="D2809" s="37" t="s">
        <v>815</v>
      </c>
    </row>
    <row r="2810" spans="4:4" x14ac:dyDescent="0.4">
      <c r="D2810" s="37" t="s">
        <v>815</v>
      </c>
    </row>
    <row r="2811" spans="4:4" x14ac:dyDescent="0.4">
      <c r="D2811" s="37" t="s">
        <v>5147</v>
      </c>
    </row>
    <row r="2812" spans="4:4" x14ac:dyDescent="0.4">
      <c r="D2812" s="37" t="s">
        <v>815</v>
      </c>
    </row>
    <row r="2813" spans="4:4" x14ac:dyDescent="0.4">
      <c r="D2813" s="37" t="s">
        <v>5147</v>
      </c>
    </row>
    <row r="2814" spans="4:4" x14ac:dyDescent="0.4">
      <c r="D2814" s="37" t="s">
        <v>815</v>
      </c>
    </row>
    <row r="2815" spans="4:4" x14ac:dyDescent="0.4">
      <c r="D2815" s="37" t="s">
        <v>815</v>
      </c>
    </row>
    <row r="2816" spans="4:4" x14ac:dyDescent="0.4">
      <c r="D2816" s="37" t="s">
        <v>815</v>
      </c>
    </row>
    <row r="2817" spans="4:4" x14ac:dyDescent="0.4">
      <c r="D2817" s="37" t="s">
        <v>5147</v>
      </c>
    </row>
    <row r="2818" spans="4:4" x14ac:dyDescent="0.4">
      <c r="D2818" s="37" t="s">
        <v>815</v>
      </c>
    </row>
    <row r="2819" spans="4:4" x14ac:dyDescent="0.4">
      <c r="D2819" s="37" t="s">
        <v>815</v>
      </c>
    </row>
    <row r="2820" spans="4:4" x14ac:dyDescent="0.4">
      <c r="D2820" s="37" t="s">
        <v>5147</v>
      </c>
    </row>
    <row r="2821" spans="4:4" x14ac:dyDescent="0.4">
      <c r="D2821" s="37" t="s">
        <v>815</v>
      </c>
    </row>
    <row r="2822" spans="4:4" x14ac:dyDescent="0.4">
      <c r="D2822" s="37" t="s">
        <v>815</v>
      </c>
    </row>
    <row r="2823" spans="4:4" x14ac:dyDescent="0.4">
      <c r="D2823" s="37" t="s">
        <v>5147</v>
      </c>
    </row>
    <row r="2824" spans="4:4" x14ac:dyDescent="0.4">
      <c r="D2824" s="37" t="s">
        <v>815</v>
      </c>
    </row>
    <row r="2825" spans="4:4" x14ac:dyDescent="0.4">
      <c r="D2825" s="37" t="s">
        <v>815</v>
      </c>
    </row>
    <row r="2826" spans="4:4" x14ac:dyDescent="0.4">
      <c r="D2826" s="37" t="s">
        <v>815</v>
      </c>
    </row>
    <row r="2827" spans="4:4" x14ac:dyDescent="0.4">
      <c r="D2827" s="37" t="s">
        <v>815</v>
      </c>
    </row>
    <row r="2828" spans="4:4" x14ac:dyDescent="0.4">
      <c r="D2828" s="37" t="s">
        <v>815</v>
      </c>
    </row>
    <row r="2829" spans="4:4" x14ac:dyDescent="0.4">
      <c r="D2829" s="37" t="s">
        <v>800</v>
      </c>
    </row>
    <row r="2830" spans="4:4" x14ac:dyDescent="0.4">
      <c r="D2830" s="37" t="s">
        <v>5147</v>
      </c>
    </row>
    <row r="2831" spans="4:4" x14ac:dyDescent="0.4">
      <c r="D2831" s="37" t="s">
        <v>815</v>
      </c>
    </row>
    <row r="2832" spans="4:4" x14ac:dyDescent="0.4">
      <c r="D2832" s="37" t="s">
        <v>815</v>
      </c>
    </row>
    <row r="2833" spans="4:4" x14ac:dyDescent="0.4">
      <c r="D2833" s="37" t="s">
        <v>815</v>
      </c>
    </row>
    <row r="2834" spans="4:4" x14ac:dyDescent="0.4">
      <c r="D2834" s="37" t="s">
        <v>815</v>
      </c>
    </row>
    <row r="2835" spans="4:4" x14ac:dyDescent="0.4">
      <c r="D2835" s="37" t="s">
        <v>815</v>
      </c>
    </row>
    <row r="2836" spans="4:4" x14ac:dyDescent="0.4">
      <c r="D2836" s="37" t="s">
        <v>800</v>
      </c>
    </row>
    <row r="2837" spans="4:4" x14ac:dyDescent="0.4">
      <c r="D2837" s="37" t="s">
        <v>815</v>
      </c>
    </row>
    <row r="2838" spans="4:4" x14ac:dyDescent="0.4">
      <c r="D2838" s="37" t="s">
        <v>815</v>
      </c>
    </row>
    <row r="2839" spans="4:4" x14ac:dyDescent="0.4">
      <c r="D2839" s="37" t="s">
        <v>815</v>
      </c>
    </row>
    <row r="2840" spans="4:4" x14ac:dyDescent="0.4">
      <c r="D2840" s="37" t="s">
        <v>815</v>
      </c>
    </row>
    <row r="2841" spans="4:4" x14ac:dyDescent="0.4">
      <c r="D2841" s="37" t="s">
        <v>5147</v>
      </c>
    </row>
    <row r="2842" spans="4:4" x14ac:dyDescent="0.4">
      <c r="D2842" s="37" t="s">
        <v>815</v>
      </c>
    </row>
    <row r="2843" spans="4:4" x14ac:dyDescent="0.4">
      <c r="D2843" s="37" t="s">
        <v>815</v>
      </c>
    </row>
    <row r="2844" spans="4:4" x14ac:dyDescent="0.4">
      <c r="D2844" s="37" t="s">
        <v>815</v>
      </c>
    </row>
    <row r="2845" spans="4:4" x14ac:dyDescent="0.4">
      <c r="D2845" s="37" t="s">
        <v>815</v>
      </c>
    </row>
    <row r="2846" spans="4:4" x14ac:dyDescent="0.4">
      <c r="D2846" s="37" t="s">
        <v>815</v>
      </c>
    </row>
    <row r="2847" spans="4:4" x14ac:dyDescent="0.4">
      <c r="D2847" s="37" t="s">
        <v>815</v>
      </c>
    </row>
    <row r="2848" spans="4:4" x14ac:dyDescent="0.4">
      <c r="D2848" s="37" t="s">
        <v>815</v>
      </c>
    </row>
    <row r="2849" spans="4:4" x14ac:dyDescent="0.4">
      <c r="D2849" s="37" t="s">
        <v>815</v>
      </c>
    </row>
    <row r="2850" spans="4:4" x14ac:dyDescent="0.4">
      <c r="D2850" s="37" t="s">
        <v>815</v>
      </c>
    </row>
    <row r="2851" spans="4:4" x14ac:dyDescent="0.4">
      <c r="D2851" s="37" t="s">
        <v>815</v>
      </c>
    </row>
    <row r="2852" spans="4:4" x14ac:dyDescent="0.4">
      <c r="D2852" s="37" t="s">
        <v>815</v>
      </c>
    </row>
    <row r="2853" spans="4:4" x14ac:dyDescent="0.4">
      <c r="D2853" s="37" t="s">
        <v>5147</v>
      </c>
    </row>
    <row r="2854" spans="4:4" x14ac:dyDescent="0.4">
      <c r="D2854" s="37" t="s">
        <v>815</v>
      </c>
    </row>
    <row r="2855" spans="4:4" x14ac:dyDescent="0.4">
      <c r="D2855" s="37" t="s">
        <v>5147</v>
      </c>
    </row>
    <row r="2856" spans="4:4" x14ac:dyDescent="0.4">
      <c r="D2856" s="37" t="s">
        <v>815</v>
      </c>
    </row>
    <row r="2857" spans="4:4" x14ac:dyDescent="0.4">
      <c r="D2857" s="37" t="s">
        <v>800</v>
      </c>
    </row>
    <row r="2858" spans="4:4" x14ac:dyDescent="0.4">
      <c r="D2858" s="37" t="s">
        <v>815</v>
      </c>
    </row>
    <row r="2859" spans="4:4" x14ac:dyDescent="0.4">
      <c r="D2859" s="37" t="s">
        <v>815</v>
      </c>
    </row>
    <row r="2860" spans="4:4" x14ac:dyDescent="0.4">
      <c r="D2860" s="37" t="s">
        <v>815</v>
      </c>
    </row>
    <row r="2861" spans="4:4" x14ac:dyDescent="0.4">
      <c r="D2861" s="37" t="s">
        <v>815</v>
      </c>
    </row>
    <row r="2862" spans="4:4" x14ac:dyDescent="0.4">
      <c r="D2862" s="37" t="s">
        <v>800</v>
      </c>
    </row>
    <row r="2863" spans="4:4" x14ac:dyDescent="0.4">
      <c r="D2863" s="37" t="s">
        <v>5147</v>
      </c>
    </row>
    <row r="2864" spans="4:4" x14ac:dyDescent="0.4">
      <c r="D2864" s="37" t="s">
        <v>800</v>
      </c>
    </row>
    <row r="2865" spans="4:4" x14ac:dyDescent="0.4">
      <c r="D2865" s="37" t="s">
        <v>5147</v>
      </c>
    </row>
    <row r="2866" spans="4:4" x14ac:dyDescent="0.4">
      <c r="D2866" s="37" t="s">
        <v>815</v>
      </c>
    </row>
    <row r="2867" spans="4:4" x14ac:dyDescent="0.4">
      <c r="D2867" s="37" t="s">
        <v>815</v>
      </c>
    </row>
    <row r="2868" spans="4:4" x14ac:dyDescent="0.4">
      <c r="D2868" s="37" t="s">
        <v>5147</v>
      </c>
    </row>
    <row r="2869" spans="4:4" x14ac:dyDescent="0.4">
      <c r="D2869" s="37" t="s">
        <v>815</v>
      </c>
    </row>
    <row r="2870" spans="4:4" x14ac:dyDescent="0.4">
      <c r="D2870" s="37" t="s">
        <v>815</v>
      </c>
    </row>
    <row r="2871" spans="4:4" x14ac:dyDescent="0.4">
      <c r="D2871" s="37" t="s">
        <v>5147</v>
      </c>
    </row>
    <row r="2872" spans="4:4" x14ac:dyDescent="0.4">
      <c r="D2872" s="37" t="s">
        <v>815</v>
      </c>
    </row>
    <row r="2873" spans="4:4" x14ac:dyDescent="0.4">
      <c r="D2873" s="37" t="s">
        <v>5147</v>
      </c>
    </row>
    <row r="2874" spans="4:4" x14ac:dyDescent="0.4">
      <c r="D2874" s="37" t="s">
        <v>815</v>
      </c>
    </row>
    <row r="2875" spans="4:4" x14ac:dyDescent="0.4">
      <c r="D2875" s="37" t="s">
        <v>815</v>
      </c>
    </row>
    <row r="2876" spans="4:4" x14ac:dyDescent="0.4">
      <c r="D2876" s="37" t="s">
        <v>815</v>
      </c>
    </row>
    <row r="2877" spans="4:4" x14ac:dyDescent="0.4">
      <c r="D2877" s="37" t="s">
        <v>815</v>
      </c>
    </row>
    <row r="2878" spans="4:4" x14ac:dyDescent="0.4">
      <c r="D2878" s="37" t="s">
        <v>800</v>
      </c>
    </row>
    <row r="2879" spans="4:4" x14ac:dyDescent="0.4">
      <c r="D2879" s="37" t="s">
        <v>5147</v>
      </c>
    </row>
    <row r="2880" spans="4:4" x14ac:dyDescent="0.4">
      <c r="D2880" s="37" t="s">
        <v>815</v>
      </c>
    </row>
    <row r="2881" spans="4:4" x14ac:dyDescent="0.4">
      <c r="D2881" s="37" t="s">
        <v>815</v>
      </c>
    </row>
    <row r="2882" spans="4:4" x14ac:dyDescent="0.4">
      <c r="D2882" s="37" t="s">
        <v>815</v>
      </c>
    </row>
    <row r="2883" spans="4:4" x14ac:dyDescent="0.4">
      <c r="D2883" s="37" t="s">
        <v>815</v>
      </c>
    </row>
    <row r="2884" spans="4:4" x14ac:dyDescent="0.4">
      <c r="D2884" s="37" t="s">
        <v>800</v>
      </c>
    </row>
    <row r="2885" spans="4:4" x14ac:dyDescent="0.4">
      <c r="D2885" s="37" t="s">
        <v>815</v>
      </c>
    </row>
    <row r="2886" spans="4:4" x14ac:dyDescent="0.4">
      <c r="D2886" s="37" t="s">
        <v>5147</v>
      </c>
    </row>
    <row r="2887" spans="4:4" x14ac:dyDescent="0.4">
      <c r="D2887" s="37" t="s">
        <v>815</v>
      </c>
    </row>
    <row r="2888" spans="4:4" x14ac:dyDescent="0.4">
      <c r="D2888" s="37" t="s">
        <v>800</v>
      </c>
    </row>
    <row r="2889" spans="4:4" x14ac:dyDescent="0.4">
      <c r="D2889" s="37" t="s">
        <v>815</v>
      </c>
    </row>
    <row r="2890" spans="4:4" x14ac:dyDescent="0.4">
      <c r="D2890" s="37" t="s">
        <v>815</v>
      </c>
    </row>
    <row r="2891" spans="4:4" x14ac:dyDescent="0.4">
      <c r="D2891" s="37" t="s">
        <v>815</v>
      </c>
    </row>
    <row r="2892" spans="4:4" x14ac:dyDescent="0.4">
      <c r="D2892" s="37" t="s">
        <v>800</v>
      </c>
    </row>
    <row r="2893" spans="4:4" x14ac:dyDescent="0.4">
      <c r="D2893" s="37" t="s">
        <v>5147</v>
      </c>
    </row>
    <row r="2894" spans="4:4" x14ac:dyDescent="0.4">
      <c r="D2894" s="37" t="s">
        <v>815</v>
      </c>
    </row>
    <row r="2895" spans="4:4" x14ac:dyDescent="0.4">
      <c r="D2895" s="37" t="s">
        <v>815</v>
      </c>
    </row>
    <row r="2896" spans="4:4" x14ac:dyDescent="0.4">
      <c r="D2896" s="37" t="s">
        <v>815</v>
      </c>
    </row>
    <row r="2897" spans="4:4" x14ac:dyDescent="0.4">
      <c r="D2897" s="37" t="s">
        <v>815</v>
      </c>
    </row>
    <row r="2898" spans="4:4" x14ac:dyDescent="0.4">
      <c r="D2898" s="37" t="s">
        <v>815</v>
      </c>
    </row>
    <row r="2899" spans="4:4" x14ac:dyDescent="0.4">
      <c r="D2899" s="37" t="s">
        <v>5147</v>
      </c>
    </row>
    <row r="2900" spans="4:4" x14ac:dyDescent="0.4">
      <c r="D2900" s="37" t="s">
        <v>800</v>
      </c>
    </row>
    <row r="2901" spans="4:4" x14ac:dyDescent="0.4">
      <c r="D2901" s="37" t="s">
        <v>5147</v>
      </c>
    </row>
    <row r="2902" spans="4:4" x14ac:dyDescent="0.4">
      <c r="D2902" s="37" t="s">
        <v>815</v>
      </c>
    </row>
    <row r="2903" spans="4:4" x14ac:dyDescent="0.4">
      <c r="D2903" s="37" t="s">
        <v>800</v>
      </c>
    </row>
    <row r="2904" spans="4:4" x14ac:dyDescent="0.4">
      <c r="D2904" s="37" t="s">
        <v>5147</v>
      </c>
    </row>
    <row r="2905" spans="4:4" x14ac:dyDescent="0.4">
      <c r="D2905" s="37" t="s">
        <v>815</v>
      </c>
    </row>
    <row r="2906" spans="4:4" x14ac:dyDescent="0.4">
      <c r="D2906" s="37" t="s">
        <v>815</v>
      </c>
    </row>
    <row r="2907" spans="4:4" x14ac:dyDescent="0.4">
      <c r="D2907" s="37" t="s">
        <v>815</v>
      </c>
    </row>
    <row r="2908" spans="4:4" x14ac:dyDescent="0.4">
      <c r="D2908" s="37" t="s">
        <v>815</v>
      </c>
    </row>
    <row r="2909" spans="4:4" x14ac:dyDescent="0.4">
      <c r="D2909" s="37" t="s">
        <v>815</v>
      </c>
    </row>
    <row r="2910" spans="4:4" x14ac:dyDescent="0.4">
      <c r="D2910" s="37" t="s">
        <v>5147</v>
      </c>
    </row>
    <row r="2911" spans="4:4" x14ac:dyDescent="0.4">
      <c r="D2911" s="37" t="s">
        <v>815</v>
      </c>
    </row>
    <row r="2912" spans="4:4" x14ac:dyDescent="0.4">
      <c r="D2912" s="37" t="s">
        <v>815</v>
      </c>
    </row>
    <row r="2913" spans="4:4" x14ac:dyDescent="0.4">
      <c r="D2913" s="37" t="s">
        <v>5147</v>
      </c>
    </row>
    <row r="2914" spans="4:4" x14ac:dyDescent="0.4">
      <c r="D2914" s="37" t="s">
        <v>815</v>
      </c>
    </row>
    <row r="2915" spans="4:4" x14ac:dyDescent="0.4">
      <c r="D2915" s="37" t="s">
        <v>815</v>
      </c>
    </row>
    <row r="2916" spans="4:4" x14ac:dyDescent="0.4">
      <c r="D2916" s="37" t="s">
        <v>815</v>
      </c>
    </row>
    <row r="2917" spans="4:4" x14ac:dyDescent="0.4">
      <c r="D2917" s="37" t="s">
        <v>815</v>
      </c>
    </row>
    <row r="2918" spans="4:4" x14ac:dyDescent="0.4">
      <c r="D2918" s="37" t="s">
        <v>815</v>
      </c>
    </row>
    <row r="2919" spans="4:4" x14ac:dyDescent="0.4">
      <c r="D2919" s="37" t="s">
        <v>815</v>
      </c>
    </row>
    <row r="2920" spans="4:4" x14ac:dyDescent="0.4">
      <c r="D2920" s="37" t="s">
        <v>5147</v>
      </c>
    </row>
    <row r="2921" spans="4:4" x14ac:dyDescent="0.4">
      <c r="D2921" s="37" t="s">
        <v>815</v>
      </c>
    </row>
    <row r="2922" spans="4:4" x14ac:dyDescent="0.4">
      <c r="D2922" s="37" t="s">
        <v>5147</v>
      </c>
    </row>
    <row r="2923" spans="4:4" x14ac:dyDescent="0.4">
      <c r="D2923" s="37" t="s">
        <v>815</v>
      </c>
    </row>
    <row r="2924" spans="4:4" x14ac:dyDescent="0.4">
      <c r="D2924" s="37" t="s">
        <v>815</v>
      </c>
    </row>
    <row r="2925" spans="4:4" x14ac:dyDescent="0.4">
      <c r="D2925" s="37" t="s">
        <v>5147</v>
      </c>
    </row>
    <row r="2926" spans="4:4" x14ac:dyDescent="0.4">
      <c r="D2926" s="37" t="s">
        <v>815</v>
      </c>
    </row>
    <row r="2927" spans="4:4" x14ac:dyDescent="0.4">
      <c r="D2927" s="37" t="s">
        <v>815</v>
      </c>
    </row>
    <row r="2928" spans="4:4" x14ac:dyDescent="0.4">
      <c r="D2928" s="37" t="s">
        <v>815</v>
      </c>
    </row>
    <row r="2929" spans="4:4" x14ac:dyDescent="0.4">
      <c r="D2929" s="37" t="s">
        <v>815</v>
      </c>
    </row>
    <row r="2930" spans="4:4" x14ac:dyDescent="0.4">
      <c r="D2930" s="37" t="s">
        <v>815</v>
      </c>
    </row>
    <row r="2931" spans="4:4" x14ac:dyDescent="0.4">
      <c r="D2931" s="37" t="s">
        <v>815</v>
      </c>
    </row>
    <row r="2932" spans="4:4" x14ac:dyDescent="0.4">
      <c r="D2932" s="37" t="s">
        <v>5147</v>
      </c>
    </row>
    <row r="2933" spans="4:4" x14ac:dyDescent="0.4">
      <c r="D2933" s="37" t="s">
        <v>815</v>
      </c>
    </row>
    <row r="2934" spans="4:4" x14ac:dyDescent="0.4">
      <c r="D2934" s="37" t="s">
        <v>5147</v>
      </c>
    </row>
    <row r="2935" spans="4:4" x14ac:dyDescent="0.4">
      <c r="D2935" s="37" t="s">
        <v>815</v>
      </c>
    </row>
    <row r="2936" spans="4:4" x14ac:dyDescent="0.4">
      <c r="D2936" s="37" t="s">
        <v>815</v>
      </c>
    </row>
    <row r="2937" spans="4:4" x14ac:dyDescent="0.4">
      <c r="D2937" s="37" t="s">
        <v>815</v>
      </c>
    </row>
    <row r="2938" spans="4:4" x14ac:dyDescent="0.4">
      <c r="D2938" s="37" t="s">
        <v>815</v>
      </c>
    </row>
    <row r="2939" spans="4:4" x14ac:dyDescent="0.4">
      <c r="D2939" s="37" t="s">
        <v>5147</v>
      </c>
    </row>
    <row r="2940" spans="4:4" x14ac:dyDescent="0.4">
      <c r="D2940" s="37" t="s">
        <v>815</v>
      </c>
    </row>
    <row r="2941" spans="4:4" x14ac:dyDescent="0.4">
      <c r="D2941" s="37" t="s">
        <v>815</v>
      </c>
    </row>
    <row r="2942" spans="4:4" x14ac:dyDescent="0.4">
      <c r="D2942" s="37" t="s">
        <v>815</v>
      </c>
    </row>
    <row r="2943" spans="4:4" x14ac:dyDescent="0.4">
      <c r="D2943" s="37" t="s">
        <v>5147</v>
      </c>
    </row>
    <row r="2944" spans="4:4" x14ac:dyDescent="0.4">
      <c r="D2944" s="37" t="s">
        <v>815</v>
      </c>
    </row>
    <row r="2945" spans="4:4" x14ac:dyDescent="0.4">
      <c r="D2945" s="37" t="s">
        <v>5147</v>
      </c>
    </row>
    <row r="2946" spans="4:4" x14ac:dyDescent="0.4">
      <c r="D2946" s="37" t="s">
        <v>800</v>
      </c>
    </row>
    <row r="2947" spans="4:4" x14ac:dyDescent="0.4">
      <c r="D2947" s="37" t="s">
        <v>5147</v>
      </c>
    </row>
    <row r="2948" spans="4:4" x14ac:dyDescent="0.4">
      <c r="D2948" s="37" t="s">
        <v>815</v>
      </c>
    </row>
    <row r="2949" spans="4:4" x14ac:dyDescent="0.4">
      <c r="D2949" s="37" t="s">
        <v>815</v>
      </c>
    </row>
    <row r="2950" spans="4:4" x14ac:dyDescent="0.4">
      <c r="D2950" s="37" t="s">
        <v>800</v>
      </c>
    </row>
    <row r="2951" spans="4:4" x14ac:dyDescent="0.4">
      <c r="D2951" s="37" t="s">
        <v>5147</v>
      </c>
    </row>
    <row r="2952" spans="4:4" x14ac:dyDescent="0.4">
      <c r="D2952" s="37" t="s">
        <v>815</v>
      </c>
    </row>
    <row r="2953" spans="4:4" x14ac:dyDescent="0.4">
      <c r="D2953" s="37" t="s">
        <v>5147</v>
      </c>
    </row>
    <row r="2954" spans="4:4" x14ac:dyDescent="0.4">
      <c r="D2954" s="37" t="s">
        <v>815</v>
      </c>
    </row>
    <row r="2955" spans="4:4" x14ac:dyDescent="0.4">
      <c r="D2955" s="37" t="s">
        <v>815</v>
      </c>
    </row>
    <row r="2956" spans="4:4" x14ac:dyDescent="0.4">
      <c r="D2956" s="37" t="s">
        <v>815</v>
      </c>
    </row>
    <row r="2957" spans="4:4" x14ac:dyDescent="0.4">
      <c r="D2957" s="37" t="s">
        <v>815</v>
      </c>
    </row>
    <row r="2958" spans="4:4" x14ac:dyDescent="0.4">
      <c r="D2958" s="37" t="s">
        <v>815</v>
      </c>
    </row>
    <row r="2959" spans="4:4" x14ac:dyDescent="0.4">
      <c r="D2959" s="37" t="s">
        <v>815</v>
      </c>
    </row>
    <row r="2960" spans="4:4" x14ac:dyDescent="0.4">
      <c r="D2960" s="37" t="s">
        <v>815</v>
      </c>
    </row>
    <row r="2961" spans="4:4" x14ac:dyDescent="0.4">
      <c r="D2961" s="37" t="s">
        <v>815</v>
      </c>
    </row>
    <row r="2962" spans="4:4" x14ac:dyDescent="0.4">
      <c r="D2962" s="37" t="s">
        <v>815</v>
      </c>
    </row>
    <row r="2963" spans="4:4" x14ac:dyDescent="0.4">
      <c r="D2963" s="37" t="s">
        <v>815</v>
      </c>
    </row>
    <row r="2964" spans="4:4" x14ac:dyDescent="0.4">
      <c r="D2964" s="37" t="s">
        <v>815</v>
      </c>
    </row>
    <row r="2965" spans="4:4" x14ac:dyDescent="0.4">
      <c r="D2965" s="37" t="s">
        <v>815</v>
      </c>
    </row>
    <row r="2966" spans="4:4" x14ac:dyDescent="0.4">
      <c r="D2966" s="37" t="s">
        <v>815</v>
      </c>
    </row>
    <row r="2967" spans="4:4" x14ac:dyDescent="0.4">
      <c r="D2967" s="37" t="s">
        <v>815</v>
      </c>
    </row>
    <row r="2968" spans="4:4" x14ac:dyDescent="0.4">
      <c r="D2968" s="37" t="s">
        <v>815</v>
      </c>
    </row>
    <row r="2969" spans="4:4" x14ac:dyDescent="0.4">
      <c r="D2969" s="37" t="s">
        <v>815</v>
      </c>
    </row>
    <row r="2970" spans="4:4" x14ac:dyDescent="0.4">
      <c r="D2970" s="37" t="s">
        <v>5147</v>
      </c>
    </row>
    <row r="2971" spans="4:4" x14ac:dyDescent="0.4">
      <c r="D2971" s="37" t="s">
        <v>815</v>
      </c>
    </row>
    <row r="2972" spans="4:4" x14ac:dyDescent="0.4">
      <c r="D2972" s="37" t="s">
        <v>815</v>
      </c>
    </row>
    <row r="2973" spans="4:4" x14ac:dyDescent="0.4">
      <c r="D2973" s="37" t="s">
        <v>815</v>
      </c>
    </row>
    <row r="2974" spans="4:4" x14ac:dyDescent="0.4">
      <c r="D2974" s="37" t="s">
        <v>815</v>
      </c>
    </row>
    <row r="2975" spans="4:4" x14ac:dyDescent="0.4">
      <c r="D2975" s="37" t="s">
        <v>815</v>
      </c>
    </row>
    <row r="2976" spans="4:4" x14ac:dyDescent="0.4">
      <c r="D2976" s="37" t="s">
        <v>815</v>
      </c>
    </row>
    <row r="2977" spans="4:4" x14ac:dyDescent="0.4">
      <c r="D2977" s="37" t="s">
        <v>815</v>
      </c>
    </row>
    <row r="2978" spans="4:4" x14ac:dyDescent="0.4">
      <c r="D2978" s="37" t="s">
        <v>815</v>
      </c>
    </row>
    <row r="2979" spans="4:4" x14ac:dyDescent="0.4">
      <c r="D2979" s="37" t="s">
        <v>815</v>
      </c>
    </row>
    <row r="2980" spans="4:4" x14ac:dyDescent="0.4">
      <c r="D2980" s="37" t="s">
        <v>815</v>
      </c>
    </row>
    <row r="2981" spans="4:4" x14ac:dyDescent="0.4">
      <c r="D2981" s="37" t="s">
        <v>815</v>
      </c>
    </row>
    <row r="2982" spans="4:4" x14ac:dyDescent="0.4">
      <c r="D2982" s="37" t="s">
        <v>815</v>
      </c>
    </row>
    <row r="2983" spans="4:4" x14ac:dyDescent="0.4">
      <c r="D2983" s="37" t="s">
        <v>815</v>
      </c>
    </row>
    <row r="2984" spans="4:4" x14ac:dyDescent="0.4">
      <c r="D2984" s="37" t="s">
        <v>815</v>
      </c>
    </row>
    <row r="2985" spans="4:4" x14ac:dyDescent="0.4">
      <c r="D2985" s="37" t="s">
        <v>815</v>
      </c>
    </row>
    <row r="2986" spans="4:4" x14ac:dyDescent="0.4">
      <c r="D2986" s="37" t="s">
        <v>815</v>
      </c>
    </row>
    <row r="2987" spans="4:4" x14ac:dyDescent="0.4">
      <c r="D2987" s="37" t="s">
        <v>815</v>
      </c>
    </row>
    <row r="2988" spans="4:4" x14ac:dyDescent="0.4">
      <c r="D2988" s="37" t="s">
        <v>5147</v>
      </c>
    </row>
    <row r="2989" spans="4:4" x14ac:dyDescent="0.4">
      <c r="D2989" s="37" t="s">
        <v>815</v>
      </c>
    </row>
    <row r="2990" spans="4:4" x14ac:dyDescent="0.4">
      <c r="D2990" s="37" t="s">
        <v>815</v>
      </c>
    </row>
    <row r="2991" spans="4:4" x14ac:dyDescent="0.4">
      <c r="D2991" s="37" t="s">
        <v>815</v>
      </c>
    </row>
    <row r="2992" spans="4:4" x14ac:dyDescent="0.4">
      <c r="D2992" s="37" t="s">
        <v>5147</v>
      </c>
    </row>
    <row r="2993" spans="4:4" x14ac:dyDescent="0.4">
      <c r="D2993" s="37" t="s">
        <v>815</v>
      </c>
    </row>
    <row r="2994" spans="4:4" x14ac:dyDescent="0.4">
      <c r="D2994" s="37" t="s">
        <v>815</v>
      </c>
    </row>
    <row r="2995" spans="4:4" x14ac:dyDescent="0.4">
      <c r="D2995" s="37" t="s">
        <v>5147</v>
      </c>
    </row>
    <row r="2996" spans="4:4" x14ac:dyDescent="0.4">
      <c r="D2996" s="37" t="s">
        <v>815</v>
      </c>
    </row>
    <row r="2997" spans="4:4" x14ac:dyDescent="0.4">
      <c r="D2997" s="37" t="s">
        <v>815</v>
      </c>
    </row>
    <row r="2998" spans="4:4" x14ac:dyDescent="0.4">
      <c r="D2998" s="37" t="s">
        <v>815</v>
      </c>
    </row>
    <row r="2999" spans="4:4" x14ac:dyDescent="0.4">
      <c r="D2999" s="37" t="s">
        <v>815</v>
      </c>
    </row>
    <row r="3000" spans="4:4" x14ac:dyDescent="0.4">
      <c r="D3000" s="37" t="s">
        <v>5147</v>
      </c>
    </row>
    <row r="3001" spans="4:4" x14ac:dyDescent="0.4">
      <c r="D3001" s="37" t="s">
        <v>815</v>
      </c>
    </row>
    <row r="3002" spans="4:4" x14ac:dyDescent="0.4">
      <c r="D3002" s="37" t="s">
        <v>815</v>
      </c>
    </row>
    <row r="3003" spans="4:4" x14ac:dyDescent="0.4">
      <c r="D3003" s="37" t="s">
        <v>815</v>
      </c>
    </row>
    <row r="3004" spans="4:4" x14ac:dyDescent="0.4">
      <c r="D3004" s="37" t="s">
        <v>815</v>
      </c>
    </row>
    <row r="3005" spans="4:4" x14ac:dyDescent="0.4">
      <c r="D3005" s="37" t="s">
        <v>815</v>
      </c>
    </row>
    <row r="3006" spans="4:4" x14ac:dyDescent="0.4">
      <c r="D3006" s="37" t="s">
        <v>815</v>
      </c>
    </row>
    <row r="3007" spans="4:4" x14ac:dyDescent="0.4">
      <c r="D3007" s="37" t="s">
        <v>815</v>
      </c>
    </row>
    <row r="3008" spans="4:4" x14ac:dyDescent="0.4">
      <c r="D3008" s="37" t="s">
        <v>815</v>
      </c>
    </row>
    <row r="3009" spans="4:4" x14ac:dyDescent="0.4">
      <c r="D3009" s="37" t="s">
        <v>815</v>
      </c>
    </row>
    <row r="3010" spans="4:4" x14ac:dyDescent="0.4">
      <c r="D3010" s="37" t="s">
        <v>815</v>
      </c>
    </row>
    <row r="3011" spans="4:4" x14ac:dyDescent="0.4">
      <c r="D3011" s="37" t="s">
        <v>5147</v>
      </c>
    </row>
    <row r="3012" spans="4:4" x14ac:dyDescent="0.4">
      <c r="D3012" s="37" t="s">
        <v>815</v>
      </c>
    </row>
    <row r="3013" spans="4:4" x14ac:dyDescent="0.4">
      <c r="D3013" s="37" t="s">
        <v>815</v>
      </c>
    </row>
    <row r="3014" spans="4:4" x14ac:dyDescent="0.4">
      <c r="D3014" s="37" t="s">
        <v>5147</v>
      </c>
    </row>
    <row r="3015" spans="4:4" x14ac:dyDescent="0.4">
      <c r="D3015" s="37" t="s">
        <v>800</v>
      </c>
    </row>
    <row r="3016" spans="4:4" x14ac:dyDescent="0.4">
      <c r="D3016" s="37" t="s">
        <v>5147</v>
      </c>
    </row>
    <row r="3017" spans="4:4" x14ac:dyDescent="0.4">
      <c r="D3017" s="37" t="s">
        <v>815</v>
      </c>
    </row>
    <row r="3018" spans="4:4" x14ac:dyDescent="0.4">
      <c r="D3018" s="37" t="s">
        <v>815</v>
      </c>
    </row>
    <row r="3019" spans="4:4" x14ac:dyDescent="0.4">
      <c r="D3019" s="37" t="s">
        <v>815</v>
      </c>
    </row>
    <row r="3020" spans="4:4" x14ac:dyDescent="0.4">
      <c r="D3020" s="37" t="s">
        <v>815</v>
      </c>
    </row>
    <row r="3021" spans="4:4" x14ac:dyDescent="0.4">
      <c r="D3021" s="37" t="s">
        <v>815</v>
      </c>
    </row>
    <row r="3022" spans="4:4" x14ac:dyDescent="0.4">
      <c r="D3022" s="37" t="s">
        <v>5147</v>
      </c>
    </row>
    <row r="3023" spans="4:4" x14ac:dyDescent="0.4">
      <c r="D3023" s="37" t="s">
        <v>800</v>
      </c>
    </row>
    <row r="3024" spans="4:4" x14ac:dyDescent="0.4">
      <c r="D3024" s="37" t="s">
        <v>5147</v>
      </c>
    </row>
    <row r="3025" spans="4:4" x14ac:dyDescent="0.4">
      <c r="D3025" s="37" t="s">
        <v>815</v>
      </c>
    </row>
    <row r="3026" spans="4:4" x14ac:dyDescent="0.4">
      <c r="D3026" s="37" t="s">
        <v>815</v>
      </c>
    </row>
    <row r="3027" spans="4:4" x14ac:dyDescent="0.4">
      <c r="D3027" s="37" t="s">
        <v>815</v>
      </c>
    </row>
    <row r="3028" spans="4:4" x14ac:dyDescent="0.4">
      <c r="D3028" s="37" t="s">
        <v>815</v>
      </c>
    </row>
    <row r="3029" spans="4:4" x14ac:dyDescent="0.4">
      <c r="D3029" s="37" t="s">
        <v>5147</v>
      </c>
    </row>
    <row r="3030" spans="4:4" x14ac:dyDescent="0.4">
      <c r="D3030" s="37" t="s">
        <v>815</v>
      </c>
    </row>
    <row r="3031" spans="4:4" x14ac:dyDescent="0.4">
      <c r="D3031" s="37" t="s">
        <v>815</v>
      </c>
    </row>
    <row r="3032" spans="4:4" x14ac:dyDescent="0.4">
      <c r="D3032" s="37" t="s">
        <v>5147</v>
      </c>
    </row>
    <row r="3033" spans="4:4" x14ac:dyDescent="0.4">
      <c r="D3033" s="37" t="s">
        <v>800</v>
      </c>
    </row>
    <row r="3034" spans="4:4" x14ac:dyDescent="0.4">
      <c r="D3034" s="37" t="s">
        <v>815</v>
      </c>
    </row>
    <row r="3035" spans="4:4" x14ac:dyDescent="0.4">
      <c r="D3035" s="37" t="s">
        <v>815</v>
      </c>
    </row>
    <row r="3036" spans="4:4" x14ac:dyDescent="0.4">
      <c r="D3036" s="37" t="s">
        <v>815</v>
      </c>
    </row>
    <row r="3037" spans="4:4" x14ac:dyDescent="0.4">
      <c r="D3037" s="37" t="s">
        <v>5147</v>
      </c>
    </row>
    <row r="3038" spans="4:4" x14ac:dyDescent="0.4">
      <c r="D3038" s="37" t="s">
        <v>815</v>
      </c>
    </row>
    <row r="3039" spans="4:4" x14ac:dyDescent="0.4">
      <c r="D3039" s="37" t="s">
        <v>815</v>
      </c>
    </row>
    <row r="3040" spans="4:4" x14ac:dyDescent="0.4">
      <c r="D3040" s="37" t="s">
        <v>5147</v>
      </c>
    </row>
    <row r="3041" spans="4:4" x14ac:dyDescent="0.4">
      <c r="D3041" s="37" t="s">
        <v>800</v>
      </c>
    </row>
    <row r="3042" spans="4:4" x14ac:dyDescent="0.4">
      <c r="D3042" s="37" t="s">
        <v>815</v>
      </c>
    </row>
    <row r="3043" spans="4:4" x14ac:dyDescent="0.4">
      <c r="D3043" s="37" t="s">
        <v>815</v>
      </c>
    </row>
    <row r="3044" spans="4:4" x14ac:dyDescent="0.4">
      <c r="D3044" s="37" t="s">
        <v>815</v>
      </c>
    </row>
    <row r="3045" spans="4:4" x14ac:dyDescent="0.4">
      <c r="D3045" s="37" t="s">
        <v>5147</v>
      </c>
    </row>
    <row r="3046" spans="4:4" x14ac:dyDescent="0.4">
      <c r="D3046" s="37" t="s">
        <v>815</v>
      </c>
    </row>
    <row r="3047" spans="4:4" x14ac:dyDescent="0.4">
      <c r="D3047" s="37" t="s">
        <v>815</v>
      </c>
    </row>
    <row r="3048" spans="4:4" x14ac:dyDescent="0.4">
      <c r="D3048" s="37" t="s">
        <v>815</v>
      </c>
    </row>
    <row r="3049" spans="4:4" x14ac:dyDescent="0.4">
      <c r="D3049" s="37" t="s">
        <v>815</v>
      </c>
    </row>
    <row r="3050" spans="4:4" x14ac:dyDescent="0.4">
      <c r="D3050" s="37" t="s">
        <v>815</v>
      </c>
    </row>
    <row r="3051" spans="4:4" x14ac:dyDescent="0.4">
      <c r="D3051" s="37" t="s">
        <v>815</v>
      </c>
    </row>
    <row r="3052" spans="4:4" x14ac:dyDescent="0.4">
      <c r="D3052" s="37" t="s">
        <v>800</v>
      </c>
    </row>
    <row r="3053" spans="4:4" x14ac:dyDescent="0.4">
      <c r="D3053" s="37" t="s">
        <v>815</v>
      </c>
    </row>
    <row r="3054" spans="4:4" x14ac:dyDescent="0.4">
      <c r="D3054" s="37" t="s">
        <v>815</v>
      </c>
    </row>
    <row r="3055" spans="4:4" x14ac:dyDescent="0.4">
      <c r="D3055" s="37" t="s">
        <v>815</v>
      </c>
    </row>
    <row r="3056" spans="4:4" x14ac:dyDescent="0.4">
      <c r="D3056" s="37" t="s">
        <v>815</v>
      </c>
    </row>
    <row r="3057" spans="4:4" x14ac:dyDescent="0.4">
      <c r="D3057" s="37" t="s">
        <v>5147</v>
      </c>
    </row>
    <row r="3058" spans="4:4" x14ac:dyDescent="0.4">
      <c r="D3058" s="37" t="s">
        <v>815</v>
      </c>
    </row>
    <row r="3059" spans="4:4" x14ac:dyDescent="0.4">
      <c r="D3059" s="37" t="s">
        <v>800</v>
      </c>
    </row>
    <row r="3060" spans="4:4" x14ac:dyDescent="0.4">
      <c r="D3060" s="37" t="s">
        <v>5147</v>
      </c>
    </row>
    <row r="3061" spans="4:4" x14ac:dyDescent="0.4">
      <c r="D3061" s="37" t="s">
        <v>815</v>
      </c>
    </row>
    <row r="3062" spans="4:4" x14ac:dyDescent="0.4">
      <c r="D3062" s="37" t="s">
        <v>815</v>
      </c>
    </row>
    <row r="3063" spans="4:4" x14ac:dyDescent="0.4">
      <c r="D3063" s="37" t="s">
        <v>800</v>
      </c>
    </row>
    <row r="3064" spans="4:4" x14ac:dyDescent="0.4">
      <c r="D3064" s="37" t="s">
        <v>5147</v>
      </c>
    </row>
    <row r="3065" spans="4:4" x14ac:dyDescent="0.4">
      <c r="D3065" s="37" t="s">
        <v>815</v>
      </c>
    </row>
    <row r="3066" spans="4:4" x14ac:dyDescent="0.4">
      <c r="D3066" s="37" t="s">
        <v>815</v>
      </c>
    </row>
    <row r="3067" spans="4:4" x14ac:dyDescent="0.4">
      <c r="D3067" s="37" t="s">
        <v>5147</v>
      </c>
    </row>
    <row r="3068" spans="4:4" x14ac:dyDescent="0.4">
      <c r="D3068" s="37" t="s">
        <v>815</v>
      </c>
    </row>
    <row r="3069" spans="4:4" x14ac:dyDescent="0.4">
      <c r="D3069" s="37" t="s">
        <v>800</v>
      </c>
    </row>
    <row r="3070" spans="4:4" x14ac:dyDescent="0.4">
      <c r="D3070" s="37" t="s">
        <v>5147</v>
      </c>
    </row>
    <row r="3071" spans="4:4" x14ac:dyDescent="0.4">
      <c r="D3071" s="37" t="s">
        <v>815</v>
      </c>
    </row>
    <row r="3072" spans="4:4" x14ac:dyDescent="0.4">
      <c r="D3072" s="37" t="s">
        <v>815</v>
      </c>
    </row>
    <row r="3073" spans="4:4" x14ac:dyDescent="0.4">
      <c r="D3073" s="37" t="s">
        <v>5147</v>
      </c>
    </row>
    <row r="3074" spans="4:4" x14ac:dyDescent="0.4">
      <c r="D3074" s="37" t="s">
        <v>800</v>
      </c>
    </row>
    <row r="3075" spans="4:4" x14ac:dyDescent="0.4">
      <c r="D3075" s="37" t="s">
        <v>5147</v>
      </c>
    </row>
    <row r="3076" spans="4:4" x14ac:dyDescent="0.4">
      <c r="D3076" s="37" t="s">
        <v>815</v>
      </c>
    </row>
    <row r="3077" spans="4:4" x14ac:dyDescent="0.4">
      <c r="D3077" s="37" t="s">
        <v>815</v>
      </c>
    </row>
    <row r="3078" spans="4:4" x14ac:dyDescent="0.4">
      <c r="D3078" s="37" t="s">
        <v>815</v>
      </c>
    </row>
    <row r="3079" spans="4:4" x14ac:dyDescent="0.4">
      <c r="D3079" s="37" t="s">
        <v>815</v>
      </c>
    </row>
    <row r="3080" spans="4:4" x14ac:dyDescent="0.4">
      <c r="D3080" s="37" t="s">
        <v>815</v>
      </c>
    </row>
    <row r="3081" spans="4:4" x14ac:dyDescent="0.4">
      <c r="D3081" s="37" t="s">
        <v>5147</v>
      </c>
    </row>
    <row r="3082" spans="4:4" x14ac:dyDescent="0.4">
      <c r="D3082" s="37" t="s">
        <v>815</v>
      </c>
    </row>
    <row r="3083" spans="4:4" x14ac:dyDescent="0.4">
      <c r="D3083" s="37" t="s">
        <v>815</v>
      </c>
    </row>
    <row r="3084" spans="4:4" x14ac:dyDescent="0.4">
      <c r="D3084" s="37" t="s">
        <v>5147</v>
      </c>
    </row>
    <row r="3085" spans="4:4" x14ac:dyDescent="0.4">
      <c r="D3085" s="37" t="s">
        <v>815</v>
      </c>
    </row>
    <row r="3086" spans="4:4" x14ac:dyDescent="0.4">
      <c r="D3086" s="37" t="s">
        <v>815</v>
      </c>
    </row>
    <row r="3087" spans="4:4" x14ac:dyDescent="0.4">
      <c r="D3087" s="37" t="s">
        <v>800</v>
      </c>
    </row>
    <row r="3088" spans="4:4" x14ac:dyDescent="0.4">
      <c r="D3088" s="37" t="s">
        <v>800</v>
      </c>
    </row>
    <row r="3089" spans="4:4" x14ac:dyDescent="0.4">
      <c r="D3089" s="37" t="s">
        <v>5147</v>
      </c>
    </row>
    <row r="3090" spans="4:4" x14ac:dyDescent="0.4">
      <c r="D3090" s="37" t="s">
        <v>815</v>
      </c>
    </row>
    <row r="3091" spans="4:4" x14ac:dyDescent="0.4">
      <c r="D3091" s="37" t="s">
        <v>815</v>
      </c>
    </row>
    <row r="3092" spans="4:4" x14ac:dyDescent="0.4">
      <c r="D3092" s="37" t="s">
        <v>5147</v>
      </c>
    </row>
    <row r="3093" spans="4:4" x14ac:dyDescent="0.4">
      <c r="D3093" s="37" t="s">
        <v>815</v>
      </c>
    </row>
    <row r="3094" spans="4:4" x14ac:dyDescent="0.4">
      <c r="D3094" s="37" t="s">
        <v>815</v>
      </c>
    </row>
    <row r="3095" spans="4:4" x14ac:dyDescent="0.4">
      <c r="D3095" s="37" t="s">
        <v>815</v>
      </c>
    </row>
    <row r="3096" spans="4:4" x14ac:dyDescent="0.4">
      <c r="D3096" s="37" t="s">
        <v>815</v>
      </c>
    </row>
    <row r="3097" spans="4:4" x14ac:dyDescent="0.4">
      <c r="D3097" s="37" t="s">
        <v>815</v>
      </c>
    </row>
    <row r="3098" spans="4:4" x14ac:dyDescent="0.4">
      <c r="D3098" s="37" t="s">
        <v>815</v>
      </c>
    </row>
    <row r="3099" spans="4:4" x14ac:dyDescent="0.4">
      <c r="D3099" s="37" t="s">
        <v>800</v>
      </c>
    </row>
    <row r="3100" spans="4:4" x14ac:dyDescent="0.4">
      <c r="D3100" s="37" t="s">
        <v>815</v>
      </c>
    </row>
    <row r="3101" spans="4:4" x14ac:dyDescent="0.4">
      <c r="D3101" s="37" t="s">
        <v>800</v>
      </c>
    </row>
    <row r="3102" spans="4:4" x14ac:dyDescent="0.4">
      <c r="D3102" s="37" t="s">
        <v>5147</v>
      </c>
    </row>
    <row r="3103" spans="4:4" x14ac:dyDescent="0.4">
      <c r="D3103" s="37" t="s">
        <v>815</v>
      </c>
    </row>
    <row r="3104" spans="4:4" x14ac:dyDescent="0.4">
      <c r="D3104" s="37" t="s">
        <v>815</v>
      </c>
    </row>
    <row r="3105" spans="4:4" x14ac:dyDescent="0.4">
      <c r="D3105" s="37" t="s">
        <v>815</v>
      </c>
    </row>
    <row r="3106" spans="4:4" x14ac:dyDescent="0.4">
      <c r="D3106" s="37" t="s">
        <v>815</v>
      </c>
    </row>
    <row r="3107" spans="4:4" x14ac:dyDescent="0.4">
      <c r="D3107" s="37" t="s">
        <v>815</v>
      </c>
    </row>
    <row r="3108" spans="4:4" x14ac:dyDescent="0.4">
      <c r="D3108" s="37" t="s">
        <v>815</v>
      </c>
    </row>
    <row r="3109" spans="4:4" x14ac:dyDescent="0.4">
      <c r="D3109" s="37" t="s">
        <v>815</v>
      </c>
    </row>
    <row r="3110" spans="4:4" x14ac:dyDescent="0.4">
      <c r="D3110" s="37" t="s">
        <v>815</v>
      </c>
    </row>
    <row r="3111" spans="4:4" x14ac:dyDescent="0.4">
      <c r="D3111" s="37" t="s">
        <v>815</v>
      </c>
    </row>
    <row r="3112" spans="4:4" x14ac:dyDescent="0.4">
      <c r="D3112" s="37" t="s">
        <v>800</v>
      </c>
    </row>
    <row r="3113" spans="4:4" x14ac:dyDescent="0.4">
      <c r="D3113" s="37" t="s">
        <v>815</v>
      </c>
    </row>
    <row r="3114" spans="4:4" x14ac:dyDescent="0.4">
      <c r="D3114" s="37" t="s">
        <v>5147</v>
      </c>
    </row>
    <row r="3115" spans="4:4" x14ac:dyDescent="0.4">
      <c r="D3115" s="37" t="s">
        <v>815</v>
      </c>
    </row>
    <row r="3116" spans="4:4" x14ac:dyDescent="0.4">
      <c r="D3116" s="37" t="s">
        <v>815</v>
      </c>
    </row>
    <row r="3117" spans="4:4" x14ac:dyDescent="0.4">
      <c r="D3117" s="37" t="s">
        <v>5147</v>
      </c>
    </row>
    <row r="3118" spans="4:4" x14ac:dyDescent="0.4">
      <c r="D3118" s="37" t="s">
        <v>815</v>
      </c>
    </row>
    <row r="3119" spans="4:4" x14ac:dyDescent="0.4">
      <c r="D3119" s="37" t="s">
        <v>5147</v>
      </c>
    </row>
    <row r="3120" spans="4:4" x14ac:dyDescent="0.4">
      <c r="D3120" s="37" t="s">
        <v>815</v>
      </c>
    </row>
    <row r="3121" spans="4:4" x14ac:dyDescent="0.4">
      <c r="D3121" s="37" t="s">
        <v>815</v>
      </c>
    </row>
    <row r="3122" spans="4:4" x14ac:dyDescent="0.4">
      <c r="D3122" s="37" t="s">
        <v>815</v>
      </c>
    </row>
    <row r="3123" spans="4:4" x14ac:dyDescent="0.4">
      <c r="D3123" s="37" t="s">
        <v>5147</v>
      </c>
    </row>
    <row r="3124" spans="4:4" x14ac:dyDescent="0.4">
      <c r="D3124" s="37" t="s">
        <v>815</v>
      </c>
    </row>
    <row r="3125" spans="4:4" x14ac:dyDescent="0.4">
      <c r="D3125" s="37" t="s">
        <v>5147</v>
      </c>
    </row>
    <row r="3126" spans="4:4" x14ac:dyDescent="0.4">
      <c r="D3126" s="37" t="s">
        <v>815</v>
      </c>
    </row>
    <row r="3127" spans="4:4" x14ac:dyDescent="0.4">
      <c r="D3127" s="37" t="s">
        <v>815</v>
      </c>
    </row>
    <row r="3128" spans="4:4" x14ac:dyDescent="0.4">
      <c r="D3128" s="37" t="s">
        <v>815</v>
      </c>
    </row>
    <row r="3129" spans="4:4" x14ac:dyDescent="0.4">
      <c r="D3129" s="37" t="s">
        <v>800</v>
      </c>
    </row>
    <row r="3130" spans="4:4" x14ac:dyDescent="0.4">
      <c r="D3130" s="37" t="s">
        <v>5147</v>
      </c>
    </row>
    <row r="3131" spans="4:4" x14ac:dyDescent="0.4">
      <c r="D3131" s="37" t="s">
        <v>815</v>
      </c>
    </row>
    <row r="3132" spans="4:4" x14ac:dyDescent="0.4">
      <c r="D3132" s="37" t="s">
        <v>815</v>
      </c>
    </row>
    <row r="3133" spans="4:4" x14ac:dyDescent="0.4">
      <c r="D3133" s="37" t="s">
        <v>5147</v>
      </c>
    </row>
    <row r="3134" spans="4:4" x14ac:dyDescent="0.4">
      <c r="D3134" s="37" t="s">
        <v>815</v>
      </c>
    </row>
    <row r="3135" spans="4:4" x14ac:dyDescent="0.4">
      <c r="D3135" s="37" t="s">
        <v>815</v>
      </c>
    </row>
    <row r="3136" spans="4:4" x14ac:dyDescent="0.4">
      <c r="D3136" s="37" t="s">
        <v>800</v>
      </c>
    </row>
    <row r="3137" spans="4:4" x14ac:dyDescent="0.4">
      <c r="D3137" s="37" t="s">
        <v>5147</v>
      </c>
    </row>
    <row r="3138" spans="4:4" x14ac:dyDescent="0.4">
      <c r="D3138" s="37" t="s">
        <v>815</v>
      </c>
    </row>
    <row r="3139" spans="4:4" x14ac:dyDescent="0.4">
      <c r="D3139" s="37" t="s">
        <v>815</v>
      </c>
    </row>
    <row r="3140" spans="4:4" x14ac:dyDescent="0.4">
      <c r="D3140" s="37" t="s">
        <v>815</v>
      </c>
    </row>
    <row r="3141" spans="4:4" x14ac:dyDescent="0.4">
      <c r="D3141" s="37" t="s">
        <v>5147</v>
      </c>
    </row>
    <row r="3142" spans="4:4" x14ac:dyDescent="0.4">
      <c r="D3142" s="37" t="s">
        <v>815</v>
      </c>
    </row>
    <row r="3143" spans="4:4" x14ac:dyDescent="0.4">
      <c r="D3143" s="37" t="s">
        <v>5147</v>
      </c>
    </row>
    <row r="3144" spans="4:4" x14ac:dyDescent="0.4">
      <c r="D3144" s="37" t="s">
        <v>815</v>
      </c>
    </row>
    <row r="3145" spans="4:4" x14ac:dyDescent="0.4">
      <c r="D3145" s="37" t="s">
        <v>815</v>
      </c>
    </row>
    <row r="3146" spans="4:4" x14ac:dyDescent="0.4">
      <c r="D3146" s="37" t="s">
        <v>5147</v>
      </c>
    </row>
    <row r="3147" spans="4:4" x14ac:dyDescent="0.4">
      <c r="D3147" s="37" t="s">
        <v>815</v>
      </c>
    </row>
    <row r="3148" spans="4:4" x14ac:dyDescent="0.4">
      <c r="D3148" s="37" t="s">
        <v>815</v>
      </c>
    </row>
    <row r="3149" spans="4:4" x14ac:dyDescent="0.4">
      <c r="D3149" s="37" t="s">
        <v>5147</v>
      </c>
    </row>
    <row r="3150" spans="4:4" x14ac:dyDescent="0.4">
      <c r="D3150" s="37" t="s">
        <v>815</v>
      </c>
    </row>
    <row r="3151" spans="4:4" x14ac:dyDescent="0.4">
      <c r="D3151" s="37" t="s">
        <v>815</v>
      </c>
    </row>
    <row r="3152" spans="4:4" x14ac:dyDescent="0.4">
      <c r="D3152" s="37" t="s">
        <v>815</v>
      </c>
    </row>
    <row r="3153" spans="4:4" x14ac:dyDescent="0.4">
      <c r="D3153" s="37" t="s">
        <v>800</v>
      </c>
    </row>
    <row r="3154" spans="4:4" x14ac:dyDescent="0.4">
      <c r="D3154" s="37" t="s">
        <v>815</v>
      </c>
    </row>
    <row r="3155" spans="4:4" x14ac:dyDescent="0.4">
      <c r="D3155" s="37" t="s">
        <v>5147</v>
      </c>
    </row>
    <row r="3156" spans="4:4" x14ac:dyDescent="0.4">
      <c r="D3156" s="37" t="s">
        <v>815</v>
      </c>
    </row>
    <row r="3157" spans="4:4" x14ac:dyDescent="0.4">
      <c r="D3157" s="37" t="s">
        <v>800</v>
      </c>
    </row>
    <row r="3158" spans="4:4" x14ac:dyDescent="0.4">
      <c r="D3158" s="37" t="s">
        <v>5147</v>
      </c>
    </row>
    <row r="3159" spans="4:4" x14ac:dyDescent="0.4">
      <c r="D3159" s="37" t="s">
        <v>815</v>
      </c>
    </row>
    <row r="3160" spans="4:4" x14ac:dyDescent="0.4">
      <c r="D3160" s="37" t="s">
        <v>5147</v>
      </c>
    </row>
    <row r="3161" spans="4:4" x14ac:dyDescent="0.4">
      <c r="D3161" s="37" t="s">
        <v>815</v>
      </c>
    </row>
    <row r="3162" spans="4:4" x14ac:dyDescent="0.4">
      <c r="D3162" s="37" t="s">
        <v>5147</v>
      </c>
    </row>
    <row r="3163" spans="4:4" x14ac:dyDescent="0.4">
      <c r="D3163" s="37" t="s">
        <v>815</v>
      </c>
    </row>
    <row r="3164" spans="4:4" x14ac:dyDescent="0.4">
      <c r="D3164" s="37" t="s">
        <v>5147</v>
      </c>
    </row>
    <row r="3165" spans="4:4" x14ac:dyDescent="0.4">
      <c r="D3165" s="37" t="s">
        <v>800</v>
      </c>
    </row>
    <row r="3166" spans="4:4" x14ac:dyDescent="0.4">
      <c r="D3166" s="37" t="s">
        <v>5147</v>
      </c>
    </row>
    <row r="3167" spans="4:4" x14ac:dyDescent="0.4">
      <c r="D3167" s="37" t="s">
        <v>815</v>
      </c>
    </row>
    <row r="3168" spans="4:4" x14ac:dyDescent="0.4">
      <c r="D3168" s="37" t="s">
        <v>5147</v>
      </c>
    </row>
    <row r="3169" spans="4:4" x14ac:dyDescent="0.4">
      <c r="D3169" s="37" t="s">
        <v>800</v>
      </c>
    </row>
    <row r="3170" spans="4:4" x14ac:dyDescent="0.4">
      <c r="D3170" s="37" t="s">
        <v>815</v>
      </c>
    </row>
    <row r="3171" spans="4:4" x14ac:dyDescent="0.4">
      <c r="D3171" s="37" t="s">
        <v>5147</v>
      </c>
    </row>
    <row r="3172" spans="4:4" x14ac:dyDescent="0.4">
      <c r="D3172" s="37" t="s">
        <v>815</v>
      </c>
    </row>
    <row r="3173" spans="4:4" x14ac:dyDescent="0.4">
      <c r="D3173" s="37" t="s">
        <v>5147</v>
      </c>
    </row>
    <row r="3174" spans="4:4" x14ac:dyDescent="0.4">
      <c r="D3174" s="37" t="s">
        <v>815</v>
      </c>
    </row>
    <row r="3175" spans="4:4" x14ac:dyDescent="0.4">
      <c r="D3175" s="37" t="s">
        <v>815</v>
      </c>
    </row>
    <row r="3176" spans="4:4" x14ac:dyDescent="0.4">
      <c r="D3176" s="37" t="s">
        <v>800</v>
      </c>
    </row>
    <row r="3177" spans="4:4" x14ac:dyDescent="0.4">
      <c r="D3177" s="37" t="s">
        <v>5147</v>
      </c>
    </row>
    <row r="3178" spans="4:4" x14ac:dyDescent="0.4">
      <c r="D3178" s="37" t="s">
        <v>815</v>
      </c>
    </row>
    <row r="3179" spans="4:4" x14ac:dyDescent="0.4">
      <c r="D3179" s="37" t="s">
        <v>815</v>
      </c>
    </row>
    <row r="3180" spans="4:4" x14ac:dyDescent="0.4">
      <c r="D3180" s="37" t="s">
        <v>815</v>
      </c>
    </row>
    <row r="3181" spans="4:4" x14ac:dyDescent="0.4">
      <c r="D3181" s="37" t="s">
        <v>815</v>
      </c>
    </row>
    <row r="3182" spans="4:4" x14ac:dyDescent="0.4">
      <c r="D3182" s="37" t="s">
        <v>5147</v>
      </c>
    </row>
    <row r="3183" spans="4:4" x14ac:dyDescent="0.4">
      <c r="D3183" s="37" t="s">
        <v>800</v>
      </c>
    </row>
    <row r="3184" spans="4:4" x14ac:dyDescent="0.4">
      <c r="D3184" s="37" t="s">
        <v>5147</v>
      </c>
    </row>
    <row r="3185" spans="4:4" x14ac:dyDescent="0.4">
      <c r="D3185" s="37" t="s">
        <v>815</v>
      </c>
    </row>
    <row r="3186" spans="4:4" x14ac:dyDescent="0.4">
      <c r="D3186" s="37" t="s">
        <v>815</v>
      </c>
    </row>
    <row r="3187" spans="4:4" x14ac:dyDescent="0.4">
      <c r="D3187" s="37" t="s">
        <v>815</v>
      </c>
    </row>
    <row r="3188" spans="4:4" x14ac:dyDescent="0.4">
      <c r="D3188" s="37" t="s">
        <v>815</v>
      </c>
    </row>
    <row r="3189" spans="4:4" x14ac:dyDescent="0.4">
      <c r="D3189" s="37" t="s">
        <v>800</v>
      </c>
    </row>
    <row r="3190" spans="4:4" x14ac:dyDescent="0.4">
      <c r="D3190" s="37" t="s">
        <v>815</v>
      </c>
    </row>
    <row r="3191" spans="4:4" x14ac:dyDescent="0.4">
      <c r="D3191" s="37" t="s">
        <v>815</v>
      </c>
    </row>
    <row r="3192" spans="4:4" x14ac:dyDescent="0.4">
      <c r="D3192" s="37" t="s">
        <v>815</v>
      </c>
    </row>
    <row r="3193" spans="4:4" x14ac:dyDescent="0.4">
      <c r="D3193" s="37" t="s">
        <v>815</v>
      </c>
    </row>
    <row r="3194" spans="4:4" x14ac:dyDescent="0.4">
      <c r="D3194" s="37" t="s">
        <v>815</v>
      </c>
    </row>
    <row r="3195" spans="4:4" x14ac:dyDescent="0.4">
      <c r="D3195" s="37" t="s">
        <v>815</v>
      </c>
    </row>
    <row r="3196" spans="4:4" x14ac:dyDescent="0.4">
      <c r="D3196" s="37" t="s">
        <v>815</v>
      </c>
    </row>
    <row r="3197" spans="4:4" x14ac:dyDescent="0.4">
      <c r="D3197" s="37" t="s">
        <v>815</v>
      </c>
    </row>
    <row r="3198" spans="4:4" x14ac:dyDescent="0.4">
      <c r="D3198" s="37" t="s">
        <v>815</v>
      </c>
    </row>
    <row r="3199" spans="4:4" x14ac:dyDescent="0.4">
      <c r="D3199" s="37" t="s">
        <v>815</v>
      </c>
    </row>
    <row r="3200" spans="4:4" x14ac:dyDescent="0.4">
      <c r="D3200" s="37" t="s">
        <v>815</v>
      </c>
    </row>
    <row r="3201" spans="4:4" x14ac:dyDescent="0.4">
      <c r="D3201" s="37" t="s">
        <v>815</v>
      </c>
    </row>
    <row r="3202" spans="4:4" x14ac:dyDescent="0.4">
      <c r="D3202" s="37" t="s">
        <v>815</v>
      </c>
    </row>
    <row r="3203" spans="4:4" x14ac:dyDescent="0.4">
      <c r="D3203" s="37" t="s">
        <v>800</v>
      </c>
    </row>
    <row r="3204" spans="4:4" x14ac:dyDescent="0.4">
      <c r="D3204" s="37" t="s">
        <v>815</v>
      </c>
    </row>
    <row r="3205" spans="4:4" x14ac:dyDescent="0.4">
      <c r="D3205" s="37" t="s">
        <v>815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5142</v>
      </c>
      <c r="B8" s="6"/>
      <c r="C8" s="6"/>
      <c r="D8" s="6"/>
      <c r="E8" s="14"/>
    </row>
    <row r="9" spans="1:5" x14ac:dyDescent="0.4">
      <c r="A9" s="75" t="s">
        <v>5144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280</v>
      </c>
      <c r="D11" s="78">
        <v>46536000</v>
      </c>
      <c r="E11" s="15">
        <v>8.1</v>
      </c>
    </row>
    <row r="12" spans="1:5" x14ac:dyDescent="0.4">
      <c r="A12" s="73" t="s">
        <v>158</v>
      </c>
      <c r="B12" s="73" t="s">
        <v>159</v>
      </c>
      <c r="C12" s="77">
        <v>403</v>
      </c>
      <c r="D12" s="78">
        <v>37317800</v>
      </c>
      <c r="E12" s="15">
        <v>6.49</v>
      </c>
    </row>
    <row r="13" spans="1:5" x14ac:dyDescent="0.4">
      <c r="A13" s="73" t="s">
        <v>2239</v>
      </c>
      <c r="B13" s="73" t="s">
        <v>2240</v>
      </c>
      <c r="C13" s="78">
        <v>796</v>
      </c>
      <c r="D13" s="78">
        <v>30367400</v>
      </c>
      <c r="E13" s="15">
        <v>5.28</v>
      </c>
    </row>
    <row r="14" spans="1:5" x14ac:dyDescent="0.4">
      <c r="A14" s="73" t="s">
        <v>486</v>
      </c>
      <c r="B14" s="73" t="s">
        <v>487</v>
      </c>
      <c r="C14" s="78">
        <v>162</v>
      </c>
      <c r="D14" s="78">
        <v>20136600</v>
      </c>
      <c r="E14" s="15">
        <v>3.5</v>
      </c>
    </row>
    <row r="15" spans="1:5" x14ac:dyDescent="0.4">
      <c r="A15" s="73" t="s">
        <v>444</v>
      </c>
      <c r="B15" s="73" t="s">
        <v>445</v>
      </c>
      <c r="C15" s="77">
        <v>168</v>
      </c>
      <c r="D15" s="78">
        <v>17673600</v>
      </c>
      <c r="E15" s="15">
        <v>3.08</v>
      </c>
    </row>
    <row r="16" spans="1:5" x14ac:dyDescent="0.4">
      <c r="A16" s="73" t="s">
        <v>4616</v>
      </c>
      <c r="B16" s="73" t="s">
        <v>4617</v>
      </c>
      <c r="C16" s="77">
        <v>199</v>
      </c>
      <c r="D16" s="78">
        <v>17253300</v>
      </c>
      <c r="E16" s="15">
        <v>3</v>
      </c>
    </row>
    <row r="17" spans="1:5" x14ac:dyDescent="0.4">
      <c r="A17" s="73" t="s">
        <v>31</v>
      </c>
      <c r="B17" s="73" t="s">
        <v>32</v>
      </c>
      <c r="C17" s="77">
        <v>48</v>
      </c>
      <c r="D17" s="78">
        <v>16968000</v>
      </c>
      <c r="E17" s="15">
        <v>2.95</v>
      </c>
    </row>
    <row r="18" spans="1:5" x14ac:dyDescent="0.4">
      <c r="A18" s="73" t="s">
        <v>432</v>
      </c>
      <c r="B18" s="73" t="s">
        <v>433</v>
      </c>
      <c r="C18" s="78">
        <v>239</v>
      </c>
      <c r="D18" s="78">
        <v>16132500</v>
      </c>
      <c r="E18" s="15">
        <v>2.81</v>
      </c>
    </row>
    <row r="19" spans="1:5" x14ac:dyDescent="0.4">
      <c r="A19" s="73" t="s">
        <v>718</v>
      </c>
      <c r="B19" s="73" t="s">
        <v>719</v>
      </c>
      <c r="C19" s="78">
        <v>151</v>
      </c>
      <c r="D19" s="78">
        <v>15311400</v>
      </c>
      <c r="E19" s="15">
        <v>2.66</v>
      </c>
    </row>
    <row r="20" spans="1:5" x14ac:dyDescent="0.4">
      <c r="A20" s="73" t="s">
        <v>676</v>
      </c>
      <c r="B20" s="73" t="s">
        <v>677</v>
      </c>
      <c r="C20" s="78">
        <v>112</v>
      </c>
      <c r="D20" s="78">
        <v>15052800</v>
      </c>
      <c r="E20" s="15">
        <v>2.62</v>
      </c>
    </row>
    <row r="21" spans="1:5" x14ac:dyDescent="0.4">
      <c r="A21" s="73" t="s">
        <v>469</v>
      </c>
      <c r="B21" s="73" t="s">
        <v>470</v>
      </c>
      <c r="C21" s="78">
        <v>85</v>
      </c>
      <c r="D21" s="78">
        <v>14025000</v>
      </c>
      <c r="E21" s="15">
        <v>2.44</v>
      </c>
    </row>
    <row r="22" spans="1:5" x14ac:dyDescent="0.4">
      <c r="A22" s="73" t="s">
        <v>41</v>
      </c>
      <c r="B22" s="73" t="s">
        <v>42</v>
      </c>
      <c r="C22" s="78">
        <v>140</v>
      </c>
      <c r="D22" s="78">
        <v>13874000</v>
      </c>
      <c r="E22" s="15">
        <v>2.41</v>
      </c>
    </row>
    <row r="23" spans="1:5" x14ac:dyDescent="0.4">
      <c r="A23" s="73" t="s">
        <v>477</v>
      </c>
      <c r="B23" s="73" t="s">
        <v>478</v>
      </c>
      <c r="C23" s="77">
        <v>117</v>
      </c>
      <c r="D23" s="78">
        <v>13162500</v>
      </c>
      <c r="E23" s="15">
        <v>2.29</v>
      </c>
    </row>
    <row r="24" spans="1:5" x14ac:dyDescent="0.4">
      <c r="A24" s="73" t="s">
        <v>35</v>
      </c>
      <c r="B24" s="73" t="s">
        <v>36</v>
      </c>
      <c r="C24" s="77">
        <v>82</v>
      </c>
      <c r="D24" s="78">
        <v>11037200</v>
      </c>
      <c r="E24" s="15">
        <v>1.92</v>
      </c>
    </row>
    <row r="25" spans="1:5" x14ac:dyDescent="0.4">
      <c r="A25" s="73" t="s">
        <v>232</v>
      </c>
      <c r="B25" s="73" t="s">
        <v>233</v>
      </c>
      <c r="C25" s="78">
        <v>38</v>
      </c>
      <c r="D25" s="78">
        <v>10906000</v>
      </c>
      <c r="E25" s="15">
        <v>1.9</v>
      </c>
    </row>
    <row r="26" spans="1:5" x14ac:dyDescent="0.4">
      <c r="A26" s="73" t="s">
        <v>566</v>
      </c>
      <c r="B26" s="73" t="s">
        <v>567</v>
      </c>
      <c r="C26" s="78">
        <v>44</v>
      </c>
      <c r="D26" s="78">
        <v>10736000</v>
      </c>
      <c r="E26" s="15">
        <v>1.87</v>
      </c>
    </row>
    <row r="27" spans="1:5" x14ac:dyDescent="0.4">
      <c r="A27" s="73" t="s">
        <v>401</v>
      </c>
      <c r="B27" s="73" t="s">
        <v>402</v>
      </c>
      <c r="C27" s="78">
        <v>248</v>
      </c>
      <c r="D27" s="78">
        <v>9858000</v>
      </c>
      <c r="E27" s="15">
        <v>1.72</v>
      </c>
    </row>
    <row r="28" spans="1:5" x14ac:dyDescent="0.4">
      <c r="A28" s="73" t="s">
        <v>756</v>
      </c>
      <c r="B28" s="73" t="s">
        <v>757</v>
      </c>
      <c r="C28" s="78">
        <v>83</v>
      </c>
      <c r="D28" s="78">
        <v>9486900</v>
      </c>
      <c r="E28" s="15">
        <v>1.65</v>
      </c>
    </row>
    <row r="29" spans="1:5" x14ac:dyDescent="0.4">
      <c r="A29" s="73" t="s">
        <v>420</v>
      </c>
      <c r="B29" s="73" t="s">
        <v>421</v>
      </c>
      <c r="C29" s="78">
        <v>77</v>
      </c>
      <c r="D29" s="78">
        <v>9378600</v>
      </c>
      <c r="E29" s="15">
        <v>1.63</v>
      </c>
    </row>
    <row r="30" spans="1:5" x14ac:dyDescent="0.4">
      <c r="A30" s="73" t="s">
        <v>45</v>
      </c>
      <c r="B30" s="73" t="s">
        <v>46</v>
      </c>
      <c r="C30" s="78">
        <v>69</v>
      </c>
      <c r="D30" s="78">
        <v>9108000</v>
      </c>
      <c r="E30" s="15">
        <v>1.58</v>
      </c>
    </row>
    <row r="31" spans="1:5" x14ac:dyDescent="0.4">
      <c r="A31" s="73" t="s">
        <v>734</v>
      </c>
      <c r="B31" s="73" t="s">
        <v>735</v>
      </c>
      <c r="C31" s="78">
        <v>73</v>
      </c>
      <c r="D31" s="78">
        <v>8146800</v>
      </c>
      <c r="E31" s="15">
        <v>1.42</v>
      </c>
    </row>
    <row r="32" spans="1:5" x14ac:dyDescent="0.4">
      <c r="A32" s="73" t="s">
        <v>162</v>
      </c>
      <c r="B32" s="73" t="s">
        <v>163</v>
      </c>
      <c r="C32" s="78">
        <v>135</v>
      </c>
      <c r="D32" s="78">
        <v>8140500</v>
      </c>
      <c r="E32" s="15">
        <v>1.42</v>
      </c>
    </row>
    <row r="33" spans="1:5" x14ac:dyDescent="0.4">
      <c r="A33" s="73" t="s">
        <v>1994</v>
      </c>
      <c r="B33" s="73" t="s">
        <v>1995</v>
      </c>
      <c r="C33" s="78">
        <v>238</v>
      </c>
      <c r="D33" s="78">
        <v>7770700</v>
      </c>
      <c r="E33" s="15">
        <v>1.35</v>
      </c>
    </row>
    <row r="34" spans="1:5" x14ac:dyDescent="0.4">
      <c r="A34" s="73" t="s">
        <v>622</v>
      </c>
      <c r="B34" s="73" t="s">
        <v>623</v>
      </c>
      <c r="C34" s="78">
        <v>154</v>
      </c>
      <c r="D34" s="78">
        <v>7453600</v>
      </c>
      <c r="E34" s="15">
        <v>1.3</v>
      </c>
    </row>
    <row r="35" spans="1:5" x14ac:dyDescent="0.4">
      <c r="A35" s="73" t="s">
        <v>3652</v>
      </c>
      <c r="B35" s="73" t="s">
        <v>3653</v>
      </c>
      <c r="C35" s="78">
        <v>142</v>
      </c>
      <c r="D35" s="78">
        <v>7199400</v>
      </c>
      <c r="E35" s="15">
        <v>1.25</v>
      </c>
    </row>
    <row r="36" spans="1:5" x14ac:dyDescent="0.4">
      <c r="A36" s="73" t="s">
        <v>473</v>
      </c>
      <c r="B36" s="73" t="s">
        <v>474</v>
      </c>
      <c r="C36" s="78">
        <v>145</v>
      </c>
      <c r="D36" s="78">
        <v>7105000</v>
      </c>
      <c r="E36" s="15">
        <v>1.24</v>
      </c>
    </row>
    <row r="37" spans="1:5" x14ac:dyDescent="0.4">
      <c r="A37" s="73" t="s">
        <v>61</v>
      </c>
      <c r="B37" s="73" t="s">
        <v>62</v>
      </c>
      <c r="C37" s="78">
        <v>24</v>
      </c>
      <c r="D37" s="78">
        <v>7056000</v>
      </c>
      <c r="E37" s="15">
        <v>1.23</v>
      </c>
    </row>
    <row r="38" spans="1:5" x14ac:dyDescent="0.4">
      <c r="A38" s="73" t="s">
        <v>514</v>
      </c>
      <c r="B38" s="73" t="s">
        <v>515</v>
      </c>
      <c r="C38" s="78">
        <v>153</v>
      </c>
      <c r="D38" s="78">
        <v>6831450</v>
      </c>
      <c r="E38" s="15">
        <v>1.19</v>
      </c>
    </row>
    <row r="39" spans="1:5" x14ac:dyDescent="0.4">
      <c r="A39" s="73" t="s">
        <v>57</v>
      </c>
      <c r="B39" s="73" t="s">
        <v>58</v>
      </c>
      <c r="C39" s="73">
        <v>182</v>
      </c>
      <c r="D39" s="78">
        <v>6761300</v>
      </c>
      <c r="E39" s="15">
        <v>1.18</v>
      </c>
    </row>
    <row r="40" spans="1:5" x14ac:dyDescent="0.4">
      <c r="A40" s="73" t="s">
        <v>236</v>
      </c>
      <c r="B40" s="73" t="s">
        <v>237</v>
      </c>
      <c r="C40" s="73">
        <v>11</v>
      </c>
      <c r="D40" s="78">
        <v>6490000</v>
      </c>
      <c r="E40" s="15">
        <v>1.1299999999999999</v>
      </c>
    </row>
    <row r="41" spans="1:5" x14ac:dyDescent="0.4">
      <c r="A41" s="73" t="s">
        <v>397</v>
      </c>
      <c r="B41" s="73" t="s">
        <v>398</v>
      </c>
      <c r="C41" s="73">
        <v>50</v>
      </c>
      <c r="D41" s="78">
        <v>5800000</v>
      </c>
      <c r="E41" s="15">
        <v>1.01</v>
      </c>
    </row>
    <row r="42" spans="1:5" x14ac:dyDescent="0.4">
      <c r="A42" s="73" t="s">
        <v>353</v>
      </c>
      <c r="B42" s="73" t="s">
        <v>354</v>
      </c>
      <c r="C42" s="73">
        <v>34</v>
      </c>
      <c r="D42" s="78">
        <v>5759600</v>
      </c>
      <c r="E42" s="15">
        <v>1</v>
      </c>
    </row>
    <row r="43" spans="1:5" x14ac:dyDescent="0.4">
      <c r="A43" s="73" t="s">
        <v>716</v>
      </c>
      <c r="B43" s="73" t="s">
        <v>717</v>
      </c>
      <c r="C43" s="78">
        <v>447</v>
      </c>
      <c r="D43" s="78">
        <v>5627730</v>
      </c>
      <c r="E43" s="15">
        <v>0.98</v>
      </c>
    </row>
    <row r="44" spans="1:5" x14ac:dyDescent="0.4">
      <c r="A44" s="73" t="s">
        <v>491</v>
      </c>
      <c r="B44" s="73" t="s">
        <v>492</v>
      </c>
      <c r="C44" s="78">
        <v>29</v>
      </c>
      <c r="D44" s="78">
        <v>5599900</v>
      </c>
      <c r="E44" s="15">
        <v>0.97</v>
      </c>
    </row>
    <row r="45" spans="1:5" x14ac:dyDescent="0.4">
      <c r="A45" s="73" t="s">
        <v>3922</v>
      </c>
      <c r="B45" s="73" t="s">
        <v>3923</v>
      </c>
      <c r="C45" s="78">
        <v>76</v>
      </c>
      <c r="D45" s="78">
        <v>5555600</v>
      </c>
      <c r="E45" s="15">
        <v>0.97</v>
      </c>
    </row>
    <row r="46" spans="1:5" x14ac:dyDescent="0.4">
      <c r="A46" s="73" t="s">
        <v>47</v>
      </c>
      <c r="B46" s="73" t="s">
        <v>48</v>
      </c>
      <c r="C46" s="78">
        <v>165</v>
      </c>
      <c r="D46" s="78">
        <v>5453250</v>
      </c>
      <c r="E46" s="15">
        <v>0.95</v>
      </c>
    </row>
    <row r="47" spans="1:5" x14ac:dyDescent="0.4">
      <c r="A47" s="73" t="s">
        <v>3342</v>
      </c>
      <c r="B47" s="73" t="s">
        <v>3343</v>
      </c>
      <c r="C47" s="78">
        <v>233</v>
      </c>
      <c r="D47" s="78">
        <v>5312400</v>
      </c>
      <c r="E47" s="15">
        <v>0.92</v>
      </c>
    </row>
    <row r="48" spans="1:5" x14ac:dyDescent="0.4">
      <c r="A48" s="73" t="s">
        <v>542</v>
      </c>
      <c r="B48" s="73" t="s">
        <v>543</v>
      </c>
      <c r="C48" s="78">
        <v>151</v>
      </c>
      <c r="D48" s="78">
        <v>5111350</v>
      </c>
      <c r="E48" s="15">
        <v>0.89</v>
      </c>
    </row>
    <row r="49" spans="1:5" x14ac:dyDescent="0.4">
      <c r="A49" s="73" t="s">
        <v>554</v>
      </c>
      <c r="B49" s="73" t="s">
        <v>555</v>
      </c>
      <c r="C49" s="78">
        <v>213</v>
      </c>
      <c r="D49" s="78">
        <v>4930950</v>
      </c>
      <c r="E49" s="15">
        <v>0.86</v>
      </c>
    </row>
    <row r="50" spans="1:5" x14ac:dyDescent="0.4">
      <c r="A50" s="73" t="s">
        <v>223</v>
      </c>
      <c r="B50" s="73" t="s">
        <v>224</v>
      </c>
      <c r="C50" s="78">
        <v>138</v>
      </c>
      <c r="D50" s="78">
        <v>4830000</v>
      </c>
      <c r="E50" s="15">
        <v>0.84</v>
      </c>
    </row>
    <row r="51" spans="1:5" x14ac:dyDescent="0.4">
      <c r="A51" s="73" t="s">
        <v>742</v>
      </c>
      <c r="B51" s="73" t="s">
        <v>743</v>
      </c>
      <c r="C51" s="78">
        <v>141</v>
      </c>
      <c r="D51" s="78">
        <v>4596600</v>
      </c>
      <c r="E51" s="15">
        <v>0.8</v>
      </c>
    </row>
    <row r="52" spans="1:5" x14ac:dyDescent="0.4">
      <c r="A52" s="73" t="s">
        <v>3223</v>
      </c>
      <c r="B52" s="73" t="s">
        <v>3224</v>
      </c>
      <c r="C52" s="78">
        <v>74</v>
      </c>
      <c r="D52" s="78">
        <v>4469600</v>
      </c>
      <c r="E52" s="15">
        <v>0.78</v>
      </c>
    </row>
    <row r="53" spans="1:5" x14ac:dyDescent="0.4">
      <c r="A53" s="73" t="s">
        <v>279</v>
      </c>
      <c r="B53" s="73" t="s">
        <v>280</v>
      </c>
      <c r="C53" s="78">
        <v>414</v>
      </c>
      <c r="D53" s="78">
        <v>4235220</v>
      </c>
      <c r="E53" s="15">
        <v>0.74</v>
      </c>
    </row>
    <row r="54" spans="1:5" x14ac:dyDescent="0.4">
      <c r="A54" s="73" t="s">
        <v>37</v>
      </c>
      <c r="B54" s="73" t="s">
        <v>38</v>
      </c>
      <c r="C54" s="78">
        <v>37</v>
      </c>
      <c r="D54" s="78">
        <v>4114400</v>
      </c>
      <c r="E54" s="15">
        <v>0.72</v>
      </c>
    </row>
    <row r="55" spans="1:5" x14ac:dyDescent="0.4">
      <c r="A55" s="73" t="s">
        <v>2912</v>
      </c>
      <c r="B55" s="73" t="s">
        <v>2913</v>
      </c>
      <c r="C55" s="73">
        <v>92</v>
      </c>
      <c r="D55" s="78">
        <v>4011200</v>
      </c>
      <c r="E55" s="15">
        <v>0.7</v>
      </c>
    </row>
    <row r="56" spans="1:5" x14ac:dyDescent="0.4">
      <c r="A56" s="73" t="s">
        <v>871</v>
      </c>
      <c r="B56" s="73" t="s">
        <v>872</v>
      </c>
      <c r="C56" s="73">
        <v>138</v>
      </c>
      <c r="D56" s="78">
        <v>3933000</v>
      </c>
      <c r="E56" s="15">
        <v>0.68</v>
      </c>
    </row>
    <row r="57" spans="1:5" x14ac:dyDescent="0.4">
      <c r="A57" s="73" t="s">
        <v>351</v>
      </c>
      <c r="B57" s="73" t="s">
        <v>352</v>
      </c>
      <c r="C57" s="73">
        <v>21</v>
      </c>
      <c r="D57" s="78">
        <v>3906000</v>
      </c>
      <c r="E57" s="15">
        <v>0.68</v>
      </c>
    </row>
    <row r="58" spans="1:5" x14ac:dyDescent="0.4">
      <c r="A58" s="73" t="s">
        <v>180</v>
      </c>
      <c r="B58" s="73" t="s">
        <v>181</v>
      </c>
      <c r="C58" s="73">
        <v>25</v>
      </c>
      <c r="D58" s="78">
        <v>3900000</v>
      </c>
      <c r="E58" s="15">
        <v>0.68</v>
      </c>
    </row>
    <row r="59" spans="1:5" x14ac:dyDescent="0.4">
      <c r="A59" s="73" t="s">
        <v>361</v>
      </c>
      <c r="B59" s="73" t="s">
        <v>362</v>
      </c>
      <c r="C59" s="73">
        <v>76</v>
      </c>
      <c r="D59" s="78">
        <v>3708800</v>
      </c>
      <c r="E59" s="15">
        <v>0.65</v>
      </c>
    </row>
    <row r="60" spans="1:5" x14ac:dyDescent="0.4">
      <c r="A60" s="73" t="s">
        <v>634</v>
      </c>
      <c r="B60" s="73" t="s">
        <v>635</v>
      </c>
      <c r="C60" s="73">
        <v>85</v>
      </c>
      <c r="D60" s="78">
        <v>3595500</v>
      </c>
      <c r="E60" s="15">
        <v>0.63</v>
      </c>
    </row>
    <row r="61" spans="1:5" x14ac:dyDescent="0.4">
      <c r="A61" s="73" t="s">
        <v>49</v>
      </c>
      <c r="B61" s="73" t="s">
        <v>50</v>
      </c>
      <c r="C61" s="78">
        <v>28</v>
      </c>
      <c r="D61" s="78">
        <v>3410400</v>
      </c>
      <c r="E61" s="15">
        <v>0.59</v>
      </c>
    </row>
    <row r="62" spans="1:5" x14ac:dyDescent="0.4">
      <c r="A62" s="73" t="s">
        <v>4606</v>
      </c>
      <c r="B62" s="73" t="s">
        <v>4607</v>
      </c>
      <c r="C62" s="78">
        <v>71</v>
      </c>
      <c r="D62" s="78">
        <v>3244700</v>
      </c>
      <c r="E62" s="15">
        <v>0.56000000000000005</v>
      </c>
    </row>
    <row r="63" spans="1:5" x14ac:dyDescent="0.4">
      <c r="A63" s="73" t="s">
        <v>698</v>
      </c>
      <c r="B63" s="73" t="s">
        <v>699</v>
      </c>
      <c r="C63" s="78">
        <v>79</v>
      </c>
      <c r="D63" s="78">
        <v>3239000</v>
      </c>
      <c r="E63" s="15">
        <v>0.56000000000000005</v>
      </c>
    </row>
    <row r="64" spans="1:5" x14ac:dyDescent="0.4">
      <c r="A64" s="73" t="s">
        <v>349</v>
      </c>
      <c r="B64" s="73" t="s">
        <v>350</v>
      </c>
      <c r="C64" s="78">
        <v>6</v>
      </c>
      <c r="D64" s="78">
        <v>2991000</v>
      </c>
      <c r="E64" s="15">
        <v>0.52</v>
      </c>
    </row>
    <row r="65" spans="1:5" x14ac:dyDescent="0.4">
      <c r="A65" s="73" t="s">
        <v>4332</v>
      </c>
      <c r="B65" s="73" t="s">
        <v>4333</v>
      </c>
      <c r="C65" s="78">
        <v>44</v>
      </c>
      <c r="D65" s="78">
        <v>2895200</v>
      </c>
      <c r="E65" s="15">
        <v>0.5</v>
      </c>
    </row>
    <row r="66" spans="1:5" x14ac:dyDescent="0.4">
      <c r="A66" s="73" t="s">
        <v>3750</v>
      </c>
      <c r="B66" s="73" t="s">
        <v>3751</v>
      </c>
      <c r="C66" s="78">
        <v>216</v>
      </c>
      <c r="D66" s="78">
        <v>2890080</v>
      </c>
      <c r="E66" s="15">
        <v>0.5</v>
      </c>
    </row>
    <row r="67" spans="1:5" x14ac:dyDescent="0.4">
      <c r="A67" s="73" t="s">
        <v>730</v>
      </c>
      <c r="B67" s="73" t="s">
        <v>731</v>
      </c>
      <c r="C67" s="78">
        <v>42</v>
      </c>
      <c r="D67" s="78">
        <v>2856000</v>
      </c>
      <c r="E67" s="15">
        <v>0.5</v>
      </c>
    </row>
    <row r="68" spans="1:5" x14ac:dyDescent="0.4">
      <c r="A68" s="73" t="s">
        <v>628</v>
      </c>
      <c r="B68" s="73" t="s">
        <v>629</v>
      </c>
      <c r="C68" s="78">
        <v>31</v>
      </c>
      <c r="D68" s="78">
        <v>2839600</v>
      </c>
      <c r="E68" s="15">
        <v>0.49</v>
      </c>
    </row>
    <row r="69" spans="1:5" x14ac:dyDescent="0.4">
      <c r="A69" s="73" t="s">
        <v>466</v>
      </c>
      <c r="B69" s="73" t="s">
        <v>467</v>
      </c>
      <c r="C69" s="73">
        <v>49</v>
      </c>
      <c r="D69" s="78">
        <v>2773400</v>
      </c>
      <c r="E69" s="15">
        <v>0.48</v>
      </c>
    </row>
    <row r="70" spans="1:5" x14ac:dyDescent="0.4">
      <c r="A70" s="73" t="s">
        <v>4658</v>
      </c>
      <c r="B70" s="73" t="s">
        <v>4659</v>
      </c>
      <c r="C70" s="73">
        <v>56</v>
      </c>
      <c r="D70" s="78">
        <v>2772000</v>
      </c>
      <c r="E70" s="15">
        <v>0.48</v>
      </c>
    </row>
    <row r="71" spans="1:5" x14ac:dyDescent="0.4">
      <c r="A71" s="73" t="s">
        <v>604</v>
      </c>
      <c r="B71" s="73" t="s">
        <v>605</v>
      </c>
      <c r="C71" s="73">
        <v>29</v>
      </c>
      <c r="D71" s="78">
        <v>2647700</v>
      </c>
      <c r="E71" s="15">
        <v>0.46</v>
      </c>
    </row>
    <row r="72" spans="1:5" x14ac:dyDescent="0.4">
      <c r="A72" s="73" t="s">
        <v>51</v>
      </c>
      <c r="B72" s="73" t="s">
        <v>52</v>
      </c>
      <c r="C72" s="73">
        <v>69</v>
      </c>
      <c r="D72" s="78">
        <v>2608200</v>
      </c>
      <c r="E72" s="15">
        <v>0.45</v>
      </c>
    </row>
    <row r="73" spans="1:5" x14ac:dyDescent="0.4">
      <c r="A73" s="73" t="s">
        <v>640</v>
      </c>
      <c r="B73" s="73" t="s">
        <v>641</v>
      </c>
      <c r="C73" s="73">
        <v>18</v>
      </c>
      <c r="D73" s="78">
        <v>2502000</v>
      </c>
      <c r="E73" s="15">
        <v>0.44</v>
      </c>
    </row>
    <row r="74" spans="1:5" x14ac:dyDescent="0.4">
      <c r="A74" s="73" t="s">
        <v>4842</v>
      </c>
      <c r="B74" s="73" t="s">
        <v>4843</v>
      </c>
      <c r="C74" s="73">
        <v>175</v>
      </c>
      <c r="D74" s="78">
        <v>2499000</v>
      </c>
      <c r="E74" s="15">
        <v>0.43</v>
      </c>
    </row>
    <row r="75" spans="1:5" x14ac:dyDescent="0.4">
      <c r="A75" s="73" t="s">
        <v>3243</v>
      </c>
      <c r="B75" s="73" t="s">
        <v>3244</v>
      </c>
      <c r="C75" s="73">
        <v>46</v>
      </c>
      <c r="D75" s="78">
        <v>2201100</v>
      </c>
      <c r="E75" s="15">
        <v>0.38</v>
      </c>
    </row>
    <row r="76" spans="1:5" x14ac:dyDescent="0.4">
      <c r="A76" s="73" t="s">
        <v>5054</v>
      </c>
      <c r="B76" s="73" t="s">
        <v>5182</v>
      </c>
      <c r="C76" s="73">
        <v>101</v>
      </c>
      <c r="D76" s="78">
        <v>2166450</v>
      </c>
      <c r="E76" s="15">
        <v>0.38</v>
      </c>
    </row>
    <row r="77" spans="1:5" x14ac:dyDescent="0.4">
      <c r="A77" s="73" t="s">
        <v>39</v>
      </c>
      <c r="B77" s="73" t="s">
        <v>40</v>
      </c>
      <c r="C77" s="78">
        <v>11</v>
      </c>
      <c r="D77" s="78">
        <v>2143900</v>
      </c>
      <c r="E77" s="15">
        <v>0.37</v>
      </c>
    </row>
    <row r="78" spans="1:5" x14ac:dyDescent="0.4">
      <c r="A78" s="73" t="s">
        <v>2475</v>
      </c>
      <c r="B78" s="73" t="s">
        <v>2476</v>
      </c>
      <c r="C78" s="73">
        <v>254</v>
      </c>
      <c r="D78" s="78">
        <v>2090420</v>
      </c>
      <c r="E78" s="15">
        <v>0.36</v>
      </c>
    </row>
    <row r="79" spans="1:5" x14ac:dyDescent="0.4">
      <c r="A79" s="73" t="s">
        <v>418</v>
      </c>
      <c r="B79" s="73" t="s">
        <v>419</v>
      </c>
      <c r="C79" s="73">
        <v>57</v>
      </c>
      <c r="D79" s="78">
        <v>2023500</v>
      </c>
      <c r="E79" s="15">
        <v>0.35</v>
      </c>
    </row>
    <row r="80" spans="1:5" x14ac:dyDescent="0.4">
      <c r="A80" s="73" t="s">
        <v>468</v>
      </c>
      <c r="B80" s="73" t="s">
        <v>5169</v>
      </c>
      <c r="C80" s="73">
        <v>58</v>
      </c>
      <c r="D80" s="78">
        <v>1879200</v>
      </c>
      <c r="E80" s="15">
        <v>0.33</v>
      </c>
    </row>
    <row r="81" spans="1:5" x14ac:dyDescent="0.4">
      <c r="A81" s="73" t="s">
        <v>3434</v>
      </c>
      <c r="B81" s="73" t="s">
        <v>3435</v>
      </c>
      <c r="C81" s="73">
        <v>204</v>
      </c>
      <c r="D81" s="78">
        <v>1689120</v>
      </c>
      <c r="E81" s="15">
        <v>0.28999999999999998</v>
      </c>
    </row>
    <row r="82" spans="1:5" x14ac:dyDescent="0.4">
      <c r="A82" s="73" t="s">
        <v>668</v>
      </c>
      <c r="B82" s="73" t="s">
        <v>669</v>
      </c>
      <c r="C82" s="73">
        <v>104</v>
      </c>
      <c r="D82" s="78">
        <v>1665040</v>
      </c>
      <c r="E82" s="15">
        <v>0.28999999999999998</v>
      </c>
    </row>
    <row r="83" spans="1:5" x14ac:dyDescent="0.4">
      <c r="A83" s="73" t="s">
        <v>610</v>
      </c>
      <c r="B83" s="73" t="s">
        <v>611</v>
      </c>
      <c r="C83" s="73">
        <v>35</v>
      </c>
      <c r="D83" s="78">
        <v>1545250</v>
      </c>
      <c r="E83" s="15">
        <v>0.27</v>
      </c>
    </row>
    <row r="84" spans="1:5" x14ac:dyDescent="0.4">
      <c r="A84" s="73" t="s">
        <v>4836</v>
      </c>
      <c r="B84" s="73" t="s">
        <v>4837</v>
      </c>
      <c r="C84" s="73">
        <v>88</v>
      </c>
      <c r="D84" s="78">
        <v>1513600</v>
      </c>
      <c r="E84" s="15">
        <v>0.26</v>
      </c>
    </row>
    <row r="85" spans="1:5" x14ac:dyDescent="0.4">
      <c r="A85" s="73" t="s">
        <v>1911</v>
      </c>
      <c r="B85" s="73" t="s">
        <v>1912</v>
      </c>
      <c r="C85" s="73">
        <v>73</v>
      </c>
      <c r="D85" s="78">
        <v>1203040</v>
      </c>
      <c r="E85" s="15">
        <v>0.21</v>
      </c>
    </row>
    <row r="86" spans="1:5" x14ac:dyDescent="0.4">
      <c r="A86" s="73" t="s">
        <v>1966</v>
      </c>
      <c r="B86" s="73" t="s">
        <v>1967</v>
      </c>
      <c r="C86" s="78">
        <v>38</v>
      </c>
      <c r="D86" s="78">
        <v>1064000</v>
      </c>
      <c r="E86" s="15">
        <v>0.19</v>
      </c>
    </row>
    <row r="87" spans="1:5" x14ac:dyDescent="0.4">
      <c r="A87" s="73" t="s">
        <v>221</v>
      </c>
      <c r="B87" s="73" t="s">
        <v>222</v>
      </c>
      <c r="C87" s="73">
        <v>15</v>
      </c>
      <c r="D87" s="78">
        <v>678750</v>
      </c>
      <c r="E87" s="15">
        <v>0.12</v>
      </c>
    </row>
    <row r="88" spans="1:5" x14ac:dyDescent="0.4">
      <c r="A88" s="73" t="s">
        <v>4764</v>
      </c>
      <c r="B88" s="73" t="s">
        <v>4765</v>
      </c>
      <c r="C88" s="73">
        <v>21</v>
      </c>
      <c r="D88" s="78">
        <v>624750</v>
      </c>
      <c r="E88" s="15">
        <v>0.11</v>
      </c>
    </row>
    <row r="89" spans="1:5" x14ac:dyDescent="0.4">
      <c r="A89" s="73" t="s">
        <v>3828</v>
      </c>
      <c r="B89" s="73" t="s">
        <v>3829</v>
      </c>
      <c r="C89" s="78">
        <v>25</v>
      </c>
      <c r="D89" s="78">
        <v>266250</v>
      </c>
      <c r="E89" s="15">
        <v>0.05</v>
      </c>
    </row>
    <row r="90" spans="1:5" x14ac:dyDescent="0.4">
      <c r="A90" s="73"/>
      <c r="B90" s="73" t="s">
        <v>10</v>
      </c>
      <c r="C90" s="78">
        <v>-5285493</v>
      </c>
      <c r="D90" s="78">
        <v>-5285493</v>
      </c>
      <c r="E90" s="15"/>
    </row>
    <row r="91" spans="1:5" x14ac:dyDescent="0.4">
      <c r="D91" s="13"/>
      <c r="E91" s="7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5143</v>
      </c>
      <c r="B8" s="6"/>
      <c r="C8" s="6"/>
      <c r="D8" s="6"/>
      <c r="E8" s="14"/>
    </row>
    <row r="9" spans="1:7" x14ac:dyDescent="0.4">
      <c r="A9" s="75" t="s">
        <v>5145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236</v>
      </c>
      <c r="D11" s="76">
        <v>50268000</v>
      </c>
      <c r="E11" s="19">
        <v>10.24</v>
      </c>
      <c r="F11" s="17"/>
      <c r="G11" s="17"/>
    </row>
    <row r="12" spans="1:7" x14ac:dyDescent="0.4">
      <c r="A12" s="73" t="s">
        <v>663</v>
      </c>
      <c r="B12" s="74" t="s">
        <v>664</v>
      </c>
      <c r="C12" s="81">
        <v>549</v>
      </c>
      <c r="D12" s="76">
        <v>26626500</v>
      </c>
      <c r="E12" s="19">
        <v>5.42</v>
      </c>
      <c r="F12" s="17"/>
      <c r="G12" s="17"/>
    </row>
    <row r="13" spans="1:7" x14ac:dyDescent="0.4">
      <c r="A13" s="73" t="s">
        <v>180</v>
      </c>
      <c r="B13" s="73" t="s">
        <v>181</v>
      </c>
      <c r="C13" s="78">
        <v>156</v>
      </c>
      <c r="D13" s="78">
        <v>25833600</v>
      </c>
      <c r="E13" s="15">
        <v>5.26</v>
      </c>
    </row>
    <row r="14" spans="1:7" x14ac:dyDescent="0.4">
      <c r="A14" s="73" t="s">
        <v>491</v>
      </c>
      <c r="B14" s="73" t="s">
        <v>492</v>
      </c>
      <c r="C14" s="78">
        <v>101</v>
      </c>
      <c r="D14" s="78">
        <v>24442000</v>
      </c>
      <c r="E14" s="15">
        <v>4.9800000000000004</v>
      </c>
    </row>
    <row r="15" spans="1:7" x14ac:dyDescent="0.4">
      <c r="A15" s="73" t="s">
        <v>640</v>
      </c>
      <c r="B15" s="73" t="s">
        <v>641</v>
      </c>
      <c r="C15" s="77">
        <v>100</v>
      </c>
      <c r="D15" s="78">
        <v>18920000</v>
      </c>
      <c r="E15" s="15">
        <v>3.85</v>
      </c>
    </row>
    <row r="16" spans="1:7" x14ac:dyDescent="0.4">
      <c r="A16" s="73" t="s">
        <v>31</v>
      </c>
      <c r="B16" s="73" t="s">
        <v>32</v>
      </c>
      <c r="C16" s="77">
        <v>49</v>
      </c>
      <c r="D16" s="78">
        <v>17542000</v>
      </c>
      <c r="E16" s="15">
        <v>3.57</v>
      </c>
    </row>
    <row r="17" spans="1:7" x14ac:dyDescent="0.4">
      <c r="A17" s="73" t="s">
        <v>469</v>
      </c>
      <c r="B17" s="74" t="s">
        <v>470</v>
      </c>
      <c r="C17" s="81">
        <v>79</v>
      </c>
      <c r="D17" s="76">
        <v>16708500</v>
      </c>
      <c r="E17" s="19">
        <v>3.4</v>
      </c>
      <c r="F17" s="17"/>
      <c r="G17" s="17"/>
    </row>
    <row r="18" spans="1:7" x14ac:dyDescent="0.4">
      <c r="A18" s="73" t="s">
        <v>486</v>
      </c>
      <c r="B18" s="73" t="s">
        <v>487</v>
      </c>
      <c r="C18" s="78">
        <v>99</v>
      </c>
      <c r="D18" s="78">
        <v>15572700</v>
      </c>
      <c r="E18" s="15">
        <v>3.17</v>
      </c>
    </row>
    <row r="19" spans="1:7" x14ac:dyDescent="0.4">
      <c r="A19" s="73" t="s">
        <v>756</v>
      </c>
      <c r="B19" s="73" t="s">
        <v>757</v>
      </c>
      <c r="C19" s="78">
        <v>150</v>
      </c>
      <c r="D19" s="78">
        <v>15495000</v>
      </c>
      <c r="E19" s="15">
        <v>3.16</v>
      </c>
    </row>
    <row r="20" spans="1:7" x14ac:dyDescent="0.4">
      <c r="A20" s="73" t="s">
        <v>473</v>
      </c>
      <c r="B20" s="73" t="s">
        <v>474</v>
      </c>
      <c r="C20" s="78">
        <v>249</v>
      </c>
      <c r="D20" s="78">
        <v>12773700</v>
      </c>
      <c r="E20" s="15">
        <v>2.6</v>
      </c>
    </row>
    <row r="21" spans="1:7" x14ac:dyDescent="0.4">
      <c r="A21" s="73" t="s">
        <v>477</v>
      </c>
      <c r="B21" s="73" t="s">
        <v>478</v>
      </c>
      <c r="C21" s="78">
        <v>69</v>
      </c>
      <c r="D21" s="78">
        <v>11488500</v>
      </c>
      <c r="E21" s="15">
        <v>2.34</v>
      </c>
    </row>
    <row r="22" spans="1:7" x14ac:dyDescent="0.4">
      <c r="A22" s="73" t="s">
        <v>410</v>
      </c>
      <c r="B22" s="74" t="s">
        <v>411</v>
      </c>
      <c r="C22" s="76">
        <v>521</v>
      </c>
      <c r="D22" s="76">
        <v>10154290</v>
      </c>
      <c r="E22" s="19">
        <v>2.0699999999999998</v>
      </c>
      <c r="F22" s="17"/>
      <c r="G22" s="17"/>
    </row>
    <row r="23" spans="1:7" x14ac:dyDescent="0.4">
      <c r="A23" s="73" t="s">
        <v>466</v>
      </c>
      <c r="B23" s="74" t="s">
        <v>467</v>
      </c>
      <c r="C23" s="81">
        <v>202</v>
      </c>
      <c r="D23" s="76">
        <v>10140400</v>
      </c>
      <c r="E23" s="19">
        <v>2.0699999999999998</v>
      </c>
      <c r="F23" s="17"/>
      <c r="G23" s="17"/>
    </row>
    <row r="24" spans="1:7" x14ac:dyDescent="0.4">
      <c r="A24" s="73" t="s">
        <v>480</v>
      </c>
      <c r="B24" s="73" t="s">
        <v>481</v>
      </c>
      <c r="C24" s="77">
        <v>49</v>
      </c>
      <c r="D24" s="78">
        <v>10118500</v>
      </c>
      <c r="E24" s="15">
        <v>2.06</v>
      </c>
    </row>
    <row r="25" spans="1:7" x14ac:dyDescent="0.4">
      <c r="A25" s="73" t="s">
        <v>444</v>
      </c>
      <c r="B25" s="73" t="s">
        <v>445</v>
      </c>
      <c r="C25" s="78">
        <v>109</v>
      </c>
      <c r="D25" s="78">
        <v>9973500</v>
      </c>
      <c r="E25" s="15">
        <v>2.0299999999999998</v>
      </c>
    </row>
    <row r="26" spans="1:7" x14ac:dyDescent="0.4">
      <c r="A26" s="73" t="s">
        <v>4616</v>
      </c>
      <c r="B26" s="73" t="s">
        <v>4617</v>
      </c>
      <c r="C26" s="78">
        <v>120</v>
      </c>
      <c r="D26" s="78">
        <v>9756000</v>
      </c>
      <c r="E26" s="15">
        <v>1.99</v>
      </c>
    </row>
    <row r="27" spans="1:7" x14ac:dyDescent="0.4">
      <c r="A27" s="73" t="s">
        <v>232</v>
      </c>
      <c r="B27" s="73" t="s">
        <v>233</v>
      </c>
      <c r="C27" s="78">
        <v>36</v>
      </c>
      <c r="D27" s="78">
        <v>9054000</v>
      </c>
      <c r="E27" s="15">
        <v>1.84</v>
      </c>
    </row>
    <row r="28" spans="1:7" x14ac:dyDescent="0.4">
      <c r="A28" s="73" t="s">
        <v>676</v>
      </c>
      <c r="B28" s="73" t="s">
        <v>677</v>
      </c>
      <c r="C28" s="78">
        <v>74</v>
      </c>
      <c r="D28" s="78">
        <v>8332400</v>
      </c>
      <c r="E28" s="15">
        <v>1.7</v>
      </c>
    </row>
    <row r="29" spans="1:7" x14ac:dyDescent="0.4">
      <c r="A29" s="73" t="s">
        <v>236</v>
      </c>
      <c r="B29" s="73" t="s">
        <v>237</v>
      </c>
      <c r="C29" s="78">
        <v>16</v>
      </c>
      <c r="D29" s="78">
        <v>8304000</v>
      </c>
      <c r="E29" s="15">
        <v>1.69</v>
      </c>
    </row>
    <row r="30" spans="1:7" x14ac:dyDescent="0.4">
      <c r="A30" s="73" t="s">
        <v>3626</v>
      </c>
      <c r="B30" s="73" t="s">
        <v>3627</v>
      </c>
      <c r="C30" s="78">
        <v>220</v>
      </c>
      <c r="D30" s="78">
        <v>8041000</v>
      </c>
      <c r="E30" s="15">
        <v>1.64</v>
      </c>
    </row>
    <row r="31" spans="1:7" x14ac:dyDescent="0.4">
      <c r="A31" s="73" t="s">
        <v>482</v>
      </c>
      <c r="B31" s="73" t="s">
        <v>483</v>
      </c>
      <c r="C31" s="78">
        <v>61</v>
      </c>
      <c r="D31" s="78">
        <v>7301700</v>
      </c>
      <c r="E31" s="15">
        <v>1.49</v>
      </c>
    </row>
    <row r="32" spans="1:7" x14ac:dyDescent="0.4">
      <c r="A32" s="73" t="s">
        <v>397</v>
      </c>
      <c r="B32" s="73" t="s">
        <v>398</v>
      </c>
      <c r="C32" s="78">
        <v>77</v>
      </c>
      <c r="D32" s="78">
        <v>7161000</v>
      </c>
      <c r="E32" s="15">
        <v>1.46</v>
      </c>
    </row>
    <row r="33" spans="1:5" x14ac:dyDescent="0.4">
      <c r="A33" s="73" t="s">
        <v>590</v>
      </c>
      <c r="B33" s="73" t="s">
        <v>591</v>
      </c>
      <c r="C33" s="78">
        <v>249</v>
      </c>
      <c r="D33" s="78">
        <v>6984450</v>
      </c>
      <c r="E33" s="15">
        <v>1.42</v>
      </c>
    </row>
    <row r="34" spans="1:5" x14ac:dyDescent="0.4">
      <c r="A34" s="73" t="s">
        <v>351</v>
      </c>
      <c r="B34" s="73" t="s">
        <v>352</v>
      </c>
      <c r="C34" s="78">
        <v>40</v>
      </c>
      <c r="D34" s="78">
        <v>6828000</v>
      </c>
      <c r="E34" s="15">
        <v>1.39</v>
      </c>
    </row>
    <row r="35" spans="1:5" x14ac:dyDescent="0.4">
      <c r="A35" s="73" t="s">
        <v>45</v>
      </c>
      <c r="B35" s="73" t="s">
        <v>46</v>
      </c>
      <c r="C35" s="73">
        <v>40</v>
      </c>
      <c r="D35" s="78">
        <v>6680000</v>
      </c>
      <c r="E35" s="15">
        <v>1.36</v>
      </c>
    </row>
    <row r="36" spans="1:5" x14ac:dyDescent="0.4">
      <c r="A36" s="73" t="s">
        <v>1994</v>
      </c>
      <c r="B36" s="73" t="s">
        <v>1995</v>
      </c>
      <c r="C36" s="78">
        <v>250</v>
      </c>
      <c r="D36" s="78">
        <v>6387500</v>
      </c>
      <c r="E36" s="15">
        <v>1.3</v>
      </c>
    </row>
    <row r="37" spans="1:5" x14ac:dyDescent="0.4">
      <c r="A37" s="73" t="s">
        <v>35</v>
      </c>
      <c r="B37" s="73" t="s">
        <v>36</v>
      </c>
      <c r="C37" s="78">
        <v>42</v>
      </c>
      <c r="D37" s="78">
        <v>6300000</v>
      </c>
      <c r="E37" s="15">
        <v>1.28</v>
      </c>
    </row>
    <row r="38" spans="1:5" x14ac:dyDescent="0.4">
      <c r="A38" s="73" t="s">
        <v>716</v>
      </c>
      <c r="B38" s="73" t="s">
        <v>717</v>
      </c>
      <c r="C38" s="78">
        <v>499</v>
      </c>
      <c r="D38" s="78">
        <v>6252470</v>
      </c>
      <c r="E38" s="15">
        <v>1.27</v>
      </c>
    </row>
    <row r="39" spans="1:5" x14ac:dyDescent="0.4">
      <c r="A39" s="73" t="s">
        <v>2912</v>
      </c>
      <c r="B39" s="73" t="s">
        <v>2913</v>
      </c>
      <c r="C39" s="78">
        <v>146</v>
      </c>
      <c r="D39" s="78">
        <v>6088200</v>
      </c>
      <c r="E39" s="15">
        <v>1.24</v>
      </c>
    </row>
    <row r="40" spans="1:5" x14ac:dyDescent="0.4">
      <c r="A40" s="73" t="s">
        <v>730</v>
      </c>
      <c r="B40" s="73" t="s">
        <v>731</v>
      </c>
      <c r="C40" s="78">
        <v>100</v>
      </c>
      <c r="D40" s="78">
        <v>6030000</v>
      </c>
      <c r="E40" s="15">
        <v>1.23</v>
      </c>
    </row>
    <row r="41" spans="1:5" x14ac:dyDescent="0.4">
      <c r="A41" s="73" t="s">
        <v>353</v>
      </c>
      <c r="B41" s="73" t="s">
        <v>354</v>
      </c>
      <c r="C41" s="78">
        <v>44</v>
      </c>
      <c r="D41" s="78">
        <v>5838800</v>
      </c>
      <c r="E41" s="15">
        <v>1.19</v>
      </c>
    </row>
    <row r="42" spans="1:5" x14ac:dyDescent="0.4">
      <c r="A42" s="73" t="s">
        <v>37</v>
      </c>
      <c r="B42" s="73" t="s">
        <v>38</v>
      </c>
      <c r="C42" s="78">
        <v>62</v>
      </c>
      <c r="D42" s="78">
        <v>5728800</v>
      </c>
      <c r="E42" s="15">
        <v>1.17</v>
      </c>
    </row>
    <row r="43" spans="1:5" x14ac:dyDescent="0.4">
      <c r="A43" s="73" t="s">
        <v>484</v>
      </c>
      <c r="B43" s="73" t="s">
        <v>485</v>
      </c>
      <c r="C43" s="73">
        <v>19</v>
      </c>
      <c r="D43" s="78">
        <v>5082500</v>
      </c>
      <c r="E43" s="15">
        <v>1.04</v>
      </c>
    </row>
    <row r="44" spans="1:5" x14ac:dyDescent="0.4">
      <c r="A44" s="73" t="s">
        <v>3524</v>
      </c>
      <c r="B44" s="73" t="s">
        <v>3525</v>
      </c>
      <c r="C44" s="78">
        <v>192</v>
      </c>
      <c r="D44" s="78">
        <v>4982400</v>
      </c>
      <c r="E44" s="15">
        <v>1.02</v>
      </c>
    </row>
    <row r="45" spans="1:5" x14ac:dyDescent="0.4">
      <c r="A45" s="73" t="s">
        <v>734</v>
      </c>
      <c r="B45" s="73" t="s">
        <v>735</v>
      </c>
      <c r="C45" s="78">
        <v>49</v>
      </c>
      <c r="D45" s="78">
        <v>4689300</v>
      </c>
      <c r="E45" s="15">
        <v>0.96</v>
      </c>
    </row>
    <row r="46" spans="1:5" x14ac:dyDescent="0.4">
      <c r="A46" s="73" t="s">
        <v>661</v>
      </c>
      <c r="B46" s="73" t="s">
        <v>662</v>
      </c>
      <c r="C46" s="78">
        <v>88</v>
      </c>
      <c r="D46" s="78">
        <v>4417600</v>
      </c>
      <c r="E46" s="15">
        <v>0.9</v>
      </c>
    </row>
    <row r="47" spans="1:5" x14ac:dyDescent="0.4">
      <c r="A47" s="73" t="s">
        <v>718</v>
      </c>
      <c r="B47" s="73" t="s">
        <v>719</v>
      </c>
      <c r="C47" s="73">
        <v>53</v>
      </c>
      <c r="D47" s="78">
        <v>4377800</v>
      </c>
      <c r="E47" s="15">
        <v>0.89</v>
      </c>
    </row>
    <row r="48" spans="1:5" x14ac:dyDescent="0.4">
      <c r="A48" s="73" t="s">
        <v>1438</v>
      </c>
      <c r="B48" s="73" t="s">
        <v>1439</v>
      </c>
      <c r="C48" s="73">
        <v>308</v>
      </c>
      <c r="D48" s="78">
        <v>4265800</v>
      </c>
      <c r="E48" s="15">
        <v>0.87</v>
      </c>
    </row>
    <row r="49" spans="1:5" x14ac:dyDescent="0.4">
      <c r="A49" s="73" t="s">
        <v>252</v>
      </c>
      <c r="B49" s="73" t="s">
        <v>253</v>
      </c>
      <c r="C49" s="73">
        <v>50</v>
      </c>
      <c r="D49" s="78">
        <v>4070000</v>
      </c>
      <c r="E49" s="15">
        <v>0.83</v>
      </c>
    </row>
    <row r="50" spans="1:5" x14ac:dyDescent="0.4">
      <c r="A50" s="73" t="s">
        <v>4836</v>
      </c>
      <c r="B50" s="73" t="s">
        <v>4837</v>
      </c>
      <c r="C50" s="78">
        <v>251</v>
      </c>
      <c r="D50" s="78">
        <v>3953250</v>
      </c>
      <c r="E50" s="15">
        <v>0.81</v>
      </c>
    </row>
    <row r="51" spans="1:5" x14ac:dyDescent="0.4">
      <c r="A51" s="73" t="s">
        <v>616</v>
      </c>
      <c r="B51" s="73" t="s">
        <v>617</v>
      </c>
      <c r="C51" s="78">
        <v>100</v>
      </c>
      <c r="D51" s="78">
        <v>3685000</v>
      </c>
      <c r="E51" s="15">
        <v>0.75</v>
      </c>
    </row>
    <row r="52" spans="1:5" x14ac:dyDescent="0.4">
      <c r="A52" s="73" t="s">
        <v>604</v>
      </c>
      <c r="B52" s="73" t="s">
        <v>605</v>
      </c>
      <c r="C52" s="73">
        <v>80</v>
      </c>
      <c r="D52" s="78">
        <v>3520000</v>
      </c>
      <c r="E52" s="15">
        <v>0.72</v>
      </c>
    </row>
    <row r="53" spans="1:5" x14ac:dyDescent="0.4">
      <c r="A53" s="73" t="s">
        <v>432</v>
      </c>
      <c r="B53" s="73" t="s">
        <v>433</v>
      </c>
      <c r="C53" s="78">
        <v>62</v>
      </c>
      <c r="D53" s="78">
        <v>3496800</v>
      </c>
      <c r="E53" s="15">
        <v>0.71</v>
      </c>
    </row>
    <row r="54" spans="1:5" x14ac:dyDescent="0.4">
      <c r="A54" s="73" t="s">
        <v>3922</v>
      </c>
      <c r="B54" s="73" t="s">
        <v>3923</v>
      </c>
      <c r="C54" s="73">
        <v>50</v>
      </c>
      <c r="D54" s="78">
        <v>3225000</v>
      </c>
      <c r="E54" s="15">
        <v>0.66</v>
      </c>
    </row>
    <row r="55" spans="1:5" x14ac:dyDescent="0.4">
      <c r="A55" s="73" t="s">
        <v>4956</v>
      </c>
      <c r="B55" s="73" t="s">
        <v>4957</v>
      </c>
      <c r="C55" s="78">
        <v>213</v>
      </c>
      <c r="D55" s="78">
        <v>3224820</v>
      </c>
      <c r="E55" s="15">
        <v>0.66</v>
      </c>
    </row>
    <row r="56" spans="1:5" x14ac:dyDescent="0.4">
      <c r="A56" s="73" t="s">
        <v>720</v>
      </c>
      <c r="B56" s="73" t="s">
        <v>721</v>
      </c>
      <c r="C56" s="78">
        <v>30</v>
      </c>
      <c r="D56" s="78">
        <v>2790000</v>
      </c>
      <c r="E56" s="15">
        <v>0.56999999999999995</v>
      </c>
    </row>
    <row r="57" spans="1:5" x14ac:dyDescent="0.4">
      <c r="A57" s="73" t="s">
        <v>468</v>
      </c>
      <c r="B57" s="73" t="s">
        <v>5169</v>
      </c>
      <c r="C57" s="73">
        <v>70</v>
      </c>
      <c r="D57" s="78">
        <v>2789500</v>
      </c>
      <c r="E57" s="15">
        <v>0.56999999999999995</v>
      </c>
    </row>
    <row r="58" spans="1:5" x14ac:dyDescent="0.4">
      <c r="A58" s="73" t="s">
        <v>4482</v>
      </c>
      <c r="B58" s="73" t="s">
        <v>4483</v>
      </c>
      <c r="C58" s="73">
        <v>65</v>
      </c>
      <c r="D58" s="78">
        <v>2765750</v>
      </c>
      <c r="E58" s="15">
        <v>0.56000000000000005</v>
      </c>
    </row>
    <row r="59" spans="1:5" x14ac:dyDescent="0.4">
      <c r="A59" s="73" t="s">
        <v>3008</v>
      </c>
      <c r="B59" s="73" t="s">
        <v>3009</v>
      </c>
      <c r="C59" s="73">
        <v>105</v>
      </c>
      <c r="D59" s="78">
        <v>2745750</v>
      </c>
      <c r="E59" s="15">
        <v>0.56000000000000005</v>
      </c>
    </row>
    <row r="60" spans="1:5" x14ac:dyDescent="0.4">
      <c r="A60" s="73" t="s">
        <v>600</v>
      </c>
      <c r="B60" s="73" t="s">
        <v>601</v>
      </c>
      <c r="C60" s="78">
        <v>130</v>
      </c>
      <c r="D60" s="78">
        <v>2558400</v>
      </c>
      <c r="E60" s="15">
        <v>0.52</v>
      </c>
    </row>
    <row r="61" spans="1:5" x14ac:dyDescent="0.4">
      <c r="A61" s="73" t="s">
        <v>41</v>
      </c>
      <c r="B61" s="73" t="s">
        <v>42</v>
      </c>
      <c r="C61" s="78">
        <v>25</v>
      </c>
      <c r="D61" s="78">
        <v>2537500</v>
      </c>
      <c r="E61" s="15">
        <v>0.52</v>
      </c>
    </row>
    <row r="62" spans="1:5" x14ac:dyDescent="0.4">
      <c r="A62" s="73" t="s">
        <v>158</v>
      </c>
      <c r="B62" s="73" t="s">
        <v>159</v>
      </c>
      <c r="C62" s="78">
        <v>29</v>
      </c>
      <c r="D62" s="78">
        <v>2369300</v>
      </c>
      <c r="E62" s="15">
        <v>0.48</v>
      </c>
    </row>
    <row r="63" spans="1:5" x14ac:dyDescent="0.4">
      <c r="A63" s="73" t="s">
        <v>628</v>
      </c>
      <c r="B63" s="73" t="s">
        <v>629</v>
      </c>
      <c r="C63" s="78">
        <v>30</v>
      </c>
      <c r="D63" s="78">
        <v>2352000</v>
      </c>
      <c r="E63" s="15">
        <v>0.48</v>
      </c>
    </row>
    <row r="64" spans="1:5" x14ac:dyDescent="0.4">
      <c r="A64" s="73" t="s">
        <v>4332</v>
      </c>
      <c r="B64" s="73" t="s">
        <v>4333</v>
      </c>
      <c r="C64" s="78">
        <v>32</v>
      </c>
      <c r="D64" s="78">
        <v>2012800</v>
      </c>
      <c r="E64" s="15">
        <v>0.41</v>
      </c>
    </row>
    <row r="65" spans="1:5" x14ac:dyDescent="0.4">
      <c r="A65" s="73" t="s">
        <v>548</v>
      </c>
      <c r="B65" s="73" t="s">
        <v>549</v>
      </c>
      <c r="C65" s="78">
        <v>53</v>
      </c>
      <c r="D65" s="78">
        <v>1884150</v>
      </c>
      <c r="E65" s="15">
        <v>0.38</v>
      </c>
    </row>
    <row r="66" spans="1:5" x14ac:dyDescent="0.4">
      <c r="A66" s="73" t="s">
        <v>684</v>
      </c>
      <c r="B66" s="73" t="s">
        <v>685</v>
      </c>
      <c r="C66" s="78">
        <v>23</v>
      </c>
      <c r="D66" s="78">
        <v>1752600</v>
      </c>
      <c r="E66" s="15">
        <v>0.36</v>
      </c>
    </row>
    <row r="67" spans="1:5" x14ac:dyDescent="0.4">
      <c r="A67" s="73" t="s">
        <v>714</v>
      </c>
      <c r="B67" s="73" t="s">
        <v>715</v>
      </c>
      <c r="C67" s="78">
        <v>99</v>
      </c>
      <c r="D67" s="78">
        <v>1602810</v>
      </c>
      <c r="E67" s="15">
        <v>0.33</v>
      </c>
    </row>
    <row r="68" spans="1:5" x14ac:dyDescent="0.4">
      <c r="A68" s="73" t="s">
        <v>4778</v>
      </c>
      <c r="B68" s="73" t="s">
        <v>4779</v>
      </c>
      <c r="C68" s="73">
        <v>144</v>
      </c>
      <c r="D68" s="78">
        <v>1562400</v>
      </c>
      <c r="E68" s="15">
        <v>0.32</v>
      </c>
    </row>
    <row r="69" spans="1:5" x14ac:dyDescent="0.4">
      <c r="A69" s="73" t="s">
        <v>5160</v>
      </c>
      <c r="B69" s="73" t="s">
        <v>5161</v>
      </c>
      <c r="C69" s="78">
        <v>101</v>
      </c>
      <c r="D69" s="78">
        <v>1494800</v>
      </c>
      <c r="E69" s="15">
        <v>0.3</v>
      </c>
    </row>
    <row r="70" spans="1:5" x14ac:dyDescent="0.4">
      <c r="A70" s="73" t="s">
        <v>4490</v>
      </c>
      <c r="B70" s="73" t="s">
        <v>4491</v>
      </c>
      <c r="C70" s="78">
        <v>25</v>
      </c>
      <c r="D70" s="78">
        <v>1440000</v>
      </c>
      <c r="E70" s="15">
        <v>0.28999999999999998</v>
      </c>
    </row>
    <row r="71" spans="1:5" x14ac:dyDescent="0.4">
      <c r="A71" s="73" t="s">
        <v>39</v>
      </c>
      <c r="B71" s="73" t="s">
        <v>40</v>
      </c>
      <c r="C71" s="78">
        <v>7</v>
      </c>
      <c r="D71" s="78">
        <v>1327200</v>
      </c>
      <c r="E71" s="15">
        <v>0.27</v>
      </c>
    </row>
    <row r="72" spans="1:5" x14ac:dyDescent="0.4">
      <c r="A72" s="73"/>
      <c r="B72" s="73" t="s">
        <v>10</v>
      </c>
      <c r="C72" s="78">
        <v>6747417</v>
      </c>
      <c r="D72" s="78">
        <v>6747417</v>
      </c>
      <c r="E72" s="15">
        <v>1.37</v>
      </c>
    </row>
    <row r="73" spans="1:5" x14ac:dyDescent="0.4">
      <c r="C73" s="13"/>
      <c r="D73" s="13"/>
      <c r="E73" s="7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5143</v>
      </c>
      <c r="B8" s="6"/>
      <c r="C8" s="6"/>
      <c r="D8" s="6"/>
      <c r="E8" s="14"/>
    </row>
    <row r="9" spans="1:5" x14ac:dyDescent="0.4">
      <c r="A9" s="75" t="s">
        <v>5145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236</v>
      </c>
      <c r="D11" s="78">
        <v>39223200</v>
      </c>
      <c r="E11" s="15">
        <v>8.18</v>
      </c>
    </row>
    <row r="12" spans="1:5" x14ac:dyDescent="0.4">
      <c r="A12" s="73" t="s">
        <v>663</v>
      </c>
      <c r="B12" s="73" t="s">
        <v>664</v>
      </c>
      <c r="C12" s="77">
        <v>549</v>
      </c>
      <c r="D12" s="78">
        <v>25391250</v>
      </c>
      <c r="E12" s="15">
        <v>5.3</v>
      </c>
    </row>
    <row r="13" spans="1:5" x14ac:dyDescent="0.4">
      <c r="A13" s="73" t="s">
        <v>180</v>
      </c>
      <c r="B13" s="73" t="s">
        <v>181</v>
      </c>
      <c r="C13" s="78">
        <v>156</v>
      </c>
      <c r="D13" s="78">
        <v>24336000</v>
      </c>
      <c r="E13" s="15">
        <v>5.08</v>
      </c>
    </row>
    <row r="14" spans="1:5" x14ac:dyDescent="0.4">
      <c r="A14" s="73" t="s">
        <v>756</v>
      </c>
      <c r="B14" s="73" t="s">
        <v>757</v>
      </c>
      <c r="C14" s="78">
        <v>210</v>
      </c>
      <c r="D14" s="78">
        <v>24003000</v>
      </c>
      <c r="E14" s="15">
        <v>5.01</v>
      </c>
    </row>
    <row r="15" spans="1:5" x14ac:dyDescent="0.4">
      <c r="A15" s="73" t="s">
        <v>466</v>
      </c>
      <c r="B15" s="73" t="s">
        <v>467</v>
      </c>
      <c r="C15" s="77">
        <v>351</v>
      </c>
      <c r="D15" s="78">
        <v>19866600</v>
      </c>
      <c r="E15" s="15">
        <v>4.1500000000000004</v>
      </c>
    </row>
    <row r="16" spans="1:5" x14ac:dyDescent="0.4">
      <c r="A16" s="73" t="s">
        <v>491</v>
      </c>
      <c r="B16" s="73" t="s">
        <v>492</v>
      </c>
      <c r="C16" s="77">
        <v>101</v>
      </c>
      <c r="D16" s="78">
        <v>19503100</v>
      </c>
      <c r="E16" s="15">
        <v>4.07</v>
      </c>
    </row>
    <row r="17" spans="1:5" x14ac:dyDescent="0.4">
      <c r="A17" s="73" t="s">
        <v>640</v>
      </c>
      <c r="B17" s="73" t="s">
        <v>641</v>
      </c>
      <c r="C17" s="77">
        <v>100</v>
      </c>
      <c r="D17" s="78">
        <v>13900000</v>
      </c>
      <c r="E17" s="15">
        <v>2.9</v>
      </c>
    </row>
    <row r="18" spans="1:5" x14ac:dyDescent="0.4">
      <c r="A18" s="73" t="s">
        <v>486</v>
      </c>
      <c r="B18" s="73" t="s">
        <v>487</v>
      </c>
      <c r="C18" s="78">
        <v>99</v>
      </c>
      <c r="D18" s="78">
        <v>12305700</v>
      </c>
      <c r="E18" s="15">
        <v>2.57</v>
      </c>
    </row>
    <row r="19" spans="1:5" x14ac:dyDescent="0.4">
      <c r="A19" s="73" t="s">
        <v>473</v>
      </c>
      <c r="B19" s="73" t="s">
        <v>474</v>
      </c>
      <c r="C19" s="78">
        <v>249</v>
      </c>
      <c r="D19" s="78">
        <v>12201000</v>
      </c>
      <c r="E19" s="15">
        <v>2.5499999999999998</v>
      </c>
    </row>
    <row r="20" spans="1:5" x14ac:dyDescent="0.4">
      <c r="A20" s="73" t="s">
        <v>444</v>
      </c>
      <c r="B20" s="73" t="s">
        <v>445</v>
      </c>
      <c r="C20" s="78">
        <v>109</v>
      </c>
      <c r="D20" s="78">
        <v>11466800</v>
      </c>
      <c r="E20" s="15">
        <v>2.39</v>
      </c>
    </row>
    <row r="21" spans="1:5" x14ac:dyDescent="0.4">
      <c r="A21" s="73" t="s">
        <v>410</v>
      </c>
      <c r="B21" s="73" t="s">
        <v>411</v>
      </c>
      <c r="C21" s="78">
        <v>521</v>
      </c>
      <c r="D21" s="78">
        <v>10758650</v>
      </c>
      <c r="E21" s="15">
        <v>2.25</v>
      </c>
    </row>
    <row r="22" spans="1:5" x14ac:dyDescent="0.4">
      <c r="A22" s="73" t="s">
        <v>232</v>
      </c>
      <c r="B22" s="73" t="s">
        <v>233</v>
      </c>
      <c r="C22" s="78">
        <v>36</v>
      </c>
      <c r="D22" s="78">
        <v>10332000</v>
      </c>
      <c r="E22" s="15">
        <v>2.16</v>
      </c>
    </row>
    <row r="23" spans="1:5" x14ac:dyDescent="0.4">
      <c r="A23" s="73" t="s">
        <v>676</v>
      </c>
      <c r="B23" s="73" t="s">
        <v>677</v>
      </c>
      <c r="C23" s="77">
        <v>75</v>
      </c>
      <c r="D23" s="78">
        <v>10080000</v>
      </c>
      <c r="E23" s="15">
        <v>2.1</v>
      </c>
    </row>
    <row r="24" spans="1:5" x14ac:dyDescent="0.4">
      <c r="A24" s="73" t="s">
        <v>432</v>
      </c>
      <c r="B24" s="73" t="s">
        <v>433</v>
      </c>
      <c r="C24" s="77">
        <v>149</v>
      </c>
      <c r="D24" s="78">
        <v>10057500</v>
      </c>
      <c r="E24" s="15">
        <v>2.1</v>
      </c>
    </row>
    <row r="25" spans="1:5" x14ac:dyDescent="0.4">
      <c r="A25" s="73" t="s">
        <v>469</v>
      </c>
      <c r="B25" s="73" t="s">
        <v>470</v>
      </c>
      <c r="C25" s="78">
        <v>60</v>
      </c>
      <c r="D25" s="78">
        <v>9900000</v>
      </c>
      <c r="E25" s="15">
        <v>2.0699999999999998</v>
      </c>
    </row>
    <row r="26" spans="1:5" x14ac:dyDescent="0.4">
      <c r="A26" s="73" t="s">
        <v>236</v>
      </c>
      <c r="B26" s="73" t="s">
        <v>237</v>
      </c>
      <c r="C26" s="78">
        <v>16</v>
      </c>
      <c r="D26" s="78">
        <v>9440000</v>
      </c>
      <c r="E26" s="15">
        <v>1.97</v>
      </c>
    </row>
    <row r="27" spans="1:5" x14ac:dyDescent="0.4">
      <c r="A27" s="73" t="s">
        <v>3626</v>
      </c>
      <c r="B27" s="73" t="s">
        <v>3627</v>
      </c>
      <c r="C27" s="78">
        <v>220</v>
      </c>
      <c r="D27" s="78">
        <v>9317000</v>
      </c>
      <c r="E27" s="15">
        <v>1.94</v>
      </c>
    </row>
    <row r="28" spans="1:5" x14ac:dyDescent="0.4">
      <c r="A28" s="73" t="s">
        <v>397</v>
      </c>
      <c r="B28" s="73" t="s">
        <v>398</v>
      </c>
      <c r="C28" s="78">
        <v>77</v>
      </c>
      <c r="D28" s="78">
        <v>8932000</v>
      </c>
      <c r="E28" s="15">
        <v>1.86</v>
      </c>
    </row>
    <row r="29" spans="1:5" x14ac:dyDescent="0.4">
      <c r="A29" s="73" t="s">
        <v>4616</v>
      </c>
      <c r="B29" s="73" t="s">
        <v>4617</v>
      </c>
      <c r="C29" s="78">
        <v>99</v>
      </c>
      <c r="D29" s="78">
        <v>8583300</v>
      </c>
      <c r="E29" s="15">
        <v>1.79</v>
      </c>
    </row>
    <row r="30" spans="1:5" x14ac:dyDescent="0.4">
      <c r="A30" s="73" t="s">
        <v>480</v>
      </c>
      <c r="B30" s="73" t="s">
        <v>481</v>
      </c>
      <c r="C30" s="78">
        <v>49</v>
      </c>
      <c r="D30" s="78">
        <v>8212400</v>
      </c>
      <c r="E30" s="15">
        <v>1.71</v>
      </c>
    </row>
    <row r="31" spans="1:5" x14ac:dyDescent="0.4">
      <c r="A31" s="73" t="s">
        <v>1994</v>
      </c>
      <c r="B31" s="73" t="s">
        <v>1995</v>
      </c>
      <c r="C31" s="78">
        <v>250</v>
      </c>
      <c r="D31" s="78">
        <v>8162500</v>
      </c>
      <c r="E31" s="15">
        <v>1.7</v>
      </c>
    </row>
    <row r="32" spans="1:5" x14ac:dyDescent="0.4">
      <c r="A32" s="73" t="s">
        <v>31</v>
      </c>
      <c r="B32" s="73" t="s">
        <v>32</v>
      </c>
      <c r="C32" s="78">
        <v>23</v>
      </c>
      <c r="D32" s="78">
        <v>8130500</v>
      </c>
      <c r="E32" s="15">
        <v>1.7</v>
      </c>
    </row>
    <row r="33" spans="1:5" x14ac:dyDescent="0.4">
      <c r="A33" s="73" t="s">
        <v>477</v>
      </c>
      <c r="B33" s="73" t="s">
        <v>478</v>
      </c>
      <c r="C33" s="78">
        <v>69</v>
      </c>
      <c r="D33" s="78">
        <v>7762500</v>
      </c>
      <c r="E33" s="15">
        <v>1.62</v>
      </c>
    </row>
    <row r="34" spans="1:5" x14ac:dyDescent="0.4">
      <c r="A34" s="73" t="s">
        <v>353</v>
      </c>
      <c r="B34" s="73" t="s">
        <v>354</v>
      </c>
      <c r="C34" s="78">
        <v>44</v>
      </c>
      <c r="D34" s="78">
        <v>7453600</v>
      </c>
      <c r="E34" s="15">
        <v>1.56</v>
      </c>
    </row>
    <row r="35" spans="1:5" x14ac:dyDescent="0.4">
      <c r="A35" s="73" t="s">
        <v>351</v>
      </c>
      <c r="B35" s="73" t="s">
        <v>352</v>
      </c>
      <c r="C35" s="78">
        <v>40</v>
      </c>
      <c r="D35" s="78">
        <v>7440000</v>
      </c>
      <c r="E35" s="15">
        <v>1.55</v>
      </c>
    </row>
    <row r="36" spans="1:5" x14ac:dyDescent="0.4">
      <c r="A36" s="73" t="s">
        <v>37</v>
      </c>
      <c r="B36" s="73" t="s">
        <v>38</v>
      </c>
      <c r="C36" s="78">
        <v>62</v>
      </c>
      <c r="D36" s="78">
        <v>6894400</v>
      </c>
      <c r="E36" s="15">
        <v>1.44</v>
      </c>
    </row>
    <row r="37" spans="1:5" x14ac:dyDescent="0.4">
      <c r="A37" s="73" t="s">
        <v>730</v>
      </c>
      <c r="B37" s="73" t="s">
        <v>731</v>
      </c>
      <c r="C37" s="78">
        <v>100</v>
      </c>
      <c r="D37" s="78">
        <v>6800000</v>
      </c>
      <c r="E37" s="15">
        <v>1.42</v>
      </c>
    </row>
    <row r="38" spans="1:5" x14ac:dyDescent="0.4">
      <c r="A38" s="73" t="s">
        <v>2912</v>
      </c>
      <c r="B38" s="73" t="s">
        <v>2913</v>
      </c>
      <c r="C38" s="78">
        <v>146</v>
      </c>
      <c r="D38" s="78">
        <v>6365600</v>
      </c>
      <c r="E38" s="15">
        <v>1.33</v>
      </c>
    </row>
    <row r="39" spans="1:5" x14ac:dyDescent="0.4">
      <c r="A39" s="73" t="s">
        <v>590</v>
      </c>
      <c r="B39" s="73" t="s">
        <v>591</v>
      </c>
      <c r="C39" s="78">
        <v>249</v>
      </c>
      <c r="D39" s="78">
        <v>6287250</v>
      </c>
      <c r="E39" s="15">
        <v>1.31</v>
      </c>
    </row>
    <row r="40" spans="1:5" x14ac:dyDescent="0.4">
      <c r="A40" s="73" t="s">
        <v>716</v>
      </c>
      <c r="B40" s="73" t="s">
        <v>717</v>
      </c>
      <c r="C40" s="78">
        <v>499</v>
      </c>
      <c r="D40" s="78">
        <v>6282410</v>
      </c>
      <c r="E40" s="15">
        <v>1.31</v>
      </c>
    </row>
    <row r="41" spans="1:5" x14ac:dyDescent="0.4">
      <c r="A41" s="73" t="s">
        <v>35</v>
      </c>
      <c r="B41" s="73" t="s">
        <v>36</v>
      </c>
      <c r="C41" s="78">
        <v>42</v>
      </c>
      <c r="D41" s="78">
        <v>5653200</v>
      </c>
      <c r="E41" s="15">
        <v>1.18</v>
      </c>
    </row>
    <row r="42" spans="1:5" x14ac:dyDescent="0.4">
      <c r="A42" s="73" t="s">
        <v>734</v>
      </c>
      <c r="B42" s="73" t="s">
        <v>735</v>
      </c>
      <c r="C42" s="78">
        <v>49</v>
      </c>
      <c r="D42" s="78">
        <v>5468400</v>
      </c>
      <c r="E42" s="15">
        <v>1.1399999999999999</v>
      </c>
    </row>
    <row r="43" spans="1:5" x14ac:dyDescent="0.4">
      <c r="A43" s="73" t="s">
        <v>482</v>
      </c>
      <c r="B43" s="73" t="s">
        <v>483</v>
      </c>
      <c r="C43" s="78">
        <v>61</v>
      </c>
      <c r="D43" s="78">
        <v>5392400</v>
      </c>
      <c r="E43" s="15">
        <v>1.1299999999999999</v>
      </c>
    </row>
    <row r="44" spans="1:5" x14ac:dyDescent="0.4">
      <c r="A44" s="73" t="s">
        <v>718</v>
      </c>
      <c r="B44" s="73" t="s">
        <v>719</v>
      </c>
      <c r="C44" s="73">
        <v>53</v>
      </c>
      <c r="D44" s="78">
        <v>5374200</v>
      </c>
      <c r="E44" s="15">
        <v>1.1200000000000001</v>
      </c>
    </row>
    <row r="45" spans="1:5" x14ac:dyDescent="0.4">
      <c r="A45" s="73" t="s">
        <v>3524</v>
      </c>
      <c r="B45" s="73" t="s">
        <v>3525</v>
      </c>
      <c r="C45" s="73">
        <v>192</v>
      </c>
      <c r="D45" s="78">
        <v>5299200</v>
      </c>
      <c r="E45" s="15">
        <v>1.1100000000000001</v>
      </c>
    </row>
    <row r="46" spans="1:5" x14ac:dyDescent="0.4">
      <c r="A46" s="73" t="s">
        <v>1438</v>
      </c>
      <c r="B46" s="73" t="s">
        <v>1439</v>
      </c>
      <c r="C46" s="78">
        <v>308</v>
      </c>
      <c r="D46" s="78">
        <v>5029640</v>
      </c>
      <c r="E46" s="15">
        <v>1.05</v>
      </c>
    </row>
    <row r="47" spans="1:5" x14ac:dyDescent="0.4">
      <c r="A47" s="73" t="s">
        <v>484</v>
      </c>
      <c r="B47" s="73" t="s">
        <v>485</v>
      </c>
      <c r="C47" s="78">
        <v>19</v>
      </c>
      <c r="D47" s="78">
        <v>4854500</v>
      </c>
      <c r="E47" s="15">
        <v>1.01</v>
      </c>
    </row>
    <row r="48" spans="1:5" x14ac:dyDescent="0.4">
      <c r="A48" s="73" t="s">
        <v>252</v>
      </c>
      <c r="B48" s="73" t="s">
        <v>253</v>
      </c>
      <c r="C48" s="78">
        <v>50</v>
      </c>
      <c r="D48" s="78">
        <v>4380000</v>
      </c>
      <c r="E48" s="15">
        <v>0.91</v>
      </c>
    </row>
    <row r="49" spans="1:5" x14ac:dyDescent="0.4">
      <c r="A49" s="73" t="s">
        <v>4836</v>
      </c>
      <c r="B49" s="73" t="s">
        <v>4837</v>
      </c>
      <c r="C49" s="73">
        <v>251</v>
      </c>
      <c r="D49" s="78">
        <v>4317200</v>
      </c>
      <c r="E49" s="15">
        <v>0.9</v>
      </c>
    </row>
    <row r="50" spans="1:5" x14ac:dyDescent="0.4">
      <c r="A50" s="73" t="s">
        <v>661</v>
      </c>
      <c r="B50" s="73" t="s">
        <v>662</v>
      </c>
      <c r="C50" s="78">
        <v>88</v>
      </c>
      <c r="D50" s="78">
        <v>4232800</v>
      </c>
      <c r="E50" s="15">
        <v>0.88</v>
      </c>
    </row>
    <row r="51" spans="1:5" x14ac:dyDescent="0.4">
      <c r="A51" s="73" t="s">
        <v>616</v>
      </c>
      <c r="B51" s="73" t="s">
        <v>617</v>
      </c>
      <c r="C51" s="78">
        <v>100</v>
      </c>
      <c r="D51" s="78">
        <v>3970000</v>
      </c>
      <c r="E51" s="15">
        <v>0.83</v>
      </c>
    </row>
    <row r="52" spans="1:5" x14ac:dyDescent="0.4">
      <c r="A52" s="73" t="s">
        <v>3922</v>
      </c>
      <c r="B52" s="73" t="s">
        <v>3923</v>
      </c>
      <c r="C52" s="78">
        <v>50</v>
      </c>
      <c r="D52" s="78">
        <v>3655000</v>
      </c>
      <c r="E52" s="15">
        <v>0.76</v>
      </c>
    </row>
    <row r="53" spans="1:5" x14ac:dyDescent="0.4">
      <c r="A53" s="73" t="s">
        <v>604</v>
      </c>
      <c r="B53" s="73" t="s">
        <v>605</v>
      </c>
      <c r="C53" s="73">
        <v>40</v>
      </c>
      <c r="D53" s="78">
        <v>3652000</v>
      </c>
      <c r="E53" s="15">
        <v>0.76</v>
      </c>
    </row>
    <row r="54" spans="1:5" x14ac:dyDescent="0.4">
      <c r="A54" s="73" t="s">
        <v>4956</v>
      </c>
      <c r="B54" s="73" t="s">
        <v>4957</v>
      </c>
      <c r="C54" s="78">
        <v>220</v>
      </c>
      <c r="D54" s="78">
        <v>3399000</v>
      </c>
      <c r="E54" s="15">
        <v>0.71</v>
      </c>
    </row>
    <row r="55" spans="1:5" x14ac:dyDescent="0.4">
      <c r="A55" s="73" t="s">
        <v>720</v>
      </c>
      <c r="B55" s="73" t="s">
        <v>721</v>
      </c>
      <c r="C55" s="78">
        <v>30</v>
      </c>
      <c r="D55" s="78">
        <v>3213000</v>
      </c>
      <c r="E55" s="15">
        <v>0.67</v>
      </c>
    </row>
    <row r="56" spans="1:5" x14ac:dyDescent="0.4">
      <c r="A56" s="73" t="s">
        <v>600</v>
      </c>
      <c r="B56" s="73" t="s">
        <v>601</v>
      </c>
      <c r="C56" s="73">
        <v>130</v>
      </c>
      <c r="D56" s="78">
        <v>3081000</v>
      </c>
      <c r="E56" s="15">
        <v>0.64</v>
      </c>
    </row>
    <row r="57" spans="1:5" x14ac:dyDescent="0.4">
      <c r="A57" s="73" t="s">
        <v>3008</v>
      </c>
      <c r="B57" s="73" t="s">
        <v>3009</v>
      </c>
      <c r="C57" s="73">
        <v>105</v>
      </c>
      <c r="D57" s="78">
        <v>3034500</v>
      </c>
      <c r="E57" s="15">
        <v>0.63</v>
      </c>
    </row>
    <row r="58" spans="1:5" x14ac:dyDescent="0.4">
      <c r="A58" s="73" t="s">
        <v>4482</v>
      </c>
      <c r="B58" s="73" t="s">
        <v>4483</v>
      </c>
      <c r="C58" s="73">
        <v>65</v>
      </c>
      <c r="D58" s="78">
        <v>2947750</v>
      </c>
      <c r="E58" s="15">
        <v>0.62</v>
      </c>
    </row>
    <row r="59" spans="1:5" x14ac:dyDescent="0.4">
      <c r="A59" s="73" t="s">
        <v>628</v>
      </c>
      <c r="B59" s="73" t="s">
        <v>629</v>
      </c>
      <c r="C59" s="78">
        <v>30</v>
      </c>
      <c r="D59" s="78">
        <v>2748000</v>
      </c>
      <c r="E59" s="15">
        <v>0.56999999999999995</v>
      </c>
    </row>
    <row r="60" spans="1:5" x14ac:dyDescent="0.4">
      <c r="A60" s="73" t="s">
        <v>158</v>
      </c>
      <c r="B60" s="73" t="s">
        <v>159</v>
      </c>
      <c r="C60" s="73">
        <v>29</v>
      </c>
      <c r="D60" s="78">
        <v>2685400</v>
      </c>
      <c r="E60" s="15">
        <v>0.56000000000000005</v>
      </c>
    </row>
    <row r="61" spans="1:5" x14ac:dyDescent="0.4">
      <c r="A61" s="73" t="s">
        <v>45</v>
      </c>
      <c r="B61" s="73" t="s">
        <v>46</v>
      </c>
      <c r="C61" s="78">
        <v>19</v>
      </c>
      <c r="D61" s="78">
        <v>2508000</v>
      </c>
      <c r="E61" s="15">
        <v>0.52</v>
      </c>
    </row>
    <row r="62" spans="1:5" x14ac:dyDescent="0.4">
      <c r="A62" s="73" t="s">
        <v>41</v>
      </c>
      <c r="B62" s="73" t="s">
        <v>42</v>
      </c>
      <c r="C62" s="78">
        <v>25</v>
      </c>
      <c r="D62" s="78">
        <v>2477500</v>
      </c>
      <c r="E62" s="15">
        <v>0.52</v>
      </c>
    </row>
    <row r="63" spans="1:5" x14ac:dyDescent="0.4">
      <c r="A63" s="73" t="s">
        <v>468</v>
      </c>
      <c r="B63" s="73" t="s">
        <v>5169</v>
      </c>
      <c r="C63" s="78">
        <v>70</v>
      </c>
      <c r="D63" s="78">
        <v>2268000</v>
      </c>
      <c r="E63" s="15">
        <v>0.47</v>
      </c>
    </row>
    <row r="64" spans="1:5" x14ac:dyDescent="0.4">
      <c r="A64" s="73" t="s">
        <v>4332</v>
      </c>
      <c r="B64" s="73" t="s">
        <v>4333</v>
      </c>
      <c r="C64" s="78">
        <v>32</v>
      </c>
      <c r="D64" s="78">
        <v>2105600</v>
      </c>
      <c r="E64" s="15">
        <v>0.44</v>
      </c>
    </row>
    <row r="65" spans="1:5" x14ac:dyDescent="0.4">
      <c r="A65" s="73" t="s">
        <v>5160</v>
      </c>
      <c r="B65" s="73" t="s">
        <v>5161</v>
      </c>
      <c r="C65" s="78">
        <v>101</v>
      </c>
      <c r="D65" s="78">
        <v>1821030</v>
      </c>
      <c r="E65" s="15">
        <v>0.38</v>
      </c>
    </row>
    <row r="66" spans="1:5" x14ac:dyDescent="0.4">
      <c r="A66" s="73" t="s">
        <v>548</v>
      </c>
      <c r="B66" s="73" t="s">
        <v>549</v>
      </c>
      <c r="C66" s="78">
        <v>53</v>
      </c>
      <c r="D66" s="78">
        <v>1759600</v>
      </c>
      <c r="E66" s="15">
        <v>0.37</v>
      </c>
    </row>
    <row r="67" spans="1:5" x14ac:dyDescent="0.4">
      <c r="A67" s="73" t="s">
        <v>714</v>
      </c>
      <c r="B67" s="73" t="s">
        <v>715</v>
      </c>
      <c r="C67" s="78">
        <v>99</v>
      </c>
      <c r="D67" s="78">
        <v>1698840</v>
      </c>
      <c r="E67" s="15">
        <v>0.35</v>
      </c>
    </row>
    <row r="68" spans="1:5" x14ac:dyDescent="0.4">
      <c r="A68" s="73" t="s">
        <v>4778</v>
      </c>
      <c r="B68" s="73" t="s">
        <v>4779</v>
      </c>
      <c r="C68" s="78">
        <v>144</v>
      </c>
      <c r="D68" s="78">
        <v>1689120</v>
      </c>
      <c r="E68" s="15">
        <v>0.35</v>
      </c>
    </row>
    <row r="69" spans="1:5" x14ac:dyDescent="0.4">
      <c r="A69" s="73" t="s">
        <v>684</v>
      </c>
      <c r="B69" s="73" t="s">
        <v>685</v>
      </c>
      <c r="C69" s="78">
        <v>23</v>
      </c>
      <c r="D69" s="78">
        <v>1637600</v>
      </c>
      <c r="E69" s="15">
        <v>0.34</v>
      </c>
    </row>
    <row r="70" spans="1:5" x14ac:dyDescent="0.4">
      <c r="A70" s="73" t="s">
        <v>39</v>
      </c>
      <c r="B70" s="73" t="s">
        <v>40</v>
      </c>
      <c r="C70" s="73">
        <v>7</v>
      </c>
      <c r="D70" s="78">
        <v>1364300</v>
      </c>
      <c r="E70" s="15">
        <v>0.28000000000000003</v>
      </c>
    </row>
    <row r="71" spans="1:5" x14ac:dyDescent="0.4">
      <c r="A71" s="73"/>
      <c r="B71" s="73" t="s">
        <v>10</v>
      </c>
      <c r="C71" s="78">
        <v>8111117</v>
      </c>
      <c r="D71" s="78">
        <v>8111117</v>
      </c>
      <c r="E71" s="15">
        <v>1.69</v>
      </c>
    </row>
    <row r="72" spans="1:5" x14ac:dyDescent="0.4">
      <c r="C72" s="13"/>
      <c r="D72" s="13"/>
      <c r="E72" s="73"/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5148</v>
      </c>
      <c r="B8" s="6"/>
      <c r="C8" s="6"/>
      <c r="D8" s="6"/>
      <c r="E8" s="14"/>
    </row>
    <row r="9" spans="1:7" x14ac:dyDescent="0.4">
      <c r="A9" s="75" t="s">
        <v>5150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432</v>
      </c>
      <c r="B11" s="74" t="s">
        <v>433</v>
      </c>
      <c r="C11" s="76">
        <v>655</v>
      </c>
      <c r="D11" s="76">
        <v>36942000</v>
      </c>
      <c r="E11" s="19">
        <v>7.5</v>
      </c>
      <c r="F11" s="17"/>
      <c r="G11" s="17"/>
    </row>
    <row r="12" spans="1:7" x14ac:dyDescent="0.4">
      <c r="A12" s="73" t="s">
        <v>4778</v>
      </c>
      <c r="B12" s="74" t="s">
        <v>4779</v>
      </c>
      <c r="C12" s="76">
        <v>3020</v>
      </c>
      <c r="D12" s="76">
        <v>32767000</v>
      </c>
      <c r="E12" s="19">
        <v>6.65</v>
      </c>
      <c r="F12" s="17"/>
      <c r="G12" s="17"/>
    </row>
    <row r="13" spans="1:7" x14ac:dyDescent="0.4">
      <c r="A13" s="73" t="s">
        <v>468</v>
      </c>
      <c r="B13" s="74" t="s">
        <v>5169</v>
      </c>
      <c r="C13" s="76">
        <v>756</v>
      </c>
      <c r="D13" s="76">
        <v>30126600</v>
      </c>
      <c r="E13" s="19">
        <v>6.11</v>
      </c>
      <c r="F13" s="17"/>
      <c r="G13" s="17"/>
    </row>
    <row r="14" spans="1:7" x14ac:dyDescent="0.4">
      <c r="A14" s="73" t="s">
        <v>482</v>
      </c>
      <c r="B14" s="74" t="s">
        <v>483</v>
      </c>
      <c r="C14" s="76">
        <v>150</v>
      </c>
      <c r="D14" s="76">
        <v>17955000</v>
      </c>
      <c r="E14" s="19">
        <v>3.64</v>
      </c>
      <c r="F14" s="17"/>
      <c r="G14" s="17"/>
    </row>
    <row r="15" spans="1:7" x14ac:dyDescent="0.4">
      <c r="A15" s="73" t="s">
        <v>477</v>
      </c>
      <c r="B15" s="74" t="s">
        <v>478</v>
      </c>
      <c r="C15" s="76">
        <v>107</v>
      </c>
      <c r="D15" s="76">
        <v>17815500</v>
      </c>
      <c r="E15" s="19">
        <v>3.61</v>
      </c>
      <c r="F15" s="17"/>
      <c r="G15" s="17"/>
    </row>
    <row r="16" spans="1:7" x14ac:dyDescent="0.4">
      <c r="A16" s="73" t="s">
        <v>590</v>
      </c>
      <c r="B16" s="74" t="s">
        <v>591</v>
      </c>
      <c r="C16" s="76">
        <v>612</v>
      </c>
      <c r="D16" s="76">
        <v>17166600</v>
      </c>
      <c r="E16" s="19">
        <v>3.48</v>
      </c>
      <c r="F16" s="17"/>
      <c r="G16" s="17"/>
    </row>
    <row r="17" spans="1:7" x14ac:dyDescent="0.4">
      <c r="A17" s="73" t="s">
        <v>420</v>
      </c>
      <c r="B17" s="73" t="s">
        <v>421</v>
      </c>
      <c r="C17" s="78">
        <v>140</v>
      </c>
      <c r="D17" s="78">
        <v>15078000</v>
      </c>
      <c r="E17" s="15">
        <v>3.06</v>
      </c>
    </row>
    <row r="18" spans="1:7" x14ac:dyDescent="0.4">
      <c r="A18" s="73" t="s">
        <v>752</v>
      </c>
      <c r="B18" s="74" t="s">
        <v>753</v>
      </c>
      <c r="C18" s="76">
        <v>65</v>
      </c>
      <c r="D18" s="76">
        <v>13845000</v>
      </c>
      <c r="E18" s="19">
        <v>2.81</v>
      </c>
      <c r="F18" s="17"/>
      <c r="G18" s="17"/>
    </row>
    <row r="19" spans="1:7" x14ac:dyDescent="0.4">
      <c r="A19" s="73" t="s">
        <v>424</v>
      </c>
      <c r="B19" s="73" t="s">
        <v>425</v>
      </c>
      <c r="C19" s="77">
        <v>3054</v>
      </c>
      <c r="D19" s="78">
        <v>13559760</v>
      </c>
      <c r="E19" s="15">
        <v>2.75</v>
      </c>
    </row>
    <row r="20" spans="1:7" x14ac:dyDescent="0.4">
      <c r="A20" s="73" t="s">
        <v>444</v>
      </c>
      <c r="B20" s="73" t="s">
        <v>445</v>
      </c>
      <c r="C20" s="77">
        <v>142</v>
      </c>
      <c r="D20" s="78">
        <v>12993000</v>
      </c>
      <c r="E20" s="15">
        <v>2.64</v>
      </c>
    </row>
    <row r="21" spans="1:7" x14ac:dyDescent="0.4">
      <c r="A21" s="73" t="s">
        <v>401</v>
      </c>
      <c r="B21" s="73" t="s">
        <v>402</v>
      </c>
      <c r="C21" s="78">
        <v>340</v>
      </c>
      <c r="D21" s="78">
        <v>12784000</v>
      </c>
      <c r="E21" s="15">
        <v>2.59</v>
      </c>
    </row>
    <row r="22" spans="1:7" x14ac:dyDescent="0.4">
      <c r="A22" s="73" t="s">
        <v>469</v>
      </c>
      <c r="B22" s="73" t="s">
        <v>470</v>
      </c>
      <c r="C22" s="77">
        <v>60</v>
      </c>
      <c r="D22" s="78">
        <v>12690000</v>
      </c>
      <c r="E22" s="15">
        <v>2.57</v>
      </c>
    </row>
    <row r="23" spans="1:7" x14ac:dyDescent="0.4">
      <c r="A23" s="73" t="s">
        <v>493</v>
      </c>
      <c r="B23" s="73" t="s">
        <v>494</v>
      </c>
      <c r="C23" s="77">
        <v>44</v>
      </c>
      <c r="D23" s="78">
        <v>12650000</v>
      </c>
      <c r="E23" s="15">
        <v>2.57</v>
      </c>
    </row>
    <row r="24" spans="1:7" x14ac:dyDescent="0.4">
      <c r="A24" s="73" t="s">
        <v>2619</v>
      </c>
      <c r="B24" s="73" t="s">
        <v>2620</v>
      </c>
      <c r="C24" s="77">
        <v>451</v>
      </c>
      <c r="D24" s="78">
        <v>12537800</v>
      </c>
      <c r="E24" s="15">
        <v>2.54</v>
      </c>
    </row>
    <row r="25" spans="1:7" x14ac:dyDescent="0.4">
      <c r="A25" s="73" t="s">
        <v>486</v>
      </c>
      <c r="B25" s="73" t="s">
        <v>487</v>
      </c>
      <c r="C25" s="78">
        <v>77</v>
      </c>
      <c r="D25" s="78">
        <v>12112100</v>
      </c>
      <c r="E25" s="15">
        <v>2.46</v>
      </c>
    </row>
    <row r="26" spans="1:7" x14ac:dyDescent="0.4">
      <c r="A26" s="73" t="s">
        <v>180</v>
      </c>
      <c r="B26" s="73" t="s">
        <v>181</v>
      </c>
      <c r="C26" s="78">
        <v>68</v>
      </c>
      <c r="D26" s="78">
        <v>11260800</v>
      </c>
      <c r="E26" s="15">
        <v>2.2799999999999998</v>
      </c>
    </row>
    <row r="27" spans="1:7" x14ac:dyDescent="0.4">
      <c r="A27" s="73" t="s">
        <v>3264</v>
      </c>
      <c r="B27" s="73" t="s">
        <v>3265</v>
      </c>
      <c r="C27" s="78">
        <v>269</v>
      </c>
      <c r="D27" s="78">
        <v>11163500</v>
      </c>
      <c r="E27" s="15">
        <v>2.2599999999999998</v>
      </c>
    </row>
    <row r="28" spans="1:7" x14ac:dyDescent="0.4">
      <c r="A28" s="73" t="s">
        <v>676</v>
      </c>
      <c r="B28" s="73" t="s">
        <v>677</v>
      </c>
      <c r="C28" s="78">
        <v>98</v>
      </c>
      <c r="D28" s="78">
        <v>11034800</v>
      </c>
      <c r="E28" s="15">
        <v>2.2400000000000002</v>
      </c>
    </row>
    <row r="29" spans="1:7" x14ac:dyDescent="0.4">
      <c r="A29" s="73" t="s">
        <v>2225</v>
      </c>
      <c r="B29" s="73" t="s">
        <v>2226</v>
      </c>
      <c r="C29" s="78">
        <v>950</v>
      </c>
      <c r="D29" s="78">
        <v>10497500</v>
      </c>
      <c r="E29" s="15">
        <v>2.13</v>
      </c>
    </row>
    <row r="30" spans="1:7" x14ac:dyDescent="0.4">
      <c r="A30" s="73" t="s">
        <v>663</v>
      </c>
      <c r="B30" s="73" t="s">
        <v>664</v>
      </c>
      <c r="C30" s="77">
        <v>210</v>
      </c>
      <c r="D30" s="78">
        <v>10185000</v>
      </c>
      <c r="E30" s="15">
        <v>2.0699999999999998</v>
      </c>
    </row>
    <row r="31" spans="1:7" x14ac:dyDescent="0.4">
      <c r="A31" s="73" t="s">
        <v>158</v>
      </c>
      <c r="B31" s="73" t="s">
        <v>159</v>
      </c>
      <c r="C31" s="78">
        <v>112</v>
      </c>
      <c r="D31" s="78">
        <v>9150400</v>
      </c>
      <c r="E31" s="15">
        <v>1.86</v>
      </c>
    </row>
    <row r="32" spans="1:7" x14ac:dyDescent="0.4">
      <c r="A32" s="73" t="s">
        <v>484</v>
      </c>
      <c r="B32" s="73" t="s">
        <v>485</v>
      </c>
      <c r="C32" s="78">
        <v>32</v>
      </c>
      <c r="D32" s="78">
        <v>8560000</v>
      </c>
      <c r="E32" s="15">
        <v>1.74</v>
      </c>
    </row>
    <row r="33" spans="1:5" x14ac:dyDescent="0.4">
      <c r="A33" s="73" t="s">
        <v>4956</v>
      </c>
      <c r="B33" s="73" t="s">
        <v>4957</v>
      </c>
      <c r="C33" s="78">
        <v>540</v>
      </c>
      <c r="D33" s="78">
        <v>8175600</v>
      </c>
      <c r="E33" s="15">
        <v>1.66</v>
      </c>
    </row>
    <row r="34" spans="1:5" x14ac:dyDescent="0.4">
      <c r="A34" s="73" t="s">
        <v>162</v>
      </c>
      <c r="B34" s="73" t="s">
        <v>163</v>
      </c>
      <c r="C34" s="78">
        <v>134</v>
      </c>
      <c r="D34" s="78">
        <v>7571000</v>
      </c>
      <c r="E34" s="15">
        <v>1.54</v>
      </c>
    </row>
    <row r="35" spans="1:5" x14ac:dyDescent="0.4">
      <c r="A35" s="73" t="s">
        <v>359</v>
      </c>
      <c r="B35" s="73" t="s">
        <v>360</v>
      </c>
      <c r="C35" s="78">
        <v>22</v>
      </c>
      <c r="D35" s="78">
        <v>7447000</v>
      </c>
      <c r="E35" s="15">
        <v>1.51</v>
      </c>
    </row>
    <row r="36" spans="1:5" x14ac:dyDescent="0.4">
      <c r="A36" s="73" t="s">
        <v>3055</v>
      </c>
      <c r="B36" s="73" t="s">
        <v>3056</v>
      </c>
      <c r="C36" s="78">
        <v>422</v>
      </c>
      <c r="D36" s="78">
        <v>7385000</v>
      </c>
      <c r="E36" s="15">
        <v>1.5</v>
      </c>
    </row>
    <row r="37" spans="1:5" x14ac:dyDescent="0.4">
      <c r="A37" s="73" t="s">
        <v>680</v>
      </c>
      <c r="B37" s="73" t="s">
        <v>681</v>
      </c>
      <c r="C37" s="78">
        <v>77</v>
      </c>
      <c r="D37" s="78">
        <v>7161000</v>
      </c>
      <c r="E37" s="15">
        <v>1.45</v>
      </c>
    </row>
    <row r="38" spans="1:5" x14ac:dyDescent="0.4">
      <c r="A38" s="73" t="s">
        <v>734</v>
      </c>
      <c r="B38" s="73" t="s">
        <v>735</v>
      </c>
      <c r="C38" s="78">
        <v>73</v>
      </c>
      <c r="D38" s="78">
        <v>6986100</v>
      </c>
      <c r="E38" s="15">
        <v>1.42</v>
      </c>
    </row>
    <row r="39" spans="1:5" x14ac:dyDescent="0.4">
      <c r="A39" s="73" t="s">
        <v>640</v>
      </c>
      <c r="B39" s="73" t="s">
        <v>641</v>
      </c>
      <c r="C39" s="78">
        <v>36</v>
      </c>
      <c r="D39" s="78">
        <v>6811200</v>
      </c>
      <c r="E39" s="15">
        <v>1.38</v>
      </c>
    </row>
    <row r="40" spans="1:5" x14ac:dyDescent="0.4">
      <c r="A40" s="73" t="s">
        <v>351</v>
      </c>
      <c r="B40" s="73" t="s">
        <v>352</v>
      </c>
      <c r="C40" s="78">
        <v>39</v>
      </c>
      <c r="D40" s="78">
        <v>6657300</v>
      </c>
      <c r="E40" s="15">
        <v>1.35</v>
      </c>
    </row>
    <row r="41" spans="1:5" x14ac:dyDescent="0.4">
      <c r="A41" s="73" t="s">
        <v>31</v>
      </c>
      <c r="B41" s="73" t="s">
        <v>32</v>
      </c>
      <c r="C41" s="78">
        <v>18</v>
      </c>
      <c r="D41" s="78">
        <v>6444000</v>
      </c>
      <c r="E41" s="15">
        <v>1.31</v>
      </c>
    </row>
    <row r="42" spans="1:5" x14ac:dyDescent="0.4">
      <c r="A42" s="73" t="s">
        <v>466</v>
      </c>
      <c r="B42" s="73" t="s">
        <v>467</v>
      </c>
      <c r="C42" s="78">
        <v>114</v>
      </c>
      <c r="D42" s="78">
        <v>5722800</v>
      </c>
      <c r="E42" s="15">
        <v>1.1599999999999999</v>
      </c>
    </row>
    <row r="43" spans="1:5" x14ac:dyDescent="0.4">
      <c r="A43" s="73" t="s">
        <v>3652</v>
      </c>
      <c r="B43" s="73" t="s">
        <v>3653</v>
      </c>
      <c r="C43" s="73">
        <v>102</v>
      </c>
      <c r="D43" s="78">
        <v>5640600</v>
      </c>
      <c r="E43" s="15">
        <v>1.1399999999999999</v>
      </c>
    </row>
    <row r="44" spans="1:5" x14ac:dyDescent="0.4">
      <c r="A44" s="73" t="s">
        <v>4259</v>
      </c>
      <c r="B44" s="73" t="s">
        <v>4260</v>
      </c>
      <c r="C44" s="73">
        <v>574</v>
      </c>
      <c r="D44" s="78">
        <v>4764200</v>
      </c>
      <c r="E44" s="15">
        <v>0.97</v>
      </c>
    </row>
    <row r="45" spans="1:5" x14ac:dyDescent="0.4">
      <c r="A45" s="73" t="s">
        <v>37</v>
      </c>
      <c r="B45" s="73" t="s">
        <v>38</v>
      </c>
      <c r="C45" s="78">
        <v>48</v>
      </c>
      <c r="D45" s="78">
        <v>4435200</v>
      </c>
      <c r="E45" s="15">
        <v>0.9</v>
      </c>
    </row>
    <row r="46" spans="1:5" x14ac:dyDescent="0.4">
      <c r="A46" s="73" t="s">
        <v>552</v>
      </c>
      <c r="B46" s="73" t="s">
        <v>553</v>
      </c>
      <c r="C46" s="78">
        <v>46</v>
      </c>
      <c r="D46" s="78">
        <v>4429800</v>
      </c>
      <c r="E46" s="15">
        <v>0.9</v>
      </c>
    </row>
    <row r="47" spans="1:5" x14ac:dyDescent="0.4">
      <c r="A47" s="73" t="s">
        <v>718</v>
      </c>
      <c r="B47" s="73" t="s">
        <v>719</v>
      </c>
      <c r="C47" s="73">
        <v>49</v>
      </c>
      <c r="D47" s="78">
        <v>4047400</v>
      </c>
      <c r="E47" s="15">
        <v>0.82</v>
      </c>
    </row>
    <row r="48" spans="1:5" x14ac:dyDescent="0.4">
      <c r="A48" s="73" t="s">
        <v>542</v>
      </c>
      <c r="B48" s="73" t="s">
        <v>543</v>
      </c>
      <c r="C48" s="73">
        <v>95</v>
      </c>
      <c r="D48" s="78">
        <v>3515000</v>
      </c>
      <c r="E48" s="15">
        <v>0.71</v>
      </c>
    </row>
    <row r="49" spans="1:5" x14ac:dyDescent="0.4">
      <c r="A49" s="73" t="s">
        <v>698</v>
      </c>
      <c r="B49" s="73" t="s">
        <v>699</v>
      </c>
      <c r="C49" s="78">
        <v>83</v>
      </c>
      <c r="D49" s="78">
        <v>3228700</v>
      </c>
      <c r="E49" s="15">
        <v>0.66</v>
      </c>
    </row>
    <row r="50" spans="1:5" x14ac:dyDescent="0.4">
      <c r="A50" s="73" t="s">
        <v>2834</v>
      </c>
      <c r="B50" s="73" t="s">
        <v>2835</v>
      </c>
      <c r="C50" s="78">
        <v>452</v>
      </c>
      <c r="D50" s="78">
        <v>3028400</v>
      </c>
      <c r="E50" s="15">
        <v>0.61</v>
      </c>
    </row>
    <row r="51" spans="1:5" x14ac:dyDescent="0.4">
      <c r="A51" s="73" t="s">
        <v>548</v>
      </c>
      <c r="B51" s="73" t="s">
        <v>549</v>
      </c>
      <c r="C51" s="78">
        <v>85</v>
      </c>
      <c r="D51" s="78">
        <v>3021750</v>
      </c>
      <c r="E51" s="15">
        <v>0.61</v>
      </c>
    </row>
    <row r="52" spans="1:5" x14ac:dyDescent="0.4">
      <c r="A52" s="73" t="s">
        <v>3636</v>
      </c>
      <c r="B52" s="73" t="s">
        <v>3637</v>
      </c>
      <c r="C52" s="78">
        <v>43</v>
      </c>
      <c r="D52" s="78">
        <v>2881000</v>
      </c>
      <c r="E52" s="15">
        <v>0.57999999999999996</v>
      </c>
    </row>
    <row r="53" spans="1:5" x14ac:dyDescent="0.4">
      <c r="A53" s="73" t="s">
        <v>716</v>
      </c>
      <c r="B53" s="73" t="s">
        <v>717</v>
      </c>
      <c r="C53" s="78">
        <v>227</v>
      </c>
      <c r="D53" s="78">
        <v>2844310</v>
      </c>
      <c r="E53" s="15">
        <v>0.57999999999999996</v>
      </c>
    </row>
    <row r="54" spans="1:5" x14ac:dyDescent="0.4">
      <c r="A54" s="73" t="s">
        <v>4606</v>
      </c>
      <c r="B54" s="73" t="s">
        <v>4607</v>
      </c>
      <c r="C54" s="78">
        <v>83</v>
      </c>
      <c r="D54" s="78">
        <v>2693350</v>
      </c>
      <c r="E54" s="15">
        <v>0.55000000000000004</v>
      </c>
    </row>
    <row r="55" spans="1:5" x14ac:dyDescent="0.4">
      <c r="A55" s="73" t="s">
        <v>672</v>
      </c>
      <c r="B55" s="73" t="s">
        <v>673</v>
      </c>
      <c r="C55" s="78">
        <v>56</v>
      </c>
      <c r="D55" s="78">
        <v>2688000</v>
      </c>
      <c r="E55" s="15">
        <v>0.55000000000000004</v>
      </c>
    </row>
    <row r="56" spans="1:5" x14ac:dyDescent="0.4">
      <c r="A56" s="73" t="s">
        <v>2239</v>
      </c>
      <c r="B56" s="73" t="s">
        <v>2240</v>
      </c>
      <c r="C56" s="73">
        <v>77</v>
      </c>
      <c r="D56" s="78">
        <v>2356200</v>
      </c>
      <c r="E56" s="15">
        <v>0.48</v>
      </c>
    </row>
    <row r="57" spans="1:5" x14ac:dyDescent="0.4">
      <c r="A57" s="73" t="s">
        <v>349</v>
      </c>
      <c r="B57" s="73" t="s">
        <v>350</v>
      </c>
      <c r="C57" s="78">
        <v>5</v>
      </c>
      <c r="D57" s="78">
        <v>2175000</v>
      </c>
      <c r="E57" s="15">
        <v>0.44</v>
      </c>
    </row>
    <row r="58" spans="1:5" x14ac:dyDescent="0.4">
      <c r="A58" s="73" t="s">
        <v>754</v>
      </c>
      <c r="B58" s="73" t="s">
        <v>755</v>
      </c>
      <c r="C58" s="78">
        <v>107</v>
      </c>
      <c r="D58" s="78">
        <v>1960240</v>
      </c>
      <c r="E58" s="15">
        <v>0.4</v>
      </c>
    </row>
    <row r="59" spans="1:5" x14ac:dyDescent="0.4">
      <c r="A59" s="73" t="s">
        <v>582</v>
      </c>
      <c r="B59" s="73" t="s">
        <v>583</v>
      </c>
      <c r="C59" s="78">
        <v>85</v>
      </c>
      <c r="D59" s="78">
        <v>1950750</v>
      </c>
      <c r="E59" s="15">
        <v>0.4</v>
      </c>
    </row>
    <row r="60" spans="1:5" x14ac:dyDescent="0.4">
      <c r="A60" s="73" t="s">
        <v>4490</v>
      </c>
      <c r="B60" s="73" t="s">
        <v>4491</v>
      </c>
      <c r="C60" s="78">
        <v>33</v>
      </c>
      <c r="D60" s="78">
        <v>1900800</v>
      </c>
      <c r="E60" s="15">
        <v>0.39</v>
      </c>
    </row>
    <row r="61" spans="1:5" x14ac:dyDescent="0.4">
      <c r="A61" s="73" t="s">
        <v>504</v>
      </c>
      <c r="B61" s="73" t="s">
        <v>505</v>
      </c>
      <c r="C61" s="78">
        <v>135</v>
      </c>
      <c r="D61" s="78">
        <v>1890000</v>
      </c>
      <c r="E61" s="15">
        <v>0.38</v>
      </c>
    </row>
    <row r="62" spans="1:5" x14ac:dyDescent="0.4">
      <c r="A62" s="73" t="s">
        <v>4155</v>
      </c>
      <c r="B62" s="73" t="s">
        <v>4156</v>
      </c>
      <c r="C62" s="78">
        <v>510</v>
      </c>
      <c r="D62" s="78">
        <v>1828350</v>
      </c>
      <c r="E62" s="15">
        <v>0.37</v>
      </c>
    </row>
    <row r="63" spans="1:5" x14ac:dyDescent="0.4">
      <c r="A63" s="73" t="s">
        <v>766</v>
      </c>
      <c r="B63" s="73" t="s">
        <v>767</v>
      </c>
      <c r="C63" s="78">
        <v>183</v>
      </c>
      <c r="D63" s="78">
        <v>1738500</v>
      </c>
      <c r="E63" s="15">
        <v>0.35</v>
      </c>
    </row>
    <row r="64" spans="1:5" x14ac:dyDescent="0.4">
      <c r="A64" s="73" t="s">
        <v>3028</v>
      </c>
      <c r="B64" s="73" t="s">
        <v>3029</v>
      </c>
      <c r="C64" s="78">
        <v>107</v>
      </c>
      <c r="D64" s="78">
        <v>1735540</v>
      </c>
      <c r="E64" s="15">
        <v>0.35</v>
      </c>
    </row>
    <row r="65" spans="1:5" x14ac:dyDescent="0.4">
      <c r="A65" s="73" t="s">
        <v>45</v>
      </c>
      <c r="B65" s="73" t="s">
        <v>46</v>
      </c>
      <c r="C65" s="73">
        <v>9</v>
      </c>
      <c r="D65" s="78">
        <v>1503000</v>
      </c>
      <c r="E65" s="15">
        <v>0.3</v>
      </c>
    </row>
    <row r="66" spans="1:5" x14ac:dyDescent="0.4">
      <c r="A66" s="73" t="s">
        <v>61</v>
      </c>
      <c r="B66" s="73" t="s">
        <v>62</v>
      </c>
      <c r="C66" s="78">
        <v>4</v>
      </c>
      <c r="D66" s="78">
        <v>1466000</v>
      </c>
      <c r="E66" s="15">
        <v>0.3</v>
      </c>
    </row>
    <row r="67" spans="1:5" x14ac:dyDescent="0.4">
      <c r="A67" s="73" t="s">
        <v>610</v>
      </c>
      <c r="B67" s="73" t="s">
        <v>611</v>
      </c>
      <c r="C67" s="78">
        <v>40</v>
      </c>
      <c r="D67" s="78">
        <v>1454000</v>
      </c>
      <c r="E67" s="15">
        <v>0.28999999999999998</v>
      </c>
    </row>
    <row r="68" spans="1:5" x14ac:dyDescent="0.4">
      <c r="A68" s="73" t="s">
        <v>730</v>
      </c>
      <c r="B68" s="73" t="s">
        <v>731</v>
      </c>
      <c r="C68" s="78">
        <v>19</v>
      </c>
      <c r="D68" s="78">
        <v>1145700</v>
      </c>
      <c r="E68" s="15">
        <v>0.23</v>
      </c>
    </row>
    <row r="69" spans="1:5" x14ac:dyDescent="0.4">
      <c r="A69" s="73" t="s">
        <v>35</v>
      </c>
      <c r="B69" s="73" t="s">
        <v>36</v>
      </c>
      <c r="C69" s="78">
        <v>7</v>
      </c>
      <c r="D69" s="78">
        <v>1050000</v>
      </c>
      <c r="E69" s="15">
        <v>0.21</v>
      </c>
    </row>
    <row r="70" spans="1:5" x14ac:dyDescent="0.4">
      <c r="A70" s="73" t="s">
        <v>624</v>
      </c>
      <c r="B70" s="73" t="s">
        <v>625</v>
      </c>
      <c r="C70" s="78">
        <v>82</v>
      </c>
      <c r="D70" s="78">
        <v>892160</v>
      </c>
      <c r="E70" s="15">
        <v>0.18</v>
      </c>
    </row>
    <row r="71" spans="1:5" x14ac:dyDescent="0.4">
      <c r="A71" s="73" t="s">
        <v>1539</v>
      </c>
      <c r="B71" s="73" t="s">
        <v>1540</v>
      </c>
      <c r="C71" s="73">
        <v>27</v>
      </c>
      <c r="D71" s="78">
        <v>888300</v>
      </c>
      <c r="E71" s="15">
        <v>0.18</v>
      </c>
    </row>
    <row r="72" spans="1:5" x14ac:dyDescent="0.4">
      <c r="A72" s="73" t="s">
        <v>279</v>
      </c>
      <c r="B72" s="73" t="s">
        <v>280</v>
      </c>
      <c r="C72" s="73">
        <v>73</v>
      </c>
      <c r="D72" s="78">
        <v>751170</v>
      </c>
      <c r="E72" s="15">
        <v>0.15</v>
      </c>
    </row>
    <row r="73" spans="1:5" x14ac:dyDescent="0.4">
      <c r="A73" s="73" t="s">
        <v>49</v>
      </c>
      <c r="B73" s="73" t="s">
        <v>50</v>
      </c>
      <c r="C73" s="78">
        <v>4</v>
      </c>
      <c r="D73" s="78">
        <v>526400</v>
      </c>
      <c r="E73" s="15">
        <v>0.11</v>
      </c>
    </row>
    <row r="74" spans="1:5" x14ac:dyDescent="0.4">
      <c r="A74" s="73" t="s">
        <v>3147</v>
      </c>
      <c r="B74" s="73" t="s">
        <v>3148</v>
      </c>
      <c r="C74" s="78">
        <v>16</v>
      </c>
      <c r="D74" s="78">
        <v>459200</v>
      </c>
      <c r="E74" s="15">
        <v>0.09</v>
      </c>
    </row>
    <row r="75" spans="1:5" x14ac:dyDescent="0.4">
      <c r="A75" s="73" t="s">
        <v>706</v>
      </c>
      <c r="B75" s="73" t="s">
        <v>707</v>
      </c>
      <c r="C75" s="78">
        <v>11</v>
      </c>
      <c r="D75" s="78">
        <v>457050</v>
      </c>
      <c r="E75" s="15">
        <v>0.09</v>
      </c>
    </row>
    <row r="76" spans="1:5" x14ac:dyDescent="0.4">
      <c r="A76" s="73" t="s">
        <v>418</v>
      </c>
      <c r="B76" s="73" t="s">
        <v>419</v>
      </c>
      <c r="C76" s="78">
        <v>14</v>
      </c>
      <c r="D76" s="78">
        <v>455700</v>
      </c>
      <c r="E76" s="15">
        <v>0.09</v>
      </c>
    </row>
    <row r="77" spans="1:5" x14ac:dyDescent="0.4">
      <c r="A77" s="73" t="s">
        <v>668</v>
      </c>
      <c r="B77" s="73" t="s">
        <v>669</v>
      </c>
      <c r="C77" s="78">
        <v>30</v>
      </c>
      <c r="D77" s="78">
        <v>429000</v>
      </c>
      <c r="E77" s="15">
        <v>0.09</v>
      </c>
    </row>
    <row r="78" spans="1:5" x14ac:dyDescent="0.4">
      <c r="A78" s="73" t="s">
        <v>3386</v>
      </c>
      <c r="B78" s="73" t="s">
        <v>3387</v>
      </c>
      <c r="C78" s="73">
        <v>8</v>
      </c>
      <c r="D78" s="78">
        <v>394400</v>
      </c>
      <c r="E78" s="15">
        <v>0.08</v>
      </c>
    </row>
    <row r="79" spans="1:5" x14ac:dyDescent="0.4">
      <c r="A79" s="73" t="s">
        <v>3524</v>
      </c>
      <c r="B79" s="73" t="s">
        <v>3525</v>
      </c>
      <c r="C79" s="73">
        <v>14</v>
      </c>
      <c r="D79" s="78">
        <v>363300</v>
      </c>
      <c r="E79" s="15">
        <v>7.0000000000000007E-2</v>
      </c>
    </row>
    <row r="80" spans="1:5" x14ac:dyDescent="0.4">
      <c r="A80" s="73" t="s">
        <v>5194</v>
      </c>
      <c r="B80" s="73" t="s">
        <v>5195</v>
      </c>
      <c r="C80" s="78">
        <v>34</v>
      </c>
      <c r="D80" s="78">
        <v>234600</v>
      </c>
      <c r="E80" s="15">
        <v>0.05</v>
      </c>
    </row>
    <row r="81" spans="1:5" x14ac:dyDescent="0.4">
      <c r="A81" s="73"/>
      <c r="B81" s="73" t="s">
        <v>10</v>
      </c>
      <c r="C81" s="78">
        <v>2429119</v>
      </c>
      <c r="D81" s="78">
        <v>2429119</v>
      </c>
      <c r="E81" s="15">
        <v>0.49</v>
      </c>
    </row>
    <row r="82" spans="1:5" x14ac:dyDescent="0.4">
      <c r="C82" s="13"/>
      <c r="D82" s="13"/>
      <c r="E82" s="73"/>
    </row>
    <row r="83" spans="1:5" x14ac:dyDescent="0.4">
      <c r="C83" s="13"/>
      <c r="D83" s="13"/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5148</v>
      </c>
      <c r="B8" s="6"/>
      <c r="C8" s="6"/>
      <c r="D8" s="6"/>
      <c r="E8" s="14"/>
    </row>
    <row r="9" spans="1:5" x14ac:dyDescent="0.4">
      <c r="A9" s="75" t="s">
        <v>5150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491</v>
      </c>
      <c r="D11" s="78">
        <v>33142500</v>
      </c>
      <c r="E11" s="15">
        <v>6.82</v>
      </c>
    </row>
    <row r="12" spans="1:5" x14ac:dyDescent="0.4">
      <c r="A12" s="73" t="s">
        <v>4778</v>
      </c>
      <c r="B12" s="73" t="s">
        <v>4779</v>
      </c>
      <c r="C12" s="77">
        <v>2663</v>
      </c>
      <c r="D12" s="78">
        <v>31236990</v>
      </c>
      <c r="E12" s="15">
        <v>6.43</v>
      </c>
    </row>
    <row r="13" spans="1:5" x14ac:dyDescent="0.4">
      <c r="A13" s="73" t="s">
        <v>468</v>
      </c>
      <c r="B13" s="73" t="s">
        <v>5169</v>
      </c>
      <c r="C13" s="78">
        <v>944</v>
      </c>
      <c r="D13" s="78">
        <v>30585600</v>
      </c>
      <c r="E13" s="15">
        <v>6.3</v>
      </c>
    </row>
    <row r="14" spans="1:5" x14ac:dyDescent="0.4">
      <c r="A14" s="73" t="s">
        <v>420</v>
      </c>
      <c r="B14" s="73" t="s">
        <v>421</v>
      </c>
      <c r="C14" s="78">
        <v>142</v>
      </c>
      <c r="D14" s="78">
        <v>17295600</v>
      </c>
      <c r="E14" s="15">
        <v>3.56</v>
      </c>
    </row>
    <row r="15" spans="1:5" x14ac:dyDescent="0.4">
      <c r="A15" s="73" t="s">
        <v>444</v>
      </c>
      <c r="B15" s="73" t="s">
        <v>445</v>
      </c>
      <c r="C15" s="77">
        <v>142</v>
      </c>
      <c r="D15" s="78">
        <v>14938400</v>
      </c>
      <c r="E15" s="15">
        <v>3.08</v>
      </c>
    </row>
    <row r="16" spans="1:5" x14ac:dyDescent="0.4">
      <c r="A16" s="73" t="s">
        <v>2619</v>
      </c>
      <c r="B16" s="73" t="s">
        <v>2620</v>
      </c>
      <c r="C16" s="77">
        <v>567</v>
      </c>
      <c r="D16" s="78">
        <v>14515200</v>
      </c>
      <c r="E16" s="15">
        <v>2.99</v>
      </c>
    </row>
    <row r="17" spans="1:5" x14ac:dyDescent="0.4">
      <c r="A17" s="73" t="s">
        <v>401</v>
      </c>
      <c r="B17" s="73" t="s">
        <v>402</v>
      </c>
      <c r="C17" s="77">
        <v>340</v>
      </c>
      <c r="D17" s="78">
        <v>13515000</v>
      </c>
      <c r="E17" s="15">
        <v>2.78</v>
      </c>
    </row>
    <row r="18" spans="1:5" x14ac:dyDescent="0.4">
      <c r="A18" s="73" t="s">
        <v>424</v>
      </c>
      <c r="B18" s="73" t="s">
        <v>425</v>
      </c>
      <c r="C18" s="78">
        <v>3054</v>
      </c>
      <c r="D18" s="78">
        <v>13376520</v>
      </c>
      <c r="E18" s="15">
        <v>2.75</v>
      </c>
    </row>
    <row r="19" spans="1:5" x14ac:dyDescent="0.4">
      <c r="A19" s="73" t="s">
        <v>676</v>
      </c>
      <c r="B19" s="73" t="s">
        <v>677</v>
      </c>
      <c r="C19" s="78">
        <v>98</v>
      </c>
      <c r="D19" s="78">
        <v>13171200</v>
      </c>
      <c r="E19" s="15">
        <v>2.71</v>
      </c>
    </row>
    <row r="20" spans="1:5" x14ac:dyDescent="0.4">
      <c r="A20" s="73" t="s">
        <v>477</v>
      </c>
      <c r="B20" s="73" t="s">
        <v>478</v>
      </c>
      <c r="C20" s="78">
        <v>116</v>
      </c>
      <c r="D20" s="78">
        <v>13050000</v>
      </c>
      <c r="E20" s="15">
        <v>2.69</v>
      </c>
    </row>
    <row r="21" spans="1:5" x14ac:dyDescent="0.4">
      <c r="A21" s="73" t="s">
        <v>482</v>
      </c>
      <c r="B21" s="73" t="s">
        <v>483</v>
      </c>
      <c r="C21" s="78">
        <v>144</v>
      </c>
      <c r="D21" s="78">
        <v>12729600</v>
      </c>
      <c r="E21" s="15">
        <v>2.62</v>
      </c>
    </row>
    <row r="22" spans="1:5" x14ac:dyDescent="0.4">
      <c r="A22" s="73" t="s">
        <v>590</v>
      </c>
      <c r="B22" s="73" t="s">
        <v>591</v>
      </c>
      <c r="C22" s="78">
        <v>493</v>
      </c>
      <c r="D22" s="78">
        <v>12448250</v>
      </c>
      <c r="E22" s="15">
        <v>2.56</v>
      </c>
    </row>
    <row r="23" spans="1:5" x14ac:dyDescent="0.4">
      <c r="A23" s="73" t="s">
        <v>2225</v>
      </c>
      <c r="B23" s="73" t="s">
        <v>2226</v>
      </c>
      <c r="C23" s="77">
        <v>978</v>
      </c>
      <c r="D23" s="78">
        <v>12225000</v>
      </c>
      <c r="E23" s="15">
        <v>2.52</v>
      </c>
    </row>
    <row r="24" spans="1:5" x14ac:dyDescent="0.4">
      <c r="A24" s="73" t="s">
        <v>3264</v>
      </c>
      <c r="B24" s="73" t="s">
        <v>3265</v>
      </c>
      <c r="C24" s="77">
        <v>269</v>
      </c>
      <c r="D24" s="78">
        <v>12172250</v>
      </c>
      <c r="E24" s="15">
        <v>2.5099999999999998</v>
      </c>
    </row>
    <row r="25" spans="1:5" x14ac:dyDescent="0.4">
      <c r="A25" s="73" t="s">
        <v>752</v>
      </c>
      <c r="B25" s="73" t="s">
        <v>753</v>
      </c>
      <c r="C25" s="78">
        <v>64</v>
      </c>
      <c r="D25" s="78">
        <v>10636800</v>
      </c>
      <c r="E25" s="15">
        <v>2.19</v>
      </c>
    </row>
    <row r="26" spans="1:5" x14ac:dyDescent="0.4">
      <c r="A26" s="73" t="s">
        <v>493</v>
      </c>
      <c r="B26" s="73" t="s">
        <v>494</v>
      </c>
      <c r="C26" s="78">
        <v>41</v>
      </c>
      <c r="D26" s="78">
        <v>10598500</v>
      </c>
      <c r="E26" s="15">
        <v>2.1800000000000002</v>
      </c>
    </row>
    <row r="27" spans="1:5" x14ac:dyDescent="0.4">
      <c r="A27" s="73" t="s">
        <v>484</v>
      </c>
      <c r="B27" s="73" t="s">
        <v>485</v>
      </c>
      <c r="C27" s="78">
        <v>41</v>
      </c>
      <c r="D27" s="78">
        <v>10475500</v>
      </c>
      <c r="E27" s="15">
        <v>2.16</v>
      </c>
    </row>
    <row r="28" spans="1:5" x14ac:dyDescent="0.4">
      <c r="A28" s="73" t="s">
        <v>158</v>
      </c>
      <c r="B28" s="73" t="s">
        <v>159</v>
      </c>
      <c r="C28" s="78">
        <v>112</v>
      </c>
      <c r="D28" s="78">
        <v>10371200</v>
      </c>
      <c r="E28" s="15">
        <v>2.14</v>
      </c>
    </row>
    <row r="29" spans="1:5" x14ac:dyDescent="0.4">
      <c r="A29" s="73" t="s">
        <v>486</v>
      </c>
      <c r="B29" s="73" t="s">
        <v>487</v>
      </c>
      <c r="C29" s="78">
        <v>77</v>
      </c>
      <c r="D29" s="78">
        <v>9571100</v>
      </c>
      <c r="E29" s="15">
        <v>1.97</v>
      </c>
    </row>
    <row r="30" spans="1:5" x14ac:dyDescent="0.4">
      <c r="A30" s="73" t="s">
        <v>469</v>
      </c>
      <c r="B30" s="73" t="s">
        <v>470</v>
      </c>
      <c r="C30" s="78">
        <v>52</v>
      </c>
      <c r="D30" s="78">
        <v>8580000</v>
      </c>
      <c r="E30" s="15">
        <v>1.77</v>
      </c>
    </row>
    <row r="31" spans="1:5" x14ac:dyDescent="0.4">
      <c r="A31" s="73" t="s">
        <v>680</v>
      </c>
      <c r="B31" s="73" t="s">
        <v>681</v>
      </c>
      <c r="C31" s="78">
        <v>80</v>
      </c>
      <c r="D31" s="78">
        <v>8168000</v>
      </c>
      <c r="E31" s="15">
        <v>1.68</v>
      </c>
    </row>
    <row r="32" spans="1:5" x14ac:dyDescent="0.4">
      <c r="A32" s="73" t="s">
        <v>734</v>
      </c>
      <c r="B32" s="73" t="s">
        <v>735</v>
      </c>
      <c r="C32" s="78">
        <v>73</v>
      </c>
      <c r="D32" s="78">
        <v>8146800</v>
      </c>
      <c r="E32" s="15">
        <v>1.68</v>
      </c>
    </row>
    <row r="33" spans="1:5" x14ac:dyDescent="0.4">
      <c r="A33" s="73" t="s">
        <v>162</v>
      </c>
      <c r="B33" s="73" t="s">
        <v>163</v>
      </c>
      <c r="C33" s="78">
        <v>134</v>
      </c>
      <c r="D33" s="78">
        <v>8080200</v>
      </c>
      <c r="E33" s="15">
        <v>1.66</v>
      </c>
    </row>
    <row r="34" spans="1:5" x14ac:dyDescent="0.4">
      <c r="A34" s="73" t="s">
        <v>359</v>
      </c>
      <c r="B34" s="73" t="s">
        <v>360</v>
      </c>
      <c r="C34" s="78">
        <v>22</v>
      </c>
      <c r="D34" s="78">
        <v>8052000</v>
      </c>
      <c r="E34" s="15">
        <v>1.66</v>
      </c>
    </row>
    <row r="35" spans="1:5" x14ac:dyDescent="0.4">
      <c r="A35" s="73" t="s">
        <v>180</v>
      </c>
      <c r="B35" s="73" t="s">
        <v>181</v>
      </c>
      <c r="C35" s="78">
        <v>49</v>
      </c>
      <c r="D35" s="78">
        <v>7644000</v>
      </c>
      <c r="E35" s="15">
        <v>1.57</v>
      </c>
    </row>
    <row r="36" spans="1:5" x14ac:dyDescent="0.4">
      <c r="A36" s="73" t="s">
        <v>3055</v>
      </c>
      <c r="B36" s="73" t="s">
        <v>3056</v>
      </c>
      <c r="C36" s="78">
        <v>422</v>
      </c>
      <c r="D36" s="78">
        <v>7596000</v>
      </c>
      <c r="E36" s="15">
        <v>1.56</v>
      </c>
    </row>
    <row r="37" spans="1:5" x14ac:dyDescent="0.4">
      <c r="A37" s="73" t="s">
        <v>351</v>
      </c>
      <c r="B37" s="73" t="s">
        <v>352</v>
      </c>
      <c r="C37" s="78">
        <v>39</v>
      </c>
      <c r="D37" s="78">
        <v>7254000</v>
      </c>
      <c r="E37" s="15">
        <v>1.49</v>
      </c>
    </row>
    <row r="38" spans="1:5" x14ac:dyDescent="0.4">
      <c r="A38" s="73" t="s">
        <v>663</v>
      </c>
      <c r="B38" s="73" t="s">
        <v>664</v>
      </c>
      <c r="C38" s="78">
        <v>148</v>
      </c>
      <c r="D38" s="78">
        <v>6845000</v>
      </c>
      <c r="E38" s="15">
        <v>1.41</v>
      </c>
    </row>
    <row r="39" spans="1:5" x14ac:dyDescent="0.4">
      <c r="A39" s="73" t="s">
        <v>4956</v>
      </c>
      <c r="B39" s="73" t="s">
        <v>4957</v>
      </c>
      <c r="C39" s="78">
        <v>430</v>
      </c>
      <c r="D39" s="78">
        <v>6643500</v>
      </c>
      <c r="E39" s="15">
        <v>1.37</v>
      </c>
    </row>
    <row r="40" spans="1:5" x14ac:dyDescent="0.4">
      <c r="A40" s="73" t="s">
        <v>640</v>
      </c>
      <c r="B40" s="73" t="s">
        <v>641</v>
      </c>
      <c r="C40" s="73">
        <v>47</v>
      </c>
      <c r="D40" s="78">
        <v>6533000</v>
      </c>
      <c r="E40" s="15">
        <v>1.34</v>
      </c>
    </row>
    <row r="41" spans="1:5" x14ac:dyDescent="0.4">
      <c r="A41" s="73" t="s">
        <v>466</v>
      </c>
      <c r="B41" s="73" t="s">
        <v>467</v>
      </c>
      <c r="C41" s="73">
        <v>114</v>
      </c>
      <c r="D41" s="78">
        <v>6452400</v>
      </c>
      <c r="E41" s="15">
        <v>1.33</v>
      </c>
    </row>
    <row r="42" spans="1:5" x14ac:dyDescent="0.4">
      <c r="A42" s="73" t="s">
        <v>31</v>
      </c>
      <c r="B42" s="73" t="s">
        <v>32</v>
      </c>
      <c r="C42" s="73">
        <v>18</v>
      </c>
      <c r="D42" s="78">
        <v>6363000</v>
      </c>
      <c r="E42" s="15">
        <v>1.31</v>
      </c>
    </row>
    <row r="43" spans="1:5" x14ac:dyDescent="0.4">
      <c r="A43" s="73" t="s">
        <v>37</v>
      </c>
      <c r="B43" s="73" t="s">
        <v>38</v>
      </c>
      <c r="C43" s="78">
        <v>48</v>
      </c>
      <c r="D43" s="78">
        <v>5337600</v>
      </c>
      <c r="E43" s="15">
        <v>1.1000000000000001</v>
      </c>
    </row>
    <row r="44" spans="1:5" x14ac:dyDescent="0.4">
      <c r="A44" s="73" t="s">
        <v>672</v>
      </c>
      <c r="B44" s="73" t="s">
        <v>673</v>
      </c>
      <c r="C44" s="73">
        <v>98</v>
      </c>
      <c r="D44" s="78">
        <v>4576600</v>
      </c>
      <c r="E44" s="15">
        <v>0.94</v>
      </c>
    </row>
    <row r="45" spans="1:5" x14ac:dyDescent="0.4">
      <c r="A45" s="73" t="s">
        <v>51</v>
      </c>
      <c r="B45" s="73" t="s">
        <v>52</v>
      </c>
      <c r="C45" s="73">
        <v>120</v>
      </c>
      <c r="D45" s="78">
        <v>4536000</v>
      </c>
      <c r="E45" s="15">
        <v>0.93</v>
      </c>
    </row>
    <row r="46" spans="1:5" x14ac:dyDescent="0.4">
      <c r="A46" s="73" t="s">
        <v>4259</v>
      </c>
      <c r="B46" s="73" t="s">
        <v>4260</v>
      </c>
      <c r="C46" s="78">
        <v>574</v>
      </c>
      <c r="D46" s="78">
        <v>4482940</v>
      </c>
      <c r="E46" s="15">
        <v>0.92</v>
      </c>
    </row>
    <row r="47" spans="1:5" x14ac:dyDescent="0.4">
      <c r="A47" s="73" t="s">
        <v>552</v>
      </c>
      <c r="B47" s="73" t="s">
        <v>553</v>
      </c>
      <c r="C47" s="78">
        <v>39</v>
      </c>
      <c r="D47" s="78">
        <v>4028700</v>
      </c>
      <c r="E47" s="15">
        <v>0.83</v>
      </c>
    </row>
    <row r="48" spans="1:5" x14ac:dyDescent="0.4">
      <c r="A48" s="73" t="s">
        <v>718</v>
      </c>
      <c r="B48" s="73" t="s">
        <v>719</v>
      </c>
      <c r="C48" s="73">
        <v>36</v>
      </c>
      <c r="D48" s="78">
        <v>3650400</v>
      </c>
      <c r="E48" s="15">
        <v>0.75</v>
      </c>
    </row>
    <row r="49" spans="1:5" x14ac:dyDescent="0.4">
      <c r="A49" s="73" t="s">
        <v>3652</v>
      </c>
      <c r="B49" s="73" t="s">
        <v>3653</v>
      </c>
      <c r="C49" s="73">
        <v>68</v>
      </c>
      <c r="D49" s="78">
        <v>3447600</v>
      </c>
      <c r="E49" s="15">
        <v>0.71</v>
      </c>
    </row>
    <row r="50" spans="1:5" x14ac:dyDescent="0.4">
      <c r="A50" s="73" t="s">
        <v>698</v>
      </c>
      <c r="B50" s="73" t="s">
        <v>699</v>
      </c>
      <c r="C50" s="73">
        <v>83</v>
      </c>
      <c r="D50" s="78">
        <v>3403000</v>
      </c>
      <c r="E50" s="15">
        <v>0.7</v>
      </c>
    </row>
    <row r="51" spans="1:5" x14ac:dyDescent="0.4">
      <c r="A51" s="73" t="s">
        <v>548</v>
      </c>
      <c r="B51" s="73" t="s">
        <v>549</v>
      </c>
      <c r="C51" s="78">
        <v>100</v>
      </c>
      <c r="D51" s="78">
        <v>3320000</v>
      </c>
      <c r="E51" s="15">
        <v>0.68</v>
      </c>
    </row>
    <row r="52" spans="1:5" x14ac:dyDescent="0.4">
      <c r="A52" s="73" t="s">
        <v>2834</v>
      </c>
      <c r="B52" s="73" t="s">
        <v>2835</v>
      </c>
      <c r="C52" s="78">
        <v>520</v>
      </c>
      <c r="D52" s="78">
        <v>3276000</v>
      </c>
      <c r="E52" s="15">
        <v>0.67</v>
      </c>
    </row>
    <row r="53" spans="1:5" x14ac:dyDescent="0.4">
      <c r="A53" s="73" t="s">
        <v>542</v>
      </c>
      <c r="B53" s="73" t="s">
        <v>543</v>
      </c>
      <c r="C53" s="73">
        <v>95</v>
      </c>
      <c r="D53" s="78">
        <v>3215750</v>
      </c>
      <c r="E53" s="15">
        <v>0.66</v>
      </c>
    </row>
    <row r="54" spans="1:5" x14ac:dyDescent="0.4">
      <c r="A54" s="73" t="s">
        <v>716</v>
      </c>
      <c r="B54" s="73" t="s">
        <v>717</v>
      </c>
      <c r="C54" s="78">
        <v>227</v>
      </c>
      <c r="D54" s="78">
        <v>2857930</v>
      </c>
      <c r="E54" s="15">
        <v>0.59</v>
      </c>
    </row>
    <row r="55" spans="1:5" x14ac:dyDescent="0.4">
      <c r="A55" s="73" t="s">
        <v>35</v>
      </c>
      <c r="B55" s="73" t="s">
        <v>36</v>
      </c>
      <c r="C55" s="73">
        <v>21</v>
      </c>
      <c r="D55" s="78">
        <v>2826600</v>
      </c>
      <c r="E55" s="15">
        <v>0.57999999999999996</v>
      </c>
    </row>
    <row r="56" spans="1:5" x14ac:dyDescent="0.4">
      <c r="A56" s="73" t="s">
        <v>3636</v>
      </c>
      <c r="B56" s="73" t="s">
        <v>3637</v>
      </c>
      <c r="C56" s="73">
        <v>43</v>
      </c>
      <c r="D56" s="78">
        <v>2773500</v>
      </c>
      <c r="E56" s="15">
        <v>0.56999999999999995</v>
      </c>
    </row>
    <row r="57" spans="1:5" x14ac:dyDescent="0.4">
      <c r="A57" s="73" t="s">
        <v>45</v>
      </c>
      <c r="B57" s="73" t="s">
        <v>46</v>
      </c>
      <c r="C57" s="78">
        <v>20</v>
      </c>
      <c r="D57" s="78">
        <v>2640000</v>
      </c>
      <c r="E57" s="15">
        <v>0.54</v>
      </c>
    </row>
    <row r="58" spans="1:5" x14ac:dyDescent="0.4">
      <c r="A58" s="73" t="s">
        <v>604</v>
      </c>
      <c r="B58" s="73" t="s">
        <v>605</v>
      </c>
      <c r="C58" s="73">
        <v>28</v>
      </c>
      <c r="D58" s="78">
        <v>2556400</v>
      </c>
      <c r="E58" s="15">
        <v>0.53</v>
      </c>
    </row>
    <row r="59" spans="1:5" x14ac:dyDescent="0.4">
      <c r="A59" s="73" t="s">
        <v>349</v>
      </c>
      <c r="B59" s="73" t="s">
        <v>350</v>
      </c>
      <c r="C59" s="73">
        <v>5</v>
      </c>
      <c r="D59" s="78">
        <v>2492500</v>
      </c>
      <c r="E59" s="15">
        <v>0.51</v>
      </c>
    </row>
    <row r="60" spans="1:5" x14ac:dyDescent="0.4">
      <c r="A60" s="73" t="s">
        <v>4490</v>
      </c>
      <c r="B60" s="73" t="s">
        <v>4491</v>
      </c>
      <c r="C60" s="73">
        <v>33</v>
      </c>
      <c r="D60" s="78">
        <v>2065800</v>
      </c>
      <c r="E60" s="15">
        <v>0.43</v>
      </c>
    </row>
    <row r="61" spans="1:5" x14ac:dyDescent="0.4">
      <c r="A61" s="73" t="s">
        <v>754</v>
      </c>
      <c r="B61" s="73" t="s">
        <v>755</v>
      </c>
      <c r="C61" s="78">
        <v>107</v>
      </c>
      <c r="D61" s="78">
        <v>2004110</v>
      </c>
      <c r="E61" s="15">
        <v>0.41</v>
      </c>
    </row>
    <row r="62" spans="1:5" x14ac:dyDescent="0.4">
      <c r="A62" s="73" t="s">
        <v>766</v>
      </c>
      <c r="B62" s="73" t="s">
        <v>767</v>
      </c>
      <c r="C62" s="78">
        <v>183</v>
      </c>
      <c r="D62" s="78">
        <v>1965420</v>
      </c>
      <c r="E62" s="15">
        <v>0.4</v>
      </c>
    </row>
    <row r="63" spans="1:5" x14ac:dyDescent="0.4">
      <c r="A63" s="73" t="s">
        <v>3028</v>
      </c>
      <c r="B63" s="73" t="s">
        <v>3029</v>
      </c>
      <c r="C63" s="78">
        <v>107</v>
      </c>
      <c r="D63" s="78">
        <v>1922790</v>
      </c>
      <c r="E63" s="15">
        <v>0.4</v>
      </c>
    </row>
    <row r="64" spans="1:5" x14ac:dyDescent="0.4">
      <c r="A64" s="73" t="s">
        <v>4606</v>
      </c>
      <c r="B64" s="73" t="s">
        <v>4607</v>
      </c>
      <c r="C64" s="78">
        <v>42</v>
      </c>
      <c r="D64" s="78">
        <v>1919400</v>
      </c>
      <c r="E64" s="15">
        <v>0.4</v>
      </c>
    </row>
    <row r="65" spans="1:5" x14ac:dyDescent="0.4">
      <c r="A65" s="73" t="s">
        <v>4155</v>
      </c>
      <c r="B65" s="73" t="s">
        <v>4156</v>
      </c>
      <c r="C65" s="78">
        <v>399</v>
      </c>
      <c r="D65" s="78">
        <v>1847370</v>
      </c>
      <c r="E65" s="15">
        <v>0.38</v>
      </c>
    </row>
    <row r="66" spans="1:5" x14ac:dyDescent="0.4">
      <c r="A66" s="73" t="s">
        <v>3147</v>
      </c>
      <c r="B66" s="73" t="s">
        <v>3148</v>
      </c>
      <c r="C66" s="73">
        <v>61</v>
      </c>
      <c r="D66" s="78">
        <v>1695800</v>
      </c>
      <c r="E66" s="15">
        <v>0.35</v>
      </c>
    </row>
    <row r="67" spans="1:5" x14ac:dyDescent="0.4">
      <c r="A67" s="73" t="s">
        <v>582</v>
      </c>
      <c r="B67" s="73" t="s">
        <v>583</v>
      </c>
      <c r="C67" s="78">
        <v>58</v>
      </c>
      <c r="D67" s="78">
        <v>1600800</v>
      </c>
      <c r="E67" s="15">
        <v>0.33</v>
      </c>
    </row>
    <row r="68" spans="1:5" x14ac:dyDescent="0.4">
      <c r="A68" s="73" t="s">
        <v>504</v>
      </c>
      <c r="B68" s="73" t="s">
        <v>505</v>
      </c>
      <c r="C68" s="78">
        <v>106</v>
      </c>
      <c r="D68" s="78">
        <v>1516860</v>
      </c>
      <c r="E68" s="15">
        <v>0.31</v>
      </c>
    </row>
    <row r="69" spans="1:5" x14ac:dyDescent="0.4">
      <c r="A69" s="73" t="s">
        <v>418</v>
      </c>
      <c r="B69" s="73" t="s">
        <v>419</v>
      </c>
      <c r="C69" s="78">
        <v>42</v>
      </c>
      <c r="D69" s="78">
        <v>1491000</v>
      </c>
      <c r="E69" s="15">
        <v>0.31</v>
      </c>
    </row>
    <row r="70" spans="1:5" x14ac:dyDescent="0.4">
      <c r="A70" s="73" t="s">
        <v>730</v>
      </c>
      <c r="B70" s="73" t="s">
        <v>731</v>
      </c>
      <c r="C70" s="78">
        <v>19</v>
      </c>
      <c r="D70" s="78">
        <v>1292000</v>
      </c>
      <c r="E70" s="15">
        <v>0.27</v>
      </c>
    </row>
    <row r="71" spans="1:5" x14ac:dyDescent="0.4">
      <c r="A71" s="73" t="s">
        <v>610</v>
      </c>
      <c r="B71" s="73" t="s">
        <v>611</v>
      </c>
      <c r="C71" s="73">
        <v>29</v>
      </c>
      <c r="D71" s="78">
        <v>1280350</v>
      </c>
      <c r="E71" s="15">
        <v>0.26</v>
      </c>
    </row>
    <row r="72" spans="1:5" x14ac:dyDescent="0.4">
      <c r="A72" s="73" t="s">
        <v>668</v>
      </c>
      <c r="B72" s="73" t="s">
        <v>669</v>
      </c>
      <c r="C72" s="73">
        <v>73</v>
      </c>
      <c r="D72" s="78">
        <v>1168730</v>
      </c>
      <c r="E72" s="15">
        <v>0.24</v>
      </c>
    </row>
    <row r="73" spans="1:5" x14ac:dyDescent="0.4">
      <c r="A73" s="73" t="s">
        <v>762</v>
      </c>
      <c r="B73" s="73" t="s">
        <v>763</v>
      </c>
      <c r="C73" s="73">
        <v>50</v>
      </c>
      <c r="D73" s="78">
        <v>1127500</v>
      </c>
      <c r="E73" s="15">
        <v>0.23</v>
      </c>
    </row>
    <row r="74" spans="1:5" x14ac:dyDescent="0.4">
      <c r="A74" s="73" t="s">
        <v>41</v>
      </c>
      <c r="B74" s="73" t="s">
        <v>42</v>
      </c>
      <c r="C74" s="78">
        <v>10</v>
      </c>
      <c r="D74" s="78">
        <v>991000</v>
      </c>
      <c r="E74" s="15">
        <v>0.2</v>
      </c>
    </row>
    <row r="75" spans="1:5" x14ac:dyDescent="0.4">
      <c r="A75" s="73" t="s">
        <v>1539</v>
      </c>
      <c r="B75" s="73" t="s">
        <v>1540</v>
      </c>
      <c r="C75" s="78">
        <v>27</v>
      </c>
      <c r="D75" s="78">
        <v>919350</v>
      </c>
      <c r="E75" s="15">
        <v>0.19</v>
      </c>
    </row>
    <row r="76" spans="1:5" x14ac:dyDescent="0.4">
      <c r="A76" s="73" t="s">
        <v>2239</v>
      </c>
      <c r="B76" s="73" t="s">
        <v>2240</v>
      </c>
      <c r="C76" s="78">
        <v>24</v>
      </c>
      <c r="D76" s="78">
        <v>915600</v>
      </c>
      <c r="E76" s="15">
        <v>0.19</v>
      </c>
    </row>
    <row r="77" spans="1:5" x14ac:dyDescent="0.4">
      <c r="A77" s="73" t="s">
        <v>624</v>
      </c>
      <c r="B77" s="73" t="s">
        <v>625</v>
      </c>
      <c r="C77" s="73">
        <v>82</v>
      </c>
      <c r="D77" s="78">
        <v>914300</v>
      </c>
      <c r="E77" s="15">
        <v>0.19</v>
      </c>
    </row>
    <row r="78" spans="1:5" x14ac:dyDescent="0.4">
      <c r="A78" s="73" t="s">
        <v>560</v>
      </c>
      <c r="B78" s="73" t="s">
        <v>561</v>
      </c>
      <c r="C78" s="73">
        <v>29</v>
      </c>
      <c r="D78" s="78">
        <v>864200</v>
      </c>
      <c r="E78" s="15">
        <v>0.18</v>
      </c>
    </row>
    <row r="79" spans="1:5" x14ac:dyDescent="0.4">
      <c r="A79" s="73" t="s">
        <v>279</v>
      </c>
      <c r="B79" s="73" t="s">
        <v>280</v>
      </c>
      <c r="C79" s="73">
        <v>73</v>
      </c>
      <c r="D79" s="78">
        <v>746790</v>
      </c>
      <c r="E79" s="15">
        <v>0.15</v>
      </c>
    </row>
    <row r="80" spans="1:5" x14ac:dyDescent="0.4">
      <c r="A80" s="73" t="s">
        <v>49</v>
      </c>
      <c r="B80" s="73" t="s">
        <v>50</v>
      </c>
      <c r="C80" s="78">
        <v>4</v>
      </c>
      <c r="D80" s="78">
        <v>487200</v>
      </c>
      <c r="E80" s="15">
        <v>0.1</v>
      </c>
    </row>
    <row r="81" spans="1:5" x14ac:dyDescent="0.4">
      <c r="A81" s="73" t="s">
        <v>634</v>
      </c>
      <c r="B81" s="73" t="s">
        <v>635</v>
      </c>
      <c r="C81" s="73">
        <v>11</v>
      </c>
      <c r="D81" s="78">
        <v>465300</v>
      </c>
      <c r="E81" s="15">
        <v>0.1</v>
      </c>
    </row>
    <row r="82" spans="1:5" x14ac:dyDescent="0.4">
      <c r="A82" s="73" t="s">
        <v>3386</v>
      </c>
      <c r="B82" s="73" t="s">
        <v>3387</v>
      </c>
      <c r="C82" s="78">
        <v>8</v>
      </c>
      <c r="D82" s="78">
        <v>447200</v>
      </c>
      <c r="E82" s="15">
        <v>0.09</v>
      </c>
    </row>
    <row r="83" spans="1:5" x14ac:dyDescent="0.4">
      <c r="A83" s="73" t="s">
        <v>3524</v>
      </c>
      <c r="B83" s="73" t="s">
        <v>3525</v>
      </c>
      <c r="C83" s="78">
        <v>14</v>
      </c>
      <c r="D83" s="78">
        <v>386400</v>
      </c>
      <c r="E83" s="15">
        <v>0.08</v>
      </c>
    </row>
    <row r="84" spans="1:5" x14ac:dyDescent="0.4">
      <c r="A84" s="73" t="s">
        <v>5194</v>
      </c>
      <c r="B84" s="73" t="s">
        <v>5195</v>
      </c>
      <c r="C84" s="73">
        <v>34</v>
      </c>
      <c r="D84" s="78">
        <v>263500</v>
      </c>
      <c r="E84" s="15">
        <v>0.05</v>
      </c>
    </row>
    <row r="85" spans="1:5" x14ac:dyDescent="0.4">
      <c r="A85" s="73"/>
      <c r="B85" s="73" t="s">
        <v>10</v>
      </c>
      <c r="C85" s="78">
        <v>3594595</v>
      </c>
      <c r="D85" s="78">
        <v>3594595</v>
      </c>
      <c r="E85" s="15">
        <v>0.74</v>
      </c>
    </row>
    <row r="86" spans="1:5" x14ac:dyDescent="0.4">
      <c r="D86" s="13"/>
      <c r="E86" s="73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570</v>
      </c>
      <c r="B8" s="6"/>
      <c r="C8" s="6"/>
      <c r="D8" s="6"/>
      <c r="E8" s="14"/>
    </row>
    <row r="9" spans="1:7" x14ac:dyDescent="0.4">
      <c r="A9" s="75" t="s">
        <v>571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188</v>
      </c>
      <c r="B11" s="74" t="s">
        <v>189</v>
      </c>
      <c r="C11" s="76">
        <v>409</v>
      </c>
      <c r="D11" s="76">
        <v>718613000</v>
      </c>
      <c r="E11" s="19">
        <v>21.64</v>
      </c>
      <c r="F11" s="17"/>
      <c r="G11" s="17"/>
    </row>
    <row r="12" spans="1:7" x14ac:dyDescent="0.4">
      <c r="A12" s="73" t="s">
        <v>13</v>
      </c>
      <c r="B12" s="74" t="s">
        <v>14</v>
      </c>
      <c r="C12" s="77">
        <v>275</v>
      </c>
      <c r="D12" s="78">
        <v>704000000</v>
      </c>
      <c r="E12" s="15">
        <v>21.2</v>
      </c>
    </row>
    <row r="13" spans="1:7" x14ac:dyDescent="0.4">
      <c r="A13" s="73" t="s">
        <v>482</v>
      </c>
      <c r="B13" s="73" t="s">
        <v>483</v>
      </c>
      <c r="C13" s="78">
        <v>1419</v>
      </c>
      <c r="D13" s="78">
        <v>169854300</v>
      </c>
      <c r="E13" s="15">
        <v>5.1100000000000003</v>
      </c>
    </row>
    <row r="14" spans="1:7" x14ac:dyDescent="0.4">
      <c r="A14" s="73" t="s">
        <v>469</v>
      </c>
      <c r="B14" s="74" t="s">
        <v>470</v>
      </c>
      <c r="C14" s="76">
        <v>775</v>
      </c>
      <c r="D14" s="76">
        <v>163912500</v>
      </c>
      <c r="E14" s="19">
        <v>4.9400000000000004</v>
      </c>
      <c r="F14" s="17"/>
      <c r="G14" s="17"/>
    </row>
    <row r="15" spans="1:7" x14ac:dyDescent="0.4">
      <c r="A15" s="73" t="s">
        <v>451</v>
      </c>
      <c r="B15" s="74" t="s">
        <v>452</v>
      </c>
      <c r="C15" s="77">
        <v>71</v>
      </c>
      <c r="D15" s="78">
        <v>156555000</v>
      </c>
      <c r="E15" s="15">
        <v>4.71</v>
      </c>
    </row>
    <row r="16" spans="1:7" x14ac:dyDescent="0.4">
      <c r="A16" s="73" t="s">
        <v>477</v>
      </c>
      <c r="B16" s="73" t="s">
        <v>478</v>
      </c>
      <c r="C16" s="77">
        <v>879</v>
      </c>
      <c r="D16" s="78">
        <v>146353500</v>
      </c>
      <c r="E16" s="15">
        <v>4.41</v>
      </c>
    </row>
    <row r="17" spans="1:7" x14ac:dyDescent="0.4">
      <c r="A17" s="73" t="s">
        <v>449</v>
      </c>
      <c r="B17" s="74" t="s">
        <v>450</v>
      </c>
      <c r="C17" s="77">
        <v>151</v>
      </c>
      <c r="D17" s="78">
        <v>136957000</v>
      </c>
      <c r="E17" s="15">
        <v>4.12</v>
      </c>
    </row>
    <row r="18" spans="1:7" x14ac:dyDescent="0.4">
      <c r="A18" s="73" t="s">
        <v>480</v>
      </c>
      <c r="B18" s="73" t="s">
        <v>481</v>
      </c>
      <c r="C18" s="78">
        <v>563</v>
      </c>
      <c r="D18" s="78">
        <v>116259500</v>
      </c>
      <c r="E18" s="15">
        <v>3.5</v>
      </c>
    </row>
    <row r="19" spans="1:7" x14ac:dyDescent="0.4">
      <c r="A19" s="73" t="s">
        <v>486</v>
      </c>
      <c r="B19" s="74" t="s">
        <v>487</v>
      </c>
      <c r="C19" s="76">
        <v>708</v>
      </c>
      <c r="D19" s="76">
        <v>111368400</v>
      </c>
      <c r="E19" s="19">
        <v>3.35</v>
      </c>
      <c r="F19" s="17"/>
      <c r="G19" s="17"/>
    </row>
    <row r="20" spans="1:7" x14ac:dyDescent="0.4">
      <c r="A20" s="73" t="s">
        <v>493</v>
      </c>
      <c r="B20" s="73" t="s">
        <v>494</v>
      </c>
      <c r="C20" s="78">
        <v>379</v>
      </c>
      <c r="D20" s="78">
        <v>108962500</v>
      </c>
      <c r="E20" s="15">
        <v>3.28</v>
      </c>
    </row>
    <row r="21" spans="1:7" x14ac:dyDescent="0.4">
      <c r="A21" s="73" t="s">
        <v>504</v>
      </c>
      <c r="B21" s="73" t="s">
        <v>505</v>
      </c>
      <c r="C21" s="78">
        <v>7076</v>
      </c>
      <c r="D21" s="78">
        <v>99064000</v>
      </c>
      <c r="E21" s="15">
        <v>2.98</v>
      </c>
    </row>
    <row r="22" spans="1:7" x14ac:dyDescent="0.4">
      <c r="A22" s="73" t="s">
        <v>546</v>
      </c>
      <c r="B22" s="73" t="s">
        <v>547</v>
      </c>
      <c r="C22" s="78">
        <v>2964</v>
      </c>
      <c r="D22" s="78">
        <v>85066800</v>
      </c>
      <c r="E22" s="15">
        <v>2.56</v>
      </c>
    </row>
    <row r="23" spans="1:7" x14ac:dyDescent="0.4">
      <c r="A23" s="73" t="s">
        <v>752</v>
      </c>
      <c r="B23" s="73" t="s">
        <v>753</v>
      </c>
      <c r="C23" s="77">
        <v>394</v>
      </c>
      <c r="D23" s="78">
        <v>83922000</v>
      </c>
      <c r="E23" s="15">
        <v>2.5299999999999998</v>
      </c>
    </row>
    <row r="24" spans="1:7" x14ac:dyDescent="0.4">
      <c r="A24" s="73" t="s">
        <v>92</v>
      </c>
      <c r="B24" s="73" t="s">
        <v>93</v>
      </c>
      <c r="C24" s="77">
        <v>51</v>
      </c>
      <c r="D24" s="78">
        <v>81090000</v>
      </c>
      <c r="E24" s="15">
        <v>2.44</v>
      </c>
    </row>
    <row r="25" spans="1:7" x14ac:dyDescent="0.4">
      <c r="A25" s="73" t="s">
        <v>473</v>
      </c>
      <c r="B25" s="73" t="s">
        <v>474</v>
      </c>
      <c r="C25" s="78">
        <v>1547</v>
      </c>
      <c r="D25" s="78">
        <v>79361100</v>
      </c>
      <c r="E25" s="15">
        <v>2.39</v>
      </c>
    </row>
    <row r="26" spans="1:7" x14ac:dyDescent="0.4">
      <c r="A26" s="73" t="s">
        <v>756</v>
      </c>
      <c r="B26" s="73" t="s">
        <v>757</v>
      </c>
      <c r="C26" s="78">
        <v>743</v>
      </c>
      <c r="D26" s="78">
        <v>76751900</v>
      </c>
      <c r="E26" s="15">
        <v>2.31</v>
      </c>
    </row>
    <row r="27" spans="1:7" x14ac:dyDescent="0.4">
      <c r="A27" s="73" t="s">
        <v>349</v>
      </c>
      <c r="B27" s="73" t="s">
        <v>350</v>
      </c>
      <c r="C27" s="78">
        <v>170</v>
      </c>
      <c r="D27" s="78">
        <v>73950000</v>
      </c>
      <c r="E27" s="15">
        <v>2.23</v>
      </c>
    </row>
    <row r="28" spans="1:7" x14ac:dyDescent="0.4">
      <c r="A28" s="73" t="s">
        <v>357</v>
      </c>
      <c r="B28" s="74" t="s">
        <v>358</v>
      </c>
      <c r="C28" s="76">
        <v>1168</v>
      </c>
      <c r="D28" s="76">
        <v>68211200</v>
      </c>
      <c r="E28" s="19">
        <v>2.0499999999999998</v>
      </c>
      <c r="F28" s="17"/>
      <c r="G28" s="17"/>
    </row>
    <row r="29" spans="1:7" x14ac:dyDescent="0.4">
      <c r="A29" s="73" t="s">
        <v>466</v>
      </c>
      <c r="B29" s="73" t="s">
        <v>467</v>
      </c>
      <c r="C29" s="78">
        <v>803</v>
      </c>
      <c r="D29" s="78">
        <v>40310600</v>
      </c>
      <c r="E29" s="15">
        <v>1.21</v>
      </c>
    </row>
    <row r="30" spans="1:7" x14ac:dyDescent="0.4">
      <c r="A30" s="73" t="s">
        <v>574</v>
      </c>
      <c r="B30" s="73" t="s">
        <v>575</v>
      </c>
      <c r="C30" s="78">
        <v>706</v>
      </c>
      <c r="D30" s="78">
        <v>32405400</v>
      </c>
      <c r="E30" s="15">
        <v>0.98</v>
      </c>
    </row>
    <row r="31" spans="1:7" x14ac:dyDescent="0.4">
      <c r="A31" s="73" t="s">
        <v>572</v>
      </c>
      <c r="B31" s="73" t="s">
        <v>573</v>
      </c>
      <c r="C31" s="78">
        <v>512</v>
      </c>
      <c r="D31" s="78">
        <v>27801600</v>
      </c>
      <c r="E31" s="15">
        <v>0.84</v>
      </c>
    </row>
    <row r="32" spans="1:7" x14ac:dyDescent="0.4">
      <c r="A32" s="73" t="s">
        <v>582</v>
      </c>
      <c r="B32" s="73" t="s">
        <v>583</v>
      </c>
      <c r="C32" s="78">
        <v>1005</v>
      </c>
      <c r="D32" s="78">
        <v>23064750</v>
      </c>
      <c r="E32" s="15">
        <v>0.69</v>
      </c>
    </row>
    <row r="33" spans="1:7" x14ac:dyDescent="0.4">
      <c r="A33" s="73"/>
      <c r="B33" s="73" t="s">
        <v>10</v>
      </c>
      <c r="C33" s="78">
        <v>17256163</v>
      </c>
      <c r="D33" s="78">
        <v>17256163</v>
      </c>
      <c r="E33" s="15">
        <v>0.52</v>
      </c>
    </row>
    <row r="34" spans="1:7" x14ac:dyDescent="0.4">
      <c r="C34" s="13"/>
      <c r="D34" s="13"/>
      <c r="E34" s="73"/>
    </row>
    <row r="35" spans="1:7" x14ac:dyDescent="0.4">
      <c r="C35" s="18"/>
      <c r="D35" s="18"/>
      <c r="E35" s="17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570</v>
      </c>
      <c r="B8" s="6"/>
      <c r="C8" s="6"/>
      <c r="D8" s="6"/>
      <c r="E8" s="14"/>
    </row>
    <row r="9" spans="1:5" x14ac:dyDescent="0.4">
      <c r="A9" s="75" t="s">
        <v>571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188</v>
      </c>
      <c r="B11" s="73" t="s">
        <v>189</v>
      </c>
      <c r="C11" s="78">
        <v>466</v>
      </c>
      <c r="D11" s="78">
        <v>829480000</v>
      </c>
      <c r="E11" s="15">
        <v>25.47</v>
      </c>
    </row>
    <row r="12" spans="1:5" x14ac:dyDescent="0.4">
      <c r="A12" s="73" t="s">
        <v>13</v>
      </c>
      <c r="B12" s="73" t="s">
        <v>14</v>
      </c>
      <c r="C12" s="77">
        <v>292</v>
      </c>
      <c r="D12" s="78">
        <v>807088000</v>
      </c>
      <c r="E12" s="15">
        <v>24.78</v>
      </c>
    </row>
    <row r="13" spans="1:5" x14ac:dyDescent="0.4">
      <c r="A13" s="73" t="s">
        <v>451</v>
      </c>
      <c r="B13" s="73" t="s">
        <v>452</v>
      </c>
      <c r="C13" s="78">
        <v>59</v>
      </c>
      <c r="D13" s="78">
        <v>133930000</v>
      </c>
      <c r="E13" s="15">
        <v>4.1100000000000003</v>
      </c>
    </row>
    <row r="14" spans="1:5" x14ac:dyDescent="0.4">
      <c r="A14" s="73" t="s">
        <v>469</v>
      </c>
      <c r="B14" s="73" t="s">
        <v>470</v>
      </c>
      <c r="C14" s="78">
        <v>775</v>
      </c>
      <c r="D14" s="78">
        <v>127875000</v>
      </c>
      <c r="E14" s="15">
        <v>3.93</v>
      </c>
    </row>
    <row r="15" spans="1:5" x14ac:dyDescent="0.4">
      <c r="A15" s="73" t="s">
        <v>482</v>
      </c>
      <c r="B15" s="73" t="s">
        <v>483</v>
      </c>
      <c r="C15" s="77">
        <v>1419</v>
      </c>
      <c r="D15" s="78">
        <v>125439600</v>
      </c>
      <c r="E15" s="15">
        <v>3.85</v>
      </c>
    </row>
    <row r="16" spans="1:5" x14ac:dyDescent="0.4">
      <c r="A16" s="73" t="s">
        <v>449</v>
      </c>
      <c r="B16" s="73" t="s">
        <v>450</v>
      </c>
      <c r="C16" s="77">
        <v>98</v>
      </c>
      <c r="D16" s="78">
        <v>112210000</v>
      </c>
      <c r="E16" s="15">
        <v>3.45</v>
      </c>
    </row>
    <row r="17" spans="1:5" x14ac:dyDescent="0.4">
      <c r="A17" s="73" t="s">
        <v>504</v>
      </c>
      <c r="B17" s="73" t="s">
        <v>505</v>
      </c>
      <c r="C17" s="77">
        <v>7076</v>
      </c>
      <c r="D17" s="78">
        <v>101257560</v>
      </c>
      <c r="E17" s="15">
        <v>3.11</v>
      </c>
    </row>
    <row r="18" spans="1:5" x14ac:dyDescent="0.4">
      <c r="A18" s="73" t="s">
        <v>477</v>
      </c>
      <c r="B18" s="73" t="s">
        <v>478</v>
      </c>
      <c r="C18" s="78">
        <v>879</v>
      </c>
      <c r="D18" s="78">
        <v>98887500</v>
      </c>
      <c r="E18" s="15">
        <v>3.04</v>
      </c>
    </row>
    <row r="19" spans="1:5" x14ac:dyDescent="0.4">
      <c r="A19" s="73" t="s">
        <v>493</v>
      </c>
      <c r="B19" s="73" t="s">
        <v>494</v>
      </c>
      <c r="C19" s="78">
        <v>379</v>
      </c>
      <c r="D19" s="78">
        <v>97971500</v>
      </c>
      <c r="E19" s="15">
        <v>3.01</v>
      </c>
    </row>
    <row r="20" spans="1:5" x14ac:dyDescent="0.4">
      <c r="A20" s="73" t="s">
        <v>480</v>
      </c>
      <c r="B20" s="73" t="s">
        <v>481</v>
      </c>
      <c r="C20" s="78">
        <v>563</v>
      </c>
      <c r="D20" s="78">
        <v>94358800</v>
      </c>
      <c r="E20" s="15">
        <v>2.9</v>
      </c>
    </row>
    <row r="21" spans="1:5" x14ac:dyDescent="0.4">
      <c r="A21" s="73" t="s">
        <v>486</v>
      </c>
      <c r="B21" s="73" t="s">
        <v>487</v>
      </c>
      <c r="C21" s="78">
        <v>708</v>
      </c>
      <c r="D21" s="78">
        <v>88004400</v>
      </c>
      <c r="E21" s="15">
        <v>2.7</v>
      </c>
    </row>
    <row r="22" spans="1:5" x14ac:dyDescent="0.4">
      <c r="A22" s="73" t="s">
        <v>349</v>
      </c>
      <c r="B22" s="73" t="s">
        <v>350</v>
      </c>
      <c r="C22" s="78">
        <v>170</v>
      </c>
      <c r="D22" s="78">
        <v>84745000</v>
      </c>
      <c r="E22" s="15">
        <v>2.6</v>
      </c>
    </row>
    <row r="23" spans="1:5" x14ac:dyDescent="0.4">
      <c r="A23" s="73" t="s">
        <v>92</v>
      </c>
      <c r="B23" s="73" t="s">
        <v>93</v>
      </c>
      <c r="C23" s="77">
        <v>51</v>
      </c>
      <c r="D23" s="78">
        <v>83181000</v>
      </c>
      <c r="E23" s="15">
        <v>2.5499999999999998</v>
      </c>
    </row>
    <row r="24" spans="1:5" x14ac:dyDescent="0.4">
      <c r="A24" s="73" t="s">
        <v>357</v>
      </c>
      <c r="B24" s="73" t="s">
        <v>358</v>
      </c>
      <c r="C24" s="77">
        <v>1168</v>
      </c>
      <c r="D24" s="78">
        <v>70313600</v>
      </c>
      <c r="E24" s="15">
        <v>2.16</v>
      </c>
    </row>
    <row r="25" spans="1:5" x14ac:dyDescent="0.4">
      <c r="A25" s="73" t="s">
        <v>752</v>
      </c>
      <c r="B25" s="73" t="s">
        <v>753</v>
      </c>
      <c r="C25" s="78">
        <v>394</v>
      </c>
      <c r="D25" s="78">
        <v>65482800</v>
      </c>
      <c r="E25" s="15">
        <v>2.0099999999999998</v>
      </c>
    </row>
    <row r="26" spans="1:5" x14ac:dyDescent="0.4">
      <c r="A26" s="73" t="s">
        <v>546</v>
      </c>
      <c r="B26" s="73" t="s">
        <v>547</v>
      </c>
      <c r="C26" s="78">
        <v>2184</v>
      </c>
      <c r="D26" s="78">
        <v>60169200</v>
      </c>
      <c r="E26" s="15">
        <v>1.85</v>
      </c>
    </row>
    <row r="27" spans="1:5" x14ac:dyDescent="0.4">
      <c r="A27" s="73" t="s">
        <v>495</v>
      </c>
      <c r="B27" s="73" t="s">
        <v>496</v>
      </c>
      <c r="C27" s="78">
        <v>3729</v>
      </c>
      <c r="D27" s="78">
        <v>53697600</v>
      </c>
      <c r="E27" s="15">
        <v>1.65</v>
      </c>
    </row>
    <row r="28" spans="1:5" x14ac:dyDescent="0.4">
      <c r="A28" s="73" t="s">
        <v>466</v>
      </c>
      <c r="B28" s="73" t="s">
        <v>467</v>
      </c>
      <c r="C28" s="78">
        <v>803</v>
      </c>
      <c r="D28" s="78">
        <v>45449800</v>
      </c>
      <c r="E28" s="15">
        <v>1.4</v>
      </c>
    </row>
    <row r="29" spans="1:5" x14ac:dyDescent="0.4">
      <c r="A29" s="73" t="s">
        <v>3089</v>
      </c>
      <c r="B29" s="73" t="s">
        <v>3090</v>
      </c>
      <c r="C29" s="78">
        <v>1842</v>
      </c>
      <c r="D29" s="78">
        <v>44115900</v>
      </c>
      <c r="E29" s="15">
        <v>1.35</v>
      </c>
    </row>
    <row r="30" spans="1:5" x14ac:dyDescent="0.4">
      <c r="A30" s="73" t="s">
        <v>574</v>
      </c>
      <c r="B30" s="73" t="s">
        <v>575</v>
      </c>
      <c r="C30" s="78">
        <v>637</v>
      </c>
      <c r="D30" s="78">
        <v>32295900</v>
      </c>
      <c r="E30" s="15">
        <v>0.99</v>
      </c>
    </row>
    <row r="31" spans="1:5" x14ac:dyDescent="0.4">
      <c r="A31" s="73" t="s">
        <v>572</v>
      </c>
      <c r="B31" s="73" t="s">
        <v>573</v>
      </c>
      <c r="C31" s="78">
        <v>512</v>
      </c>
      <c r="D31" s="78">
        <v>27904000</v>
      </c>
      <c r="E31" s="15">
        <v>0.86</v>
      </c>
    </row>
    <row r="32" spans="1:5" x14ac:dyDescent="0.4">
      <c r="A32" s="73" t="s">
        <v>582</v>
      </c>
      <c r="B32" s="73" t="s">
        <v>583</v>
      </c>
      <c r="C32" s="78">
        <v>1005</v>
      </c>
      <c r="D32" s="78">
        <v>27738000</v>
      </c>
      <c r="E32" s="15">
        <v>0.85</v>
      </c>
    </row>
    <row r="33" spans="1:5" x14ac:dyDescent="0.4">
      <c r="A33" s="73"/>
      <c r="B33" s="73" t="s">
        <v>10</v>
      </c>
      <c r="C33" s="78">
        <v>45095434</v>
      </c>
      <c r="D33" s="78">
        <v>45095434</v>
      </c>
      <c r="E33" s="15">
        <v>1.38</v>
      </c>
    </row>
    <row r="34" spans="1:5" x14ac:dyDescent="0.4">
      <c r="C34" s="13"/>
      <c r="D34" s="13"/>
      <c r="E34" s="73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479</v>
      </c>
      <c r="B8" s="6"/>
      <c r="C8" s="6"/>
      <c r="D8" s="6"/>
      <c r="E8" s="14"/>
    </row>
    <row r="9" spans="1:7" x14ac:dyDescent="0.4">
      <c r="A9" s="75" t="s">
        <v>520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283</v>
      </c>
      <c r="D11" s="76">
        <v>724480000</v>
      </c>
      <c r="E11" s="19">
        <v>24.76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1923</v>
      </c>
      <c r="D12" s="76">
        <v>604783500</v>
      </c>
      <c r="E12" s="19">
        <v>20.67</v>
      </c>
      <c r="F12" s="17"/>
      <c r="G12" s="17"/>
    </row>
    <row r="13" spans="1:7" x14ac:dyDescent="0.4">
      <c r="A13" s="73" t="s">
        <v>640</v>
      </c>
      <c r="B13" s="73" t="s">
        <v>641</v>
      </c>
      <c r="C13" s="78">
        <v>853</v>
      </c>
      <c r="D13" s="78">
        <v>161387600</v>
      </c>
      <c r="E13" s="15">
        <v>5.52</v>
      </c>
    </row>
    <row r="14" spans="1:7" x14ac:dyDescent="0.4">
      <c r="A14" s="73" t="s">
        <v>188</v>
      </c>
      <c r="B14" s="73" t="s">
        <v>189</v>
      </c>
      <c r="C14" s="78">
        <v>86</v>
      </c>
      <c r="D14" s="78">
        <v>151102000</v>
      </c>
      <c r="E14" s="15">
        <v>5.16</v>
      </c>
    </row>
    <row r="15" spans="1:7" x14ac:dyDescent="0.4">
      <c r="A15" s="73" t="s">
        <v>451</v>
      </c>
      <c r="B15" s="73" t="s">
        <v>452</v>
      </c>
      <c r="C15" s="77">
        <v>67</v>
      </c>
      <c r="D15" s="78">
        <v>147735000</v>
      </c>
      <c r="E15" s="15">
        <v>5.05</v>
      </c>
    </row>
    <row r="16" spans="1:7" x14ac:dyDescent="0.4">
      <c r="A16" s="73" t="s">
        <v>477</v>
      </c>
      <c r="B16" s="73" t="s">
        <v>478</v>
      </c>
      <c r="C16" s="77">
        <v>839</v>
      </c>
      <c r="D16" s="78">
        <v>139693500</v>
      </c>
      <c r="E16" s="15">
        <v>4.7699999999999996</v>
      </c>
    </row>
    <row r="17" spans="1:7" x14ac:dyDescent="0.4">
      <c r="A17" s="73" t="s">
        <v>469</v>
      </c>
      <c r="B17" s="74" t="s">
        <v>470</v>
      </c>
      <c r="C17" s="81">
        <v>642</v>
      </c>
      <c r="D17" s="76">
        <v>135783000</v>
      </c>
      <c r="E17" s="19">
        <v>4.6399999999999997</v>
      </c>
      <c r="F17" s="17"/>
      <c r="G17" s="17"/>
    </row>
    <row r="18" spans="1:7" x14ac:dyDescent="0.4">
      <c r="A18" s="73" t="s">
        <v>482</v>
      </c>
      <c r="B18" s="73" t="s">
        <v>483</v>
      </c>
      <c r="C18" s="78">
        <v>1111</v>
      </c>
      <c r="D18" s="78">
        <v>132986700</v>
      </c>
      <c r="E18" s="15">
        <v>4.55</v>
      </c>
    </row>
    <row r="19" spans="1:7" x14ac:dyDescent="0.4">
      <c r="A19" s="73" t="s">
        <v>355</v>
      </c>
      <c r="B19" s="73" t="s">
        <v>356</v>
      </c>
      <c r="C19" s="78">
        <v>766</v>
      </c>
      <c r="D19" s="78">
        <v>118270400</v>
      </c>
      <c r="E19" s="15">
        <v>4.04</v>
      </c>
    </row>
    <row r="20" spans="1:7" x14ac:dyDescent="0.4">
      <c r="A20" s="73" t="s">
        <v>491</v>
      </c>
      <c r="B20" s="73" t="s">
        <v>492</v>
      </c>
      <c r="C20" s="78">
        <v>403</v>
      </c>
      <c r="D20" s="78">
        <v>97526000</v>
      </c>
      <c r="E20" s="15">
        <v>3.33</v>
      </c>
    </row>
    <row r="21" spans="1:7" x14ac:dyDescent="0.4">
      <c r="A21" s="73" t="s">
        <v>349</v>
      </c>
      <c r="B21" s="73" t="s">
        <v>350</v>
      </c>
      <c r="C21" s="78">
        <v>198</v>
      </c>
      <c r="D21" s="78">
        <v>86130000</v>
      </c>
      <c r="E21" s="15">
        <v>2.94</v>
      </c>
    </row>
    <row r="22" spans="1:7" x14ac:dyDescent="0.4">
      <c r="A22" s="73" t="s">
        <v>752</v>
      </c>
      <c r="B22" s="74" t="s">
        <v>753</v>
      </c>
      <c r="C22" s="76">
        <v>393</v>
      </c>
      <c r="D22" s="76">
        <v>83709000</v>
      </c>
      <c r="E22" s="19">
        <v>2.86</v>
      </c>
      <c r="F22" s="17"/>
      <c r="G22" s="17"/>
    </row>
    <row r="23" spans="1:7" x14ac:dyDescent="0.4">
      <c r="A23" s="73" t="s">
        <v>484</v>
      </c>
      <c r="B23" s="74" t="s">
        <v>485</v>
      </c>
      <c r="C23" s="81">
        <v>246</v>
      </c>
      <c r="D23" s="76">
        <v>65805000</v>
      </c>
      <c r="E23" s="19">
        <v>2.25</v>
      </c>
      <c r="F23" s="17"/>
      <c r="G23" s="17"/>
    </row>
    <row r="24" spans="1:7" x14ac:dyDescent="0.4">
      <c r="A24" s="73" t="s">
        <v>486</v>
      </c>
      <c r="B24" s="73" t="s">
        <v>487</v>
      </c>
      <c r="C24" s="77">
        <v>406</v>
      </c>
      <c r="D24" s="78">
        <v>63863800</v>
      </c>
      <c r="E24" s="15">
        <v>2.1800000000000002</v>
      </c>
    </row>
    <row r="25" spans="1:7" x14ac:dyDescent="0.4">
      <c r="A25" s="73" t="s">
        <v>663</v>
      </c>
      <c r="B25" s="73" t="s">
        <v>664</v>
      </c>
      <c r="C25" s="78">
        <v>1084</v>
      </c>
      <c r="D25" s="78">
        <v>52574000</v>
      </c>
      <c r="E25" s="15">
        <v>1.8</v>
      </c>
    </row>
    <row r="26" spans="1:7" x14ac:dyDescent="0.4">
      <c r="A26" s="73" t="s">
        <v>4500</v>
      </c>
      <c r="B26" s="73" t="s">
        <v>4501</v>
      </c>
      <c r="C26" s="78">
        <v>1294</v>
      </c>
      <c r="D26" s="78">
        <v>50207200</v>
      </c>
      <c r="E26" s="15">
        <v>1.72</v>
      </c>
    </row>
    <row r="27" spans="1:7" x14ac:dyDescent="0.4">
      <c r="A27" s="73" t="s">
        <v>180</v>
      </c>
      <c r="B27" s="73" t="s">
        <v>181</v>
      </c>
      <c r="C27" s="78">
        <v>212</v>
      </c>
      <c r="D27" s="78">
        <v>35107200</v>
      </c>
      <c r="E27" s="15">
        <v>1.2</v>
      </c>
    </row>
    <row r="28" spans="1:7" x14ac:dyDescent="0.4">
      <c r="A28" s="73" t="s">
        <v>444</v>
      </c>
      <c r="B28" s="73" t="s">
        <v>445</v>
      </c>
      <c r="C28" s="78">
        <v>287</v>
      </c>
      <c r="D28" s="78">
        <v>26260500</v>
      </c>
      <c r="E28" s="15">
        <v>0.9</v>
      </c>
    </row>
    <row r="29" spans="1:7" x14ac:dyDescent="0.4">
      <c r="A29" s="73" t="s">
        <v>967</v>
      </c>
      <c r="B29" s="73" t="s">
        <v>968</v>
      </c>
      <c r="C29" s="78">
        <v>143</v>
      </c>
      <c r="D29" s="78">
        <v>22236500</v>
      </c>
      <c r="E29" s="15">
        <v>0.76</v>
      </c>
    </row>
    <row r="30" spans="1:7" x14ac:dyDescent="0.4">
      <c r="A30" s="73" t="s">
        <v>4004</v>
      </c>
      <c r="B30" s="73" t="s">
        <v>4005</v>
      </c>
      <c r="C30" s="78">
        <v>743</v>
      </c>
      <c r="D30" s="78">
        <v>14235880</v>
      </c>
      <c r="E30" s="15">
        <v>0.49</v>
      </c>
    </row>
    <row r="31" spans="1:7" x14ac:dyDescent="0.4">
      <c r="A31" s="73" t="s">
        <v>3922</v>
      </c>
      <c r="B31" s="73" t="s">
        <v>3923</v>
      </c>
      <c r="C31" s="78">
        <v>181</v>
      </c>
      <c r="D31" s="78">
        <v>11674500</v>
      </c>
      <c r="E31" s="15">
        <v>0.4</v>
      </c>
    </row>
    <row r="32" spans="1:7" x14ac:dyDescent="0.4">
      <c r="A32" s="73"/>
      <c r="B32" s="73" t="s">
        <v>488</v>
      </c>
      <c r="C32" s="78">
        <v>56510574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479</v>
      </c>
      <c r="B8" s="6"/>
      <c r="C8" s="6"/>
      <c r="D8" s="6"/>
      <c r="E8" s="14"/>
    </row>
    <row r="9" spans="1:5" x14ac:dyDescent="0.4">
      <c r="A9" s="75" t="s">
        <v>520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283</v>
      </c>
      <c r="D11" s="78">
        <v>782212000</v>
      </c>
      <c r="E11" s="15">
        <v>27.1</v>
      </c>
    </row>
    <row r="12" spans="1:5" x14ac:dyDescent="0.4">
      <c r="A12" s="73" t="s">
        <v>80</v>
      </c>
      <c r="B12" s="73" t="s">
        <v>81</v>
      </c>
      <c r="C12" s="77">
        <v>1923</v>
      </c>
      <c r="D12" s="78">
        <v>680742000</v>
      </c>
      <c r="E12" s="15">
        <v>23.58</v>
      </c>
    </row>
    <row r="13" spans="1:5" x14ac:dyDescent="0.4">
      <c r="A13" s="73" t="s">
        <v>188</v>
      </c>
      <c r="B13" s="73" t="s">
        <v>189</v>
      </c>
      <c r="C13" s="78">
        <v>86</v>
      </c>
      <c r="D13" s="78">
        <v>153080000</v>
      </c>
      <c r="E13" s="15">
        <v>5.3</v>
      </c>
    </row>
    <row r="14" spans="1:5" x14ac:dyDescent="0.4">
      <c r="A14" s="73" t="s">
        <v>451</v>
      </c>
      <c r="B14" s="73" t="s">
        <v>452</v>
      </c>
      <c r="C14" s="78">
        <v>67</v>
      </c>
      <c r="D14" s="78">
        <v>152090000</v>
      </c>
      <c r="E14" s="15">
        <v>5.27</v>
      </c>
    </row>
    <row r="15" spans="1:5" x14ac:dyDescent="0.4">
      <c r="A15" s="73" t="s">
        <v>355</v>
      </c>
      <c r="B15" s="73" t="s">
        <v>356</v>
      </c>
      <c r="C15" s="77">
        <v>766</v>
      </c>
      <c r="D15" s="78">
        <v>119725800</v>
      </c>
      <c r="E15" s="15">
        <v>4.1500000000000004</v>
      </c>
    </row>
    <row r="16" spans="1:5" x14ac:dyDescent="0.4">
      <c r="A16" s="73" t="s">
        <v>640</v>
      </c>
      <c r="B16" s="73" t="s">
        <v>641</v>
      </c>
      <c r="C16" s="77">
        <v>853</v>
      </c>
      <c r="D16" s="78">
        <v>118567000</v>
      </c>
      <c r="E16" s="15">
        <v>4.1100000000000003</v>
      </c>
    </row>
    <row r="17" spans="1:5" x14ac:dyDescent="0.4">
      <c r="A17" s="73" t="s">
        <v>469</v>
      </c>
      <c r="B17" s="73" t="s">
        <v>470</v>
      </c>
      <c r="C17" s="77">
        <v>642</v>
      </c>
      <c r="D17" s="78">
        <v>105930000</v>
      </c>
      <c r="E17" s="15">
        <v>3.67</v>
      </c>
    </row>
    <row r="18" spans="1:5" x14ac:dyDescent="0.4">
      <c r="A18" s="73" t="s">
        <v>349</v>
      </c>
      <c r="B18" s="73" t="s">
        <v>350</v>
      </c>
      <c r="C18" s="78">
        <v>198</v>
      </c>
      <c r="D18" s="78">
        <v>98703000</v>
      </c>
      <c r="E18" s="15">
        <v>3.42</v>
      </c>
    </row>
    <row r="19" spans="1:5" x14ac:dyDescent="0.4">
      <c r="A19" s="73" t="s">
        <v>482</v>
      </c>
      <c r="B19" s="73" t="s">
        <v>483</v>
      </c>
      <c r="C19" s="78">
        <v>1111</v>
      </c>
      <c r="D19" s="78">
        <v>98212400</v>
      </c>
      <c r="E19" s="15">
        <v>3.4</v>
      </c>
    </row>
    <row r="20" spans="1:5" x14ac:dyDescent="0.4">
      <c r="A20" s="73" t="s">
        <v>477</v>
      </c>
      <c r="B20" s="73" t="s">
        <v>478</v>
      </c>
      <c r="C20" s="78">
        <v>839</v>
      </c>
      <c r="D20" s="78">
        <v>94387500</v>
      </c>
      <c r="E20" s="15">
        <v>3.27</v>
      </c>
    </row>
    <row r="21" spans="1:5" x14ac:dyDescent="0.4">
      <c r="A21" s="73" t="s">
        <v>491</v>
      </c>
      <c r="B21" s="73" t="s">
        <v>492</v>
      </c>
      <c r="C21" s="78">
        <v>403</v>
      </c>
      <c r="D21" s="78">
        <v>77819300</v>
      </c>
      <c r="E21" s="15">
        <v>2.7</v>
      </c>
    </row>
    <row r="22" spans="1:5" x14ac:dyDescent="0.4">
      <c r="A22" s="73" t="s">
        <v>752</v>
      </c>
      <c r="B22" s="73" t="s">
        <v>753</v>
      </c>
      <c r="C22" s="78">
        <v>393</v>
      </c>
      <c r="D22" s="78">
        <v>65316600</v>
      </c>
      <c r="E22" s="15">
        <v>2.2599999999999998</v>
      </c>
    </row>
    <row r="23" spans="1:5" x14ac:dyDescent="0.4">
      <c r="A23" s="73" t="s">
        <v>4500</v>
      </c>
      <c r="B23" s="73" t="s">
        <v>4501</v>
      </c>
      <c r="C23" s="77">
        <v>1294</v>
      </c>
      <c r="D23" s="78">
        <v>65088200</v>
      </c>
      <c r="E23" s="15">
        <v>2.25</v>
      </c>
    </row>
    <row r="24" spans="1:5" x14ac:dyDescent="0.4">
      <c r="A24" s="73" t="s">
        <v>484</v>
      </c>
      <c r="B24" s="73" t="s">
        <v>485</v>
      </c>
      <c r="C24" s="77">
        <v>246</v>
      </c>
      <c r="D24" s="78">
        <v>62853000</v>
      </c>
      <c r="E24" s="15">
        <v>2.1800000000000002</v>
      </c>
    </row>
    <row r="25" spans="1:5" x14ac:dyDescent="0.4">
      <c r="A25" s="73" t="s">
        <v>486</v>
      </c>
      <c r="B25" s="73" t="s">
        <v>487</v>
      </c>
      <c r="C25" s="78">
        <v>406</v>
      </c>
      <c r="D25" s="78">
        <v>50465800</v>
      </c>
      <c r="E25" s="15">
        <v>1.75</v>
      </c>
    </row>
    <row r="26" spans="1:5" x14ac:dyDescent="0.4">
      <c r="A26" s="73" t="s">
        <v>663</v>
      </c>
      <c r="B26" s="73" t="s">
        <v>664</v>
      </c>
      <c r="C26" s="78">
        <v>1084</v>
      </c>
      <c r="D26" s="78">
        <v>50135000</v>
      </c>
      <c r="E26" s="15">
        <v>1.74</v>
      </c>
    </row>
    <row r="27" spans="1:5" x14ac:dyDescent="0.4">
      <c r="A27" s="73" t="s">
        <v>180</v>
      </c>
      <c r="B27" s="73" t="s">
        <v>181</v>
      </c>
      <c r="C27" s="78">
        <v>212</v>
      </c>
      <c r="D27" s="78">
        <v>33072000</v>
      </c>
      <c r="E27" s="15">
        <v>1.1499999999999999</v>
      </c>
    </row>
    <row r="28" spans="1:5" x14ac:dyDescent="0.4">
      <c r="A28" s="73" t="s">
        <v>967</v>
      </c>
      <c r="B28" s="73" t="s">
        <v>968</v>
      </c>
      <c r="C28" s="78">
        <v>143</v>
      </c>
      <c r="D28" s="78">
        <v>24524500</v>
      </c>
      <c r="E28" s="15">
        <v>0.85</v>
      </c>
    </row>
    <row r="29" spans="1:5" x14ac:dyDescent="0.4">
      <c r="A29" s="73" t="s">
        <v>444</v>
      </c>
      <c r="B29" s="73" t="s">
        <v>445</v>
      </c>
      <c r="C29" s="78">
        <v>223</v>
      </c>
      <c r="D29" s="78">
        <v>23459600</v>
      </c>
      <c r="E29" s="15">
        <v>0.81</v>
      </c>
    </row>
    <row r="30" spans="1:5" x14ac:dyDescent="0.4">
      <c r="A30" s="73" t="s">
        <v>4004</v>
      </c>
      <c r="B30" s="73" t="s">
        <v>4005</v>
      </c>
      <c r="C30" s="78">
        <v>743</v>
      </c>
      <c r="D30" s="78">
        <v>17089000</v>
      </c>
      <c r="E30" s="15">
        <v>0.59</v>
      </c>
    </row>
    <row r="31" spans="1:5" x14ac:dyDescent="0.4">
      <c r="A31" s="73" t="s">
        <v>3922</v>
      </c>
      <c r="B31" s="73" t="s">
        <v>3923</v>
      </c>
      <c r="C31" s="78">
        <v>181</v>
      </c>
      <c r="D31" s="78">
        <v>13231100</v>
      </c>
      <c r="E31" s="15">
        <v>0.46</v>
      </c>
    </row>
    <row r="32" spans="1:5" x14ac:dyDescent="0.4">
      <c r="A32" s="73"/>
      <c r="B32" s="73" t="s">
        <v>488</v>
      </c>
      <c r="C32" s="78">
        <v>63837002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497</v>
      </c>
      <c r="B8" s="6"/>
      <c r="C8" s="6"/>
      <c r="D8" s="6"/>
      <c r="E8" s="14"/>
    </row>
    <row r="9" spans="1:7" x14ac:dyDescent="0.4">
      <c r="A9" s="75" t="s">
        <v>521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583</v>
      </c>
      <c r="D11" s="76">
        <v>183353500</v>
      </c>
      <c r="E11" s="19">
        <v>23.94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62</v>
      </c>
      <c r="D12" s="76">
        <v>158720000</v>
      </c>
      <c r="E12" s="19">
        <v>20.72</v>
      </c>
      <c r="F12" s="17"/>
      <c r="G12" s="17"/>
    </row>
    <row r="13" spans="1:7" x14ac:dyDescent="0.4">
      <c r="A13" s="73" t="s">
        <v>486</v>
      </c>
      <c r="B13" s="74" t="s">
        <v>487</v>
      </c>
      <c r="C13" s="76">
        <v>381</v>
      </c>
      <c r="D13" s="76">
        <v>59931300</v>
      </c>
      <c r="E13" s="19">
        <v>7.82</v>
      </c>
      <c r="F13" s="17"/>
      <c r="G13" s="17"/>
    </row>
    <row r="14" spans="1:7" x14ac:dyDescent="0.4">
      <c r="A14" s="73" t="s">
        <v>451</v>
      </c>
      <c r="B14" s="74" t="s">
        <v>452</v>
      </c>
      <c r="C14" s="76">
        <v>23</v>
      </c>
      <c r="D14" s="76">
        <v>50715000</v>
      </c>
      <c r="E14" s="19">
        <v>6.62</v>
      </c>
      <c r="F14" s="17"/>
      <c r="G14" s="17"/>
    </row>
    <row r="15" spans="1:7" x14ac:dyDescent="0.4">
      <c r="A15" s="73" t="s">
        <v>482</v>
      </c>
      <c r="B15" s="74" t="s">
        <v>483</v>
      </c>
      <c r="C15" s="76">
        <v>379</v>
      </c>
      <c r="D15" s="76">
        <v>45366300</v>
      </c>
      <c r="E15" s="19">
        <v>5.92</v>
      </c>
      <c r="F15" s="17"/>
      <c r="G15" s="17"/>
    </row>
    <row r="16" spans="1:7" x14ac:dyDescent="0.4">
      <c r="A16" s="73" t="s">
        <v>355</v>
      </c>
      <c r="B16" s="74" t="s">
        <v>356</v>
      </c>
      <c r="C16" s="76">
        <v>225</v>
      </c>
      <c r="D16" s="76">
        <v>34740000</v>
      </c>
      <c r="E16" s="19">
        <v>4.54</v>
      </c>
      <c r="F16" s="17"/>
      <c r="G16" s="17"/>
    </row>
    <row r="17" spans="1:7" x14ac:dyDescent="0.4">
      <c r="A17" s="73" t="s">
        <v>158</v>
      </c>
      <c r="B17" s="73" t="s">
        <v>159</v>
      </c>
      <c r="C17" s="78">
        <v>416</v>
      </c>
      <c r="D17" s="78">
        <v>33987200</v>
      </c>
      <c r="E17" s="15">
        <v>4.4400000000000004</v>
      </c>
    </row>
    <row r="18" spans="1:7" x14ac:dyDescent="0.4">
      <c r="A18" s="73" t="s">
        <v>2816</v>
      </c>
      <c r="B18" s="74" t="s">
        <v>2817</v>
      </c>
      <c r="C18" s="76">
        <v>855</v>
      </c>
      <c r="D18" s="76">
        <v>31506750</v>
      </c>
      <c r="E18" s="19">
        <v>4.1100000000000003</v>
      </c>
      <c r="F18" s="17"/>
      <c r="G18" s="17"/>
    </row>
    <row r="19" spans="1:7" x14ac:dyDescent="0.4">
      <c r="A19" s="73" t="s">
        <v>347</v>
      </c>
      <c r="B19" s="73" t="s">
        <v>348</v>
      </c>
      <c r="C19" s="77">
        <v>216</v>
      </c>
      <c r="D19" s="78">
        <v>28706400</v>
      </c>
      <c r="E19" s="15">
        <v>3.75</v>
      </c>
    </row>
    <row r="20" spans="1:7" x14ac:dyDescent="0.4">
      <c r="A20" s="73" t="s">
        <v>469</v>
      </c>
      <c r="B20" s="73" t="s">
        <v>470</v>
      </c>
      <c r="C20" s="77">
        <v>131</v>
      </c>
      <c r="D20" s="78">
        <v>27706500</v>
      </c>
      <c r="E20" s="15">
        <v>3.62</v>
      </c>
    </row>
    <row r="21" spans="1:7" x14ac:dyDescent="0.4">
      <c r="A21" s="73" t="s">
        <v>444</v>
      </c>
      <c r="B21" s="73" t="s">
        <v>445</v>
      </c>
      <c r="C21" s="78">
        <v>290</v>
      </c>
      <c r="D21" s="78">
        <v>26535000</v>
      </c>
      <c r="E21" s="15">
        <v>3.46</v>
      </c>
    </row>
    <row r="22" spans="1:7" x14ac:dyDescent="0.4">
      <c r="A22" s="73" t="s">
        <v>640</v>
      </c>
      <c r="B22" s="73" t="s">
        <v>641</v>
      </c>
      <c r="C22" s="77">
        <v>138</v>
      </c>
      <c r="D22" s="78">
        <v>26109600</v>
      </c>
      <c r="E22" s="15">
        <v>3.41</v>
      </c>
    </row>
    <row r="23" spans="1:7" x14ac:dyDescent="0.4">
      <c r="A23" s="73" t="s">
        <v>4500</v>
      </c>
      <c r="B23" s="73" t="s">
        <v>4501</v>
      </c>
      <c r="C23" s="77">
        <v>637</v>
      </c>
      <c r="D23" s="78">
        <v>24715600</v>
      </c>
      <c r="E23" s="15">
        <v>3.23</v>
      </c>
    </row>
    <row r="24" spans="1:7" x14ac:dyDescent="0.4">
      <c r="A24" s="73" t="s">
        <v>676</v>
      </c>
      <c r="B24" s="73" t="s">
        <v>677</v>
      </c>
      <c r="C24" s="77">
        <v>217</v>
      </c>
      <c r="D24" s="78">
        <v>24434200</v>
      </c>
      <c r="E24" s="15">
        <v>3.19</v>
      </c>
    </row>
    <row r="25" spans="1:7" x14ac:dyDescent="0.4">
      <c r="A25" s="73" t="s">
        <v>466</v>
      </c>
      <c r="B25" s="73" t="s">
        <v>467</v>
      </c>
      <c r="C25" s="78">
        <v>189</v>
      </c>
      <c r="D25" s="78">
        <v>9487800</v>
      </c>
      <c r="E25" s="15">
        <v>1.24</v>
      </c>
    </row>
    <row r="26" spans="1:7" x14ac:dyDescent="0.4">
      <c r="A26" s="73"/>
      <c r="B26" s="73" t="s">
        <v>10</v>
      </c>
      <c r="C26" s="78">
        <v>-1913109</v>
      </c>
      <c r="D26" s="78">
        <v>-1913109</v>
      </c>
      <c r="E26" s="15"/>
    </row>
    <row r="27" spans="1:7" x14ac:dyDescent="0.4">
      <c r="C27" s="13"/>
      <c r="D27" s="13"/>
      <c r="E27" s="73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497</v>
      </c>
      <c r="B8" s="6"/>
      <c r="C8" s="6"/>
      <c r="D8" s="6"/>
      <c r="E8" s="14"/>
    </row>
    <row r="9" spans="1:5" x14ac:dyDescent="0.4">
      <c r="A9" s="75" t="s">
        <v>521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583</v>
      </c>
      <c r="D11" s="78">
        <v>206382000</v>
      </c>
      <c r="E11" s="15">
        <v>26.03</v>
      </c>
    </row>
    <row r="12" spans="1:5" x14ac:dyDescent="0.4">
      <c r="A12" s="73" t="s">
        <v>13</v>
      </c>
      <c r="B12" s="73" t="s">
        <v>14</v>
      </c>
      <c r="C12" s="77">
        <v>62</v>
      </c>
      <c r="D12" s="78">
        <v>171368000</v>
      </c>
      <c r="E12" s="15">
        <v>21.62</v>
      </c>
    </row>
    <row r="13" spans="1:5" x14ac:dyDescent="0.4">
      <c r="A13" s="73" t="s">
        <v>451</v>
      </c>
      <c r="B13" s="73" t="s">
        <v>452</v>
      </c>
      <c r="C13" s="73">
        <v>23</v>
      </c>
      <c r="D13" s="78">
        <v>52210000</v>
      </c>
      <c r="E13" s="15">
        <v>6.59</v>
      </c>
    </row>
    <row r="14" spans="1:5" x14ac:dyDescent="0.4">
      <c r="A14" s="73" t="s">
        <v>486</v>
      </c>
      <c r="B14" s="73" t="s">
        <v>487</v>
      </c>
      <c r="C14" s="78">
        <v>381</v>
      </c>
      <c r="D14" s="78">
        <v>47358300</v>
      </c>
      <c r="E14" s="15">
        <v>5.97</v>
      </c>
    </row>
    <row r="15" spans="1:5" x14ac:dyDescent="0.4">
      <c r="A15" s="73" t="s">
        <v>158</v>
      </c>
      <c r="B15" s="73" t="s">
        <v>159</v>
      </c>
      <c r="C15" s="77">
        <v>416</v>
      </c>
      <c r="D15" s="78">
        <v>38521600</v>
      </c>
      <c r="E15" s="15">
        <v>4.8600000000000003</v>
      </c>
    </row>
    <row r="16" spans="1:5" x14ac:dyDescent="0.4">
      <c r="A16" s="73" t="s">
        <v>355</v>
      </c>
      <c r="B16" s="73" t="s">
        <v>356</v>
      </c>
      <c r="C16" s="77">
        <v>225</v>
      </c>
      <c r="D16" s="78">
        <v>35167500</v>
      </c>
      <c r="E16" s="15">
        <v>4.4400000000000004</v>
      </c>
    </row>
    <row r="17" spans="1:5" x14ac:dyDescent="0.4">
      <c r="A17" s="73" t="s">
        <v>4500</v>
      </c>
      <c r="B17" s="73" t="s">
        <v>4501</v>
      </c>
      <c r="C17" s="77">
        <v>637</v>
      </c>
      <c r="D17" s="78">
        <v>32041100</v>
      </c>
      <c r="E17" s="15">
        <v>4.04</v>
      </c>
    </row>
    <row r="18" spans="1:5" x14ac:dyDescent="0.4">
      <c r="A18" s="73" t="s">
        <v>482</v>
      </c>
      <c r="B18" s="73" t="s">
        <v>483</v>
      </c>
      <c r="C18" s="78">
        <v>348</v>
      </c>
      <c r="D18" s="78">
        <v>30763200</v>
      </c>
      <c r="E18" s="15">
        <v>3.88</v>
      </c>
    </row>
    <row r="19" spans="1:5" x14ac:dyDescent="0.4">
      <c r="A19" s="73" t="s">
        <v>466</v>
      </c>
      <c r="B19" s="73" t="s">
        <v>467</v>
      </c>
      <c r="C19" s="78">
        <v>541</v>
      </c>
      <c r="D19" s="78">
        <v>30620600</v>
      </c>
      <c r="E19" s="15">
        <v>3.86</v>
      </c>
    </row>
    <row r="20" spans="1:5" x14ac:dyDescent="0.4">
      <c r="A20" s="73" t="s">
        <v>444</v>
      </c>
      <c r="B20" s="73" t="s">
        <v>445</v>
      </c>
      <c r="C20" s="78">
        <v>290</v>
      </c>
      <c r="D20" s="78">
        <v>30508000</v>
      </c>
      <c r="E20" s="15">
        <v>3.85</v>
      </c>
    </row>
    <row r="21" spans="1:5" x14ac:dyDescent="0.4">
      <c r="A21" s="73" t="s">
        <v>2816</v>
      </c>
      <c r="B21" s="73" t="s">
        <v>2817</v>
      </c>
      <c r="C21" s="78">
        <v>855</v>
      </c>
      <c r="D21" s="78">
        <v>30480750</v>
      </c>
      <c r="E21" s="15">
        <v>3.85</v>
      </c>
    </row>
    <row r="22" spans="1:5" x14ac:dyDescent="0.4">
      <c r="A22" s="73" t="s">
        <v>347</v>
      </c>
      <c r="B22" s="73" t="s">
        <v>348</v>
      </c>
      <c r="C22" s="78">
        <v>261</v>
      </c>
      <c r="D22" s="78">
        <v>30041100</v>
      </c>
      <c r="E22" s="15">
        <v>3.79</v>
      </c>
    </row>
    <row r="23" spans="1:5" x14ac:dyDescent="0.4">
      <c r="A23" s="73" t="s">
        <v>676</v>
      </c>
      <c r="B23" s="73" t="s">
        <v>677</v>
      </c>
      <c r="C23" s="77">
        <v>217</v>
      </c>
      <c r="D23" s="78">
        <v>29164800</v>
      </c>
      <c r="E23" s="15">
        <v>3.68</v>
      </c>
    </row>
    <row r="24" spans="1:5" x14ac:dyDescent="0.4">
      <c r="A24" s="73" t="s">
        <v>491</v>
      </c>
      <c r="B24" s="73" t="s">
        <v>492</v>
      </c>
      <c r="C24" s="77">
        <v>140</v>
      </c>
      <c r="D24" s="78">
        <v>27034000</v>
      </c>
      <c r="E24" s="15">
        <v>3.41</v>
      </c>
    </row>
    <row r="25" spans="1:5" x14ac:dyDescent="0.4">
      <c r="A25" s="73"/>
      <c r="B25" s="73" t="s">
        <v>10</v>
      </c>
      <c r="C25" s="78">
        <v>1065682</v>
      </c>
      <c r="D25" s="78">
        <v>1065682</v>
      </c>
      <c r="E25" s="15">
        <v>0.13</v>
      </c>
    </row>
    <row r="26" spans="1:5" x14ac:dyDescent="0.4">
      <c r="C26" s="13"/>
      <c r="D26" s="13"/>
      <c r="E26" s="73"/>
    </row>
    <row r="27" spans="1:5" x14ac:dyDescent="0.4">
      <c r="C27" s="13"/>
      <c r="D27" s="13"/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5207</v>
      </c>
      <c r="B8" s="6"/>
      <c r="C8" s="6"/>
      <c r="D8" s="6"/>
      <c r="E8" s="14"/>
    </row>
    <row r="9" spans="1:7" x14ac:dyDescent="0.4">
      <c r="A9" s="75" t="s">
        <v>5208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486</v>
      </c>
      <c r="B11" s="74" t="s">
        <v>487</v>
      </c>
      <c r="C11" s="76">
        <v>37</v>
      </c>
      <c r="D11" s="76">
        <v>5820100</v>
      </c>
      <c r="E11" s="19">
        <v>6.62</v>
      </c>
      <c r="F11" s="17"/>
      <c r="G11" s="17"/>
    </row>
    <row r="12" spans="1:7" x14ac:dyDescent="0.4">
      <c r="A12" s="73" t="s">
        <v>482</v>
      </c>
      <c r="B12" s="74" t="s">
        <v>483</v>
      </c>
      <c r="C12" s="77">
        <v>47</v>
      </c>
      <c r="D12" s="78">
        <v>5625900</v>
      </c>
      <c r="E12" s="15">
        <v>6.4</v>
      </c>
    </row>
    <row r="13" spans="1:7" x14ac:dyDescent="0.4">
      <c r="A13" s="73" t="s">
        <v>3652</v>
      </c>
      <c r="B13" s="73" t="s">
        <v>3653</v>
      </c>
      <c r="C13" s="78">
        <v>98</v>
      </c>
      <c r="D13" s="78">
        <v>5419400</v>
      </c>
      <c r="E13" s="15">
        <v>6.16</v>
      </c>
    </row>
    <row r="14" spans="1:7" x14ac:dyDescent="0.4">
      <c r="A14" s="73" t="s">
        <v>756</v>
      </c>
      <c r="B14" s="74" t="s">
        <v>757</v>
      </c>
      <c r="C14" s="76">
        <v>48</v>
      </c>
      <c r="D14" s="76">
        <v>4958400</v>
      </c>
      <c r="E14" s="19">
        <v>5.64</v>
      </c>
      <c r="F14" s="17"/>
      <c r="G14" s="17"/>
    </row>
    <row r="15" spans="1:7" x14ac:dyDescent="0.4">
      <c r="A15" s="73" t="s">
        <v>752</v>
      </c>
      <c r="B15" s="74" t="s">
        <v>753</v>
      </c>
      <c r="C15" s="77">
        <v>23</v>
      </c>
      <c r="D15" s="78">
        <v>4899000</v>
      </c>
      <c r="E15" s="15">
        <v>5.57</v>
      </c>
    </row>
    <row r="16" spans="1:7" x14ac:dyDescent="0.4">
      <c r="A16" s="73" t="s">
        <v>532</v>
      </c>
      <c r="B16" s="73" t="s">
        <v>533</v>
      </c>
      <c r="C16" s="77">
        <v>43</v>
      </c>
      <c r="D16" s="78">
        <v>3900100</v>
      </c>
      <c r="E16" s="15">
        <v>4.4400000000000004</v>
      </c>
    </row>
    <row r="17" spans="1:7" x14ac:dyDescent="0.4">
      <c r="A17" s="73" t="s">
        <v>504</v>
      </c>
      <c r="B17" s="74" t="s">
        <v>505</v>
      </c>
      <c r="C17" s="77">
        <v>277</v>
      </c>
      <c r="D17" s="78">
        <v>3878000</v>
      </c>
      <c r="E17" s="15">
        <v>4.41</v>
      </c>
    </row>
    <row r="18" spans="1:7" x14ac:dyDescent="0.4">
      <c r="A18" s="73" t="s">
        <v>37</v>
      </c>
      <c r="B18" s="73" t="s">
        <v>38</v>
      </c>
      <c r="C18" s="78">
        <v>40</v>
      </c>
      <c r="D18" s="78">
        <v>3696000</v>
      </c>
      <c r="E18" s="15">
        <v>4.2</v>
      </c>
    </row>
    <row r="19" spans="1:7" x14ac:dyDescent="0.4">
      <c r="A19" s="73" t="s">
        <v>31</v>
      </c>
      <c r="B19" s="74" t="s">
        <v>32</v>
      </c>
      <c r="C19" s="76">
        <v>10</v>
      </c>
      <c r="D19" s="76">
        <v>3580000</v>
      </c>
      <c r="E19" s="19">
        <v>4.07</v>
      </c>
      <c r="F19" s="17"/>
      <c r="G19" s="17"/>
    </row>
    <row r="20" spans="1:7" x14ac:dyDescent="0.4">
      <c r="A20" s="73" t="s">
        <v>1966</v>
      </c>
      <c r="B20" s="73" t="s">
        <v>1967</v>
      </c>
      <c r="C20" s="78">
        <v>154</v>
      </c>
      <c r="D20" s="78">
        <v>2830520</v>
      </c>
      <c r="E20" s="15">
        <v>3.22</v>
      </c>
    </row>
    <row r="21" spans="1:7" x14ac:dyDescent="0.4">
      <c r="A21" s="73" t="s">
        <v>469</v>
      </c>
      <c r="B21" s="73" t="s">
        <v>470</v>
      </c>
      <c r="C21" s="78">
        <v>11</v>
      </c>
      <c r="D21" s="78">
        <v>2326500</v>
      </c>
      <c r="E21" s="15">
        <v>2.65</v>
      </c>
    </row>
    <row r="22" spans="1:7" x14ac:dyDescent="0.4">
      <c r="A22" s="73" t="s">
        <v>35</v>
      </c>
      <c r="B22" s="73" t="s">
        <v>36</v>
      </c>
      <c r="C22" s="78">
        <v>14</v>
      </c>
      <c r="D22" s="78">
        <v>2100000</v>
      </c>
      <c r="E22" s="15">
        <v>2.39</v>
      </c>
    </row>
    <row r="23" spans="1:7" x14ac:dyDescent="0.4">
      <c r="A23" s="73" t="s">
        <v>351</v>
      </c>
      <c r="B23" s="73" t="s">
        <v>352</v>
      </c>
      <c r="C23" s="77">
        <v>12</v>
      </c>
      <c r="D23" s="78">
        <v>2048400</v>
      </c>
      <c r="E23" s="15">
        <v>2.33</v>
      </c>
    </row>
    <row r="24" spans="1:7" x14ac:dyDescent="0.4">
      <c r="A24" s="73" t="s">
        <v>477</v>
      </c>
      <c r="B24" s="73" t="s">
        <v>478</v>
      </c>
      <c r="C24" s="77">
        <v>12</v>
      </c>
      <c r="D24" s="78">
        <v>1998000</v>
      </c>
      <c r="E24" s="15">
        <v>2.27</v>
      </c>
    </row>
    <row r="25" spans="1:7" x14ac:dyDescent="0.4">
      <c r="A25" s="73" t="s">
        <v>630</v>
      </c>
      <c r="B25" s="73" t="s">
        <v>631</v>
      </c>
      <c r="C25" s="78">
        <v>99</v>
      </c>
      <c r="D25" s="78">
        <v>1980000</v>
      </c>
      <c r="E25" s="15">
        <v>2.25</v>
      </c>
    </row>
    <row r="26" spans="1:7" x14ac:dyDescent="0.4">
      <c r="A26" s="73" t="s">
        <v>45</v>
      </c>
      <c r="B26" s="73" t="s">
        <v>46</v>
      </c>
      <c r="C26" s="78">
        <v>11</v>
      </c>
      <c r="D26" s="78">
        <v>1837000</v>
      </c>
      <c r="E26" s="15">
        <v>2.09</v>
      </c>
    </row>
    <row r="27" spans="1:7" x14ac:dyDescent="0.4">
      <c r="A27" s="73" t="s">
        <v>2619</v>
      </c>
      <c r="B27" s="73" t="s">
        <v>2620</v>
      </c>
      <c r="C27" s="78">
        <v>66</v>
      </c>
      <c r="D27" s="78">
        <v>1834800</v>
      </c>
      <c r="E27" s="15">
        <v>2.09</v>
      </c>
    </row>
    <row r="28" spans="1:7" x14ac:dyDescent="0.4">
      <c r="A28" s="73" t="s">
        <v>732</v>
      </c>
      <c r="B28" s="74" t="s">
        <v>733</v>
      </c>
      <c r="C28" s="76">
        <v>71</v>
      </c>
      <c r="D28" s="76">
        <v>1806950</v>
      </c>
      <c r="E28" s="19">
        <v>2.06</v>
      </c>
      <c r="F28" s="17"/>
      <c r="G28" s="17"/>
    </row>
    <row r="29" spans="1:7" x14ac:dyDescent="0.4">
      <c r="A29" s="73" t="s">
        <v>232</v>
      </c>
      <c r="B29" s="73" t="s">
        <v>233</v>
      </c>
      <c r="C29" s="78">
        <v>7</v>
      </c>
      <c r="D29" s="78">
        <v>1760500</v>
      </c>
      <c r="E29" s="15">
        <v>2</v>
      </c>
    </row>
    <row r="30" spans="1:7" x14ac:dyDescent="0.4">
      <c r="A30" s="73" t="s">
        <v>47</v>
      </c>
      <c r="B30" s="73" t="s">
        <v>48</v>
      </c>
      <c r="C30" s="78">
        <v>51</v>
      </c>
      <c r="D30" s="78">
        <v>1716150</v>
      </c>
      <c r="E30" s="15">
        <v>1.95</v>
      </c>
    </row>
    <row r="31" spans="1:7" x14ac:dyDescent="0.4">
      <c r="A31" s="73" t="s">
        <v>663</v>
      </c>
      <c r="B31" s="73" t="s">
        <v>664</v>
      </c>
      <c r="C31" s="78">
        <v>35</v>
      </c>
      <c r="D31" s="78">
        <v>1697500</v>
      </c>
      <c r="E31" s="15">
        <v>1.93</v>
      </c>
    </row>
    <row r="32" spans="1:7" x14ac:dyDescent="0.4">
      <c r="A32" s="73" t="s">
        <v>4616</v>
      </c>
      <c r="B32" s="73" t="s">
        <v>4617</v>
      </c>
      <c r="C32" s="78">
        <v>19</v>
      </c>
      <c r="D32" s="78">
        <v>1544700</v>
      </c>
      <c r="E32" s="15">
        <v>1.76</v>
      </c>
    </row>
    <row r="33" spans="1:7" x14ac:dyDescent="0.4">
      <c r="A33" s="73" t="s">
        <v>716</v>
      </c>
      <c r="B33" s="73" t="s">
        <v>717</v>
      </c>
      <c r="C33" s="78">
        <v>123</v>
      </c>
      <c r="D33" s="78">
        <v>1541190</v>
      </c>
      <c r="E33" s="15">
        <v>1.75</v>
      </c>
    </row>
    <row r="34" spans="1:7" x14ac:dyDescent="0.4">
      <c r="A34" s="73" t="s">
        <v>418</v>
      </c>
      <c r="B34" s="73" t="s">
        <v>419</v>
      </c>
      <c r="C34" s="78">
        <v>46</v>
      </c>
      <c r="D34" s="78">
        <v>1497300</v>
      </c>
      <c r="E34" s="15">
        <v>1.7</v>
      </c>
    </row>
    <row r="35" spans="1:7" x14ac:dyDescent="0.4">
      <c r="A35" s="73" t="s">
        <v>734</v>
      </c>
      <c r="B35" s="74" t="s">
        <v>735</v>
      </c>
      <c r="C35" s="76">
        <v>13</v>
      </c>
      <c r="D35" s="76">
        <v>1244100</v>
      </c>
      <c r="E35" s="19">
        <v>1.42</v>
      </c>
      <c r="F35" s="17"/>
      <c r="G35" s="17"/>
    </row>
    <row r="36" spans="1:7" x14ac:dyDescent="0.4">
      <c r="A36" s="73" t="s">
        <v>4437</v>
      </c>
      <c r="B36" s="73" t="s">
        <v>4438</v>
      </c>
      <c r="C36" s="78">
        <v>101</v>
      </c>
      <c r="D36" s="78">
        <v>1243310</v>
      </c>
      <c r="E36" s="15">
        <v>1.41</v>
      </c>
    </row>
    <row r="37" spans="1:7" x14ac:dyDescent="0.4">
      <c r="A37" s="73" t="s">
        <v>3712</v>
      </c>
      <c r="B37" s="73" t="s">
        <v>3713</v>
      </c>
      <c r="C37" s="78">
        <v>81</v>
      </c>
      <c r="D37" s="78">
        <v>1230390</v>
      </c>
      <c r="E37" s="15">
        <v>1.4</v>
      </c>
    </row>
    <row r="38" spans="1:7" x14ac:dyDescent="0.4">
      <c r="A38" s="73" t="s">
        <v>4842</v>
      </c>
      <c r="B38" s="73" t="s">
        <v>4843</v>
      </c>
      <c r="C38" s="78">
        <v>69</v>
      </c>
      <c r="D38" s="78">
        <v>1055700</v>
      </c>
      <c r="E38" s="15">
        <v>1.2</v>
      </c>
    </row>
    <row r="39" spans="1:7" x14ac:dyDescent="0.4">
      <c r="A39" s="73" t="s">
        <v>714</v>
      </c>
      <c r="B39" s="73" t="s">
        <v>715</v>
      </c>
      <c r="C39" s="73">
        <v>64</v>
      </c>
      <c r="D39" s="78">
        <v>1036160</v>
      </c>
      <c r="E39" s="15">
        <v>1.18</v>
      </c>
    </row>
    <row r="40" spans="1:7" x14ac:dyDescent="0.4">
      <c r="A40" s="73" t="s">
        <v>3750</v>
      </c>
      <c r="B40" s="73" t="s">
        <v>3751</v>
      </c>
      <c r="C40" s="73">
        <v>74</v>
      </c>
      <c r="D40" s="78">
        <v>976060</v>
      </c>
      <c r="E40" s="15">
        <v>1.1100000000000001</v>
      </c>
    </row>
    <row r="41" spans="1:7" x14ac:dyDescent="0.4">
      <c r="A41" s="73" t="s">
        <v>3400</v>
      </c>
      <c r="B41" s="73" t="s">
        <v>3401</v>
      </c>
      <c r="C41" s="78">
        <v>24</v>
      </c>
      <c r="D41" s="78">
        <v>942000</v>
      </c>
      <c r="E41" s="15">
        <v>1.07</v>
      </c>
    </row>
    <row r="42" spans="1:7" x14ac:dyDescent="0.4">
      <c r="A42" s="73" t="s">
        <v>4490</v>
      </c>
      <c r="B42" s="74" t="s">
        <v>4491</v>
      </c>
      <c r="C42" s="74">
        <v>16</v>
      </c>
      <c r="D42" s="76">
        <v>921600</v>
      </c>
      <c r="E42" s="19">
        <v>1.05</v>
      </c>
      <c r="F42" s="17"/>
      <c r="G42" s="17"/>
    </row>
    <row r="43" spans="1:7" x14ac:dyDescent="0.4">
      <c r="A43" s="73" t="s">
        <v>493</v>
      </c>
      <c r="B43" s="74" t="s">
        <v>494</v>
      </c>
      <c r="C43" s="76">
        <v>3</v>
      </c>
      <c r="D43" s="76">
        <v>862500</v>
      </c>
      <c r="E43" s="19">
        <v>0.98</v>
      </c>
      <c r="F43" s="17"/>
      <c r="G43" s="17"/>
    </row>
    <row r="44" spans="1:7" x14ac:dyDescent="0.4">
      <c r="A44" s="73" t="s">
        <v>4030</v>
      </c>
      <c r="B44" s="73" t="s">
        <v>4031</v>
      </c>
      <c r="C44" s="78">
        <v>19</v>
      </c>
      <c r="D44" s="78">
        <v>838850</v>
      </c>
      <c r="E44" s="15">
        <v>0.95</v>
      </c>
    </row>
    <row r="45" spans="1:7" x14ac:dyDescent="0.4">
      <c r="A45" s="73" t="s">
        <v>718</v>
      </c>
      <c r="B45" s="73" t="s">
        <v>719</v>
      </c>
      <c r="C45" s="78">
        <v>10</v>
      </c>
      <c r="D45" s="78">
        <v>826000</v>
      </c>
      <c r="E45" s="15">
        <v>0.94</v>
      </c>
    </row>
    <row r="46" spans="1:7" x14ac:dyDescent="0.4">
      <c r="A46" s="73" t="s">
        <v>41</v>
      </c>
      <c r="B46" s="73" t="s">
        <v>42</v>
      </c>
      <c r="C46" s="78">
        <v>8</v>
      </c>
      <c r="D46" s="78">
        <v>812000</v>
      </c>
      <c r="E46" s="15">
        <v>0.92</v>
      </c>
    </row>
    <row r="47" spans="1:7" x14ac:dyDescent="0.4">
      <c r="A47" s="73" t="s">
        <v>676</v>
      </c>
      <c r="B47" s="73" t="s">
        <v>677</v>
      </c>
      <c r="C47" s="78">
        <v>7</v>
      </c>
      <c r="D47" s="78">
        <v>788200</v>
      </c>
      <c r="E47" s="15">
        <v>0.9</v>
      </c>
    </row>
    <row r="48" spans="1:7" x14ac:dyDescent="0.4">
      <c r="A48" s="73" t="s">
        <v>754</v>
      </c>
      <c r="B48" s="73" t="s">
        <v>755</v>
      </c>
      <c r="C48" s="78">
        <v>42</v>
      </c>
      <c r="D48" s="78">
        <v>769440</v>
      </c>
      <c r="E48" s="15">
        <v>0.88</v>
      </c>
    </row>
    <row r="49" spans="1:5" x14ac:dyDescent="0.4">
      <c r="A49" s="73" t="s">
        <v>51</v>
      </c>
      <c r="B49" s="73" t="s">
        <v>52</v>
      </c>
      <c r="C49" s="78">
        <v>17</v>
      </c>
      <c r="D49" s="78">
        <v>657050</v>
      </c>
      <c r="E49" s="15">
        <v>0.75</v>
      </c>
    </row>
    <row r="50" spans="1:5" x14ac:dyDescent="0.4">
      <c r="A50" s="73" t="s">
        <v>604</v>
      </c>
      <c r="B50" s="73" t="s">
        <v>605</v>
      </c>
      <c r="C50" s="78">
        <v>14</v>
      </c>
      <c r="D50" s="78">
        <v>616000</v>
      </c>
      <c r="E50" s="15">
        <v>0.7</v>
      </c>
    </row>
    <row r="51" spans="1:5" x14ac:dyDescent="0.4">
      <c r="A51" s="73" t="s">
        <v>586</v>
      </c>
      <c r="B51" s="73" t="s">
        <v>587</v>
      </c>
      <c r="C51" s="78">
        <v>153</v>
      </c>
      <c r="D51" s="78">
        <v>595935</v>
      </c>
      <c r="E51" s="15">
        <v>0.68</v>
      </c>
    </row>
    <row r="52" spans="1:5" x14ac:dyDescent="0.4">
      <c r="A52" s="73" t="s">
        <v>3922</v>
      </c>
      <c r="B52" s="73" t="s">
        <v>3923</v>
      </c>
      <c r="C52" s="78">
        <v>8</v>
      </c>
      <c r="D52" s="78">
        <v>516000</v>
      </c>
      <c r="E52" s="15">
        <v>0.59</v>
      </c>
    </row>
    <row r="53" spans="1:5" x14ac:dyDescent="0.4">
      <c r="A53" s="73" t="s">
        <v>2239</v>
      </c>
      <c r="B53" s="73" t="s">
        <v>2240</v>
      </c>
      <c r="C53" s="78">
        <v>15</v>
      </c>
      <c r="D53" s="78">
        <v>459000</v>
      </c>
      <c r="E53" s="15">
        <v>0.52</v>
      </c>
    </row>
    <row r="54" spans="1:5" x14ac:dyDescent="0.4">
      <c r="A54" s="73" t="s">
        <v>420</v>
      </c>
      <c r="B54" s="73" t="s">
        <v>421</v>
      </c>
      <c r="C54" s="78">
        <v>4</v>
      </c>
      <c r="D54" s="78">
        <v>430800</v>
      </c>
      <c r="E54" s="15">
        <v>0.49</v>
      </c>
    </row>
    <row r="55" spans="1:5" x14ac:dyDescent="0.4">
      <c r="A55" s="73" t="s">
        <v>4608</v>
      </c>
      <c r="B55" s="73" t="s">
        <v>4609</v>
      </c>
      <c r="C55" s="78">
        <v>15</v>
      </c>
      <c r="D55" s="78">
        <v>417000</v>
      </c>
      <c r="E55" s="15">
        <v>0.47</v>
      </c>
    </row>
    <row r="56" spans="1:5" x14ac:dyDescent="0.4">
      <c r="A56" s="73" t="s">
        <v>4740</v>
      </c>
      <c r="B56" s="73" t="s">
        <v>4741</v>
      </c>
      <c r="C56" s="78">
        <v>75</v>
      </c>
      <c r="D56" s="78">
        <v>381000</v>
      </c>
      <c r="E56" s="15">
        <v>0.43</v>
      </c>
    </row>
    <row r="57" spans="1:5" x14ac:dyDescent="0.4">
      <c r="A57" s="73"/>
      <c r="B57" s="73" t="s">
        <v>10</v>
      </c>
      <c r="C57" s="78">
        <v>-262497</v>
      </c>
      <c r="D57" s="78">
        <v>-262497</v>
      </c>
      <c r="E57" s="15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5207</v>
      </c>
      <c r="B8" s="6"/>
      <c r="C8" s="6"/>
      <c r="D8" s="6"/>
      <c r="E8" s="14"/>
    </row>
    <row r="9" spans="1:5" x14ac:dyDescent="0.4">
      <c r="A9" s="75" t="s">
        <v>5208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3652</v>
      </c>
      <c r="B11" s="73" t="s">
        <v>3653</v>
      </c>
      <c r="C11" s="78">
        <v>110</v>
      </c>
      <c r="D11" s="78">
        <v>5577000</v>
      </c>
      <c r="E11" s="15">
        <v>6.25</v>
      </c>
    </row>
    <row r="12" spans="1:5" x14ac:dyDescent="0.4">
      <c r="A12" s="73" t="s">
        <v>756</v>
      </c>
      <c r="B12" s="73" t="s">
        <v>757</v>
      </c>
      <c r="C12" s="77">
        <v>45</v>
      </c>
      <c r="D12" s="78">
        <v>5143500</v>
      </c>
      <c r="E12" s="15">
        <v>5.76</v>
      </c>
    </row>
    <row r="13" spans="1:5" x14ac:dyDescent="0.4">
      <c r="A13" s="73" t="s">
        <v>37</v>
      </c>
      <c r="B13" s="73" t="s">
        <v>38</v>
      </c>
      <c r="C13" s="78">
        <v>40</v>
      </c>
      <c r="D13" s="78">
        <v>4448000</v>
      </c>
      <c r="E13" s="15">
        <v>4.9800000000000004</v>
      </c>
    </row>
    <row r="14" spans="1:5" x14ac:dyDescent="0.4">
      <c r="A14" s="73" t="s">
        <v>1966</v>
      </c>
      <c r="B14" s="73" t="s">
        <v>1967</v>
      </c>
      <c r="C14" s="78">
        <v>154</v>
      </c>
      <c r="D14" s="78">
        <v>4312000</v>
      </c>
      <c r="E14" s="15">
        <v>4.83</v>
      </c>
    </row>
    <row r="15" spans="1:5" x14ac:dyDescent="0.4">
      <c r="A15" s="73" t="s">
        <v>482</v>
      </c>
      <c r="B15" s="73" t="s">
        <v>483</v>
      </c>
      <c r="C15" s="77">
        <v>47</v>
      </c>
      <c r="D15" s="78">
        <v>4154800</v>
      </c>
      <c r="E15" s="15">
        <v>4.66</v>
      </c>
    </row>
    <row r="16" spans="1:5" x14ac:dyDescent="0.4">
      <c r="A16" s="73" t="s">
        <v>504</v>
      </c>
      <c r="B16" s="73" t="s">
        <v>505</v>
      </c>
      <c r="C16" s="77">
        <v>277</v>
      </c>
      <c r="D16" s="78">
        <v>3963870</v>
      </c>
      <c r="E16" s="15">
        <v>4.4400000000000004</v>
      </c>
    </row>
    <row r="17" spans="1:5" x14ac:dyDescent="0.4">
      <c r="A17" s="73" t="s">
        <v>31</v>
      </c>
      <c r="B17" s="73" t="s">
        <v>32</v>
      </c>
      <c r="C17" s="77">
        <v>11</v>
      </c>
      <c r="D17" s="78">
        <v>3888500</v>
      </c>
      <c r="E17" s="15">
        <v>4.3600000000000003</v>
      </c>
    </row>
    <row r="18" spans="1:5" x14ac:dyDescent="0.4">
      <c r="A18" s="73" t="s">
        <v>4616</v>
      </c>
      <c r="B18" s="73" t="s">
        <v>4617</v>
      </c>
      <c r="C18" s="78">
        <v>38</v>
      </c>
      <c r="D18" s="78">
        <v>3294600</v>
      </c>
      <c r="E18" s="15">
        <v>3.69</v>
      </c>
    </row>
    <row r="19" spans="1:5" x14ac:dyDescent="0.4">
      <c r="A19" s="73" t="s">
        <v>351</v>
      </c>
      <c r="B19" s="73" t="s">
        <v>352</v>
      </c>
      <c r="C19" s="78">
        <v>17</v>
      </c>
      <c r="D19" s="78">
        <v>3162000</v>
      </c>
      <c r="E19" s="15">
        <v>3.54</v>
      </c>
    </row>
    <row r="20" spans="1:5" x14ac:dyDescent="0.4">
      <c r="A20" s="73" t="s">
        <v>486</v>
      </c>
      <c r="B20" s="73" t="s">
        <v>487</v>
      </c>
      <c r="C20" s="78">
        <v>25</v>
      </c>
      <c r="D20" s="78">
        <v>3107500</v>
      </c>
      <c r="E20" s="15">
        <v>3.48</v>
      </c>
    </row>
    <row r="21" spans="1:5" x14ac:dyDescent="0.4">
      <c r="A21" s="73" t="s">
        <v>676</v>
      </c>
      <c r="B21" s="73" t="s">
        <v>677</v>
      </c>
      <c r="C21" s="78">
        <v>23</v>
      </c>
      <c r="D21" s="78">
        <v>3091200</v>
      </c>
      <c r="E21" s="15">
        <v>3.46</v>
      </c>
    </row>
    <row r="22" spans="1:5" x14ac:dyDescent="0.4">
      <c r="A22" s="73" t="s">
        <v>752</v>
      </c>
      <c r="B22" s="73" t="s">
        <v>753</v>
      </c>
      <c r="C22" s="78">
        <v>16</v>
      </c>
      <c r="D22" s="78">
        <v>2659200</v>
      </c>
      <c r="E22" s="15">
        <v>2.98</v>
      </c>
    </row>
    <row r="23" spans="1:5" x14ac:dyDescent="0.4">
      <c r="A23" s="73" t="s">
        <v>630</v>
      </c>
      <c r="B23" s="73" t="s">
        <v>631</v>
      </c>
      <c r="C23" s="77">
        <v>99</v>
      </c>
      <c r="D23" s="78">
        <v>2539350</v>
      </c>
      <c r="E23" s="15">
        <v>2.85</v>
      </c>
    </row>
    <row r="24" spans="1:5" x14ac:dyDescent="0.4">
      <c r="A24" s="73" t="s">
        <v>469</v>
      </c>
      <c r="B24" s="73" t="s">
        <v>470</v>
      </c>
      <c r="C24" s="77">
        <v>14</v>
      </c>
      <c r="D24" s="78">
        <v>2310000</v>
      </c>
      <c r="E24" s="15">
        <v>2.59</v>
      </c>
    </row>
    <row r="25" spans="1:5" x14ac:dyDescent="0.4">
      <c r="A25" s="73" t="s">
        <v>718</v>
      </c>
      <c r="B25" s="73" t="s">
        <v>719</v>
      </c>
      <c r="C25" s="78">
        <v>21</v>
      </c>
      <c r="D25" s="78">
        <v>2129400</v>
      </c>
      <c r="E25" s="15">
        <v>2.39</v>
      </c>
    </row>
    <row r="26" spans="1:5" x14ac:dyDescent="0.4">
      <c r="A26" s="73" t="s">
        <v>532</v>
      </c>
      <c r="B26" s="73" t="s">
        <v>533</v>
      </c>
      <c r="C26" s="78">
        <v>23</v>
      </c>
      <c r="D26" s="78">
        <v>1943500</v>
      </c>
      <c r="E26" s="15">
        <v>2.1800000000000002</v>
      </c>
    </row>
    <row r="27" spans="1:5" x14ac:dyDescent="0.4">
      <c r="A27" s="73" t="s">
        <v>3712</v>
      </c>
      <c r="B27" s="73" t="s">
        <v>3713</v>
      </c>
      <c r="C27" s="78">
        <v>94</v>
      </c>
      <c r="D27" s="78">
        <v>1873420</v>
      </c>
      <c r="E27" s="15">
        <v>2.1</v>
      </c>
    </row>
    <row r="28" spans="1:5" x14ac:dyDescent="0.4">
      <c r="A28" s="73" t="s">
        <v>714</v>
      </c>
      <c r="B28" s="73" t="s">
        <v>715</v>
      </c>
      <c r="C28" s="78">
        <v>99</v>
      </c>
      <c r="D28" s="78">
        <v>1698840</v>
      </c>
      <c r="E28" s="15">
        <v>1.9</v>
      </c>
    </row>
    <row r="29" spans="1:5" x14ac:dyDescent="0.4">
      <c r="A29" s="73" t="s">
        <v>2619</v>
      </c>
      <c r="B29" s="73" t="s">
        <v>2620</v>
      </c>
      <c r="C29" s="78">
        <v>66</v>
      </c>
      <c r="D29" s="78">
        <v>1689600</v>
      </c>
      <c r="E29" s="15">
        <v>1.89</v>
      </c>
    </row>
    <row r="30" spans="1:5" x14ac:dyDescent="0.4">
      <c r="A30" s="73" t="s">
        <v>47</v>
      </c>
      <c r="B30" s="73" t="s">
        <v>48</v>
      </c>
      <c r="C30" s="78">
        <v>51</v>
      </c>
      <c r="D30" s="78">
        <v>1685550</v>
      </c>
      <c r="E30" s="15">
        <v>1.89</v>
      </c>
    </row>
    <row r="31" spans="1:5" x14ac:dyDescent="0.4">
      <c r="A31" s="73" t="s">
        <v>418</v>
      </c>
      <c r="B31" s="73" t="s">
        <v>419</v>
      </c>
      <c r="C31" s="78">
        <v>46</v>
      </c>
      <c r="D31" s="78">
        <v>1633000</v>
      </c>
      <c r="E31" s="15">
        <v>1.83</v>
      </c>
    </row>
    <row r="32" spans="1:5" x14ac:dyDescent="0.4">
      <c r="A32" s="73" t="s">
        <v>663</v>
      </c>
      <c r="B32" s="73" t="s">
        <v>664</v>
      </c>
      <c r="C32" s="78">
        <v>35</v>
      </c>
      <c r="D32" s="78">
        <v>1618750</v>
      </c>
      <c r="E32" s="15">
        <v>1.81</v>
      </c>
    </row>
    <row r="33" spans="1:5" x14ac:dyDescent="0.4">
      <c r="A33" s="73" t="s">
        <v>45</v>
      </c>
      <c r="B33" s="73" t="s">
        <v>46</v>
      </c>
      <c r="C33" s="78">
        <v>12</v>
      </c>
      <c r="D33" s="78">
        <v>1584000</v>
      </c>
      <c r="E33" s="15">
        <v>1.77</v>
      </c>
    </row>
    <row r="34" spans="1:5" x14ac:dyDescent="0.4">
      <c r="A34" s="73" t="s">
        <v>716</v>
      </c>
      <c r="B34" s="73" t="s">
        <v>717</v>
      </c>
      <c r="C34" s="78">
        <v>123</v>
      </c>
      <c r="D34" s="78">
        <v>1548570</v>
      </c>
      <c r="E34" s="15">
        <v>1.74</v>
      </c>
    </row>
    <row r="35" spans="1:5" x14ac:dyDescent="0.4">
      <c r="A35" s="73" t="s">
        <v>4842</v>
      </c>
      <c r="B35" s="73" t="s">
        <v>4843</v>
      </c>
      <c r="C35" s="78">
        <v>105</v>
      </c>
      <c r="D35" s="78">
        <v>1499400</v>
      </c>
      <c r="E35" s="15">
        <v>1.68</v>
      </c>
    </row>
    <row r="36" spans="1:5" x14ac:dyDescent="0.4">
      <c r="A36" s="73" t="s">
        <v>4437</v>
      </c>
      <c r="B36" s="73" t="s">
        <v>4438</v>
      </c>
      <c r="C36" s="78">
        <v>101</v>
      </c>
      <c r="D36" s="78">
        <v>1480660</v>
      </c>
      <c r="E36" s="15">
        <v>1.66</v>
      </c>
    </row>
    <row r="37" spans="1:5" x14ac:dyDescent="0.4">
      <c r="A37" s="73" t="s">
        <v>734</v>
      </c>
      <c r="B37" s="73" t="s">
        <v>735</v>
      </c>
      <c r="C37" s="78">
        <v>13</v>
      </c>
      <c r="D37" s="78">
        <v>1450800</v>
      </c>
      <c r="E37" s="15">
        <v>1.63</v>
      </c>
    </row>
    <row r="38" spans="1:5" x14ac:dyDescent="0.4">
      <c r="A38" s="73" t="s">
        <v>754</v>
      </c>
      <c r="B38" s="73" t="s">
        <v>755</v>
      </c>
      <c r="C38" s="78">
        <v>73</v>
      </c>
      <c r="D38" s="78">
        <v>1367290</v>
      </c>
      <c r="E38" s="15">
        <v>1.53</v>
      </c>
    </row>
    <row r="39" spans="1:5" x14ac:dyDescent="0.4">
      <c r="A39" s="73" t="s">
        <v>4030</v>
      </c>
      <c r="B39" s="73" t="s">
        <v>4031</v>
      </c>
      <c r="C39" s="73">
        <v>29</v>
      </c>
      <c r="D39" s="78">
        <v>1302100</v>
      </c>
      <c r="E39" s="15">
        <v>1.46</v>
      </c>
    </row>
    <row r="40" spans="1:5" x14ac:dyDescent="0.4">
      <c r="A40" s="73" t="s">
        <v>420</v>
      </c>
      <c r="B40" s="73" t="s">
        <v>421</v>
      </c>
      <c r="C40" s="73">
        <v>10</v>
      </c>
      <c r="D40" s="78">
        <v>1218000</v>
      </c>
      <c r="E40" s="15">
        <v>1.36</v>
      </c>
    </row>
    <row r="41" spans="1:5" x14ac:dyDescent="0.4">
      <c r="A41" s="73" t="s">
        <v>232</v>
      </c>
      <c r="B41" s="73" t="s">
        <v>233</v>
      </c>
      <c r="C41" s="73">
        <v>4</v>
      </c>
      <c r="D41" s="78">
        <v>1148000</v>
      </c>
      <c r="E41" s="15">
        <v>1.29</v>
      </c>
    </row>
    <row r="42" spans="1:5" x14ac:dyDescent="0.4">
      <c r="A42" s="73" t="s">
        <v>51</v>
      </c>
      <c r="B42" s="73" t="s">
        <v>52</v>
      </c>
      <c r="C42" s="73">
        <v>29</v>
      </c>
      <c r="D42" s="78">
        <v>1096200</v>
      </c>
      <c r="E42" s="15">
        <v>1.23</v>
      </c>
    </row>
    <row r="43" spans="1:5" x14ac:dyDescent="0.4">
      <c r="A43" s="73" t="s">
        <v>4490</v>
      </c>
      <c r="B43" s="73" t="s">
        <v>4491</v>
      </c>
      <c r="C43" s="78">
        <v>16</v>
      </c>
      <c r="D43" s="78">
        <v>1001600</v>
      </c>
      <c r="E43" s="15">
        <v>1.1200000000000001</v>
      </c>
    </row>
    <row r="44" spans="1:5" x14ac:dyDescent="0.4">
      <c r="A44" s="73" t="s">
        <v>3750</v>
      </c>
      <c r="B44" s="73" t="s">
        <v>3751</v>
      </c>
      <c r="C44" s="78">
        <v>74</v>
      </c>
      <c r="D44" s="78">
        <v>990120</v>
      </c>
      <c r="E44" s="15">
        <v>1.1100000000000001</v>
      </c>
    </row>
    <row r="45" spans="1:5" x14ac:dyDescent="0.4">
      <c r="A45" s="73" t="s">
        <v>35</v>
      </c>
      <c r="B45" s="73" t="s">
        <v>36</v>
      </c>
      <c r="C45" s="78">
        <v>6</v>
      </c>
      <c r="D45" s="78">
        <v>807600</v>
      </c>
      <c r="E45" s="15">
        <v>0.9</v>
      </c>
    </row>
    <row r="46" spans="1:5" x14ac:dyDescent="0.4">
      <c r="A46" s="73" t="s">
        <v>41</v>
      </c>
      <c r="B46" s="73" t="s">
        <v>42</v>
      </c>
      <c r="C46" s="78">
        <v>8</v>
      </c>
      <c r="D46" s="78">
        <v>792800</v>
      </c>
      <c r="E46" s="15">
        <v>0.89</v>
      </c>
    </row>
    <row r="47" spans="1:5" x14ac:dyDescent="0.4">
      <c r="A47" s="73" t="s">
        <v>493</v>
      </c>
      <c r="B47" s="73" t="s">
        <v>494</v>
      </c>
      <c r="C47" s="78">
        <v>3</v>
      </c>
      <c r="D47" s="78">
        <v>775500</v>
      </c>
      <c r="E47" s="15">
        <v>0.87</v>
      </c>
    </row>
    <row r="48" spans="1:5" x14ac:dyDescent="0.4">
      <c r="A48" s="73" t="s">
        <v>604</v>
      </c>
      <c r="B48" s="73" t="s">
        <v>605</v>
      </c>
      <c r="C48" s="78">
        <v>7</v>
      </c>
      <c r="D48" s="78">
        <v>639100</v>
      </c>
      <c r="E48" s="15">
        <v>0.72</v>
      </c>
    </row>
    <row r="49" spans="1:5" x14ac:dyDescent="0.4">
      <c r="A49" s="73" t="s">
        <v>586</v>
      </c>
      <c r="B49" s="73" t="s">
        <v>587</v>
      </c>
      <c r="C49" s="73">
        <v>160</v>
      </c>
      <c r="D49" s="78">
        <v>638400</v>
      </c>
      <c r="E49" s="15">
        <v>0.72</v>
      </c>
    </row>
    <row r="50" spans="1:5" x14ac:dyDescent="0.4">
      <c r="A50" s="73" t="s">
        <v>3922</v>
      </c>
      <c r="B50" s="73" t="s">
        <v>3923</v>
      </c>
      <c r="C50" s="78">
        <v>8</v>
      </c>
      <c r="D50" s="78">
        <v>584800</v>
      </c>
      <c r="E50" s="15">
        <v>0.66</v>
      </c>
    </row>
    <row r="51" spans="1:5" x14ac:dyDescent="0.4">
      <c r="A51" s="73" t="s">
        <v>2239</v>
      </c>
      <c r="B51" s="73" t="s">
        <v>2240</v>
      </c>
      <c r="C51" s="78">
        <v>15</v>
      </c>
      <c r="D51" s="78">
        <v>572250</v>
      </c>
      <c r="E51" s="15">
        <v>0.64</v>
      </c>
    </row>
    <row r="52" spans="1:5" x14ac:dyDescent="0.4">
      <c r="A52" s="73" t="s">
        <v>4608</v>
      </c>
      <c r="B52" s="73" t="s">
        <v>4609</v>
      </c>
      <c r="C52" s="78">
        <v>15</v>
      </c>
      <c r="D52" s="78">
        <v>468750</v>
      </c>
      <c r="E52" s="15">
        <v>0.53</v>
      </c>
    </row>
    <row r="53" spans="1:5" x14ac:dyDescent="0.4">
      <c r="A53" s="73" t="s">
        <v>4740</v>
      </c>
      <c r="B53" s="73" t="s">
        <v>4741</v>
      </c>
      <c r="C53" s="78">
        <v>75</v>
      </c>
      <c r="D53" s="78">
        <v>432000</v>
      </c>
      <c r="E53" s="15">
        <v>0.48</v>
      </c>
    </row>
    <row r="54" spans="1:5" x14ac:dyDescent="0.4">
      <c r="A54" s="73" t="s">
        <v>620</v>
      </c>
      <c r="B54" s="73" t="s">
        <v>621</v>
      </c>
      <c r="C54" s="78">
        <v>6</v>
      </c>
      <c r="D54" s="78">
        <v>199500</v>
      </c>
      <c r="E54" s="15">
        <v>0.22</v>
      </c>
    </row>
    <row r="55" spans="1:5" x14ac:dyDescent="0.4">
      <c r="A55" s="73"/>
      <c r="B55" s="73" t="s">
        <v>10</v>
      </c>
      <c r="C55" s="78">
        <v>1730637</v>
      </c>
      <c r="D55" s="78">
        <v>1730637</v>
      </c>
      <c r="E55" s="15">
        <v>1.94</v>
      </c>
    </row>
    <row r="56" spans="1:5" x14ac:dyDescent="0.4">
      <c r="D56" s="13"/>
      <c r="E56" s="7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455</v>
      </c>
      <c r="B8" s="6"/>
      <c r="C8" s="6"/>
      <c r="D8" s="6"/>
      <c r="E8" s="14"/>
    </row>
    <row r="9" spans="1:7" x14ac:dyDescent="0.4">
      <c r="A9" s="75" t="s">
        <v>522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113</v>
      </c>
      <c r="D11" s="76">
        <v>289280000</v>
      </c>
      <c r="E11" s="19">
        <v>22.68</v>
      </c>
      <c r="F11" s="17"/>
      <c r="G11" s="17"/>
    </row>
    <row r="12" spans="1:7" x14ac:dyDescent="0.4">
      <c r="A12" s="73" t="s">
        <v>456</v>
      </c>
      <c r="B12" s="74" t="s">
        <v>457</v>
      </c>
      <c r="C12" s="81">
        <v>1403</v>
      </c>
      <c r="D12" s="76">
        <v>286913500</v>
      </c>
      <c r="E12" s="19">
        <v>22.49</v>
      </c>
      <c r="F12" s="17"/>
      <c r="G12" s="17"/>
    </row>
    <row r="13" spans="1:7" x14ac:dyDescent="0.4">
      <c r="A13" s="73" t="s">
        <v>217</v>
      </c>
      <c r="B13" s="73" t="s">
        <v>218</v>
      </c>
      <c r="C13" s="78">
        <v>89</v>
      </c>
      <c r="D13" s="78">
        <v>54735000</v>
      </c>
      <c r="E13" s="15">
        <v>4.29</v>
      </c>
    </row>
    <row r="14" spans="1:7" x14ac:dyDescent="0.4">
      <c r="A14" s="73" t="s">
        <v>188</v>
      </c>
      <c r="B14" s="73" t="s">
        <v>189</v>
      </c>
      <c r="C14" s="78">
        <v>26</v>
      </c>
      <c r="D14" s="78">
        <v>45682000</v>
      </c>
      <c r="E14" s="15">
        <v>3.58</v>
      </c>
    </row>
    <row r="15" spans="1:7" x14ac:dyDescent="0.4">
      <c r="A15" s="73" t="s">
        <v>118</v>
      </c>
      <c r="B15" s="73" t="s">
        <v>119</v>
      </c>
      <c r="C15" s="77">
        <v>133</v>
      </c>
      <c r="D15" s="78">
        <v>30324000</v>
      </c>
      <c r="E15" s="15">
        <v>2.38</v>
      </c>
    </row>
    <row r="16" spans="1:7" x14ac:dyDescent="0.4">
      <c r="A16" s="73" t="s">
        <v>451</v>
      </c>
      <c r="B16" s="73" t="s">
        <v>452</v>
      </c>
      <c r="C16" s="77">
        <v>13</v>
      </c>
      <c r="D16" s="78">
        <v>28665000</v>
      </c>
      <c r="E16" s="15">
        <v>2.25</v>
      </c>
    </row>
    <row r="17" spans="1:7" x14ac:dyDescent="0.4">
      <c r="A17" s="73" t="s">
        <v>102</v>
      </c>
      <c r="B17" s="74" t="s">
        <v>103</v>
      </c>
      <c r="C17" s="81">
        <v>157</v>
      </c>
      <c r="D17" s="76">
        <v>24884500</v>
      </c>
      <c r="E17" s="19">
        <v>1.95</v>
      </c>
      <c r="F17" s="17"/>
      <c r="G17" s="17"/>
    </row>
    <row r="18" spans="1:7" x14ac:dyDescent="0.4">
      <c r="A18" s="73" t="s">
        <v>82</v>
      </c>
      <c r="B18" s="73" t="s">
        <v>83</v>
      </c>
      <c r="C18" s="78">
        <v>61</v>
      </c>
      <c r="D18" s="78">
        <v>21197500</v>
      </c>
      <c r="E18" s="15">
        <v>1.66</v>
      </c>
    </row>
    <row r="19" spans="1:7" x14ac:dyDescent="0.4">
      <c r="A19" s="73" t="s">
        <v>289</v>
      </c>
      <c r="B19" s="73" t="s">
        <v>290</v>
      </c>
      <c r="C19" s="78">
        <v>57</v>
      </c>
      <c r="D19" s="78">
        <v>20434500</v>
      </c>
      <c r="E19" s="15">
        <v>1.6</v>
      </c>
    </row>
    <row r="20" spans="1:7" x14ac:dyDescent="0.4">
      <c r="A20" s="73" t="s">
        <v>154</v>
      </c>
      <c r="B20" s="73" t="s">
        <v>155</v>
      </c>
      <c r="C20" s="78">
        <v>264</v>
      </c>
      <c r="D20" s="78">
        <v>20433600</v>
      </c>
      <c r="E20" s="15">
        <v>1.6</v>
      </c>
    </row>
    <row r="21" spans="1:7" x14ac:dyDescent="0.4">
      <c r="A21" s="73" t="s">
        <v>135</v>
      </c>
      <c r="B21" s="73" t="s">
        <v>136</v>
      </c>
      <c r="C21" s="78">
        <v>46</v>
      </c>
      <c r="D21" s="78">
        <v>19964000</v>
      </c>
      <c r="E21" s="15">
        <v>1.57</v>
      </c>
    </row>
    <row r="22" spans="1:7" x14ac:dyDescent="0.4">
      <c r="A22" s="73" t="s">
        <v>3734</v>
      </c>
      <c r="B22" s="74" t="s">
        <v>3735</v>
      </c>
      <c r="C22" s="76">
        <v>296</v>
      </c>
      <c r="D22" s="76">
        <v>19240000</v>
      </c>
      <c r="E22" s="19">
        <v>1.51</v>
      </c>
      <c r="F22" s="17"/>
      <c r="G22" s="17"/>
    </row>
    <row r="23" spans="1:7" x14ac:dyDescent="0.4">
      <c r="A23" s="73" t="s">
        <v>158</v>
      </c>
      <c r="B23" s="74" t="s">
        <v>159</v>
      </c>
      <c r="C23" s="81">
        <v>231</v>
      </c>
      <c r="D23" s="76">
        <v>18872700</v>
      </c>
      <c r="E23" s="19">
        <v>1.48</v>
      </c>
      <c r="F23" s="17"/>
      <c r="G23" s="17"/>
    </row>
    <row r="24" spans="1:7" x14ac:dyDescent="0.4">
      <c r="A24" s="73" t="s">
        <v>752</v>
      </c>
      <c r="B24" s="73" t="s">
        <v>753</v>
      </c>
      <c r="C24" s="77">
        <v>78</v>
      </c>
      <c r="D24" s="78">
        <v>16614000</v>
      </c>
      <c r="E24" s="15">
        <v>1.3</v>
      </c>
    </row>
    <row r="25" spans="1:7" x14ac:dyDescent="0.4">
      <c r="A25" s="73" t="s">
        <v>514</v>
      </c>
      <c r="B25" s="73" t="s">
        <v>515</v>
      </c>
      <c r="C25" s="78">
        <v>357</v>
      </c>
      <c r="D25" s="78">
        <v>16243500</v>
      </c>
      <c r="E25" s="15">
        <v>1.27</v>
      </c>
    </row>
    <row r="26" spans="1:7" x14ac:dyDescent="0.4">
      <c r="A26" s="73" t="s">
        <v>98</v>
      </c>
      <c r="B26" s="73" t="s">
        <v>99</v>
      </c>
      <c r="C26" s="78">
        <v>81</v>
      </c>
      <c r="D26" s="78">
        <v>15989400</v>
      </c>
      <c r="E26" s="15">
        <v>1.25</v>
      </c>
    </row>
    <row r="27" spans="1:7" x14ac:dyDescent="0.4">
      <c r="A27" s="73" t="s">
        <v>133</v>
      </c>
      <c r="B27" s="73" t="s">
        <v>134</v>
      </c>
      <c r="C27" s="78">
        <v>93</v>
      </c>
      <c r="D27" s="78">
        <v>15540300</v>
      </c>
      <c r="E27" s="15">
        <v>1.22</v>
      </c>
    </row>
    <row r="28" spans="1:7" x14ac:dyDescent="0.4">
      <c r="A28" s="73" t="s">
        <v>108</v>
      </c>
      <c r="B28" s="73" t="s">
        <v>109</v>
      </c>
      <c r="C28" s="78">
        <v>39</v>
      </c>
      <c r="D28" s="78">
        <v>15093000</v>
      </c>
      <c r="E28" s="15">
        <v>1.18</v>
      </c>
    </row>
    <row r="29" spans="1:7" x14ac:dyDescent="0.4">
      <c r="A29" s="73" t="s">
        <v>471</v>
      </c>
      <c r="B29" s="73" t="s">
        <v>472</v>
      </c>
      <c r="C29" s="78">
        <v>1248</v>
      </c>
      <c r="D29" s="78">
        <v>14302080</v>
      </c>
      <c r="E29" s="15">
        <v>1.1200000000000001</v>
      </c>
    </row>
    <row r="30" spans="1:7" x14ac:dyDescent="0.4">
      <c r="A30" s="73" t="s">
        <v>73</v>
      </c>
      <c r="B30" s="73" t="s">
        <v>74</v>
      </c>
      <c r="C30" s="78">
        <v>13</v>
      </c>
      <c r="D30" s="78">
        <v>14183000</v>
      </c>
      <c r="E30" s="15">
        <v>1.1100000000000001</v>
      </c>
    </row>
    <row r="31" spans="1:7" x14ac:dyDescent="0.4">
      <c r="A31" s="73" t="s">
        <v>112</v>
      </c>
      <c r="B31" s="73" t="s">
        <v>113</v>
      </c>
      <c r="C31" s="78">
        <v>120</v>
      </c>
      <c r="D31" s="78">
        <v>13968000</v>
      </c>
      <c r="E31" s="15">
        <v>1.1000000000000001</v>
      </c>
    </row>
    <row r="32" spans="1:7" x14ac:dyDescent="0.4">
      <c r="A32" s="73" t="s">
        <v>140</v>
      </c>
      <c r="B32" s="73" t="s">
        <v>141</v>
      </c>
      <c r="C32" s="78">
        <v>27</v>
      </c>
      <c r="D32" s="78">
        <v>13162500</v>
      </c>
      <c r="E32" s="15">
        <v>1.03</v>
      </c>
    </row>
    <row r="33" spans="1:5" x14ac:dyDescent="0.4">
      <c r="A33" s="73" t="s">
        <v>1911</v>
      </c>
      <c r="B33" s="73" t="s">
        <v>1912</v>
      </c>
      <c r="C33" s="78">
        <v>1013</v>
      </c>
      <c r="D33" s="78">
        <v>12095220</v>
      </c>
      <c r="E33" s="15">
        <v>0.95</v>
      </c>
    </row>
    <row r="34" spans="1:5" x14ac:dyDescent="0.4">
      <c r="A34" s="73" t="s">
        <v>1344</v>
      </c>
      <c r="B34" s="73" t="s">
        <v>1345</v>
      </c>
      <c r="C34" s="78">
        <v>684</v>
      </c>
      <c r="D34" s="78">
        <v>11792160</v>
      </c>
      <c r="E34" s="15">
        <v>0.92</v>
      </c>
    </row>
    <row r="35" spans="1:5" x14ac:dyDescent="0.4">
      <c r="A35" s="73" t="s">
        <v>11</v>
      </c>
      <c r="B35" s="73" t="s">
        <v>12</v>
      </c>
      <c r="C35" s="78">
        <v>3</v>
      </c>
      <c r="D35" s="78">
        <v>11154000</v>
      </c>
      <c r="E35" s="15">
        <v>0.87</v>
      </c>
    </row>
    <row r="36" spans="1:5" x14ac:dyDescent="0.4">
      <c r="A36" s="73" t="s">
        <v>63</v>
      </c>
      <c r="B36" s="73" t="s">
        <v>64</v>
      </c>
      <c r="C36" s="78">
        <v>27</v>
      </c>
      <c r="D36" s="78">
        <v>11016000</v>
      </c>
      <c r="E36" s="15">
        <v>0.86</v>
      </c>
    </row>
    <row r="37" spans="1:5" x14ac:dyDescent="0.4">
      <c r="A37" s="73" t="s">
        <v>142</v>
      </c>
      <c r="B37" s="73" t="s">
        <v>143</v>
      </c>
      <c r="C37" s="78">
        <v>63</v>
      </c>
      <c r="D37" s="78">
        <v>10080000</v>
      </c>
      <c r="E37" s="15">
        <v>0.79</v>
      </c>
    </row>
    <row r="38" spans="1:5" x14ac:dyDescent="0.4">
      <c r="A38" s="73" t="s">
        <v>754</v>
      </c>
      <c r="B38" s="73" t="s">
        <v>755</v>
      </c>
      <c r="C38" s="78">
        <v>542</v>
      </c>
      <c r="D38" s="78">
        <v>9929440</v>
      </c>
      <c r="E38" s="15">
        <v>0.78</v>
      </c>
    </row>
    <row r="39" spans="1:5" x14ac:dyDescent="0.4">
      <c r="A39" s="73" t="s">
        <v>194</v>
      </c>
      <c r="B39" s="73" t="s">
        <v>195</v>
      </c>
      <c r="C39" s="78">
        <v>527</v>
      </c>
      <c r="D39" s="78">
        <v>9665180</v>
      </c>
      <c r="E39" s="15">
        <v>0.76</v>
      </c>
    </row>
    <row r="40" spans="1:5" x14ac:dyDescent="0.4">
      <c r="A40" s="73" t="s">
        <v>166</v>
      </c>
      <c r="B40" s="73" t="s">
        <v>167</v>
      </c>
      <c r="C40" s="78">
        <v>46</v>
      </c>
      <c r="D40" s="78">
        <v>9660000</v>
      </c>
      <c r="E40" s="15">
        <v>0.76</v>
      </c>
    </row>
    <row r="41" spans="1:5" x14ac:dyDescent="0.4">
      <c r="A41" s="73" t="s">
        <v>473</v>
      </c>
      <c r="B41" s="73" t="s">
        <v>474</v>
      </c>
      <c r="C41" s="78">
        <v>171</v>
      </c>
      <c r="D41" s="78">
        <v>8772300</v>
      </c>
      <c r="E41" s="15">
        <v>0.69</v>
      </c>
    </row>
    <row r="42" spans="1:5" x14ac:dyDescent="0.4">
      <c r="A42" s="73" t="s">
        <v>1107</v>
      </c>
      <c r="B42" s="73" t="s">
        <v>1108</v>
      </c>
      <c r="C42" s="78">
        <v>663</v>
      </c>
      <c r="D42" s="78">
        <v>8459880</v>
      </c>
      <c r="E42" s="15">
        <v>0.66</v>
      </c>
    </row>
    <row r="43" spans="1:5" x14ac:dyDescent="0.4">
      <c r="A43" s="73" t="s">
        <v>453</v>
      </c>
      <c r="B43" s="73" t="s">
        <v>454</v>
      </c>
      <c r="C43" s="78">
        <v>43</v>
      </c>
      <c r="D43" s="78">
        <v>8342000</v>
      </c>
      <c r="E43" s="15">
        <v>0.65</v>
      </c>
    </row>
    <row r="44" spans="1:5" x14ac:dyDescent="0.4">
      <c r="A44" s="73" t="s">
        <v>328</v>
      </c>
      <c r="B44" s="73" t="s">
        <v>329</v>
      </c>
      <c r="C44" s="78">
        <v>44</v>
      </c>
      <c r="D44" s="78">
        <v>8140000</v>
      </c>
      <c r="E44" s="15">
        <v>0.64</v>
      </c>
    </row>
    <row r="45" spans="1:5" x14ac:dyDescent="0.4">
      <c r="A45" s="73" t="s">
        <v>104</v>
      </c>
      <c r="B45" s="73" t="s">
        <v>105</v>
      </c>
      <c r="C45" s="78">
        <v>13</v>
      </c>
      <c r="D45" s="78">
        <v>8099000</v>
      </c>
      <c r="E45" s="15">
        <v>0.63</v>
      </c>
    </row>
    <row r="46" spans="1:5" x14ac:dyDescent="0.4">
      <c r="A46" s="73" t="s">
        <v>303</v>
      </c>
      <c r="B46" s="73" t="s">
        <v>304</v>
      </c>
      <c r="C46" s="78">
        <v>10</v>
      </c>
      <c r="D46" s="78">
        <v>7630000</v>
      </c>
      <c r="E46" s="15">
        <v>0.6</v>
      </c>
    </row>
    <row r="47" spans="1:5" x14ac:dyDescent="0.4">
      <c r="A47" s="73" t="s">
        <v>636</v>
      </c>
      <c r="B47" s="73" t="s">
        <v>637</v>
      </c>
      <c r="C47" s="78">
        <v>165</v>
      </c>
      <c r="D47" s="78">
        <v>7111500</v>
      </c>
      <c r="E47" s="15">
        <v>0.56000000000000005</v>
      </c>
    </row>
    <row r="48" spans="1:5" x14ac:dyDescent="0.4">
      <c r="A48" s="73" t="s">
        <v>15</v>
      </c>
      <c r="B48" s="73" t="s">
        <v>16</v>
      </c>
      <c r="C48" s="73">
        <v>7</v>
      </c>
      <c r="D48" s="78">
        <v>7084000</v>
      </c>
      <c r="E48" s="15">
        <v>0.56000000000000005</v>
      </c>
    </row>
    <row r="49" spans="1:5" x14ac:dyDescent="0.4">
      <c r="A49" s="73" t="s">
        <v>1885</v>
      </c>
      <c r="B49" s="73" t="s">
        <v>1886</v>
      </c>
      <c r="C49" s="78">
        <v>195</v>
      </c>
      <c r="D49" s="78">
        <v>6834750</v>
      </c>
      <c r="E49" s="15">
        <v>0.54</v>
      </c>
    </row>
    <row r="50" spans="1:5" x14ac:dyDescent="0.4">
      <c r="A50" s="73" t="s">
        <v>53</v>
      </c>
      <c r="B50" s="73" t="s">
        <v>54</v>
      </c>
      <c r="C50" s="78">
        <v>16</v>
      </c>
      <c r="D50" s="78">
        <v>6752000</v>
      </c>
      <c r="E50" s="15">
        <v>0.53</v>
      </c>
    </row>
    <row r="51" spans="1:5" x14ac:dyDescent="0.4">
      <c r="A51" s="73" t="s">
        <v>316</v>
      </c>
      <c r="B51" s="73" t="s">
        <v>317</v>
      </c>
      <c r="C51" s="78">
        <v>89</v>
      </c>
      <c r="D51" s="78">
        <v>6497000</v>
      </c>
      <c r="E51" s="15">
        <v>0.51</v>
      </c>
    </row>
    <row r="52" spans="1:5" x14ac:dyDescent="0.4">
      <c r="A52" s="73" t="s">
        <v>608</v>
      </c>
      <c r="B52" s="73" t="s">
        <v>609</v>
      </c>
      <c r="C52" s="78">
        <v>232</v>
      </c>
      <c r="D52" s="78">
        <v>6449600</v>
      </c>
      <c r="E52" s="15">
        <v>0.51</v>
      </c>
    </row>
    <row r="53" spans="1:5" x14ac:dyDescent="0.4">
      <c r="A53" s="73" t="s">
        <v>92</v>
      </c>
      <c r="B53" s="73" t="s">
        <v>93</v>
      </c>
      <c r="C53" s="78">
        <v>4</v>
      </c>
      <c r="D53" s="78">
        <v>6360000</v>
      </c>
      <c r="E53" s="15">
        <v>0.5</v>
      </c>
    </row>
    <row r="54" spans="1:5" x14ac:dyDescent="0.4">
      <c r="A54" s="73" t="s">
        <v>150</v>
      </c>
      <c r="B54" s="73" t="s">
        <v>151</v>
      </c>
      <c r="C54" s="78">
        <v>84</v>
      </c>
      <c r="D54" s="78">
        <v>6090000</v>
      </c>
      <c r="E54" s="15">
        <v>0.48</v>
      </c>
    </row>
    <row r="55" spans="1:5" x14ac:dyDescent="0.4">
      <c r="A55" s="73" t="s">
        <v>2036</v>
      </c>
      <c r="B55" s="73" t="s">
        <v>2037</v>
      </c>
      <c r="C55" s="78">
        <v>1368</v>
      </c>
      <c r="D55" s="78">
        <v>5814000</v>
      </c>
      <c r="E55" s="15">
        <v>0.46</v>
      </c>
    </row>
    <row r="56" spans="1:5" x14ac:dyDescent="0.4">
      <c r="A56" s="73" t="s">
        <v>78</v>
      </c>
      <c r="B56" s="73" t="s">
        <v>79</v>
      </c>
      <c r="C56" s="78">
        <v>5</v>
      </c>
      <c r="D56" s="78">
        <v>5810000</v>
      </c>
      <c r="E56" s="15">
        <v>0.46</v>
      </c>
    </row>
    <row r="57" spans="1:5" x14ac:dyDescent="0.4">
      <c r="A57" s="73" t="s">
        <v>650</v>
      </c>
      <c r="B57" s="73" t="s">
        <v>651</v>
      </c>
      <c r="C57" s="78">
        <v>65</v>
      </c>
      <c r="D57" s="78">
        <v>5759000</v>
      </c>
      <c r="E57" s="15">
        <v>0.45</v>
      </c>
    </row>
    <row r="58" spans="1:5" x14ac:dyDescent="0.4">
      <c r="A58" s="73" t="s">
        <v>174</v>
      </c>
      <c r="B58" s="73" t="s">
        <v>175</v>
      </c>
      <c r="C58" s="78">
        <v>42</v>
      </c>
      <c r="D58" s="78">
        <v>5716200</v>
      </c>
      <c r="E58" s="15">
        <v>0.45</v>
      </c>
    </row>
    <row r="59" spans="1:5" x14ac:dyDescent="0.4">
      <c r="A59" s="73" t="s">
        <v>726</v>
      </c>
      <c r="B59" s="73" t="s">
        <v>727</v>
      </c>
      <c r="C59" s="78">
        <v>4720</v>
      </c>
      <c r="D59" s="78">
        <v>5361920</v>
      </c>
      <c r="E59" s="15">
        <v>0.42</v>
      </c>
    </row>
    <row r="60" spans="1:5" x14ac:dyDescent="0.4">
      <c r="A60" s="73" t="s">
        <v>2581</v>
      </c>
      <c r="B60" s="73" t="s">
        <v>2582</v>
      </c>
      <c r="C60" s="78">
        <v>130</v>
      </c>
      <c r="D60" s="78">
        <v>5057000</v>
      </c>
      <c r="E60" s="15">
        <v>0.4</v>
      </c>
    </row>
    <row r="61" spans="1:5" x14ac:dyDescent="0.4">
      <c r="A61" s="73" t="s">
        <v>47</v>
      </c>
      <c r="B61" s="73" t="s">
        <v>48</v>
      </c>
      <c r="C61" s="78">
        <v>142</v>
      </c>
      <c r="D61" s="78">
        <v>4778300</v>
      </c>
      <c r="E61" s="15">
        <v>0.37</v>
      </c>
    </row>
    <row r="62" spans="1:5" x14ac:dyDescent="0.4">
      <c r="A62" s="73" t="s">
        <v>414</v>
      </c>
      <c r="B62" s="73" t="s">
        <v>415</v>
      </c>
      <c r="C62" s="78">
        <v>147</v>
      </c>
      <c r="D62" s="78">
        <v>4167450</v>
      </c>
      <c r="E62" s="15">
        <v>0.33</v>
      </c>
    </row>
    <row r="63" spans="1:5" x14ac:dyDescent="0.4">
      <c r="A63" s="73" t="s">
        <v>122</v>
      </c>
      <c r="B63" s="73" t="s">
        <v>5163</v>
      </c>
      <c r="C63" s="78">
        <v>5</v>
      </c>
      <c r="D63" s="78">
        <v>3850000</v>
      </c>
      <c r="E63" s="15">
        <v>0.3</v>
      </c>
    </row>
    <row r="64" spans="1:5" x14ac:dyDescent="0.4">
      <c r="A64" s="73" t="s">
        <v>123</v>
      </c>
      <c r="B64" s="73" t="s">
        <v>124</v>
      </c>
      <c r="C64" s="78">
        <v>145</v>
      </c>
      <c r="D64" s="78">
        <v>3552500</v>
      </c>
      <c r="E64" s="15">
        <v>0.28000000000000003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2996300</v>
      </c>
      <c r="E65" s="15">
        <v>0.23</v>
      </c>
    </row>
    <row r="66" spans="1:5" x14ac:dyDescent="0.4">
      <c r="A66" s="73" t="s">
        <v>3042</v>
      </c>
      <c r="B66" s="73" t="s">
        <v>3043</v>
      </c>
      <c r="C66" s="78">
        <v>136</v>
      </c>
      <c r="D66" s="78">
        <v>2835600</v>
      </c>
      <c r="E66" s="15">
        <v>0.22</v>
      </c>
    </row>
    <row r="67" spans="1:5" x14ac:dyDescent="0.4">
      <c r="A67" s="73" t="s">
        <v>638</v>
      </c>
      <c r="B67" s="73" t="s">
        <v>639</v>
      </c>
      <c r="C67" s="78">
        <v>109</v>
      </c>
      <c r="D67" s="78">
        <v>2746800</v>
      </c>
      <c r="E67" s="15">
        <v>0.22</v>
      </c>
    </row>
    <row r="68" spans="1:5" x14ac:dyDescent="0.4">
      <c r="A68" s="73" t="s">
        <v>182</v>
      </c>
      <c r="B68" s="73" t="s">
        <v>183</v>
      </c>
      <c r="C68" s="73">
        <v>47</v>
      </c>
      <c r="D68" s="78">
        <v>2411100</v>
      </c>
      <c r="E68" s="15">
        <v>0.19</v>
      </c>
    </row>
    <row r="69" spans="1:5" x14ac:dyDescent="0.4">
      <c r="A69" s="73" t="s">
        <v>279</v>
      </c>
      <c r="B69" s="73" t="s">
        <v>280</v>
      </c>
      <c r="C69" s="78">
        <v>206</v>
      </c>
      <c r="D69" s="78">
        <v>2119740</v>
      </c>
      <c r="E69" s="15">
        <v>0.17</v>
      </c>
    </row>
    <row r="70" spans="1:5" x14ac:dyDescent="0.4">
      <c r="A70" s="73"/>
      <c r="B70" s="73" t="s">
        <v>10</v>
      </c>
      <c r="C70" s="78">
        <v>8884805</v>
      </c>
      <c r="D70" s="78">
        <v>8884805</v>
      </c>
      <c r="E70" s="15">
        <v>0.7</v>
      </c>
    </row>
    <row r="71" spans="1:5" x14ac:dyDescent="0.4">
      <c r="C71" s="13"/>
      <c r="D71" s="13"/>
      <c r="E71" s="73"/>
    </row>
    <row r="72" spans="1:5" x14ac:dyDescent="0.4">
      <c r="D72" s="1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462</v>
      </c>
      <c r="B8" s="6"/>
      <c r="C8" s="6"/>
      <c r="D8" s="6"/>
      <c r="E8" s="14"/>
    </row>
    <row r="9" spans="1:5" x14ac:dyDescent="0.4">
      <c r="A9" s="75" t="s">
        <v>522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122</v>
      </c>
      <c r="D11" s="78">
        <v>337208000</v>
      </c>
      <c r="E11" s="15">
        <v>24.74</v>
      </c>
    </row>
    <row r="12" spans="1:5" x14ac:dyDescent="0.4">
      <c r="A12" s="73" t="s">
        <v>456</v>
      </c>
      <c r="B12" s="73" t="s">
        <v>457</v>
      </c>
      <c r="C12" s="77">
        <v>1391</v>
      </c>
      <c r="D12" s="78">
        <v>308802000</v>
      </c>
      <c r="E12" s="15">
        <v>22.65</v>
      </c>
    </row>
    <row r="13" spans="1:5" x14ac:dyDescent="0.4">
      <c r="A13" s="73" t="s">
        <v>217</v>
      </c>
      <c r="B13" s="73" t="s">
        <v>218</v>
      </c>
      <c r="C13" s="78">
        <v>80</v>
      </c>
      <c r="D13" s="78">
        <v>53360000</v>
      </c>
      <c r="E13" s="15">
        <v>3.91</v>
      </c>
    </row>
    <row r="14" spans="1:5" x14ac:dyDescent="0.4">
      <c r="A14" s="73" t="s">
        <v>188</v>
      </c>
      <c r="B14" s="73" t="s">
        <v>189</v>
      </c>
      <c r="C14" s="78">
        <v>26</v>
      </c>
      <c r="D14" s="78">
        <v>46280000</v>
      </c>
      <c r="E14" s="15">
        <v>3.39</v>
      </c>
    </row>
    <row r="15" spans="1:5" x14ac:dyDescent="0.4">
      <c r="A15" s="73" t="s">
        <v>451</v>
      </c>
      <c r="B15" s="73" t="s">
        <v>452</v>
      </c>
      <c r="C15" s="77">
        <v>14</v>
      </c>
      <c r="D15" s="78">
        <v>31780000</v>
      </c>
      <c r="E15" s="15">
        <v>2.33</v>
      </c>
    </row>
    <row r="16" spans="1:5" x14ac:dyDescent="0.4">
      <c r="A16" s="73" t="s">
        <v>118</v>
      </c>
      <c r="B16" s="73" t="s">
        <v>119</v>
      </c>
      <c r="C16" s="77">
        <v>133</v>
      </c>
      <c r="D16" s="78">
        <v>30723000</v>
      </c>
      <c r="E16" s="15">
        <v>2.25</v>
      </c>
    </row>
    <row r="17" spans="1:5" x14ac:dyDescent="0.4">
      <c r="A17" s="73" t="s">
        <v>289</v>
      </c>
      <c r="B17" s="73" t="s">
        <v>290</v>
      </c>
      <c r="C17" s="77">
        <v>57</v>
      </c>
      <c r="D17" s="78">
        <v>23883000</v>
      </c>
      <c r="E17" s="15">
        <v>1.75</v>
      </c>
    </row>
    <row r="18" spans="1:5" x14ac:dyDescent="0.4">
      <c r="A18" s="73" t="s">
        <v>158</v>
      </c>
      <c r="B18" s="73" t="s">
        <v>159</v>
      </c>
      <c r="C18" s="78">
        <v>231</v>
      </c>
      <c r="D18" s="78">
        <v>21390600</v>
      </c>
      <c r="E18" s="15">
        <v>1.57</v>
      </c>
    </row>
    <row r="19" spans="1:5" x14ac:dyDescent="0.4">
      <c r="A19" s="73" t="s">
        <v>82</v>
      </c>
      <c r="B19" s="73" t="s">
        <v>83</v>
      </c>
      <c r="C19" s="78">
        <v>61</v>
      </c>
      <c r="D19" s="78">
        <v>21106000</v>
      </c>
      <c r="E19" s="15">
        <v>1.55</v>
      </c>
    </row>
    <row r="20" spans="1:5" x14ac:dyDescent="0.4">
      <c r="A20" s="73" t="s">
        <v>154</v>
      </c>
      <c r="B20" s="73" t="s">
        <v>155</v>
      </c>
      <c r="C20" s="78">
        <v>247</v>
      </c>
      <c r="D20" s="78">
        <v>20081100</v>
      </c>
      <c r="E20" s="15">
        <v>1.47</v>
      </c>
    </row>
    <row r="21" spans="1:5" x14ac:dyDescent="0.4">
      <c r="A21" s="73" t="s">
        <v>3734</v>
      </c>
      <c r="B21" s="73" t="s">
        <v>3735</v>
      </c>
      <c r="C21" s="78">
        <v>296</v>
      </c>
      <c r="D21" s="78">
        <v>19180800</v>
      </c>
      <c r="E21" s="15">
        <v>1.41</v>
      </c>
    </row>
    <row r="22" spans="1:5" x14ac:dyDescent="0.4">
      <c r="A22" s="73" t="s">
        <v>98</v>
      </c>
      <c r="B22" s="73" t="s">
        <v>99</v>
      </c>
      <c r="C22" s="78">
        <v>81</v>
      </c>
      <c r="D22" s="78">
        <v>18589500</v>
      </c>
      <c r="E22" s="15">
        <v>1.36</v>
      </c>
    </row>
    <row r="23" spans="1:5" x14ac:dyDescent="0.4">
      <c r="A23" s="73" t="s">
        <v>102</v>
      </c>
      <c r="B23" s="73" t="s">
        <v>103</v>
      </c>
      <c r="C23" s="77">
        <v>114</v>
      </c>
      <c r="D23" s="78">
        <v>18046200</v>
      </c>
      <c r="E23" s="15">
        <v>1.32</v>
      </c>
    </row>
    <row r="24" spans="1:5" x14ac:dyDescent="0.4">
      <c r="A24" s="73" t="s">
        <v>166</v>
      </c>
      <c r="B24" s="73" t="s">
        <v>167</v>
      </c>
      <c r="C24" s="77">
        <v>77</v>
      </c>
      <c r="D24" s="78">
        <v>17748500</v>
      </c>
      <c r="E24" s="15">
        <v>1.3</v>
      </c>
    </row>
    <row r="25" spans="1:5" x14ac:dyDescent="0.4">
      <c r="A25" s="73" t="s">
        <v>140</v>
      </c>
      <c r="B25" s="73" t="s">
        <v>141</v>
      </c>
      <c r="C25" s="78">
        <v>27</v>
      </c>
      <c r="D25" s="78">
        <v>16551000</v>
      </c>
      <c r="E25" s="15">
        <v>1.21</v>
      </c>
    </row>
    <row r="26" spans="1:5" x14ac:dyDescent="0.4">
      <c r="A26" s="73" t="s">
        <v>135</v>
      </c>
      <c r="B26" s="73" t="s">
        <v>136</v>
      </c>
      <c r="C26" s="78">
        <v>33</v>
      </c>
      <c r="D26" s="78">
        <v>16219500</v>
      </c>
      <c r="E26" s="15">
        <v>1.19</v>
      </c>
    </row>
    <row r="27" spans="1:5" x14ac:dyDescent="0.4">
      <c r="A27" s="73" t="s">
        <v>3042</v>
      </c>
      <c r="B27" s="73" t="s">
        <v>3043</v>
      </c>
      <c r="C27" s="78">
        <v>646</v>
      </c>
      <c r="D27" s="78">
        <v>16182300</v>
      </c>
      <c r="E27" s="15">
        <v>1.19</v>
      </c>
    </row>
    <row r="28" spans="1:5" x14ac:dyDescent="0.4">
      <c r="A28" s="73" t="s">
        <v>514</v>
      </c>
      <c r="B28" s="73" t="s">
        <v>515</v>
      </c>
      <c r="C28" s="78">
        <v>357</v>
      </c>
      <c r="D28" s="78">
        <v>15940050</v>
      </c>
      <c r="E28" s="15">
        <v>1.17</v>
      </c>
    </row>
    <row r="29" spans="1:5" x14ac:dyDescent="0.4">
      <c r="A29" s="73" t="s">
        <v>108</v>
      </c>
      <c r="B29" s="73" t="s">
        <v>109</v>
      </c>
      <c r="C29" s="78">
        <v>31</v>
      </c>
      <c r="D29" s="78">
        <v>15407000</v>
      </c>
      <c r="E29" s="15">
        <v>1.1299999999999999</v>
      </c>
    </row>
    <row r="30" spans="1:5" x14ac:dyDescent="0.4">
      <c r="A30" s="73" t="s">
        <v>471</v>
      </c>
      <c r="B30" s="73" t="s">
        <v>472</v>
      </c>
      <c r="C30" s="78">
        <v>1248</v>
      </c>
      <c r="D30" s="78">
        <v>14426880</v>
      </c>
      <c r="E30" s="15">
        <v>1.06</v>
      </c>
    </row>
    <row r="31" spans="1:5" x14ac:dyDescent="0.4">
      <c r="A31" s="73" t="s">
        <v>1344</v>
      </c>
      <c r="B31" s="73" t="s">
        <v>1345</v>
      </c>
      <c r="C31" s="78">
        <v>684</v>
      </c>
      <c r="D31" s="78">
        <v>13529520</v>
      </c>
      <c r="E31" s="15">
        <v>0.99</v>
      </c>
    </row>
    <row r="32" spans="1:5" x14ac:dyDescent="0.4">
      <c r="A32" s="73" t="s">
        <v>194</v>
      </c>
      <c r="B32" s="73" t="s">
        <v>195</v>
      </c>
      <c r="C32" s="78">
        <v>670</v>
      </c>
      <c r="D32" s="78">
        <v>12857300</v>
      </c>
      <c r="E32" s="15">
        <v>0.94</v>
      </c>
    </row>
    <row r="33" spans="1:5" x14ac:dyDescent="0.4">
      <c r="A33" s="73" t="s">
        <v>112</v>
      </c>
      <c r="B33" s="73" t="s">
        <v>113</v>
      </c>
      <c r="C33" s="73">
        <v>101</v>
      </c>
      <c r="D33" s="78">
        <v>12473500</v>
      </c>
      <c r="E33" s="15">
        <v>0.91</v>
      </c>
    </row>
    <row r="34" spans="1:5" x14ac:dyDescent="0.4">
      <c r="A34" s="73" t="s">
        <v>752</v>
      </c>
      <c r="B34" s="73" t="s">
        <v>753</v>
      </c>
      <c r="C34" s="78">
        <v>73</v>
      </c>
      <c r="D34" s="78">
        <v>12132600</v>
      </c>
      <c r="E34" s="15">
        <v>0.89</v>
      </c>
    </row>
    <row r="35" spans="1:5" x14ac:dyDescent="0.4">
      <c r="A35" s="73" t="s">
        <v>47</v>
      </c>
      <c r="B35" s="73" t="s">
        <v>48</v>
      </c>
      <c r="C35" s="78">
        <v>363</v>
      </c>
      <c r="D35" s="78">
        <v>11997150</v>
      </c>
      <c r="E35" s="15">
        <v>0.88</v>
      </c>
    </row>
    <row r="36" spans="1:5" x14ac:dyDescent="0.4">
      <c r="A36" s="73" t="s">
        <v>1107</v>
      </c>
      <c r="B36" s="73" t="s">
        <v>1108</v>
      </c>
      <c r="C36" s="78">
        <v>865</v>
      </c>
      <c r="D36" s="78">
        <v>11599650</v>
      </c>
      <c r="E36" s="15">
        <v>0.85</v>
      </c>
    </row>
    <row r="37" spans="1:5" x14ac:dyDescent="0.4">
      <c r="A37" s="73" t="s">
        <v>142</v>
      </c>
      <c r="B37" s="73" t="s">
        <v>143</v>
      </c>
      <c r="C37" s="78">
        <v>63</v>
      </c>
      <c r="D37" s="78">
        <v>11226600</v>
      </c>
      <c r="E37" s="15">
        <v>0.82</v>
      </c>
    </row>
    <row r="38" spans="1:5" x14ac:dyDescent="0.4">
      <c r="A38" s="73" t="s">
        <v>453</v>
      </c>
      <c r="B38" s="73" t="s">
        <v>454</v>
      </c>
      <c r="C38" s="78">
        <v>55</v>
      </c>
      <c r="D38" s="78">
        <v>10708500</v>
      </c>
      <c r="E38" s="15">
        <v>0.79</v>
      </c>
    </row>
    <row r="39" spans="1:5" x14ac:dyDescent="0.4">
      <c r="A39" s="73" t="s">
        <v>63</v>
      </c>
      <c r="B39" s="73" t="s">
        <v>64</v>
      </c>
      <c r="C39" s="78">
        <v>27</v>
      </c>
      <c r="D39" s="78">
        <v>10408500</v>
      </c>
      <c r="E39" s="15">
        <v>0.76</v>
      </c>
    </row>
    <row r="40" spans="1:5" x14ac:dyDescent="0.4">
      <c r="A40" s="73" t="s">
        <v>754</v>
      </c>
      <c r="B40" s="73" t="s">
        <v>755</v>
      </c>
      <c r="C40" s="78">
        <v>542</v>
      </c>
      <c r="D40" s="78">
        <v>10151660</v>
      </c>
      <c r="E40" s="15">
        <v>0.74</v>
      </c>
    </row>
    <row r="41" spans="1:5" x14ac:dyDescent="0.4">
      <c r="A41" s="73" t="s">
        <v>303</v>
      </c>
      <c r="B41" s="73" t="s">
        <v>304</v>
      </c>
      <c r="C41" s="78">
        <v>14</v>
      </c>
      <c r="D41" s="78">
        <v>10136000</v>
      </c>
      <c r="E41" s="15">
        <v>0.74</v>
      </c>
    </row>
    <row r="42" spans="1:5" x14ac:dyDescent="0.4">
      <c r="A42" s="73" t="s">
        <v>133</v>
      </c>
      <c r="B42" s="73" t="s">
        <v>134</v>
      </c>
      <c r="C42" s="78">
        <v>55</v>
      </c>
      <c r="D42" s="78">
        <v>9900000</v>
      </c>
      <c r="E42" s="15">
        <v>0.73</v>
      </c>
    </row>
    <row r="43" spans="1:5" x14ac:dyDescent="0.4">
      <c r="A43" s="73" t="s">
        <v>104</v>
      </c>
      <c r="B43" s="73" t="s">
        <v>105</v>
      </c>
      <c r="C43" s="78">
        <v>13</v>
      </c>
      <c r="D43" s="78">
        <v>9100000</v>
      </c>
      <c r="E43" s="15">
        <v>0.67</v>
      </c>
    </row>
    <row r="44" spans="1:5" x14ac:dyDescent="0.4">
      <c r="A44" s="73" t="s">
        <v>473</v>
      </c>
      <c r="B44" s="73" t="s">
        <v>474</v>
      </c>
      <c r="C44" s="78">
        <v>171</v>
      </c>
      <c r="D44" s="78">
        <v>8379000</v>
      </c>
      <c r="E44" s="15">
        <v>0.61</v>
      </c>
    </row>
    <row r="45" spans="1:5" x14ac:dyDescent="0.4">
      <c r="A45" s="73" t="s">
        <v>328</v>
      </c>
      <c r="B45" s="73" t="s">
        <v>329</v>
      </c>
      <c r="C45" s="73">
        <v>44</v>
      </c>
      <c r="D45" s="78">
        <v>7915600</v>
      </c>
      <c r="E45" s="15">
        <v>0.57999999999999996</v>
      </c>
    </row>
    <row r="46" spans="1:5" x14ac:dyDescent="0.4">
      <c r="A46" s="73" t="s">
        <v>73</v>
      </c>
      <c r="B46" s="73" t="s">
        <v>74</v>
      </c>
      <c r="C46" s="78">
        <v>7</v>
      </c>
      <c r="D46" s="78">
        <v>7854000</v>
      </c>
      <c r="E46" s="15">
        <v>0.57999999999999996</v>
      </c>
    </row>
    <row r="47" spans="1:5" x14ac:dyDescent="0.4">
      <c r="A47" s="73" t="s">
        <v>78</v>
      </c>
      <c r="B47" s="73" t="s">
        <v>79</v>
      </c>
      <c r="C47" s="78">
        <v>7</v>
      </c>
      <c r="D47" s="78">
        <v>7721000</v>
      </c>
      <c r="E47" s="15">
        <v>0.56999999999999995</v>
      </c>
    </row>
    <row r="48" spans="1:5" x14ac:dyDescent="0.4">
      <c r="A48" s="73" t="s">
        <v>11</v>
      </c>
      <c r="B48" s="73" t="s">
        <v>12</v>
      </c>
      <c r="C48" s="78">
        <v>2</v>
      </c>
      <c r="D48" s="78">
        <v>7710000</v>
      </c>
      <c r="E48" s="15">
        <v>0.56999999999999995</v>
      </c>
    </row>
    <row r="49" spans="1:5" x14ac:dyDescent="0.4">
      <c r="A49" s="73" t="s">
        <v>15</v>
      </c>
      <c r="B49" s="73" t="s">
        <v>16</v>
      </c>
      <c r="C49" s="73">
        <v>7</v>
      </c>
      <c r="D49" s="78">
        <v>7546000</v>
      </c>
      <c r="E49" s="15">
        <v>0.55000000000000004</v>
      </c>
    </row>
    <row r="50" spans="1:5" x14ac:dyDescent="0.4">
      <c r="A50" s="73" t="s">
        <v>650</v>
      </c>
      <c r="B50" s="73" t="s">
        <v>651</v>
      </c>
      <c r="C50" s="78">
        <v>79</v>
      </c>
      <c r="D50" s="78">
        <v>7497100</v>
      </c>
      <c r="E50" s="15">
        <v>0.55000000000000004</v>
      </c>
    </row>
    <row r="51" spans="1:5" x14ac:dyDescent="0.4">
      <c r="A51" s="73" t="s">
        <v>414</v>
      </c>
      <c r="B51" s="73" t="s">
        <v>415</v>
      </c>
      <c r="C51" s="78">
        <v>244</v>
      </c>
      <c r="D51" s="78">
        <v>7393200</v>
      </c>
      <c r="E51" s="15">
        <v>0.54</v>
      </c>
    </row>
    <row r="52" spans="1:5" x14ac:dyDescent="0.4">
      <c r="A52" s="73" t="s">
        <v>1911</v>
      </c>
      <c r="B52" s="73" t="s">
        <v>1912</v>
      </c>
      <c r="C52" s="78">
        <v>420</v>
      </c>
      <c r="D52" s="78">
        <v>6921600</v>
      </c>
      <c r="E52" s="15">
        <v>0.51</v>
      </c>
    </row>
    <row r="53" spans="1:5" x14ac:dyDescent="0.4">
      <c r="A53" s="73" t="s">
        <v>53</v>
      </c>
      <c r="B53" s="73" t="s">
        <v>54</v>
      </c>
      <c r="C53" s="78">
        <v>16</v>
      </c>
      <c r="D53" s="78">
        <v>6576000</v>
      </c>
      <c r="E53" s="15">
        <v>0.48</v>
      </c>
    </row>
    <row r="54" spans="1:5" x14ac:dyDescent="0.4">
      <c r="A54" s="73" t="s">
        <v>92</v>
      </c>
      <c r="B54" s="73" t="s">
        <v>93</v>
      </c>
      <c r="C54" s="78">
        <v>4</v>
      </c>
      <c r="D54" s="78">
        <v>6524000</v>
      </c>
      <c r="E54" s="15">
        <v>0.48</v>
      </c>
    </row>
    <row r="55" spans="1:5" x14ac:dyDescent="0.4">
      <c r="A55" s="73" t="s">
        <v>150</v>
      </c>
      <c r="B55" s="73" t="s">
        <v>151</v>
      </c>
      <c r="C55" s="78">
        <v>84</v>
      </c>
      <c r="D55" s="78">
        <v>6434400</v>
      </c>
      <c r="E55" s="15">
        <v>0.47</v>
      </c>
    </row>
    <row r="56" spans="1:5" x14ac:dyDescent="0.4">
      <c r="A56" s="73" t="s">
        <v>1885</v>
      </c>
      <c r="B56" s="73" t="s">
        <v>1886</v>
      </c>
      <c r="C56" s="78">
        <v>195</v>
      </c>
      <c r="D56" s="78">
        <v>6230250</v>
      </c>
      <c r="E56" s="15">
        <v>0.46</v>
      </c>
    </row>
    <row r="57" spans="1:5" x14ac:dyDescent="0.4">
      <c r="A57" s="73" t="s">
        <v>316</v>
      </c>
      <c r="B57" s="73" t="s">
        <v>317</v>
      </c>
      <c r="C57" s="73">
        <v>89</v>
      </c>
      <c r="D57" s="78">
        <v>6230000</v>
      </c>
      <c r="E57" s="15">
        <v>0.46</v>
      </c>
    </row>
    <row r="58" spans="1:5" x14ac:dyDescent="0.4">
      <c r="A58" s="73" t="s">
        <v>2036</v>
      </c>
      <c r="B58" s="73" t="s">
        <v>2037</v>
      </c>
      <c r="C58" s="78">
        <v>1368</v>
      </c>
      <c r="D58" s="78">
        <v>6087600</v>
      </c>
      <c r="E58" s="15">
        <v>0.45</v>
      </c>
    </row>
    <row r="59" spans="1:5" x14ac:dyDescent="0.4">
      <c r="A59" s="73" t="s">
        <v>174</v>
      </c>
      <c r="B59" s="73" t="s">
        <v>175</v>
      </c>
      <c r="C59" s="78">
        <v>42</v>
      </c>
      <c r="D59" s="78">
        <v>6085800</v>
      </c>
      <c r="E59" s="15">
        <v>0.45</v>
      </c>
    </row>
    <row r="60" spans="1:5" x14ac:dyDescent="0.4">
      <c r="A60" s="73" t="s">
        <v>726</v>
      </c>
      <c r="B60" s="73" t="s">
        <v>727</v>
      </c>
      <c r="C60" s="78">
        <v>4720</v>
      </c>
      <c r="D60" s="78">
        <v>5630960</v>
      </c>
      <c r="E60" s="15">
        <v>0.41</v>
      </c>
    </row>
    <row r="61" spans="1:5" x14ac:dyDescent="0.4">
      <c r="A61" s="73" t="s">
        <v>2581</v>
      </c>
      <c r="B61" s="73" t="s">
        <v>2582</v>
      </c>
      <c r="C61" s="78">
        <v>130</v>
      </c>
      <c r="D61" s="78">
        <v>5564000</v>
      </c>
      <c r="E61" s="15">
        <v>0.41</v>
      </c>
    </row>
    <row r="62" spans="1:5" x14ac:dyDescent="0.4">
      <c r="A62" s="73" t="s">
        <v>636</v>
      </c>
      <c r="B62" s="73" t="s">
        <v>637</v>
      </c>
      <c r="C62" s="78">
        <v>98</v>
      </c>
      <c r="D62" s="78">
        <v>3998400</v>
      </c>
      <c r="E62" s="15">
        <v>0.28999999999999998</v>
      </c>
    </row>
    <row r="63" spans="1:5" x14ac:dyDescent="0.4">
      <c r="A63" s="73" t="s">
        <v>123</v>
      </c>
      <c r="B63" s="73" t="s">
        <v>124</v>
      </c>
      <c r="C63" s="73">
        <v>145</v>
      </c>
      <c r="D63" s="78">
        <v>3784500</v>
      </c>
      <c r="E63" s="15">
        <v>0.28000000000000003</v>
      </c>
    </row>
    <row r="64" spans="1:5" x14ac:dyDescent="0.4">
      <c r="A64" s="73" t="s">
        <v>122</v>
      </c>
      <c r="B64" s="73" t="s">
        <v>5163</v>
      </c>
      <c r="C64" s="78">
        <v>4</v>
      </c>
      <c r="D64" s="78">
        <v>3408000</v>
      </c>
      <c r="E64" s="15">
        <v>0.25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3158150</v>
      </c>
      <c r="E65" s="15">
        <v>0.23</v>
      </c>
    </row>
    <row r="66" spans="1:5" x14ac:dyDescent="0.4">
      <c r="A66" s="73" t="s">
        <v>536</v>
      </c>
      <c r="B66" s="73" t="s">
        <v>537</v>
      </c>
      <c r="C66" s="73">
        <v>41</v>
      </c>
      <c r="D66" s="78">
        <v>3005300</v>
      </c>
      <c r="E66" s="15">
        <v>0.22</v>
      </c>
    </row>
    <row r="67" spans="1:5" x14ac:dyDescent="0.4">
      <c r="A67" s="73" t="s">
        <v>638</v>
      </c>
      <c r="B67" s="73" t="s">
        <v>639</v>
      </c>
      <c r="C67" s="78">
        <v>109</v>
      </c>
      <c r="D67" s="78">
        <v>2784950</v>
      </c>
      <c r="E67" s="15">
        <v>0.2</v>
      </c>
    </row>
    <row r="68" spans="1:5" x14ac:dyDescent="0.4">
      <c r="A68" s="73" t="s">
        <v>182</v>
      </c>
      <c r="B68" s="73" t="s">
        <v>183</v>
      </c>
      <c r="C68" s="78">
        <v>47</v>
      </c>
      <c r="D68" s="78">
        <v>2585000</v>
      </c>
      <c r="E68" s="15">
        <v>0.19</v>
      </c>
    </row>
    <row r="69" spans="1:5" x14ac:dyDescent="0.4">
      <c r="A69" s="73" t="s">
        <v>279</v>
      </c>
      <c r="B69" s="73" t="s">
        <v>280</v>
      </c>
      <c r="C69" s="73">
        <v>206</v>
      </c>
      <c r="D69" s="78">
        <v>2107380</v>
      </c>
      <c r="E69" s="15">
        <v>0.15</v>
      </c>
    </row>
    <row r="70" spans="1:5" x14ac:dyDescent="0.4">
      <c r="A70" s="73" t="s">
        <v>724</v>
      </c>
      <c r="B70" s="73" t="s">
        <v>725</v>
      </c>
      <c r="C70" s="73">
        <v>86</v>
      </c>
      <c r="D70" s="78">
        <v>1969400</v>
      </c>
      <c r="E70" s="15">
        <v>0.14000000000000001</v>
      </c>
    </row>
    <row r="71" spans="1:5" x14ac:dyDescent="0.4">
      <c r="A71" s="73"/>
      <c r="B71" s="73" t="s">
        <v>10</v>
      </c>
      <c r="C71" s="78">
        <v>3033679</v>
      </c>
      <c r="D71" s="78">
        <v>3033679</v>
      </c>
      <c r="E71" s="15">
        <v>0.22</v>
      </c>
    </row>
    <row r="72" spans="1:5" x14ac:dyDescent="0.4">
      <c r="D72" s="13"/>
      <c r="E72" s="7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463</v>
      </c>
      <c r="B8" s="6"/>
      <c r="C8" s="6"/>
      <c r="D8" s="6"/>
      <c r="E8" s="14"/>
    </row>
    <row r="9" spans="1:7" x14ac:dyDescent="0.4">
      <c r="A9" s="75" t="s">
        <v>654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51</v>
      </c>
      <c r="D11" s="76">
        <v>130560000</v>
      </c>
      <c r="E11" s="19">
        <v>18.87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305</v>
      </c>
      <c r="D12" s="76">
        <v>95922500</v>
      </c>
      <c r="E12" s="19">
        <v>13.86</v>
      </c>
      <c r="F12" s="17"/>
      <c r="G12" s="17"/>
    </row>
    <row r="13" spans="1:7" x14ac:dyDescent="0.4">
      <c r="A13" s="73" t="s">
        <v>188</v>
      </c>
      <c r="B13" s="74" t="s">
        <v>189</v>
      </c>
      <c r="C13" s="76">
        <v>20</v>
      </c>
      <c r="D13" s="76">
        <v>35140000</v>
      </c>
      <c r="E13" s="19">
        <v>5.08</v>
      </c>
      <c r="F13" s="17"/>
      <c r="G13" s="17"/>
    </row>
    <row r="14" spans="1:7" x14ac:dyDescent="0.4">
      <c r="A14" s="73" t="s">
        <v>451</v>
      </c>
      <c r="B14" s="74" t="s">
        <v>452</v>
      </c>
      <c r="C14" s="76">
        <v>14</v>
      </c>
      <c r="D14" s="76">
        <v>30870000</v>
      </c>
      <c r="E14" s="19">
        <v>4.46</v>
      </c>
      <c r="F14" s="17"/>
      <c r="G14" s="17"/>
    </row>
    <row r="15" spans="1:7" x14ac:dyDescent="0.4">
      <c r="A15" s="73" t="s">
        <v>78</v>
      </c>
      <c r="B15" s="74" t="s">
        <v>79</v>
      </c>
      <c r="C15" s="76">
        <v>24</v>
      </c>
      <c r="D15" s="76">
        <v>27888000</v>
      </c>
      <c r="E15" s="19">
        <v>4.03</v>
      </c>
      <c r="F15" s="17"/>
      <c r="G15" s="17"/>
    </row>
    <row r="16" spans="1:7" x14ac:dyDescent="0.4">
      <c r="A16" s="73" t="s">
        <v>82</v>
      </c>
      <c r="B16" s="74" t="s">
        <v>83</v>
      </c>
      <c r="C16" s="76">
        <v>70</v>
      </c>
      <c r="D16" s="76">
        <v>24325000</v>
      </c>
      <c r="E16" s="19">
        <v>3.52</v>
      </c>
      <c r="F16" s="17"/>
      <c r="G16" s="17"/>
    </row>
    <row r="17" spans="1:7" x14ac:dyDescent="0.4">
      <c r="A17" s="73" t="s">
        <v>135</v>
      </c>
      <c r="B17" s="73" t="s">
        <v>136</v>
      </c>
      <c r="C17" s="78">
        <v>55</v>
      </c>
      <c r="D17" s="78">
        <v>23870000</v>
      </c>
      <c r="E17" s="15">
        <v>3.45</v>
      </c>
    </row>
    <row r="18" spans="1:7" x14ac:dyDescent="0.4">
      <c r="A18" s="73" t="s">
        <v>303</v>
      </c>
      <c r="B18" s="74" t="s">
        <v>304</v>
      </c>
      <c r="C18" s="76">
        <v>30</v>
      </c>
      <c r="D18" s="76">
        <v>22890000</v>
      </c>
      <c r="E18" s="19">
        <v>3.31</v>
      </c>
      <c r="F18" s="17"/>
      <c r="G18" s="17"/>
    </row>
    <row r="19" spans="1:7" x14ac:dyDescent="0.4">
      <c r="A19" s="73" t="s">
        <v>100</v>
      </c>
      <c r="B19" s="73" t="s">
        <v>101</v>
      </c>
      <c r="C19" s="77">
        <v>750</v>
      </c>
      <c r="D19" s="78">
        <v>22162500</v>
      </c>
      <c r="E19" s="15">
        <v>3.2</v>
      </c>
    </row>
    <row r="20" spans="1:7" x14ac:dyDescent="0.4">
      <c r="A20" s="73" t="s">
        <v>106</v>
      </c>
      <c r="B20" s="73" t="s">
        <v>107</v>
      </c>
      <c r="C20" s="77">
        <v>200</v>
      </c>
      <c r="D20" s="78">
        <v>21380000</v>
      </c>
      <c r="E20" s="15">
        <v>3.09</v>
      </c>
    </row>
    <row r="21" spans="1:7" x14ac:dyDescent="0.4">
      <c r="A21" s="73" t="s">
        <v>118</v>
      </c>
      <c r="B21" s="73" t="s">
        <v>119</v>
      </c>
      <c r="C21" s="78">
        <v>90</v>
      </c>
      <c r="D21" s="78">
        <v>20520000</v>
      </c>
      <c r="E21" s="15">
        <v>2.97</v>
      </c>
    </row>
    <row r="22" spans="1:7" x14ac:dyDescent="0.4">
      <c r="A22" s="73" t="s">
        <v>96</v>
      </c>
      <c r="B22" s="73" t="s">
        <v>97</v>
      </c>
      <c r="C22" s="77">
        <v>180</v>
      </c>
      <c r="D22" s="78">
        <v>20286000</v>
      </c>
      <c r="E22" s="15">
        <v>2.93</v>
      </c>
    </row>
    <row r="23" spans="1:7" x14ac:dyDescent="0.4">
      <c r="A23" s="73" t="s">
        <v>108</v>
      </c>
      <c r="B23" s="73" t="s">
        <v>109</v>
      </c>
      <c r="C23" s="77">
        <v>49</v>
      </c>
      <c r="D23" s="78">
        <v>18963000</v>
      </c>
      <c r="E23" s="15">
        <v>2.74</v>
      </c>
    </row>
    <row r="24" spans="1:7" x14ac:dyDescent="0.4">
      <c r="A24" s="73" t="s">
        <v>102</v>
      </c>
      <c r="B24" s="73" t="s">
        <v>103</v>
      </c>
      <c r="C24" s="77">
        <v>99</v>
      </c>
      <c r="D24" s="78">
        <v>15691500</v>
      </c>
      <c r="E24" s="15">
        <v>2.27</v>
      </c>
    </row>
    <row r="25" spans="1:7" x14ac:dyDescent="0.4">
      <c r="A25" s="73" t="s">
        <v>129</v>
      </c>
      <c r="B25" s="73" t="s">
        <v>130</v>
      </c>
      <c r="C25" s="78">
        <v>498</v>
      </c>
      <c r="D25" s="78">
        <v>14616300</v>
      </c>
      <c r="E25" s="15">
        <v>2.11</v>
      </c>
    </row>
    <row r="26" spans="1:7" x14ac:dyDescent="0.4">
      <c r="A26" s="73" t="s">
        <v>140</v>
      </c>
      <c r="B26" s="73" t="s">
        <v>141</v>
      </c>
      <c r="C26" s="78">
        <v>29</v>
      </c>
      <c r="D26" s="78">
        <v>14137500</v>
      </c>
      <c r="E26" s="15">
        <v>2.04</v>
      </c>
    </row>
    <row r="27" spans="1:7" x14ac:dyDescent="0.4">
      <c r="A27" s="73" t="s">
        <v>174</v>
      </c>
      <c r="B27" s="73" t="s">
        <v>175</v>
      </c>
      <c r="C27" s="78">
        <v>100</v>
      </c>
      <c r="D27" s="78">
        <v>13610000</v>
      </c>
      <c r="E27" s="15">
        <v>1.97</v>
      </c>
    </row>
    <row r="28" spans="1:7" x14ac:dyDescent="0.4">
      <c r="A28" s="73" t="s">
        <v>112</v>
      </c>
      <c r="B28" s="73" t="s">
        <v>113</v>
      </c>
      <c r="C28" s="78">
        <v>100</v>
      </c>
      <c r="D28" s="78">
        <v>11640000</v>
      </c>
      <c r="E28" s="15">
        <v>1.68</v>
      </c>
    </row>
    <row r="29" spans="1:7" x14ac:dyDescent="0.4">
      <c r="A29" s="73" t="s">
        <v>125</v>
      </c>
      <c r="B29" s="73" t="s">
        <v>126</v>
      </c>
      <c r="C29" s="78">
        <v>646</v>
      </c>
      <c r="D29" s="78">
        <v>11188720</v>
      </c>
      <c r="E29" s="15">
        <v>1.62</v>
      </c>
    </row>
    <row r="30" spans="1:7" x14ac:dyDescent="0.4">
      <c r="A30" s="73" t="s">
        <v>86</v>
      </c>
      <c r="B30" s="73" t="s">
        <v>87</v>
      </c>
      <c r="C30" s="77">
        <v>1798</v>
      </c>
      <c r="D30" s="78">
        <v>8945050</v>
      </c>
      <c r="E30" s="15">
        <v>1.29</v>
      </c>
    </row>
    <row r="31" spans="1:7" x14ac:dyDescent="0.4">
      <c r="A31" s="73" t="s">
        <v>453</v>
      </c>
      <c r="B31" s="73" t="s">
        <v>454</v>
      </c>
      <c r="C31" s="78">
        <v>45</v>
      </c>
      <c r="D31" s="78">
        <v>8730000</v>
      </c>
      <c r="E31" s="15">
        <v>1.26</v>
      </c>
    </row>
    <row r="32" spans="1:7" x14ac:dyDescent="0.4">
      <c r="A32" s="73" t="s">
        <v>133</v>
      </c>
      <c r="B32" s="73" t="s">
        <v>134</v>
      </c>
      <c r="C32" s="78">
        <v>50</v>
      </c>
      <c r="D32" s="78">
        <v>8355000</v>
      </c>
      <c r="E32" s="15">
        <v>1.21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8136000</v>
      </c>
      <c r="E33" s="15">
        <v>1.18</v>
      </c>
    </row>
    <row r="34" spans="1:5" x14ac:dyDescent="0.4">
      <c r="A34" s="73" t="s">
        <v>148</v>
      </c>
      <c r="B34" s="73" t="s">
        <v>149</v>
      </c>
      <c r="C34" s="78">
        <v>19</v>
      </c>
      <c r="D34" s="78">
        <v>7581000</v>
      </c>
      <c r="E34" s="15">
        <v>1.1000000000000001</v>
      </c>
    </row>
    <row r="35" spans="1:5" x14ac:dyDescent="0.4">
      <c r="A35" s="73" t="s">
        <v>131</v>
      </c>
      <c r="B35" s="73" t="s">
        <v>132</v>
      </c>
      <c r="C35" s="78">
        <v>343</v>
      </c>
      <c r="D35" s="78">
        <v>6945750</v>
      </c>
      <c r="E35" s="15">
        <v>1</v>
      </c>
    </row>
    <row r="36" spans="1:5" x14ac:dyDescent="0.4">
      <c r="A36" s="73" t="s">
        <v>1087</v>
      </c>
      <c r="B36" s="73" t="s">
        <v>1088</v>
      </c>
      <c r="C36" s="78">
        <v>1494</v>
      </c>
      <c r="D36" s="78">
        <v>6812640</v>
      </c>
      <c r="E36" s="15">
        <v>0.98</v>
      </c>
    </row>
    <row r="37" spans="1:5" x14ac:dyDescent="0.4">
      <c r="A37" s="73" t="s">
        <v>84</v>
      </c>
      <c r="B37" s="73" t="s">
        <v>85</v>
      </c>
      <c r="C37" s="78">
        <v>148</v>
      </c>
      <c r="D37" s="78">
        <v>6460200</v>
      </c>
      <c r="E37" s="15">
        <v>0.93</v>
      </c>
    </row>
    <row r="38" spans="1:5" x14ac:dyDescent="0.4">
      <c r="A38" s="73" t="s">
        <v>110</v>
      </c>
      <c r="B38" s="73" t="s">
        <v>111</v>
      </c>
      <c r="C38" s="78">
        <v>29</v>
      </c>
      <c r="D38" s="78">
        <v>6380000</v>
      </c>
      <c r="E38" s="15">
        <v>0.92</v>
      </c>
    </row>
    <row r="39" spans="1:5" x14ac:dyDescent="0.4">
      <c r="A39" s="73" t="s">
        <v>92</v>
      </c>
      <c r="B39" s="73" t="s">
        <v>93</v>
      </c>
      <c r="C39" s="78">
        <v>4</v>
      </c>
      <c r="D39" s="78">
        <v>6360000</v>
      </c>
      <c r="E39" s="15">
        <v>0.92</v>
      </c>
    </row>
    <row r="40" spans="1:5" x14ac:dyDescent="0.4">
      <c r="A40" s="73" t="s">
        <v>114</v>
      </c>
      <c r="B40" s="73" t="s">
        <v>115</v>
      </c>
      <c r="C40" s="78">
        <v>60</v>
      </c>
      <c r="D40" s="78">
        <v>5784000</v>
      </c>
      <c r="E40" s="15">
        <v>0.84</v>
      </c>
    </row>
    <row r="41" spans="1:5" x14ac:dyDescent="0.4">
      <c r="A41" s="73" t="s">
        <v>90</v>
      </c>
      <c r="B41" s="73" t="s">
        <v>91</v>
      </c>
      <c r="C41" s="78">
        <v>99</v>
      </c>
      <c r="D41" s="78">
        <v>5316300</v>
      </c>
      <c r="E41" s="15">
        <v>0.77</v>
      </c>
    </row>
    <row r="42" spans="1:5" x14ac:dyDescent="0.4">
      <c r="A42" s="73" t="s">
        <v>172</v>
      </c>
      <c r="B42" s="73" t="s">
        <v>173</v>
      </c>
      <c r="C42" s="78">
        <v>10</v>
      </c>
      <c r="D42" s="78">
        <v>4940000</v>
      </c>
      <c r="E42" s="15">
        <v>0.71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4800000</v>
      </c>
      <c r="E43" s="15">
        <v>0.69</v>
      </c>
    </row>
    <row r="44" spans="1:5" x14ac:dyDescent="0.4">
      <c r="A44" s="73" t="s">
        <v>650</v>
      </c>
      <c r="B44" s="73" t="s">
        <v>651</v>
      </c>
      <c r="C44" s="78">
        <v>50</v>
      </c>
      <c r="D44" s="78">
        <v>4430000</v>
      </c>
      <c r="E44" s="15">
        <v>0.64</v>
      </c>
    </row>
    <row r="45" spans="1:5" x14ac:dyDescent="0.4">
      <c r="A45" s="73" t="s">
        <v>120</v>
      </c>
      <c r="B45" s="73" t="s">
        <v>121</v>
      </c>
      <c r="C45" s="78">
        <v>10</v>
      </c>
      <c r="D45" s="78">
        <v>3150000</v>
      </c>
      <c r="E45" s="15">
        <v>0.46</v>
      </c>
    </row>
    <row r="46" spans="1:5" x14ac:dyDescent="0.4">
      <c r="A46" s="73"/>
      <c r="B46" s="73" t="s">
        <v>10</v>
      </c>
      <c r="C46" s="78">
        <v>13059056</v>
      </c>
      <c r="D46" s="78">
        <v>13059056</v>
      </c>
      <c r="E46" s="15">
        <v>1.89</v>
      </c>
    </row>
    <row r="47" spans="1:5" x14ac:dyDescent="0.4"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463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405</v>
      </c>
      <c r="B8" s="6"/>
      <c r="C8" s="6"/>
      <c r="D8" s="6"/>
      <c r="E8" s="14"/>
    </row>
    <row r="9" spans="1:7" x14ac:dyDescent="0.4">
      <c r="A9" s="75" t="s">
        <v>523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394</v>
      </c>
      <c r="B11" s="74" t="s">
        <v>395</v>
      </c>
      <c r="C11" s="76">
        <v>2585</v>
      </c>
      <c r="D11" s="76">
        <v>153549000</v>
      </c>
      <c r="E11" s="19">
        <v>7.15</v>
      </c>
      <c r="F11" s="17"/>
      <c r="G11" s="17"/>
    </row>
    <row r="12" spans="1:7" x14ac:dyDescent="0.4">
      <c r="A12" s="73" t="s">
        <v>408</v>
      </c>
      <c r="B12" s="74" t="s">
        <v>409</v>
      </c>
      <c r="C12" s="77">
        <v>910</v>
      </c>
      <c r="D12" s="78">
        <v>138502000</v>
      </c>
      <c r="E12" s="15">
        <v>6.45</v>
      </c>
    </row>
    <row r="13" spans="1:7" x14ac:dyDescent="0.4">
      <c r="A13" s="73" t="s">
        <v>324</v>
      </c>
      <c r="B13" s="73" t="s">
        <v>325</v>
      </c>
      <c r="C13" s="78">
        <v>551</v>
      </c>
      <c r="D13" s="78">
        <v>132240000</v>
      </c>
      <c r="E13" s="15">
        <v>6.15</v>
      </c>
    </row>
    <row r="14" spans="1:7" x14ac:dyDescent="0.4">
      <c r="A14" s="73" t="s">
        <v>299</v>
      </c>
      <c r="B14" s="74" t="s">
        <v>300</v>
      </c>
      <c r="C14" s="76">
        <v>258</v>
      </c>
      <c r="D14" s="76">
        <v>126678000</v>
      </c>
      <c r="E14" s="19">
        <v>5.89</v>
      </c>
      <c r="F14" s="17"/>
      <c r="G14" s="17"/>
    </row>
    <row r="15" spans="1:7" x14ac:dyDescent="0.4">
      <c r="A15" s="73" t="s">
        <v>432</v>
      </c>
      <c r="B15" s="74" t="s">
        <v>433</v>
      </c>
      <c r="C15" s="77">
        <v>2162</v>
      </c>
      <c r="D15" s="78">
        <v>121936800</v>
      </c>
      <c r="E15" s="15">
        <v>5.67</v>
      </c>
    </row>
    <row r="16" spans="1:7" x14ac:dyDescent="0.4">
      <c r="A16" s="73" t="s">
        <v>291</v>
      </c>
      <c r="B16" s="73" t="s">
        <v>292</v>
      </c>
      <c r="C16" s="77">
        <v>3067</v>
      </c>
      <c r="D16" s="78">
        <v>110718700</v>
      </c>
      <c r="E16" s="15">
        <v>5.15</v>
      </c>
    </row>
    <row r="17" spans="1:7" x14ac:dyDescent="0.4">
      <c r="A17" s="73" t="s">
        <v>420</v>
      </c>
      <c r="B17" s="74" t="s">
        <v>421</v>
      </c>
      <c r="C17" s="77">
        <v>898</v>
      </c>
      <c r="D17" s="78">
        <v>96714600</v>
      </c>
      <c r="E17" s="15">
        <v>4.5</v>
      </c>
    </row>
    <row r="18" spans="1:7" x14ac:dyDescent="0.4">
      <c r="A18" s="73" t="s">
        <v>392</v>
      </c>
      <c r="B18" s="73" t="s">
        <v>393</v>
      </c>
      <c r="C18" s="78">
        <v>354</v>
      </c>
      <c r="D18" s="78">
        <v>92571000</v>
      </c>
      <c r="E18" s="15">
        <v>4.3099999999999996</v>
      </c>
    </row>
    <row r="19" spans="1:7" x14ac:dyDescent="0.4">
      <c r="A19" s="73" t="s">
        <v>322</v>
      </c>
      <c r="B19" s="74" t="s">
        <v>323</v>
      </c>
      <c r="C19" s="76">
        <v>2034</v>
      </c>
      <c r="D19" s="76">
        <v>92343600</v>
      </c>
      <c r="E19" s="19">
        <v>4.3</v>
      </c>
      <c r="F19" s="17"/>
      <c r="G19" s="17"/>
    </row>
    <row r="20" spans="1:7" x14ac:dyDescent="0.4">
      <c r="A20" s="73" t="s">
        <v>19</v>
      </c>
      <c r="B20" s="73" t="s">
        <v>20</v>
      </c>
      <c r="C20" s="78">
        <v>332</v>
      </c>
      <c r="D20" s="78">
        <v>87482000</v>
      </c>
      <c r="E20" s="15">
        <v>4.07</v>
      </c>
    </row>
    <row r="21" spans="1:7" x14ac:dyDescent="0.4">
      <c r="A21" s="73" t="s">
        <v>11</v>
      </c>
      <c r="B21" s="73" t="s">
        <v>12</v>
      </c>
      <c r="C21" s="78">
        <v>22</v>
      </c>
      <c r="D21" s="78">
        <v>81796000</v>
      </c>
      <c r="E21" s="15">
        <v>3.81</v>
      </c>
    </row>
    <row r="22" spans="1:7" x14ac:dyDescent="0.4">
      <c r="A22" s="73" t="s">
        <v>376</v>
      </c>
      <c r="B22" s="73" t="s">
        <v>377</v>
      </c>
      <c r="C22" s="78">
        <v>5027</v>
      </c>
      <c r="D22" s="78">
        <v>81487670</v>
      </c>
      <c r="E22" s="15">
        <v>3.79</v>
      </c>
    </row>
    <row r="23" spans="1:7" x14ac:dyDescent="0.4">
      <c r="A23" s="73" t="s">
        <v>15</v>
      </c>
      <c r="B23" s="73" t="s">
        <v>16</v>
      </c>
      <c r="C23" s="77">
        <v>69</v>
      </c>
      <c r="D23" s="78">
        <v>69828000</v>
      </c>
      <c r="E23" s="15">
        <v>3.25</v>
      </c>
    </row>
    <row r="24" spans="1:7" x14ac:dyDescent="0.4">
      <c r="A24" s="73" t="s">
        <v>287</v>
      </c>
      <c r="B24" s="73" t="s">
        <v>288</v>
      </c>
      <c r="C24" s="77">
        <v>183</v>
      </c>
      <c r="D24" s="78">
        <v>63684000</v>
      </c>
      <c r="E24" s="15">
        <v>2.96</v>
      </c>
    </row>
    <row r="25" spans="1:7" x14ac:dyDescent="0.4">
      <c r="A25" s="73" t="s">
        <v>307</v>
      </c>
      <c r="B25" s="73" t="s">
        <v>308</v>
      </c>
      <c r="C25" s="78">
        <v>275</v>
      </c>
      <c r="D25" s="78">
        <v>46805000</v>
      </c>
      <c r="E25" s="15">
        <v>2.1800000000000002</v>
      </c>
    </row>
    <row r="26" spans="1:7" x14ac:dyDescent="0.4">
      <c r="A26" s="73" t="s">
        <v>406</v>
      </c>
      <c r="B26" s="73" t="s">
        <v>407</v>
      </c>
      <c r="C26" s="78">
        <v>434</v>
      </c>
      <c r="D26" s="78">
        <v>36195600</v>
      </c>
      <c r="E26" s="15">
        <v>1.68</v>
      </c>
    </row>
    <row r="27" spans="1:7" x14ac:dyDescent="0.4">
      <c r="A27" s="73" t="s">
        <v>27</v>
      </c>
      <c r="B27" s="73" t="s">
        <v>28</v>
      </c>
      <c r="C27" s="78">
        <v>576</v>
      </c>
      <c r="D27" s="78">
        <v>34790400</v>
      </c>
      <c r="E27" s="15">
        <v>1.62</v>
      </c>
    </row>
    <row r="28" spans="1:7" x14ac:dyDescent="0.4">
      <c r="A28" s="73" t="s">
        <v>326</v>
      </c>
      <c r="B28" s="74" t="s">
        <v>327</v>
      </c>
      <c r="C28" s="76">
        <v>315</v>
      </c>
      <c r="D28" s="76">
        <v>34650000</v>
      </c>
      <c r="E28" s="19">
        <v>1.61</v>
      </c>
      <c r="F28" s="17"/>
      <c r="G28" s="17"/>
    </row>
    <row r="29" spans="1:7" x14ac:dyDescent="0.4">
      <c r="A29" s="73" t="s">
        <v>148</v>
      </c>
      <c r="B29" s="73" t="s">
        <v>149</v>
      </c>
      <c r="C29" s="78">
        <v>86</v>
      </c>
      <c r="D29" s="78">
        <v>34314000</v>
      </c>
      <c r="E29" s="15">
        <v>1.6</v>
      </c>
    </row>
    <row r="30" spans="1:7" x14ac:dyDescent="0.4">
      <c r="A30" s="73" t="s">
        <v>412</v>
      </c>
      <c r="B30" s="73" t="s">
        <v>413</v>
      </c>
      <c r="C30" s="78">
        <v>2381</v>
      </c>
      <c r="D30" s="78">
        <v>31905400</v>
      </c>
      <c r="E30" s="15">
        <v>1.48</v>
      </c>
    </row>
    <row r="31" spans="1:7" x14ac:dyDescent="0.4">
      <c r="A31" s="73" t="s">
        <v>390</v>
      </c>
      <c r="B31" s="73" t="s">
        <v>391</v>
      </c>
      <c r="C31" s="78">
        <v>1045</v>
      </c>
      <c r="D31" s="78">
        <v>30932000</v>
      </c>
      <c r="E31" s="15">
        <v>1.44</v>
      </c>
    </row>
    <row r="32" spans="1:7" x14ac:dyDescent="0.4">
      <c r="A32" s="73" t="s">
        <v>223</v>
      </c>
      <c r="B32" s="73" t="s">
        <v>224</v>
      </c>
      <c r="C32" s="78">
        <v>897</v>
      </c>
      <c r="D32" s="78">
        <v>29197350</v>
      </c>
      <c r="E32" s="15">
        <v>1.36</v>
      </c>
    </row>
    <row r="33" spans="1:7" x14ac:dyDescent="0.4">
      <c r="A33" s="73" t="s">
        <v>2912</v>
      </c>
      <c r="B33" s="73" t="s">
        <v>2913</v>
      </c>
      <c r="C33" s="78">
        <v>620</v>
      </c>
      <c r="D33" s="78">
        <v>25854000</v>
      </c>
      <c r="E33" s="15">
        <v>1.2</v>
      </c>
    </row>
    <row r="34" spans="1:7" x14ac:dyDescent="0.4">
      <c r="A34" s="73" t="s">
        <v>410</v>
      </c>
      <c r="B34" s="73" t="s">
        <v>411</v>
      </c>
      <c r="C34" s="78">
        <v>1231</v>
      </c>
      <c r="D34" s="78">
        <v>23992190</v>
      </c>
      <c r="E34" s="15">
        <v>1.1200000000000001</v>
      </c>
    </row>
    <row r="35" spans="1:7" x14ac:dyDescent="0.4">
      <c r="A35" s="73" t="s">
        <v>542</v>
      </c>
      <c r="B35" s="74" t="s">
        <v>543</v>
      </c>
      <c r="C35" s="76">
        <v>568</v>
      </c>
      <c r="D35" s="76">
        <v>21016000</v>
      </c>
      <c r="E35" s="19">
        <v>0.98</v>
      </c>
      <c r="F35" s="17"/>
      <c r="G35" s="17"/>
    </row>
    <row r="36" spans="1:7" x14ac:dyDescent="0.4">
      <c r="A36" s="73" t="s">
        <v>353</v>
      </c>
      <c r="B36" s="73" t="s">
        <v>354</v>
      </c>
      <c r="C36" s="78">
        <v>149</v>
      </c>
      <c r="D36" s="78">
        <v>19772300</v>
      </c>
      <c r="E36" s="15">
        <v>0.92</v>
      </c>
    </row>
    <row r="37" spans="1:7" x14ac:dyDescent="0.4">
      <c r="A37" s="73" t="s">
        <v>3097</v>
      </c>
      <c r="B37" s="73" t="s">
        <v>3098</v>
      </c>
      <c r="C37" s="78">
        <v>1138</v>
      </c>
      <c r="D37" s="78">
        <v>19698780</v>
      </c>
      <c r="E37" s="15">
        <v>0.92</v>
      </c>
    </row>
    <row r="38" spans="1:7" x14ac:dyDescent="0.4">
      <c r="A38" s="73" t="s">
        <v>414</v>
      </c>
      <c r="B38" s="73" t="s">
        <v>415</v>
      </c>
      <c r="C38" s="78">
        <v>690</v>
      </c>
      <c r="D38" s="78">
        <v>19561500</v>
      </c>
      <c r="E38" s="15">
        <v>0.91</v>
      </c>
    </row>
    <row r="39" spans="1:7" x14ac:dyDescent="0.4">
      <c r="A39" s="73" t="s">
        <v>1260</v>
      </c>
      <c r="B39" s="73" t="s">
        <v>1261</v>
      </c>
      <c r="C39" s="78">
        <v>440</v>
      </c>
      <c r="D39" s="78">
        <v>18788000</v>
      </c>
      <c r="E39" s="15">
        <v>0.87</v>
      </c>
    </row>
    <row r="40" spans="1:7" x14ac:dyDescent="0.4">
      <c r="A40" s="73" t="s">
        <v>4956</v>
      </c>
      <c r="B40" s="73" t="s">
        <v>4957</v>
      </c>
      <c r="C40" s="78">
        <v>1176</v>
      </c>
      <c r="D40" s="78">
        <v>17804640</v>
      </c>
      <c r="E40" s="15">
        <v>0.83</v>
      </c>
    </row>
    <row r="41" spans="1:7" x14ac:dyDescent="0.4">
      <c r="A41" s="73" t="s">
        <v>4770</v>
      </c>
      <c r="B41" s="73" t="s">
        <v>4771</v>
      </c>
      <c r="C41" s="78">
        <v>990</v>
      </c>
      <c r="D41" s="78">
        <v>16038000</v>
      </c>
      <c r="E41" s="15">
        <v>0.75</v>
      </c>
    </row>
    <row r="42" spans="1:7" x14ac:dyDescent="0.4">
      <c r="A42" s="73" t="s">
        <v>401</v>
      </c>
      <c r="B42" s="74" t="s">
        <v>402</v>
      </c>
      <c r="C42" s="76">
        <v>399</v>
      </c>
      <c r="D42" s="76">
        <v>15002400</v>
      </c>
      <c r="E42" s="19">
        <v>0.7</v>
      </c>
      <c r="F42" s="17"/>
      <c r="G42" s="17"/>
    </row>
    <row r="43" spans="1:7" x14ac:dyDescent="0.4">
      <c r="A43" s="73" t="s">
        <v>668</v>
      </c>
      <c r="B43" s="74" t="s">
        <v>669</v>
      </c>
      <c r="C43" s="76">
        <v>1033</v>
      </c>
      <c r="D43" s="76">
        <v>14771900</v>
      </c>
      <c r="E43" s="19">
        <v>0.69</v>
      </c>
      <c r="F43" s="17"/>
      <c r="G43" s="17"/>
    </row>
    <row r="44" spans="1:7" x14ac:dyDescent="0.4">
      <c r="A44" s="73" t="s">
        <v>3055</v>
      </c>
      <c r="B44" s="73" t="s">
        <v>3056</v>
      </c>
      <c r="C44" s="78">
        <v>840</v>
      </c>
      <c r="D44" s="78">
        <v>14700000</v>
      </c>
      <c r="E44" s="15">
        <v>0.68</v>
      </c>
    </row>
    <row r="45" spans="1:7" x14ac:dyDescent="0.4">
      <c r="A45" s="73" t="s">
        <v>320</v>
      </c>
      <c r="B45" s="73" t="s">
        <v>321</v>
      </c>
      <c r="C45" s="78">
        <v>360</v>
      </c>
      <c r="D45" s="78">
        <v>13248000</v>
      </c>
      <c r="E45" s="15">
        <v>0.62</v>
      </c>
    </row>
    <row r="46" spans="1:7" x14ac:dyDescent="0.4">
      <c r="A46" s="73" t="s">
        <v>3332</v>
      </c>
      <c r="B46" s="73" t="s">
        <v>3333</v>
      </c>
      <c r="C46" s="78">
        <v>1498</v>
      </c>
      <c r="D46" s="78">
        <v>12822880</v>
      </c>
      <c r="E46" s="15">
        <v>0.6</v>
      </c>
    </row>
    <row r="47" spans="1:7" x14ac:dyDescent="0.4">
      <c r="A47" s="73" t="s">
        <v>588</v>
      </c>
      <c r="B47" s="73" t="s">
        <v>589</v>
      </c>
      <c r="C47" s="78">
        <v>366</v>
      </c>
      <c r="D47" s="78">
        <v>12608700</v>
      </c>
      <c r="E47" s="15">
        <v>0.59</v>
      </c>
    </row>
    <row r="48" spans="1:7" x14ac:dyDescent="0.4">
      <c r="A48" s="73" t="s">
        <v>4658</v>
      </c>
      <c r="B48" s="73" t="s">
        <v>4659</v>
      </c>
      <c r="C48" s="78">
        <v>291</v>
      </c>
      <c r="D48" s="78">
        <v>12091050</v>
      </c>
      <c r="E48" s="15">
        <v>0.56000000000000005</v>
      </c>
    </row>
    <row r="49" spans="1:5" x14ac:dyDescent="0.4">
      <c r="A49" s="73" t="s">
        <v>332</v>
      </c>
      <c r="B49" s="73" t="s">
        <v>333</v>
      </c>
      <c r="C49" s="78">
        <v>224</v>
      </c>
      <c r="D49" s="78">
        <v>9385600</v>
      </c>
      <c r="E49" s="15">
        <v>0.44</v>
      </c>
    </row>
    <row r="50" spans="1:5" x14ac:dyDescent="0.4">
      <c r="A50" s="73" t="s">
        <v>730</v>
      </c>
      <c r="B50" s="73" t="s">
        <v>731</v>
      </c>
      <c r="C50" s="78">
        <v>148</v>
      </c>
      <c r="D50" s="78">
        <v>8924400</v>
      </c>
      <c r="E50" s="15">
        <v>0.42</v>
      </c>
    </row>
    <row r="51" spans="1:5" x14ac:dyDescent="0.4">
      <c r="A51" s="73" t="s">
        <v>384</v>
      </c>
      <c r="B51" s="73" t="s">
        <v>385</v>
      </c>
      <c r="C51" s="78">
        <v>316</v>
      </c>
      <c r="D51" s="78">
        <v>8800600</v>
      </c>
      <c r="E51" s="15">
        <v>0.41</v>
      </c>
    </row>
    <row r="52" spans="1:5" x14ac:dyDescent="0.4">
      <c r="A52" s="73" t="s">
        <v>4249</v>
      </c>
      <c r="B52" s="73" t="s">
        <v>4250</v>
      </c>
      <c r="C52" s="78">
        <v>218</v>
      </c>
      <c r="D52" s="78">
        <v>8502000</v>
      </c>
      <c r="E52" s="15">
        <v>0.4</v>
      </c>
    </row>
    <row r="53" spans="1:5" x14ac:dyDescent="0.4">
      <c r="A53" s="73" t="s">
        <v>340</v>
      </c>
      <c r="B53" s="73" t="s">
        <v>341</v>
      </c>
      <c r="C53" s="78">
        <v>402</v>
      </c>
      <c r="D53" s="78">
        <v>7806840</v>
      </c>
      <c r="E53" s="15">
        <v>0.36</v>
      </c>
    </row>
    <row r="54" spans="1:5" x14ac:dyDescent="0.4">
      <c r="A54" s="73" t="s">
        <v>586</v>
      </c>
      <c r="B54" s="73" t="s">
        <v>587</v>
      </c>
      <c r="C54" s="78">
        <v>1721</v>
      </c>
      <c r="D54" s="78">
        <v>6703295</v>
      </c>
      <c r="E54" s="15">
        <v>0.31</v>
      </c>
    </row>
    <row r="55" spans="1:5" x14ac:dyDescent="0.4">
      <c r="A55" s="73" t="s">
        <v>424</v>
      </c>
      <c r="B55" s="73" t="s">
        <v>425</v>
      </c>
      <c r="C55" s="78">
        <v>1471</v>
      </c>
      <c r="D55" s="78">
        <v>6531240</v>
      </c>
      <c r="E55" s="15">
        <v>0.3</v>
      </c>
    </row>
    <row r="56" spans="1:5" x14ac:dyDescent="0.4">
      <c r="A56" s="73" t="s">
        <v>931</v>
      </c>
      <c r="B56" s="73" t="s">
        <v>932</v>
      </c>
      <c r="C56" s="78">
        <v>282</v>
      </c>
      <c r="D56" s="78">
        <v>6457800</v>
      </c>
      <c r="E56" s="15">
        <v>0.3</v>
      </c>
    </row>
    <row r="57" spans="1:5" x14ac:dyDescent="0.4">
      <c r="A57" s="73" t="s">
        <v>475</v>
      </c>
      <c r="B57" s="73" t="s">
        <v>476</v>
      </c>
      <c r="C57" s="78">
        <v>629</v>
      </c>
      <c r="D57" s="78">
        <v>5057160</v>
      </c>
      <c r="E57" s="15">
        <v>0.24</v>
      </c>
    </row>
    <row r="58" spans="1:5" x14ac:dyDescent="0.4">
      <c r="A58" s="73" t="s">
        <v>491</v>
      </c>
      <c r="B58" s="73" t="s">
        <v>492</v>
      </c>
      <c r="C58" s="78">
        <v>20</v>
      </c>
      <c r="D58" s="78">
        <v>4840000</v>
      </c>
      <c r="E58" s="15">
        <v>0.23</v>
      </c>
    </row>
    <row r="59" spans="1:5" x14ac:dyDescent="0.4">
      <c r="A59" s="73" t="s">
        <v>4830</v>
      </c>
      <c r="B59" s="73" t="s">
        <v>4831</v>
      </c>
      <c r="C59" s="78">
        <v>189</v>
      </c>
      <c r="D59" s="78">
        <v>4413150</v>
      </c>
      <c r="E59" s="15">
        <v>0.21</v>
      </c>
    </row>
    <row r="60" spans="1:5" x14ac:dyDescent="0.4">
      <c r="A60" s="73" t="s">
        <v>428</v>
      </c>
      <c r="B60" s="73" t="s">
        <v>429</v>
      </c>
      <c r="C60" s="78">
        <v>373</v>
      </c>
      <c r="D60" s="78">
        <v>4405130</v>
      </c>
      <c r="E60" s="15">
        <v>0.2</v>
      </c>
    </row>
    <row r="61" spans="1:5" x14ac:dyDescent="0.4">
      <c r="A61" s="73" t="s">
        <v>426</v>
      </c>
      <c r="B61" s="73" t="s">
        <v>427</v>
      </c>
      <c r="C61" s="78">
        <v>3881</v>
      </c>
      <c r="D61" s="78">
        <v>4121622</v>
      </c>
      <c r="E61" s="15">
        <v>0.19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2832000</v>
      </c>
      <c r="E62" s="15">
        <v>0.13</v>
      </c>
    </row>
    <row r="63" spans="1:5" x14ac:dyDescent="0.4">
      <c r="A63" s="73" t="s">
        <v>140</v>
      </c>
      <c r="B63" s="73" t="s">
        <v>141</v>
      </c>
      <c r="C63" s="78">
        <v>5</v>
      </c>
      <c r="D63" s="78">
        <v>2437500</v>
      </c>
      <c r="E63" s="15">
        <v>0.11</v>
      </c>
    </row>
    <row r="64" spans="1:5" x14ac:dyDescent="0.4">
      <c r="A64" s="73" t="s">
        <v>434</v>
      </c>
      <c r="B64" s="73" t="s">
        <v>435</v>
      </c>
      <c r="C64" s="78">
        <v>34</v>
      </c>
      <c r="D64" s="78">
        <v>2063800</v>
      </c>
      <c r="E64" s="15">
        <v>0.1</v>
      </c>
    </row>
    <row r="65" spans="1:5" x14ac:dyDescent="0.4">
      <c r="A65" s="73" t="s">
        <v>297</v>
      </c>
      <c r="B65" s="73" t="s">
        <v>298</v>
      </c>
      <c r="C65" s="73">
        <v>21</v>
      </c>
      <c r="D65" s="78">
        <v>2058000</v>
      </c>
      <c r="E65" s="15">
        <v>0.1</v>
      </c>
    </row>
    <row r="66" spans="1:5" x14ac:dyDescent="0.4">
      <c r="A66" s="73" t="s">
        <v>172</v>
      </c>
      <c r="B66" s="73" t="s">
        <v>173</v>
      </c>
      <c r="C66" s="78">
        <v>4</v>
      </c>
      <c r="D66" s="78">
        <v>1976000</v>
      </c>
      <c r="E66" s="15">
        <v>0.09</v>
      </c>
    </row>
    <row r="67" spans="1:5" x14ac:dyDescent="0.4">
      <c r="A67" s="73" t="s">
        <v>418</v>
      </c>
      <c r="B67" s="73" t="s">
        <v>419</v>
      </c>
      <c r="C67" s="78">
        <v>60</v>
      </c>
      <c r="D67" s="78">
        <v>1953000</v>
      </c>
      <c r="E67" s="15">
        <v>0.09</v>
      </c>
    </row>
    <row r="68" spans="1:5" x14ac:dyDescent="0.4">
      <c r="A68" s="73" t="s">
        <v>242</v>
      </c>
      <c r="B68" s="73" t="s">
        <v>243</v>
      </c>
      <c r="C68" s="73">
        <v>10</v>
      </c>
      <c r="D68" s="78">
        <v>1933000</v>
      </c>
      <c r="E68" s="15">
        <v>0.09</v>
      </c>
    </row>
    <row r="69" spans="1:5" x14ac:dyDescent="0.4">
      <c r="A69" s="73" t="s">
        <v>120</v>
      </c>
      <c r="B69" s="73" t="s">
        <v>121</v>
      </c>
      <c r="C69" s="73">
        <v>6</v>
      </c>
      <c r="D69" s="78">
        <v>1890000</v>
      </c>
      <c r="E69" s="15">
        <v>0.09</v>
      </c>
    </row>
    <row r="70" spans="1:5" x14ac:dyDescent="0.4">
      <c r="A70" s="73" t="s">
        <v>314</v>
      </c>
      <c r="B70" s="73" t="s">
        <v>315</v>
      </c>
      <c r="C70" s="73">
        <v>36</v>
      </c>
      <c r="D70" s="78">
        <v>1861200</v>
      </c>
      <c r="E70" s="15">
        <v>0.09</v>
      </c>
    </row>
    <row r="71" spans="1:5" x14ac:dyDescent="0.4">
      <c r="A71" s="73" t="s">
        <v>152</v>
      </c>
      <c r="B71" s="73" t="s">
        <v>153</v>
      </c>
      <c r="C71" s="73">
        <v>6</v>
      </c>
      <c r="D71" s="78">
        <v>1824000</v>
      </c>
      <c r="E71" s="15">
        <v>0.08</v>
      </c>
    </row>
    <row r="72" spans="1:5" x14ac:dyDescent="0.4">
      <c r="A72" s="73" t="s">
        <v>116</v>
      </c>
      <c r="B72" s="73" t="s">
        <v>117</v>
      </c>
      <c r="C72" s="73">
        <v>16</v>
      </c>
      <c r="D72" s="78">
        <v>1753600</v>
      </c>
      <c r="E72" s="15">
        <v>0.08</v>
      </c>
    </row>
    <row r="73" spans="1:5" x14ac:dyDescent="0.4">
      <c r="A73" s="73" t="s">
        <v>430</v>
      </c>
      <c r="B73" s="73" t="s">
        <v>431</v>
      </c>
      <c r="C73" s="73">
        <v>436</v>
      </c>
      <c r="D73" s="78">
        <v>1737460</v>
      </c>
      <c r="E73" s="15">
        <v>0.08</v>
      </c>
    </row>
    <row r="74" spans="1:5" x14ac:dyDescent="0.4">
      <c r="A74" s="73" t="s">
        <v>386</v>
      </c>
      <c r="B74" s="73" t="s">
        <v>387</v>
      </c>
      <c r="C74" s="73">
        <v>26</v>
      </c>
      <c r="D74" s="78">
        <v>1547000</v>
      </c>
      <c r="E74" s="15">
        <v>7.0000000000000007E-2</v>
      </c>
    </row>
    <row r="75" spans="1:5" x14ac:dyDescent="0.4">
      <c r="A75" s="73" t="s">
        <v>127</v>
      </c>
      <c r="B75" s="73" t="s">
        <v>128</v>
      </c>
      <c r="C75" s="73">
        <v>10</v>
      </c>
      <c r="D75" s="78">
        <v>1415000</v>
      </c>
      <c r="E75" s="15">
        <v>7.0000000000000007E-2</v>
      </c>
    </row>
    <row r="76" spans="1:5" x14ac:dyDescent="0.4">
      <c r="A76" s="73" t="s">
        <v>416</v>
      </c>
      <c r="B76" s="73" t="s">
        <v>417</v>
      </c>
      <c r="C76" s="78">
        <v>149</v>
      </c>
      <c r="D76" s="78">
        <v>1302260</v>
      </c>
      <c r="E76" s="15">
        <v>0.06</v>
      </c>
    </row>
    <row r="77" spans="1:5" x14ac:dyDescent="0.4">
      <c r="A77" s="73" t="s">
        <v>305</v>
      </c>
      <c r="B77" s="73" t="s">
        <v>306</v>
      </c>
      <c r="C77" s="78">
        <v>1</v>
      </c>
      <c r="D77" s="78">
        <v>1095000</v>
      </c>
      <c r="E77" s="15">
        <v>0.05</v>
      </c>
    </row>
    <row r="78" spans="1:5" x14ac:dyDescent="0.4">
      <c r="A78" s="73" t="s">
        <v>186</v>
      </c>
      <c r="B78" s="73" t="s">
        <v>187</v>
      </c>
      <c r="C78" s="78">
        <v>3</v>
      </c>
      <c r="D78" s="78">
        <v>840000</v>
      </c>
      <c r="E78" s="15">
        <v>0.04</v>
      </c>
    </row>
    <row r="79" spans="1:5" x14ac:dyDescent="0.4">
      <c r="A79" s="73" t="s">
        <v>344</v>
      </c>
      <c r="B79" s="73" t="s">
        <v>345</v>
      </c>
      <c r="C79" s="78">
        <v>7</v>
      </c>
      <c r="D79" s="78">
        <v>815500</v>
      </c>
      <c r="E79" s="15">
        <v>0.04</v>
      </c>
    </row>
    <row r="80" spans="1:5" x14ac:dyDescent="0.4">
      <c r="A80" s="73" t="s">
        <v>422</v>
      </c>
      <c r="B80" s="73" t="s">
        <v>423</v>
      </c>
      <c r="C80" s="78">
        <v>57</v>
      </c>
      <c r="D80" s="78">
        <v>785460</v>
      </c>
      <c r="E80" s="15">
        <v>0.04</v>
      </c>
    </row>
    <row r="81" spans="1:5" x14ac:dyDescent="0.4">
      <c r="A81" s="73" t="s">
        <v>436</v>
      </c>
      <c r="B81" s="73" t="s">
        <v>437</v>
      </c>
      <c r="C81" s="78">
        <v>6</v>
      </c>
      <c r="D81" s="78">
        <v>754200</v>
      </c>
      <c r="E81" s="15">
        <v>0.04</v>
      </c>
    </row>
    <row r="82" spans="1:5" x14ac:dyDescent="0.4">
      <c r="A82" s="73" t="s">
        <v>21</v>
      </c>
      <c r="B82" s="73" t="s">
        <v>22</v>
      </c>
      <c r="C82" s="78">
        <v>6</v>
      </c>
      <c r="D82" s="78">
        <v>714000</v>
      </c>
      <c r="E82" s="15">
        <v>0.03</v>
      </c>
    </row>
    <row r="83" spans="1:5" x14ac:dyDescent="0.4">
      <c r="A83" s="73" t="s">
        <v>23</v>
      </c>
      <c r="B83" s="73" t="s">
        <v>24</v>
      </c>
      <c r="C83" s="73">
        <v>15</v>
      </c>
      <c r="D83" s="78">
        <v>689250</v>
      </c>
      <c r="E83" s="15">
        <v>0.03</v>
      </c>
    </row>
    <row r="84" spans="1:5" x14ac:dyDescent="0.4">
      <c r="A84" s="73" t="s">
        <v>25</v>
      </c>
      <c r="B84" s="73" t="s">
        <v>26</v>
      </c>
      <c r="C84" s="78">
        <v>6</v>
      </c>
      <c r="D84" s="78">
        <v>683400</v>
      </c>
      <c r="E84" s="15">
        <v>0.03</v>
      </c>
    </row>
    <row r="85" spans="1:5" x14ac:dyDescent="0.4">
      <c r="A85" s="73" t="s">
        <v>338</v>
      </c>
      <c r="B85" s="73" t="s">
        <v>339</v>
      </c>
      <c r="C85" s="78">
        <v>156</v>
      </c>
      <c r="D85" s="78">
        <v>590460</v>
      </c>
      <c r="E85" s="15">
        <v>0.03</v>
      </c>
    </row>
    <row r="86" spans="1:5" x14ac:dyDescent="0.4">
      <c r="A86" s="73" t="s">
        <v>438</v>
      </c>
      <c r="B86" s="73" t="s">
        <v>439</v>
      </c>
      <c r="C86" s="73">
        <v>145</v>
      </c>
      <c r="D86" s="78">
        <v>581450</v>
      </c>
      <c r="E86" s="15">
        <v>0.03</v>
      </c>
    </row>
    <row r="87" spans="1:5" x14ac:dyDescent="0.4">
      <c r="A87" s="73" t="s">
        <v>94</v>
      </c>
      <c r="B87" s="73" t="s">
        <v>95</v>
      </c>
      <c r="C87" s="78">
        <v>13</v>
      </c>
      <c r="D87" s="78">
        <v>488800</v>
      </c>
      <c r="E87" s="15">
        <v>0.02</v>
      </c>
    </row>
    <row r="88" spans="1:5" x14ac:dyDescent="0.4">
      <c r="A88" s="73" t="s">
        <v>440</v>
      </c>
      <c r="B88" s="73" t="s">
        <v>441</v>
      </c>
      <c r="C88" s="78">
        <v>37</v>
      </c>
      <c r="D88" s="78">
        <v>460650</v>
      </c>
      <c r="E88" s="15">
        <v>0.02</v>
      </c>
    </row>
    <row r="89" spans="1:5" x14ac:dyDescent="0.4">
      <c r="A89" s="73" t="s">
        <v>399</v>
      </c>
      <c r="B89" s="73" t="s">
        <v>400</v>
      </c>
      <c r="C89" s="78">
        <v>11</v>
      </c>
      <c r="D89" s="78">
        <v>444400</v>
      </c>
      <c r="E89" s="15">
        <v>0.02</v>
      </c>
    </row>
    <row r="90" spans="1:5" x14ac:dyDescent="0.4">
      <c r="A90" s="73"/>
      <c r="B90" s="73" t="s">
        <v>10</v>
      </c>
      <c r="C90" s="78">
        <v>19377071</v>
      </c>
      <c r="D90" s="78">
        <v>19377071</v>
      </c>
      <c r="E90" s="15">
        <v>0.9</v>
      </c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405</v>
      </c>
      <c r="B8" s="6"/>
      <c r="C8" s="6"/>
      <c r="D8" s="6"/>
      <c r="E8" s="14"/>
    </row>
    <row r="9" spans="1:5" x14ac:dyDescent="0.4">
      <c r="A9" s="75" t="s">
        <v>523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2338</v>
      </c>
      <c r="D11" s="78">
        <v>157815000</v>
      </c>
      <c r="E11" s="15">
        <v>7.13</v>
      </c>
    </row>
    <row r="12" spans="1:5" x14ac:dyDescent="0.4">
      <c r="A12" s="73" t="s">
        <v>324</v>
      </c>
      <c r="B12" s="73" t="s">
        <v>325</v>
      </c>
      <c r="C12" s="77">
        <v>593</v>
      </c>
      <c r="D12" s="78">
        <v>152104500</v>
      </c>
      <c r="E12" s="15">
        <v>6.88</v>
      </c>
    </row>
    <row r="13" spans="1:5" x14ac:dyDescent="0.4">
      <c r="A13" s="73" t="s">
        <v>299</v>
      </c>
      <c r="B13" s="73" t="s">
        <v>300</v>
      </c>
      <c r="C13" s="78">
        <v>266</v>
      </c>
      <c r="D13" s="78">
        <v>147630000</v>
      </c>
      <c r="E13" s="15">
        <v>6.67</v>
      </c>
    </row>
    <row r="14" spans="1:5" x14ac:dyDescent="0.4">
      <c r="A14" s="73" t="s">
        <v>408</v>
      </c>
      <c r="B14" s="73" t="s">
        <v>409</v>
      </c>
      <c r="C14" s="78">
        <v>1020</v>
      </c>
      <c r="D14" s="78">
        <v>142800000</v>
      </c>
      <c r="E14" s="15">
        <v>6.46</v>
      </c>
    </row>
    <row r="15" spans="1:5" x14ac:dyDescent="0.4">
      <c r="A15" s="73" t="s">
        <v>291</v>
      </c>
      <c r="B15" s="73" t="s">
        <v>292</v>
      </c>
      <c r="C15" s="77">
        <v>3067</v>
      </c>
      <c r="D15" s="78">
        <v>116699350</v>
      </c>
      <c r="E15" s="15">
        <v>5.28</v>
      </c>
    </row>
    <row r="16" spans="1:5" x14ac:dyDescent="0.4">
      <c r="A16" s="73" t="s">
        <v>394</v>
      </c>
      <c r="B16" s="73" t="s">
        <v>395</v>
      </c>
      <c r="C16" s="77">
        <v>2585</v>
      </c>
      <c r="D16" s="78">
        <v>111672000</v>
      </c>
      <c r="E16" s="15">
        <v>5.05</v>
      </c>
    </row>
    <row r="17" spans="1:5" x14ac:dyDescent="0.4">
      <c r="A17" s="73" t="s">
        <v>420</v>
      </c>
      <c r="B17" s="73" t="s">
        <v>421</v>
      </c>
      <c r="C17" s="77">
        <v>898</v>
      </c>
      <c r="D17" s="78">
        <v>109376400</v>
      </c>
      <c r="E17" s="15">
        <v>4.9400000000000004</v>
      </c>
    </row>
    <row r="18" spans="1:5" x14ac:dyDescent="0.4">
      <c r="A18" s="73" t="s">
        <v>11</v>
      </c>
      <c r="B18" s="73" t="s">
        <v>12</v>
      </c>
      <c r="C18" s="78">
        <v>23</v>
      </c>
      <c r="D18" s="78">
        <v>88665000</v>
      </c>
      <c r="E18" s="15">
        <v>4.01</v>
      </c>
    </row>
    <row r="19" spans="1:5" x14ac:dyDescent="0.4">
      <c r="A19" s="73" t="s">
        <v>19</v>
      </c>
      <c r="B19" s="73" t="s">
        <v>20</v>
      </c>
      <c r="C19" s="78">
        <v>340</v>
      </c>
      <c r="D19" s="78">
        <v>88060000</v>
      </c>
      <c r="E19" s="15">
        <v>3.98</v>
      </c>
    </row>
    <row r="20" spans="1:5" x14ac:dyDescent="0.4">
      <c r="A20" s="73" t="s">
        <v>392</v>
      </c>
      <c r="B20" s="73" t="s">
        <v>393</v>
      </c>
      <c r="C20" s="78">
        <v>371</v>
      </c>
      <c r="D20" s="78">
        <v>87370500</v>
      </c>
      <c r="E20" s="15">
        <v>3.95</v>
      </c>
    </row>
    <row r="21" spans="1:5" x14ac:dyDescent="0.4">
      <c r="A21" s="73" t="s">
        <v>322</v>
      </c>
      <c r="B21" s="73" t="s">
        <v>323</v>
      </c>
      <c r="C21" s="78">
        <v>2034</v>
      </c>
      <c r="D21" s="78">
        <v>86343300</v>
      </c>
      <c r="E21" s="15">
        <v>3.9</v>
      </c>
    </row>
    <row r="22" spans="1:5" x14ac:dyDescent="0.4">
      <c r="A22" s="73" t="s">
        <v>376</v>
      </c>
      <c r="B22" s="73" t="s">
        <v>377</v>
      </c>
      <c r="C22" s="78">
        <v>5027</v>
      </c>
      <c r="D22" s="78">
        <v>81688750</v>
      </c>
      <c r="E22" s="15">
        <v>3.69</v>
      </c>
    </row>
    <row r="23" spans="1:5" x14ac:dyDescent="0.4">
      <c r="A23" s="73" t="s">
        <v>15</v>
      </c>
      <c r="B23" s="73" t="s">
        <v>16</v>
      </c>
      <c r="C23" s="77">
        <v>69</v>
      </c>
      <c r="D23" s="78">
        <v>74382000</v>
      </c>
      <c r="E23" s="15">
        <v>3.36</v>
      </c>
    </row>
    <row r="24" spans="1:5" x14ac:dyDescent="0.4">
      <c r="A24" s="73" t="s">
        <v>307</v>
      </c>
      <c r="B24" s="73" t="s">
        <v>308</v>
      </c>
      <c r="C24" s="77">
        <v>275</v>
      </c>
      <c r="D24" s="78">
        <v>54862500</v>
      </c>
      <c r="E24" s="15">
        <v>2.48</v>
      </c>
    </row>
    <row r="25" spans="1:5" x14ac:dyDescent="0.4">
      <c r="A25" s="73" t="s">
        <v>27</v>
      </c>
      <c r="B25" s="73" t="s">
        <v>28</v>
      </c>
      <c r="C25" s="78">
        <v>808</v>
      </c>
      <c r="D25" s="78">
        <v>49449600</v>
      </c>
      <c r="E25" s="15">
        <v>2.2400000000000002</v>
      </c>
    </row>
    <row r="26" spans="1:5" x14ac:dyDescent="0.4">
      <c r="A26" s="73" t="s">
        <v>406</v>
      </c>
      <c r="B26" s="73" t="s">
        <v>407</v>
      </c>
      <c r="C26" s="78">
        <v>567</v>
      </c>
      <c r="D26" s="78">
        <v>47854800</v>
      </c>
      <c r="E26" s="15">
        <v>2.16</v>
      </c>
    </row>
    <row r="27" spans="1:5" x14ac:dyDescent="0.4">
      <c r="A27" s="73" t="s">
        <v>326</v>
      </c>
      <c r="B27" s="73" t="s">
        <v>327</v>
      </c>
      <c r="C27" s="78">
        <v>315</v>
      </c>
      <c r="D27" s="78">
        <v>40509000</v>
      </c>
      <c r="E27" s="15">
        <v>1.83</v>
      </c>
    </row>
    <row r="28" spans="1:5" x14ac:dyDescent="0.4">
      <c r="A28" s="73" t="s">
        <v>390</v>
      </c>
      <c r="B28" s="73" t="s">
        <v>391</v>
      </c>
      <c r="C28" s="78">
        <v>1171</v>
      </c>
      <c r="D28" s="78">
        <v>38701550</v>
      </c>
      <c r="E28" s="15">
        <v>1.75</v>
      </c>
    </row>
    <row r="29" spans="1:5" x14ac:dyDescent="0.4">
      <c r="A29" s="73" t="s">
        <v>148</v>
      </c>
      <c r="B29" s="73" t="s">
        <v>149</v>
      </c>
      <c r="C29" s="78">
        <v>86</v>
      </c>
      <c r="D29" s="78">
        <v>35260000</v>
      </c>
      <c r="E29" s="15">
        <v>1.59</v>
      </c>
    </row>
    <row r="30" spans="1:5" x14ac:dyDescent="0.4">
      <c r="A30" s="73" t="s">
        <v>223</v>
      </c>
      <c r="B30" s="73" t="s">
        <v>224</v>
      </c>
      <c r="C30" s="78">
        <v>897</v>
      </c>
      <c r="D30" s="78">
        <v>31395000</v>
      </c>
      <c r="E30" s="15">
        <v>1.42</v>
      </c>
    </row>
    <row r="31" spans="1:5" x14ac:dyDescent="0.4">
      <c r="A31" s="73" t="s">
        <v>2912</v>
      </c>
      <c r="B31" s="73" t="s">
        <v>2913</v>
      </c>
      <c r="C31" s="78">
        <v>620</v>
      </c>
      <c r="D31" s="78">
        <v>27032000</v>
      </c>
      <c r="E31" s="15">
        <v>1.22</v>
      </c>
    </row>
    <row r="32" spans="1:5" x14ac:dyDescent="0.4">
      <c r="A32" s="73" t="s">
        <v>412</v>
      </c>
      <c r="B32" s="73" t="s">
        <v>413</v>
      </c>
      <c r="C32" s="78">
        <v>2381</v>
      </c>
      <c r="D32" s="78">
        <v>26429100</v>
      </c>
      <c r="E32" s="15">
        <v>1.19</v>
      </c>
    </row>
    <row r="33" spans="1:5" x14ac:dyDescent="0.4">
      <c r="A33" s="73" t="s">
        <v>410</v>
      </c>
      <c r="B33" s="73" t="s">
        <v>411</v>
      </c>
      <c r="C33" s="78">
        <v>1231</v>
      </c>
      <c r="D33" s="78">
        <v>25420150</v>
      </c>
      <c r="E33" s="15">
        <v>1.1499999999999999</v>
      </c>
    </row>
    <row r="34" spans="1:5" x14ac:dyDescent="0.4">
      <c r="A34" s="73" t="s">
        <v>353</v>
      </c>
      <c r="B34" s="73" t="s">
        <v>354</v>
      </c>
      <c r="C34" s="78">
        <v>149</v>
      </c>
      <c r="D34" s="78">
        <v>25240600</v>
      </c>
      <c r="E34" s="15">
        <v>1.1399999999999999</v>
      </c>
    </row>
    <row r="35" spans="1:5" x14ac:dyDescent="0.4">
      <c r="A35" s="73" t="s">
        <v>1260</v>
      </c>
      <c r="B35" s="73" t="s">
        <v>1261</v>
      </c>
      <c r="C35" s="78">
        <v>440</v>
      </c>
      <c r="D35" s="78">
        <v>22396000</v>
      </c>
      <c r="E35" s="15">
        <v>1.01</v>
      </c>
    </row>
    <row r="36" spans="1:5" x14ac:dyDescent="0.4">
      <c r="A36" s="73" t="s">
        <v>414</v>
      </c>
      <c r="B36" s="73" t="s">
        <v>415</v>
      </c>
      <c r="C36" s="78">
        <v>690</v>
      </c>
      <c r="D36" s="78">
        <v>20907000</v>
      </c>
      <c r="E36" s="15">
        <v>0.95</v>
      </c>
    </row>
    <row r="37" spans="1:5" x14ac:dyDescent="0.4">
      <c r="A37" s="73" t="s">
        <v>3097</v>
      </c>
      <c r="B37" s="73" t="s">
        <v>3098</v>
      </c>
      <c r="C37" s="78">
        <v>1138</v>
      </c>
      <c r="D37" s="78">
        <v>19277720</v>
      </c>
      <c r="E37" s="15">
        <v>0.87</v>
      </c>
    </row>
    <row r="38" spans="1:5" x14ac:dyDescent="0.4">
      <c r="A38" s="73" t="s">
        <v>542</v>
      </c>
      <c r="B38" s="73" t="s">
        <v>543</v>
      </c>
      <c r="C38" s="78">
        <v>568</v>
      </c>
      <c r="D38" s="78">
        <v>19226800</v>
      </c>
      <c r="E38" s="15">
        <v>0.87</v>
      </c>
    </row>
    <row r="39" spans="1:5" x14ac:dyDescent="0.4">
      <c r="A39" s="73" t="s">
        <v>4956</v>
      </c>
      <c r="B39" s="73" t="s">
        <v>4957</v>
      </c>
      <c r="C39" s="78">
        <v>1176</v>
      </c>
      <c r="D39" s="78">
        <v>18169200</v>
      </c>
      <c r="E39" s="15">
        <v>0.82</v>
      </c>
    </row>
    <row r="40" spans="1:5" x14ac:dyDescent="0.4">
      <c r="A40" s="73" t="s">
        <v>668</v>
      </c>
      <c r="B40" s="73" t="s">
        <v>669</v>
      </c>
      <c r="C40" s="78">
        <v>1033</v>
      </c>
      <c r="D40" s="78">
        <v>16538330</v>
      </c>
      <c r="E40" s="15">
        <v>0.75</v>
      </c>
    </row>
    <row r="41" spans="1:5" x14ac:dyDescent="0.4">
      <c r="A41" s="73" t="s">
        <v>3332</v>
      </c>
      <c r="B41" s="73" t="s">
        <v>3333</v>
      </c>
      <c r="C41" s="78">
        <v>1498</v>
      </c>
      <c r="D41" s="78">
        <v>15264620</v>
      </c>
      <c r="E41" s="15">
        <v>0.69</v>
      </c>
    </row>
    <row r="42" spans="1:5" x14ac:dyDescent="0.4">
      <c r="A42" s="73" t="s">
        <v>3055</v>
      </c>
      <c r="B42" s="73" t="s">
        <v>3056</v>
      </c>
      <c r="C42" s="78">
        <v>840</v>
      </c>
      <c r="D42" s="78">
        <v>15120000</v>
      </c>
      <c r="E42" s="15">
        <v>0.68</v>
      </c>
    </row>
    <row r="43" spans="1:5" x14ac:dyDescent="0.4">
      <c r="A43" s="73" t="s">
        <v>588</v>
      </c>
      <c r="B43" s="73" t="s">
        <v>589</v>
      </c>
      <c r="C43" s="78">
        <v>366</v>
      </c>
      <c r="D43" s="78">
        <v>14987700</v>
      </c>
      <c r="E43" s="15">
        <v>0.68</v>
      </c>
    </row>
    <row r="44" spans="1:5" x14ac:dyDescent="0.4">
      <c r="A44" s="73" t="s">
        <v>4770</v>
      </c>
      <c r="B44" s="73" t="s">
        <v>4771</v>
      </c>
      <c r="C44" s="78">
        <v>990</v>
      </c>
      <c r="D44" s="78">
        <v>14642100</v>
      </c>
      <c r="E44" s="15">
        <v>0.66</v>
      </c>
    </row>
    <row r="45" spans="1:5" x14ac:dyDescent="0.4">
      <c r="A45" s="73" t="s">
        <v>4658</v>
      </c>
      <c r="B45" s="73" t="s">
        <v>4659</v>
      </c>
      <c r="C45" s="78">
        <v>291</v>
      </c>
      <c r="D45" s="78">
        <v>14404500</v>
      </c>
      <c r="E45" s="15">
        <v>0.65</v>
      </c>
    </row>
    <row r="46" spans="1:5" x14ac:dyDescent="0.4">
      <c r="A46" s="73" t="s">
        <v>320</v>
      </c>
      <c r="B46" s="73" t="s">
        <v>321</v>
      </c>
      <c r="C46" s="78">
        <v>360</v>
      </c>
      <c r="D46" s="78">
        <v>13770000</v>
      </c>
      <c r="E46" s="15">
        <v>0.62</v>
      </c>
    </row>
    <row r="47" spans="1:5" x14ac:dyDescent="0.4">
      <c r="A47" s="73" t="s">
        <v>287</v>
      </c>
      <c r="B47" s="73" t="s">
        <v>288</v>
      </c>
      <c r="C47" s="78">
        <v>31</v>
      </c>
      <c r="D47" s="78">
        <v>12539500</v>
      </c>
      <c r="E47" s="15">
        <v>0.56999999999999995</v>
      </c>
    </row>
    <row r="48" spans="1:5" x14ac:dyDescent="0.4">
      <c r="A48" s="73" t="s">
        <v>332</v>
      </c>
      <c r="B48" s="73" t="s">
        <v>333</v>
      </c>
      <c r="C48" s="78">
        <v>224</v>
      </c>
      <c r="D48" s="78">
        <v>11894400</v>
      </c>
      <c r="E48" s="15">
        <v>0.54</v>
      </c>
    </row>
    <row r="49" spans="1:5" x14ac:dyDescent="0.4">
      <c r="A49" s="73" t="s">
        <v>730</v>
      </c>
      <c r="B49" s="73" t="s">
        <v>731</v>
      </c>
      <c r="C49" s="78">
        <v>148</v>
      </c>
      <c r="D49" s="78">
        <v>10064000</v>
      </c>
      <c r="E49" s="15">
        <v>0.45</v>
      </c>
    </row>
    <row r="50" spans="1:5" x14ac:dyDescent="0.4">
      <c r="A50" s="73" t="s">
        <v>4249</v>
      </c>
      <c r="B50" s="73" t="s">
        <v>4250</v>
      </c>
      <c r="C50" s="78">
        <v>218</v>
      </c>
      <c r="D50" s="78">
        <v>9341300</v>
      </c>
      <c r="E50" s="15">
        <v>0.42</v>
      </c>
    </row>
    <row r="51" spans="1:5" x14ac:dyDescent="0.4">
      <c r="A51" s="73" t="s">
        <v>401</v>
      </c>
      <c r="B51" s="73" t="s">
        <v>402</v>
      </c>
      <c r="C51" s="78">
        <v>229</v>
      </c>
      <c r="D51" s="78">
        <v>9102750</v>
      </c>
      <c r="E51" s="15">
        <v>0.41</v>
      </c>
    </row>
    <row r="52" spans="1:5" x14ac:dyDescent="0.4">
      <c r="A52" s="73" t="s">
        <v>340</v>
      </c>
      <c r="B52" s="73" t="s">
        <v>341</v>
      </c>
      <c r="C52" s="78">
        <v>402</v>
      </c>
      <c r="D52" s="78">
        <v>8542500</v>
      </c>
      <c r="E52" s="15">
        <v>0.39</v>
      </c>
    </row>
    <row r="53" spans="1:5" x14ac:dyDescent="0.4">
      <c r="A53" s="73" t="s">
        <v>586</v>
      </c>
      <c r="B53" s="73" t="s">
        <v>587</v>
      </c>
      <c r="C53" s="78">
        <v>1721</v>
      </c>
      <c r="D53" s="78">
        <v>6866790</v>
      </c>
      <c r="E53" s="15">
        <v>0.31</v>
      </c>
    </row>
    <row r="54" spans="1:5" x14ac:dyDescent="0.4">
      <c r="A54" s="73" t="s">
        <v>384</v>
      </c>
      <c r="B54" s="73" t="s">
        <v>385</v>
      </c>
      <c r="C54" s="78">
        <v>316</v>
      </c>
      <c r="D54" s="78">
        <v>6857200</v>
      </c>
      <c r="E54" s="15">
        <v>0.31</v>
      </c>
    </row>
    <row r="55" spans="1:5" x14ac:dyDescent="0.4">
      <c r="A55" s="73" t="s">
        <v>424</v>
      </c>
      <c r="B55" s="73" t="s">
        <v>425</v>
      </c>
      <c r="C55" s="78">
        <v>1471</v>
      </c>
      <c r="D55" s="78">
        <v>6442980</v>
      </c>
      <c r="E55" s="15">
        <v>0.28999999999999998</v>
      </c>
    </row>
    <row r="56" spans="1:5" x14ac:dyDescent="0.4">
      <c r="A56" s="73" t="s">
        <v>931</v>
      </c>
      <c r="B56" s="73" t="s">
        <v>932</v>
      </c>
      <c r="C56" s="78">
        <v>282</v>
      </c>
      <c r="D56" s="78">
        <v>6302700</v>
      </c>
      <c r="E56" s="15">
        <v>0.28000000000000003</v>
      </c>
    </row>
    <row r="57" spans="1:5" x14ac:dyDescent="0.4">
      <c r="A57" s="73" t="s">
        <v>475</v>
      </c>
      <c r="B57" s="73" t="s">
        <v>476</v>
      </c>
      <c r="C57" s="78">
        <v>629</v>
      </c>
      <c r="D57" s="78">
        <v>5182960</v>
      </c>
      <c r="E57" s="15">
        <v>0.23</v>
      </c>
    </row>
    <row r="58" spans="1:5" x14ac:dyDescent="0.4">
      <c r="A58" s="73" t="s">
        <v>386</v>
      </c>
      <c r="B58" s="73" t="s">
        <v>387</v>
      </c>
      <c r="C58" s="78">
        <v>62</v>
      </c>
      <c r="D58" s="78">
        <v>4030000</v>
      </c>
      <c r="E58" s="15">
        <v>0.18</v>
      </c>
    </row>
    <row r="59" spans="1:5" x14ac:dyDescent="0.4">
      <c r="A59" s="73" t="s">
        <v>426</v>
      </c>
      <c r="B59" s="73" t="s">
        <v>427</v>
      </c>
      <c r="C59" s="78">
        <v>3881</v>
      </c>
      <c r="D59" s="78">
        <v>3877119</v>
      </c>
      <c r="E59" s="15">
        <v>0.18</v>
      </c>
    </row>
    <row r="60" spans="1:5" x14ac:dyDescent="0.4">
      <c r="A60" s="73" t="s">
        <v>491</v>
      </c>
      <c r="B60" s="73" t="s">
        <v>492</v>
      </c>
      <c r="C60" s="78">
        <v>20</v>
      </c>
      <c r="D60" s="78">
        <v>3862000</v>
      </c>
      <c r="E60" s="15">
        <v>0.17</v>
      </c>
    </row>
    <row r="61" spans="1:5" x14ac:dyDescent="0.4">
      <c r="A61" s="73" t="s">
        <v>428</v>
      </c>
      <c r="B61" s="73" t="s">
        <v>429</v>
      </c>
      <c r="C61" s="78">
        <v>373</v>
      </c>
      <c r="D61" s="78">
        <v>3412950</v>
      </c>
      <c r="E61" s="15">
        <v>0.15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3132800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3">
        <v>5</v>
      </c>
      <c r="D63" s="78">
        <v>3065000</v>
      </c>
      <c r="E63" s="15">
        <v>0.14000000000000001</v>
      </c>
    </row>
    <row r="64" spans="1:5" x14ac:dyDescent="0.4">
      <c r="A64" s="73" t="s">
        <v>172</v>
      </c>
      <c r="B64" s="73" t="s">
        <v>173</v>
      </c>
      <c r="C64" s="78">
        <v>4</v>
      </c>
      <c r="D64" s="78">
        <v>2448000</v>
      </c>
      <c r="E64" s="15">
        <v>0.11</v>
      </c>
    </row>
    <row r="65" spans="1:5" x14ac:dyDescent="0.4">
      <c r="A65" s="73" t="s">
        <v>297</v>
      </c>
      <c r="B65" s="73" t="s">
        <v>298</v>
      </c>
      <c r="C65" s="78">
        <v>21</v>
      </c>
      <c r="D65" s="78">
        <v>2150400</v>
      </c>
      <c r="E65" s="15">
        <v>0.1</v>
      </c>
    </row>
    <row r="66" spans="1:5" x14ac:dyDescent="0.4">
      <c r="A66" s="73" t="s">
        <v>120</v>
      </c>
      <c r="B66" s="73" t="s">
        <v>121</v>
      </c>
      <c r="C66" s="73">
        <v>6</v>
      </c>
      <c r="D66" s="78">
        <v>2139000</v>
      </c>
      <c r="E66" s="15">
        <v>0.1</v>
      </c>
    </row>
    <row r="67" spans="1:5" x14ac:dyDescent="0.4">
      <c r="A67" s="73" t="s">
        <v>418</v>
      </c>
      <c r="B67" s="73" t="s">
        <v>419</v>
      </c>
      <c r="C67" s="78">
        <v>60</v>
      </c>
      <c r="D67" s="78">
        <v>2130000</v>
      </c>
      <c r="E67" s="15">
        <v>0.1</v>
      </c>
    </row>
    <row r="68" spans="1:5" x14ac:dyDescent="0.4">
      <c r="A68" s="73" t="s">
        <v>242</v>
      </c>
      <c r="B68" s="73" t="s">
        <v>243</v>
      </c>
      <c r="C68" s="78">
        <v>10</v>
      </c>
      <c r="D68" s="78">
        <v>2115000</v>
      </c>
      <c r="E68" s="15">
        <v>0.1</v>
      </c>
    </row>
    <row r="69" spans="1:5" x14ac:dyDescent="0.4">
      <c r="A69" s="73" t="s">
        <v>434</v>
      </c>
      <c r="B69" s="73" t="s">
        <v>435</v>
      </c>
      <c r="C69" s="73">
        <v>34</v>
      </c>
      <c r="D69" s="78">
        <v>2074000</v>
      </c>
      <c r="E69" s="15">
        <v>0.09</v>
      </c>
    </row>
    <row r="70" spans="1:5" x14ac:dyDescent="0.4">
      <c r="A70" s="73" t="s">
        <v>430</v>
      </c>
      <c r="B70" s="73" t="s">
        <v>431</v>
      </c>
      <c r="C70" s="73">
        <v>436</v>
      </c>
      <c r="D70" s="78">
        <v>1783240</v>
      </c>
      <c r="E70" s="15">
        <v>0.08</v>
      </c>
    </row>
    <row r="71" spans="1:5" x14ac:dyDescent="0.4">
      <c r="A71" s="73" t="s">
        <v>314</v>
      </c>
      <c r="B71" s="73" t="s">
        <v>315</v>
      </c>
      <c r="C71" s="73">
        <v>36</v>
      </c>
      <c r="D71" s="78">
        <v>1751400</v>
      </c>
      <c r="E71" s="15">
        <v>0.08</v>
      </c>
    </row>
    <row r="72" spans="1:5" x14ac:dyDescent="0.4">
      <c r="A72" s="73" t="s">
        <v>116</v>
      </c>
      <c r="B72" s="73" t="s">
        <v>117</v>
      </c>
      <c r="C72" s="73">
        <v>16</v>
      </c>
      <c r="D72" s="78">
        <v>1684800</v>
      </c>
      <c r="E72" s="15">
        <v>0.08</v>
      </c>
    </row>
    <row r="73" spans="1:5" x14ac:dyDescent="0.4">
      <c r="A73" s="73" t="s">
        <v>152</v>
      </c>
      <c r="B73" s="73" t="s">
        <v>153</v>
      </c>
      <c r="C73" s="73">
        <v>6</v>
      </c>
      <c r="D73" s="78">
        <v>1683000</v>
      </c>
      <c r="E73" s="15">
        <v>0.08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1549000</v>
      </c>
      <c r="E74" s="15">
        <v>7.0000000000000007E-2</v>
      </c>
    </row>
    <row r="75" spans="1:5" x14ac:dyDescent="0.4">
      <c r="A75" s="73" t="s">
        <v>416</v>
      </c>
      <c r="B75" s="73" t="s">
        <v>417</v>
      </c>
      <c r="C75" s="73">
        <v>149</v>
      </c>
      <c r="D75" s="78">
        <v>1390170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1192000</v>
      </c>
      <c r="E76" s="15">
        <v>0.05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1014000</v>
      </c>
      <c r="E77" s="15">
        <v>0.05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889700</v>
      </c>
      <c r="E78" s="15">
        <v>0.04</v>
      </c>
    </row>
    <row r="79" spans="1:5" x14ac:dyDescent="0.4">
      <c r="A79" s="73" t="s">
        <v>422</v>
      </c>
      <c r="B79" s="73" t="s">
        <v>423</v>
      </c>
      <c r="C79" s="73">
        <v>57</v>
      </c>
      <c r="D79" s="78">
        <v>833910</v>
      </c>
      <c r="E79" s="15">
        <v>0.04</v>
      </c>
    </row>
    <row r="80" spans="1:5" x14ac:dyDescent="0.4">
      <c r="A80" s="73" t="s">
        <v>436</v>
      </c>
      <c r="B80" s="73" t="s">
        <v>437</v>
      </c>
      <c r="C80" s="78">
        <v>6</v>
      </c>
      <c r="D80" s="78">
        <v>810000</v>
      </c>
      <c r="E80" s="15">
        <v>0.04</v>
      </c>
    </row>
    <row r="81" spans="1:5" x14ac:dyDescent="0.4">
      <c r="A81" s="73" t="s">
        <v>21</v>
      </c>
      <c r="B81" s="73" t="s">
        <v>22</v>
      </c>
      <c r="C81" s="78">
        <v>6</v>
      </c>
      <c r="D81" s="78">
        <v>771600</v>
      </c>
      <c r="E81" s="15">
        <v>0.03</v>
      </c>
    </row>
    <row r="82" spans="1:5" x14ac:dyDescent="0.4">
      <c r="A82" s="73" t="s">
        <v>23</v>
      </c>
      <c r="B82" s="73" t="s">
        <v>24</v>
      </c>
      <c r="C82" s="73">
        <v>15</v>
      </c>
      <c r="D82" s="78">
        <v>745500</v>
      </c>
      <c r="E82" s="15">
        <v>0.03</v>
      </c>
    </row>
    <row r="83" spans="1:5" x14ac:dyDescent="0.4">
      <c r="A83" s="73" t="s">
        <v>25</v>
      </c>
      <c r="B83" s="73" t="s">
        <v>26</v>
      </c>
      <c r="C83" s="73">
        <v>6</v>
      </c>
      <c r="D83" s="78">
        <v>742200</v>
      </c>
      <c r="E83" s="15">
        <v>0.03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704340</v>
      </c>
      <c r="E84" s="15">
        <v>0.03</v>
      </c>
    </row>
    <row r="85" spans="1:5" x14ac:dyDescent="0.4">
      <c r="A85" s="73" t="s">
        <v>438</v>
      </c>
      <c r="B85" s="73" t="s">
        <v>439</v>
      </c>
      <c r="C85" s="73">
        <v>145</v>
      </c>
      <c r="D85" s="78">
        <v>645250</v>
      </c>
      <c r="E85" s="15">
        <v>0.03</v>
      </c>
    </row>
    <row r="86" spans="1:5" x14ac:dyDescent="0.4">
      <c r="A86" s="73" t="s">
        <v>440</v>
      </c>
      <c r="B86" s="73" t="s">
        <v>441</v>
      </c>
      <c r="C86" s="73">
        <v>37</v>
      </c>
      <c r="D86" s="78">
        <v>578310</v>
      </c>
      <c r="E86" s="15">
        <v>0.03</v>
      </c>
    </row>
    <row r="87" spans="1:5" x14ac:dyDescent="0.4">
      <c r="A87" s="73" t="s">
        <v>94</v>
      </c>
      <c r="B87" s="73" t="s">
        <v>95</v>
      </c>
      <c r="C87" s="73">
        <v>13</v>
      </c>
      <c r="D87" s="78">
        <v>492700</v>
      </c>
      <c r="E87" s="15">
        <v>0.02</v>
      </c>
    </row>
    <row r="88" spans="1:5" x14ac:dyDescent="0.4">
      <c r="A88" s="73" t="s">
        <v>399</v>
      </c>
      <c r="B88" s="73" t="s">
        <v>400</v>
      </c>
      <c r="C88" s="78">
        <v>11</v>
      </c>
      <c r="D88" s="78">
        <v>477400</v>
      </c>
      <c r="E88" s="15">
        <v>0.02</v>
      </c>
    </row>
    <row r="89" spans="1:5" x14ac:dyDescent="0.4">
      <c r="A89" s="73"/>
      <c r="B89" s="73" t="s">
        <v>10</v>
      </c>
      <c r="C89" s="78">
        <v>13277196</v>
      </c>
      <c r="D89" s="78">
        <v>13277196</v>
      </c>
      <c r="E89" s="15">
        <v>0.6</v>
      </c>
    </row>
    <row r="90" spans="1:5" x14ac:dyDescent="0.4">
      <c r="E90" s="73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442</v>
      </c>
      <c r="B8" s="6"/>
      <c r="C8" s="6"/>
      <c r="D8" s="6"/>
      <c r="E8" s="14"/>
    </row>
    <row r="9" spans="1:7" x14ac:dyDescent="0.4">
      <c r="A9" s="75" t="s">
        <v>655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110</v>
      </c>
      <c r="D11" s="76">
        <v>281600000</v>
      </c>
      <c r="E11" s="19">
        <v>9.69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850</v>
      </c>
      <c r="D12" s="76">
        <v>267325000</v>
      </c>
      <c r="E12" s="19">
        <v>9.1999999999999993</v>
      </c>
      <c r="F12" s="17"/>
      <c r="G12" s="17"/>
    </row>
    <row r="13" spans="1:7" x14ac:dyDescent="0.4">
      <c r="A13" s="73" t="s">
        <v>451</v>
      </c>
      <c r="B13" s="73" t="s">
        <v>452</v>
      </c>
      <c r="C13" s="78">
        <v>118</v>
      </c>
      <c r="D13" s="78">
        <v>260190000</v>
      </c>
      <c r="E13" s="15">
        <v>8.9499999999999993</v>
      </c>
    </row>
    <row r="14" spans="1:7" x14ac:dyDescent="0.4">
      <c r="A14" s="73" t="s">
        <v>291</v>
      </c>
      <c r="B14" s="73" t="s">
        <v>292</v>
      </c>
      <c r="C14" s="78">
        <v>7047</v>
      </c>
      <c r="D14" s="78">
        <v>254396700</v>
      </c>
      <c r="E14" s="15">
        <v>8.75</v>
      </c>
    </row>
    <row r="15" spans="1:7" x14ac:dyDescent="0.4">
      <c r="A15" s="73" t="s">
        <v>299</v>
      </c>
      <c r="B15" s="73" t="s">
        <v>300</v>
      </c>
      <c r="C15" s="77">
        <v>460</v>
      </c>
      <c r="D15" s="78">
        <v>225860000</v>
      </c>
      <c r="E15" s="15">
        <v>7.77</v>
      </c>
    </row>
    <row r="16" spans="1:7" x14ac:dyDescent="0.4">
      <c r="A16" s="73" t="s">
        <v>322</v>
      </c>
      <c r="B16" s="73" t="s">
        <v>323</v>
      </c>
      <c r="C16" s="77">
        <v>3868</v>
      </c>
      <c r="D16" s="78">
        <v>175607200</v>
      </c>
      <c r="E16" s="15">
        <v>6.04</v>
      </c>
    </row>
    <row r="17" spans="1:7" x14ac:dyDescent="0.4">
      <c r="A17" s="73" t="s">
        <v>311</v>
      </c>
      <c r="B17" s="74" t="s">
        <v>312</v>
      </c>
      <c r="C17" s="81">
        <v>1199</v>
      </c>
      <c r="D17" s="76">
        <v>121938300</v>
      </c>
      <c r="E17" s="19">
        <v>4.1900000000000004</v>
      </c>
      <c r="F17" s="17"/>
      <c r="G17" s="17"/>
    </row>
    <row r="18" spans="1:7" x14ac:dyDescent="0.4">
      <c r="A18" s="73" t="s">
        <v>162</v>
      </c>
      <c r="B18" s="73" t="s">
        <v>163</v>
      </c>
      <c r="C18" s="78">
        <v>1747</v>
      </c>
      <c r="D18" s="78">
        <v>98705500</v>
      </c>
      <c r="E18" s="15">
        <v>3.4</v>
      </c>
    </row>
    <row r="19" spans="1:7" x14ac:dyDescent="0.4">
      <c r="A19" s="73" t="s">
        <v>140</v>
      </c>
      <c r="B19" s="73" t="s">
        <v>141</v>
      </c>
      <c r="C19" s="78">
        <v>200</v>
      </c>
      <c r="D19" s="78">
        <v>97500000</v>
      </c>
      <c r="E19" s="15">
        <v>3.35</v>
      </c>
    </row>
    <row r="20" spans="1:7" x14ac:dyDescent="0.4">
      <c r="A20" s="73" t="s">
        <v>734</v>
      </c>
      <c r="B20" s="73" t="s">
        <v>735</v>
      </c>
      <c r="C20" s="78">
        <v>1000</v>
      </c>
      <c r="D20" s="78">
        <v>95700000</v>
      </c>
      <c r="E20" s="15">
        <v>3.29</v>
      </c>
    </row>
    <row r="21" spans="1:7" x14ac:dyDescent="0.4">
      <c r="A21" s="73" t="s">
        <v>376</v>
      </c>
      <c r="B21" s="73" t="s">
        <v>377</v>
      </c>
      <c r="C21" s="78">
        <v>5700</v>
      </c>
      <c r="D21" s="78">
        <v>92397000</v>
      </c>
      <c r="E21" s="15">
        <v>3.18</v>
      </c>
    </row>
    <row r="22" spans="1:7" x14ac:dyDescent="0.4">
      <c r="A22" s="73" t="s">
        <v>19</v>
      </c>
      <c r="B22" s="74" t="s">
        <v>20</v>
      </c>
      <c r="C22" s="76">
        <v>340</v>
      </c>
      <c r="D22" s="76">
        <v>89590000</v>
      </c>
      <c r="E22" s="19">
        <v>3.08</v>
      </c>
      <c r="F22" s="17"/>
      <c r="G22" s="17"/>
    </row>
    <row r="23" spans="1:7" x14ac:dyDescent="0.4">
      <c r="A23" s="73" t="s">
        <v>135</v>
      </c>
      <c r="B23" s="74" t="s">
        <v>136</v>
      </c>
      <c r="C23" s="81">
        <v>200</v>
      </c>
      <c r="D23" s="76">
        <v>86800000</v>
      </c>
      <c r="E23" s="19">
        <v>2.99</v>
      </c>
      <c r="F23" s="17"/>
      <c r="G23" s="17"/>
    </row>
    <row r="24" spans="1:7" x14ac:dyDescent="0.4">
      <c r="A24" s="73" t="s">
        <v>127</v>
      </c>
      <c r="B24" s="73" t="s">
        <v>128</v>
      </c>
      <c r="C24" s="77">
        <v>600</v>
      </c>
      <c r="D24" s="78">
        <v>84900000</v>
      </c>
      <c r="E24" s="15">
        <v>2.92</v>
      </c>
    </row>
    <row r="25" spans="1:7" x14ac:dyDescent="0.4">
      <c r="A25" s="73" t="s">
        <v>180</v>
      </c>
      <c r="B25" s="73" t="s">
        <v>181</v>
      </c>
      <c r="C25" s="78">
        <v>500</v>
      </c>
      <c r="D25" s="78">
        <v>82800000</v>
      </c>
      <c r="E25" s="15">
        <v>2.85</v>
      </c>
    </row>
    <row r="26" spans="1:7" x14ac:dyDescent="0.4">
      <c r="A26" s="73" t="s">
        <v>120</v>
      </c>
      <c r="B26" s="73" t="s">
        <v>121</v>
      </c>
      <c r="C26" s="78">
        <v>250</v>
      </c>
      <c r="D26" s="78">
        <v>78750000</v>
      </c>
      <c r="E26" s="15">
        <v>2.71</v>
      </c>
    </row>
    <row r="27" spans="1:7" x14ac:dyDescent="0.4">
      <c r="A27" s="73" t="s">
        <v>172</v>
      </c>
      <c r="B27" s="73" t="s">
        <v>173</v>
      </c>
      <c r="C27" s="78">
        <v>150</v>
      </c>
      <c r="D27" s="78">
        <v>74100000</v>
      </c>
      <c r="E27" s="15">
        <v>2.5499999999999998</v>
      </c>
    </row>
    <row r="28" spans="1:7" x14ac:dyDescent="0.4">
      <c r="A28" s="73" t="s">
        <v>303</v>
      </c>
      <c r="B28" s="73" t="s">
        <v>304</v>
      </c>
      <c r="C28" s="78">
        <v>95</v>
      </c>
      <c r="D28" s="78">
        <v>72485000</v>
      </c>
      <c r="E28" s="15">
        <v>2.4900000000000002</v>
      </c>
    </row>
    <row r="29" spans="1:7" x14ac:dyDescent="0.4">
      <c r="A29" s="73" t="s">
        <v>289</v>
      </c>
      <c r="B29" s="73" t="s">
        <v>290</v>
      </c>
      <c r="C29" s="78">
        <v>193</v>
      </c>
      <c r="D29" s="78">
        <v>69190500</v>
      </c>
      <c r="E29" s="15">
        <v>2.38</v>
      </c>
    </row>
    <row r="30" spans="1:7" x14ac:dyDescent="0.4">
      <c r="A30" s="73" t="s">
        <v>148</v>
      </c>
      <c r="B30" s="73" t="s">
        <v>149</v>
      </c>
      <c r="C30" s="78">
        <v>130</v>
      </c>
      <c r="D30" s="78">
        <v>51870000</v>
      </c>
      <c r="E30" s="15">
        <v>1.78</v>
      </c>
    </row>
    <row r="31" spans="1:7" x14ac:dyDescent="0.4">
      <c r="A31" s="73" t="s">
        <v>334</v>
      </c>
      <c r="B31" s="73" t="s">
        <v>335</v>
      </c>
      <c r="C31" s="78">
        <v>2166</v>
      </c>
      <c r="D31" s="78">
        <v>49168200</v>
      </c>
      <c r="E31" s="15">
        <v>1.69</v>
      </c>
    </row>
    <row r="32" spans="1:7" x14ac:dyDescent="0.4">
      <c r="A32" s="73" t="s">
        <v>297</v>
      </c>
      <c r="B32" s="73" t="s">
        <v>298</v>
      </c>
      <c r="C32" s="78">
        <v>400</v>
      </c>
      <c r="D32" s="78">
        <v>39200000</v>
      </c>
      <c r="E32" s="15">
        <v>1.35</v>
      </c>
    </row>
    <row r="33" spans="1:5" x14ac:dyDescent="0.4">
      <c r="A33" s="73" t="s">
        <v>386</v>
      </c>
      <c r="B33" s="73" t="s">
        <v>387</v>
      </c>
      <c r="C33" s="78">
        <v>647</v>
      </c>
      <c r="D33" s="78">
        <v>38496500</v>
      </c>
      <c r="E33" s="15">
        <v>1.32</v>
      </c>
    </row>
    <row r="34" spans="1:5" x14ac:dyDescent="0.4">
      <c r="A34" s="73" t="s">
        <v>242</v>
      </c>
      <c r="B34" s="73" t="s">
        <v>243</v>
      </c>
      <c r="C34" s="78">
        <v>169</v>
      </c>
      <c r="D34" s="78">
        <v>32667700</v>
      </c>
      <c r="E34" s="15">
        <v>1.1200000000000001</v>
      </c>
    </row>
    <row r="35" spans="1:5" x14ac:dyDescent="0.4">
      <c r="A35" s="73"/>
      <c r="B35" s="73" t="s">
        <v>10</v>
      </c>
      <c r="C35" s="78">
        <v>85648567</v>
      </c>
      <c r="D35" s="78">
        <v>85648567</v>
      </c>
      <c r="E35" s="15">
        <v>2.95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442</v>
      </c>
      <c r="B8" s="6"/>
      <c r="C8" s="6"/>
      <c r="D8" s="6"/>
      <c r="E8" s="14"/>
    </row>
    <row r="9" spans="1:5" x14ac:dyDescent="0.4">
      <c r="A9" s="75" t="s">
        <v>655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160</v>
      </c>
      <c r="D11" s="78">
        <v>442240000</v>
      </c>
      <c r="E11" s="15">
        <v>14.05</v>
      </c>
    </row>
    <row r="12" spans="1:5" x14ac:dyDescent="0.4">
      <c r="A12" s="73" t="s">
        <v>80</v>
      </c>
      <c r="B12" s="73" t="s">
        <v>81</v>
      </c>
      <c r="C12" s="77">
        <v>1000</v>
      </c>
      <c r="D12" s="78">
        <v>354000000</v>
      </c>
      <c r="E12" s="15">
        <v>11.24</v>
      </c>
    </row>
    <row r="13" spans="1:5" x14ac:dyDescent="0.4">
      <c r="A13" s="73" t="s">
        <v>291</v>
      </c>
      <c r="B13" s="73" t="s">
        <v>292</v>
      </c>
      <c r="C13" s="78">
        <v>7047</v>
      </c>
      <c r="D13" s="78">
        <v>268138350</v>
      </c>
      <c r="E13" s="15">
        <v>8.52</v>
      </c>
    </row>
    <row r="14" spans="1:5" x14ac:dyDescent="0.4">
      <c r="A14" s="73" t="s">
        <v>451</v>
      </c>
      <c r="B14" s="73" t="s">
        <v>452</v>
      </c>
      <c r="C14" s="78">
        <v>118</v>
      </c>
      <c r="D14" s="78">
        <v>267860000</v>
      </c>
      <c r="E14" s="15">
        <v>8.51</v>
      </c>
    </row>
    <row r="15" spans="1:5" x14ac:dyDescent="0.4">
      <c r="A15" s="73" t="s">
        <v>299</v>
      </c>
      <c r="B15" s="73" t="s">
        <v>300</v>
      </c>
      <c r="C15" s="77">
        <v>389</v>
      </c>
      <c r="D15" s="78">
        <v>215895000</v>
      </c>
      <c r="E15" s="15">
        <v>6.86</v>
      </c>
    </row>
    <row r="16" spans="1:5" x14ac:dyDescent="0.4">
      <c r="A16" s="73" t="s">
        <v>140</v>
      </c>
      <c r="B16" s="73" t="s">
        <v>141</v>
      </c>
      <c r="C16" s="77">
        <v>293</v>
      </c>
      <c r="D16" s="78">
        <v>179609000</v>
      </c>
      <c r="E16" s="15">
        <v>5.71</v>
      </c>
    </row>
    <row r="17" spans="1:5" x14ac:dyDescent="0.4">
      <c r="A17" s="73" t="s">
        <v>322</v>
      </c>
      <c r="B17" s="73" t="s">
        <v>323</v>
      </c>
      <c r="C17" s="77">
        <v>3700</v>
      </c>
      <c r="D17" s="78">
        <v>157065000</v>
      </c>
      <c r="E17" s="15">
        <v>4.99</v>
      </c>
    </row>
    <row r="18" spans="1:5" x14ac:dyDescent="0.4">
      <c r="A18" s="73" t="s">
        <v>311</v>
      </c>
      <c r="B18" s="73" t="s">
        <v>312</v>
      </c>
      <c r="C18" s="78">
        <v>1199</v>
      </c>
      <c r="D18" s="78">
        <v>138124800</v>
      </c>
      <c r="E18" s="15">
        <v>4.3899999999999997</v>
      </c>
    </row>
    <row r="19" spans="1:5" x14ac:dyDescent="0.4">
      <c r="A19" s="73" t="s">
        <v>376</v>
      </c>
      <c r="B19" s="73" t="s">
        <v>377</v>
      </c>
      <c r="C19" s="78">
        <v>7000</v>
      </c>
      <c r="D19" s="78">
        <v>113750000</v>
      </c>
      <c r="E19" s="15">
        <v>3.61</v>
      </c>
    </row>
    <row r="20" spans="1:5" x14ac:dyDescent="0.4">
      <c r="A20" s="73" t="s">
        <v>734</v>
      </c>
      <c r="B20" s="73" t="s">
        <v>735</v>
      </c>
      <c r="C20" s="78">
        <v>1000</v>
      </c>
      <c r="D20" s="78">
        <v>111600000</v>
      </c>
      <c r="E20" s="15">
        <v>3.54</v>
      </c>
    </row>
    <row r="21" spans="1:5" x14ac:dyDescent="0.4">
      <c r="A21" s="73" t="s">
        <v>162</v>
      </c>
      <c r="B21" s="73" t="s">
        <v>163</v>
      </c>
      <c r="C21" s="78">
        <v>1747</v>
      </c>
      <c r="D21" s="78">
        <v>105344100</v>
      </c>
      <c r="E21" s="15">
        <v>3.35</v>
      </c>
    </row>
    <row r="22" spans="1:5" x14ac:dyDescent="0.4">
      <c r="A22" s="73" t="s">
        <v>135</v>
      </c>
      <c r="B22" s="73" t="s">
        <v>136</v>
      </c>
      <c r="C22" s="78">
        <v>200</v>
      </c>
      <c r="D22" s="78">
        <v>98300000</v>
      </c>
      <c r="E22" s="15">
        <v>3.12</v>
      </c>
    </row>
    <row r="23" spans="1:5" x14ac:dyDescent="0.4">
      <c r="A23" s="73" t="s">
        <v>127</v>
      </c>
      <c r="B23" s="73" t="s">
        <v>128</v>
      </c>
      <c r="C23" s="77">
        <v>600</v>
      </c>
      <c r="D23" s="78">
        <v>92940000</v>
      </c>
      <c r="E23" s="15">
        <v>2.95</v>
      </c>
    </row>
    <row r="24" spans="1:5" x14ac:dyDescent="0.4">
      <c r="A24" s="73" t="s">
        <v>172</v>
      </c>
      <c r="B24" s="73" t="s">
        <v>173</v>
      </c>
      <c r="C24" s="77">
        <v>150</v>
      </c>
      <c r="D24" s="78">
        <v>91800000</v>
      </c>
      <c r="E24" s="15">
        <v>2.92</v>
      </c>
    </row>
    <row r="25" spans="1:5" x14ac:dyDescent="0.4">
      <c r="A25" s="73" t="s">
        <v>19</v>
      </c>
      <c r="B25" s="73" t="s">
        <v>20</v>
      </c>
      <c r="C25" s="78">
        <v>340</v>
      </c>
      <c r="D25" s="78">
        <v>88060000</v>
      </c>
      <c r="E25" s="15">
        <v>2.8</v>
      </c>
    </row>
    <row r="26" spans="1:5" x14ac:dyDescent="0.4">
      <c r="A26" s="73" t="s">
        <v>289</v>
      </c>
      <c r="B26" s="73" t="s">
        <v>290</v>
      </c>
      <c r="C26" s="78">
        <v>193</v>
      </c>
      <c r="D26" s="78">
        <v>80867000</v>
      </c>
      <c r="E26" s="15">
        <v>2.57</v>
      </c>
    </row>
    <row r="27" spans="1:5" x14ac:dyDescent="0.4">
      <c r="A27" s="73" t="s">
        <v>303</v>
      </c>
      <c r="B27" s="73" t="s">
        <v>304</v>
      </c>
      <c r="C27" s="78">
        <v>95</v>
      </c>
      <c r="D27" s="78">
        <v>68780000</v>
      </c>
      <c r="E27" s="15">
        <v>2.1800000000000002</v>
      </c>
    </row>
    <row r="28" spans="1:5" x14ac:dyDescent="0.4">
      <c r="A28" s="73" t="s">
        <v>334</v>
      </c>
      <c r="B28" s="73" t="s">
        <v>335</v>
      </c>
      <c r="C28" s="78">
        <v>2166</v>
      </c>
      <c r="D28" s="78">
        <v>59348400</v>
      </c>
      <c r="E28" s="15">
        <v>1.89</v>
      </c>
    </row>
    <row r="29" spans="1:5" x14ac:dyDescent="0.4">
      <c r="A29" s="73" t="s">
        <v>148</v>
      </c>
      <c r="B29" s="73" t="s">
        <v>149</v>
      </c>
      <c r="C29" s="78">
        <v>130</v>
      </c>
      <c r="D29" s="78">
        <v>53300000</v>
      </c>
      <c r="E29" s="15">
        <v>1.69</v>
      </c>
    </row>
    <row r="30" spans="1:5" x14ac:dyDescent="0.4">
      <c r="A30" s="73" t="s">
        <v>386</v>
      </c>
      <c r="B30" s="73" t="s">
        <v>387</v>
      </c>
      <c r="C30" s="78">
        <v>647</v>
      </c>
      <c r="D30" s="78">
        <v>42055000</v>
      </c>
      <c r="E30" s="15">
        <v>1.34</v>
      </c>
    </row>
    <row r="31" spans="1:5" x14ac:dyDescent="0.4">
      <c r="A31" s="73" t="s">
        <v>297</v>
      </c>
      <c r="B31" s="73" t="s">
        <v>298</v>
      </c>
      <c r="C31" s="78">
        <v>400</v>
      </c>
      <c r="D31" s="78">
        <v>40960000</v>
      </c>
      <c r="E31" s="15">
        <v>1.3</v>
      </c>
    </row>
    <row r="32" spans="1:5" x14ac:dyDescent="0.4">
      <c r="A32" s="73" t="s">
        <v>120</v>
      </c>
      <c r="B32" s="73" t="s">
        <v>121</v>
      </c>
      <c r="C32" s="78">
        <v>92</v>
      </c>
      <c r="D32" s="78">
        <v>32798000</v>
      </c>
      <c r="E32" s="15">
        <v>1.04</v>
      </c>
    </row>
    <row r="33" spans="1:5" x14ac:dyDescent="0.4">
      <c r="A33" s="73" t="s">
        <v>242</v>
      </c>
      <c r="B33" s="73" t="s">
        <v>243</v>
      </c>
      <c r="C33" s="78">
        <v>19</v>
      </c>
      <c r="D33" s="78">
        <v>4018500</v>
      </c>
      <c r="E33" s="15">
        <v>0.13</v>
      </c>
    </row>
    <row r="34" spans="1:5" x14ac:dyDescent="0.4">
      <c r="A34" s="73"/>
      <c r="B34" s="73" t="s">
        <v>10</v>
      </c>
      <c r="C34" s="78">
        <v>41299456</v>
      </c>
      <c r="D34" s="78">
        <v>41299456</v>
      </c>
      <c r="E34" s="15">
        <v>1.31</v>
      </c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5" t="s">
        <v>524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41</v>
      </c>
      <c r="D11" s="76">
        <v>20131000</v>
      </c>
      <c r="E11" s="19">
        <v>14.22</v>
      </c>
      <c r="F11" s="17"/>
      <c r="G11" s="17"/>
    </row>
    <row r="12" spans="1:7" x14ac:dyDescent="0.4">
      <c r="A12" s="73" t="s">
        <v>287</v>
      </c>
      <c r="B12" s="74" t="s">
        <v>288</v>
      </c>
      <c r="C12" s="76">
        <v>40</v>
      </c>
      <c r="D12" s="76">
        <v>13920000</v>
      </c>
      <c r="E12" s="19">
        <v>9.83</v>
      </c>
      <c r="F12" s="17"/>
      <c r="G12" s="17"/>
    </row>
    <row r="13" spans="1:7" x14ac:dyDescent="0.4">
      <c r="A13" s="73" t="s">
        <v>120</v>
      </c>
      <c r="B13" s="74" t="s">
        <v>121</v>
      </c>
      <c r="C13" s="76">
        <v>44</v>
      </c>
      <c r="D13" s="76">
        <v>13860000</v>
      </c>
      <c r="E13" s="19">
        <v>9.7899999999999991</v>
      </c>
      <c r="F13" s="17"/>
      <c r="G13" s="17"/>
    </row>
    <row r="14" spans="1:7" x14ac:dyDescent="0.4">
      <c r="A14" s="73" t="s">
        <v>326</v>
      </c>
      <c r="B14" s="74" t="s">
        <v>327</v>
      </c>
      <c r="C14" s="76">
        <v>107</v>
      </c>
      <c r="D14" s="76">
        <v>11770000</v>
      </c>
      <c r="E14" s="19">
        <v>8.31</v>
      </c>
      <c r="F14" s="17"/>
      <c r="G14" s="17"/>
    </row>
    <row r="15" spans="1:7" x14ac:dyDescent="0.4">
      <c r="A15" s="73" t="s">
        <v>307</v>
      </c>
      <c r="B15" s="74" t="s">
        <v>308</v>
      </c>
      <c r="C15" s="74">
        <v>66</v>
      </c>
      <c r="D15" s="76">
        <v>11233200</v>
      </c>
      <c r="E15" s="19">
        <v>7.94</v>
      </c>
      <c r="F15" s="17"/>
      <c r="G15" s="17"/>
    </row>
    <row r="16" spans="1:7" x14ac:dyDescent="0.4">
      <c r="A16" s="73" t="s">
        <v>734</v>
      </c>
      <c r="B16" s="74" t="s">
        <v>735</v>
      </c>
      <c r="C16" s="76">
        <v>107</v>
      </c>
      <c r="D16" s="76">
        <v>10239900</v>
      </c>
      <c r="E16" s="19">
        <v>7.23</v>
      </c>
      <c r="F16" s="17"/>
      <c r="G16" s="17"/>
    </row>
    <row r="17" spans="1:7" x14ac:dyDescent="0.4">
      <c r="A17" s="73" t="s">
        <v>353</v>
      </c>
      <c r="B17" s="73" t="s">
        <v>354</v>
      </c>
      <c r="C17" s="78">
        <v>76</v>
      </c>
      <c r="D17" s="78">
        <v>10085200</v>
      </c>
      <c r="E17" s="15">
        <v>7.12</v>
      </c>
    </row>
    <row r="18" spans="1:7" x14ac:dyDescent="0.4">
      <c r="A18" s="73" t="s">
        <v>397</v>
      </c>
      <c r="B18" s="74" t="s">
        <v>398</v>
      </c>
      <c r="C18" s="76">
        <v>99</v>
      </c>
      <c r="D18" s="76">
        <v>9207000</v>
      </c>
      <c r="E18" s="19">
        <v>6.5</v>
      </c>
      <c r="F18" s="17"/>
      <c r="G18" s="17"/>
    </row>
    <row r="19" spans="1:7" x14ac:dyDescent="0.4">
      <c r="A19" s="73" t="s">
        <v>388</v>
      </c>
      <c r="B19" s="73" t="s">
        <v>389</v>
      </c>
      <c r="C19" s="77">
        <v>200</v>
      </c>
      <c r="D19" s="78">
        <v>8740000</v>
      </c>
      <c r="E19" s="15">
        <v>6.17</v>
      </c>
    </row>
    <row r="20" spans="1:7" x14ac:dyDescent="0.4">
      <c r="A20" s="73" t="s">
        <v>148</v>
      </c>
      <c r="B20" s="73" t="s">
        <v>149</v>
      </c>
      <c r="C20" s="77">
        <v>18</v>
      </c>
      <c r="D20" s="78">
        <v>7182000</v>
      </c>
      <c r="E20" s="15">
        <v>5.07</v>
      </c>
    </row>
    <row r="21" spans="1:7" x14ac:dyDescent="0.4">
      <c r="A21" s="73" t="s">
        <v>318</v>
      </c>
      <c r="B21" s="73" t="s">
        <v>319</v>
      </c>
      <c r="C21" s="78">
        <v>66</v>
      </c>
      <c r="D21" s="78">
        <v>6910200</v>
      </c>
      <c r="E21" s="15">
        <v>4.88</v>
      </c>
    </row>
    <row r="22" spans="1:7" x14ac:dyDescent="0.4">
      <c r="A22" s="73" t="s">
        <v>332</v>
      </c>
      <c r="B22" s="73" t="s">
        <v>333</v>
      </c>
      <c r="C22" s="77">
        <v>123</v>
      </c>
      <c r="D22" s="78">
        <v>5153700</v>
      </c>
      <c r="E22" s="15">
        <v>3.64</v>
      </c>
    </row>
    <row r="23" spans="1:7" x14ac:dyDescent="0.4">
      <c r="A23" s="73" t="s">
        <v>359</v>
      </c>
      <c r="B23" s="73" t="s">
        <v>360</v>
      </c>
      <c r="C23" s="77">
        <v>13</v>
      </c>
      <c r="D23" s="78">
        <v>4400500</v>
      </c>
      <c r="E23" s="15">
        <v>3.11</v>
      </c>
    </row>
    <row r="24" spans="1:7" x14ac:dyDescent="0.4">
      <c r="A24" s="73" t="s">
        <v>668</v>
      </c>
      <c r="B24" s="73" t="s">
        <v>669</v>
      </c>
      <c r="C24" s="77">
        <v>159</v>
      </c>
      <c r="D24" s="78">
        <v>2273700</v>
      </c>
      <c r="E24" s="15">
        <v>1.61</v>
      </c>
    </row>
    <row r="25" spans="1:7" x14ac:dyDescent="0.4">
      <c r="A25" s="73" t="s">
        <v>152</v>
      </c>
      <c r="B25" s="73" t="s">
        <v>153</v>
      </c>
      <c r="C25" s="78">
        <v>6</v>
      </c>
      <c r="D25" s="78">
        <v>1824000</v>
      </c>
      <c r="E25" s="15">
        <v>1.29</v>
      </c>
    </row>
    <row r="26" spans="1:7" x14ac:dyDescent="0.4">
      <c r="A26" s="73" t="s">
        <v>4658</v>
      </c>
      <c r="B26" s="73" t="s">
        <v>4659</v>
      </c>
      <c r="C26" s="78">
        <v>43</v>
      </c>
      <c r="D26" s="78">
        <v>1786650</v>
      </c>
      <c r="E26" s="15">
        <v>1.26</v>
      </c>
    </row>
    <row r="27" spans="1:7" x14ac:dyDescent="0.4">
      <c r="A27" s="73" t="s">
        <v>401</v>
      </c>
      <c r="B27" s="73" t="s">
        <v>402</v>
      </c>
      <c r="C27" s="78">
        <v>31</v>
      </c>
      <c r="D27" s="78">
        <v>1165600</v>
      </c>
      <c r="E27" s="15">
        <v>0.82</v>
      </c>
    </row>
    <row r="28" spans="1:7" x14ac:dyDescent="0.4">
      <c r="A28" s="73" t="s">
        <v>297</v>
      </c>
      <c r="B28" s="73" t="s">
        <v>298</v>
      </c>
      <c r="C28" s="78">
        <v>7</v>
      </c>
      <c r="D28" s="78">
        <v>686000</v>
      </c>
      <c r="E28" s="15">
        <v>0.48</v>
      </c>
    </row>
    <row r="29" spans="1:7" x14ac:dyDescent="0.4">
      <c r="A29" s="73"/>
      <c r="B29" s="73" t="s">
        <v>10</v>
      </c>
      <c r="C29" s="78">
        <v>987966</v>
      </c>
      <c r="D29" s="78">
        <v>987966</v>
      </c>
      <c r="E29" s="15">
        <v>0.7</v>
      </c>
    </row>
    <row r="30" spans="1:7" x14ac:dyDescent="0.4">
      <c r="C30" s="31"/>
      <c r="D30" s="13"/>
      <c r="E30" s="73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5" t="s">
        <v>524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41</v>
      </c>
      <c r="D11" s="78">
        <v>22755000</v>
      </c>
      <c r="E11" s="15">
        <v>13.93</v>
      </c>
    </row>
    <row r="12" spans="1:5" x14ac:dyDescent="0.4">
      <c r="A12" s="73" t="s">
        <v>287</v>
      </c>
      <c r="B12" s="73" t="s">
        <v>288</v>
      </c>
      <c r="C12" s="77">
        <v>40</v>
      </c>
      <c r="D12" s="78">
        <v>16180000</v>
      </c>
      <c r="E12" s="15">
        <v>9.91</v>
      </c>
    </row>
    <row r="13" spans="1:5" x14ac:dyDescent="0.4">
      <c r="A13" s="73" t="s">
        <v>120</v>
      </c>
      <c r="B13" s="73" t="s">
        <v>121</v>
      </c>
      <c r="C13" s="73">
        <v>44</v>
      </c>
      <c r="D13" s="78">
        <v>15686000</v>
      </c>
      <c r="E13" s="15">
        <v>9.6</v>
      </c>
    </row>
    <row r="14" spans="1:5" x14ac:dyDescent="0.4">
      <c r="A14" s="73" t="s">
        <v>326</v>
      </c>
      <c r="B14" s="73" t="s">
        <v>327</v>
      </c>
      <c r="C14" s="73">
        <v>107</v>
      </c>
      <c r="D14" s="78">
        <v>13760200</v>
      </c>
      <c r="E14" s="15">
        <v>8.42</v>
      </c>
    </row>
    <row r="15" spans="1:5" x14ac:dyDescent="0.4">
      <c r="A15" s="73" t="s">
        <v>307</v>
      </c>
      <c r="B15" s="73" t="s">
        <v>308</v>
      </c>
      <c r="C15" s="77">
        <v>66</v>
      </c>
      <c r="D15" s="78">
        <v>13167000</v>
      </c>
      <c r="E15" s="15">
        <v>8.06</v>
      </c>
    </row>
    <row r="16" spans="1:5" x14ac:dyDescent="0.4">
      <c r="A16" s="73" t="s">
        <v>353</v>
      </c>
      <c r="B16" s="73" t="s">
        <v>354</v>
      </c>
      <c r="C16" s="77">
        <v>76</v>
      </c>
      <c r="D16" s="78">
        <v>12874400</v>
      </c>
      <c r="E16" s="15">
        <v>7.88</v>
      </c>
    </row>
    <row r="17" spans="1:5" x14ac:dyDescent="0.4">
      <c r="A17" s="73" t="s">
        <v>734</v>
      </c>
      <c r="B17" s="73" t="s">
        <v>735</v>
      </c>
      <c r="C17" s="77">
        <v>107</v>
      </c>
      <c r="D17" s="78">
        <v>11941200</v>
      </c>
      <c r="E17" s="15">
        <v>7.31</v>
      </c>
    </row>
    <row r="18" spans="1:5" x14ac:dyDescent="0.4">
      <c r="A18" s="73" t="s">
        <v>397</v>
      </c>
      <c r="B18" s="73" t="s">
        <v>398</v>
      </c>
      <c r="C18" s="78">
        <v>99</v>
      </c>
      <c r="D18" s="78">
        <v>11484000</v>
      </c>
      <c r="E18" s="15">
        <v>7.03</v>
      </c>
    </row>
    <row r="19" spans="1:5" x14ac:dyDescent="0.4">
      <c r="A19" s="73" t="s">
        <v>388</v>
      </c>
      <c r="B19" s="73" t="s">
        <v>389</v>
      </c>
      <c r="C19" s="78">
        <v>200</v>
      </c>
      <c r="D19" s="78">
        <v>9840000</v>
      </c>
      <c r="E19" s="15">
        <v>6.02</v>
      </c>
    </row>
    <row r="20" spans="1:5" x14ac:dyDescent="0.4">
      <c r="A20" s="73" t="s">
        <v>318</v>
      </c>
      <c r="B20" s="73" t="s">
        <v>319</v>
      </c>
      <c r="C20" s="73">
        <v>66</v>
      </c>
      <c r="D20" s="78">
        <v>7893600</v>
      </c>
      <c r="E20" s="15">
        <v>4.83</v>
      </c>
    </row>
    <row r="21" spans="1:5" x14ac:dyDescent="0.4">
      <c r="A21" s="73" t="s">
        <v>332</v>
      </c>
      <c r="B21" s="73" t="s">
        <v>333</v>
      </c>
      <c r="C21" s="78">
        <v>123</v>
      </c>
      <c r="D21" s="78">
        <v>6531300</v>
      </c>
      <c r="E21" s="15">
        <v>4</v>
      </c>
    </row>
    <row r="22" spans="1:5" x14ac:dyDescent="0.4">
      <c r="A22" s="73" t="s">
        <v>148</v>
      </c>
      <c r="B22" s="73" t="s">
        <v>149</v>
      </c>
      <c r="C22" s="78">
        <v>12</v>
      </c>
      <c r="D22" s="78">
        <v>4920000</v>
      </c>
      <c r="E22" s="15">
        <v>3.01</v>
      </c>
    </row>
    <row r="23" spans="1:5" x14ac:dyDescent="0.4">
      <c r="A23" s="73" t="s">
        <v>359</v>
      </c>
      <c r="B23" s="73" t="s">
        <v>360</v>
      </c>
      <c r="C23" s="77">
        <v>13</v>
      </c>
      <c r="D23" s="78">
        <v>4758000</v>
      </c>
      <c r="E23" s="15">
        <v>2.91</v>
      </c>
    </row>
    <row r="24" spans="1:5" x14ac:dyDescent="0.4">
      <c r="A24" s="73" t="s">
        <v>297</v>
      </c>
      <c r="B24" s="73" t="s">
        <v>298</v>
      </c>
      <c r="C24" s="77">
        <v>38</v>
      </c>
      <c r="D24" s="78">
        <v>3891200</v>
      </c>
      <c r="E24" s="15">
        <v>2.38</v>
      </c>
    </row>
    <row r="25" spans="1:5" x14ac:dyDescent="0.4">
      <c r="A25" s="73" t="s">
        <v>668</v>
      </c>
      <c r="B25" s="73" t="s">
        <v>669</v>
      </c>
      <c r="C25" s="78">
        <v>159</v>
      </c>
      <c r="D25" s="78">
        <v>2545590</v>
      </c>
      <c r="E25" s="15">
        <v>1.56</v>
      </c>
    </row>
    <row r="26" spans="1:5" x14ac:dyDescent="0.4">
      <c r="A26" s="73" t="s">
        <v>4658</v>
      </c>
      <c r="B26" s="73" t="s">
        <v>4659</v>
      </c>
      <c r="C26" s="78">
        <v>43</v>
      </c>
      <c r="D26" s="78">
        <v>2128500</v>
      </c>
      <c r="E26" s="15">
        <v>1.3</v>
      </c>
    </row>
    <row r="27" spans="1:5" x14ac:dyDescent="0.4">
      <c r="A27" s="73" t="s">
        <v>152</v>
      </c>
      <c r="B27" s="73" t="s">
        <v>153</v>
      </c>
      <c r="C27" s="78">
        <v>6</v>
      </c>
      <c r="D27" s="78">
        <v>1683000</v>
      </c>
      <c r="E27" s="15">
        <v>1.03</v>
      </c>
    </row>
    <row r="28" spans="1:5" x14ac:dyDescent="0.4">
      <c r="A28" s="73" t="s">
        <v>401</v>
      </c>
      <c r="B28" s="73" t="s">
        <v>402</v>
      </c>
      <c r="C28" s="78">
        <v>31</v>
      </c>
      <c r="D28" s="78">
        <v>1232250</v>
      </c>
      <c r="E28" s="15">
        <v>0.75</v>
      </c>
    </row>
    <row r="29" spans="1:5" x14ac:dyDescent="0.4">
      <c r="A29" s="73"/>
      <c r="B29" s="73" t="s">
        <v>10</v>
      </c>
      <c r="C29" s="78">
        <v>76865</v>
      </c>
      <c r="D29" s="78">
        <v>76865</v>
      </c>
      <c r="E29" s="15">
        <v>0.05</v>
      </c>
    </row>
    <row r="30" spans="1:5" x14ac:dyDescent="0.4">
      <c r="C30" s="13"/>
      <c r="D30" s="13"/>
      <c r="E30" s="73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5" t="s">
        <v>656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270</v>
      </c>
      <c r="D11" s="76">
        <v>132570000</v>
      </c>
      <c r="E11" s="19">
        <v>10.16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350</v>
      </c>
      <c r="D12" s="78">
        <v>125300000</v>
      </c>
      <c r="E12" s="15">
        <v>9.6</v>
      </c>
    </row>
    <row r="13" spans="1:7" x14ac:dyDescent="0.4">
      <c r="A13" s="73" t="s">
        <v>13</v>
      </c>
      <c r="B13" s="73" t="s">
        <v>14</v>
      </c>
      <c r="C13" s="78">
        <v>45</v>
      </c>
      <c r="D13" s="78">
        <v>115200000</v>
      </c>
      <c r="E13" s="15">
        <v>8.83</v>
      </c>
    </row>
    <row r="14" spans="1:7" x14ac:dyDescent="0.4">
      <c r="A14" s="73" t="s">
        <v>287</v>
      </c>
      <c r="B14" s="74" t="s">
        <v>288</v>
      </c>
      <c r="C14" s="76">
        <v>307</v>
      </c>
      <c r="D14" s="76">
        <v>106836000</v>
      </c>
      <c r="E14" s="19">
        <v>8.19</v>
      </c>
      <c r="F14" s="17"/>
      <c r="G14" s="17"/>
    </row>
    <row r="15" spans="1:7" x14ac:dyDescent="0.4">
      <c r="A15" s="73" t="s">
        <v>120</v>
      </c>
      <c r="B15" s="74" t="s">
        <v>121</v>
      </c>
      <c r="C15" s="77">
        <v>299</v>
      </c>
      <c r="D15" s="78">
        <v>94185000</v>
      </c>
      <c r="E15" s="15">
        <v>7.22</v>
      </c>
    </row>
    <row r="16" spans="1:7" x14ac:dyDescent="0.4">
      <c r="A16" s="73" t="s">
        <v>486</v>
      </c>
      <c r="B16" s="73" t="s">
        <v>487</v>
      </c>
      <c r="C16" s="77">
        <v>500</v>
      </c>
      <c r="D16" s="78">
        <v>78650000</v>
      </c>
      <c r="E16" s="15">
        <v>6.03</v>
      </c>
    </row>
    <row r="17" spans="1:7" x14ac:dyDescent="0.4">
      <c r="A17" s="73" t="s">
        <v>98</v>
      </c>
      <c r="B17" s="74" t="s">
        <v>99</v>
      </c>
      <c r="C17" s="77">
        <v>379</v>
      </c>
      <c r="D17" s="78">
        <v>74814600</v>
      </c>
      <c r="E17" s="15">
        <v>5.73</v>
      </c>
    </row>
    <row r="18" spans="1:7" x14ac:dyDescent="0.4">
      <c r="A18" s="73" t="s">
        <v>451</v>
      </c>
      <c r="B18" s="73" t="s">
        <v>452</v>
      </c>
      <c r="C18" s="78">
        <v>30</v>
      </c>
      <c r="D18" s="78">
        <v>66150000</v>
      </c>
      <c r="E18" s="15">
        <v>5.07</v>
      </c>
    </row>
    <row r="19" spans="1:7" x14ac:dyDescent="0.4">
      <c r="A19" s="73" t="s">
        <v>80</v>
      </c>
      <c r="B19" s="74" t="s">
        <v>81</v>
      </c>
      <c r="C19" s="76">
        <v>199</v>
      </c>
      <c r="D19" s="76">
        <v>62585500</v>
      </c>
      <c r="E19" s="19">
        <v>4.8</v>
      </c>
      <c r="F19" s="17"/>
      <c r="G19" s="17"/>
    </row>
    <row r="20" spans="1:7" x14ac:dyDescent="0.4">
      <c r="A20" s="73" t="s">
        <v>640</v>
      </c>
      <c r="B20" s="73" t="s">
        <v>641</v>
      </c>
      <c r="C20" s="78">
        <v>280</v>
      </c>
      <c r="D20" s="78">
        <v>52976000</v>
      </c>
      <c r="E20" s="15">
        <v>4.0599999999999996</v>
      </c>
    </row>
    <row r="21" spans="1:7" x14ac:dyDescent="0.4">
      <c r="A21" s="73" t="s">
        <v>967</v>
      </c>
      <c r="B21" s="73" t="s">
        <v>968</v>
      </c>
      <c r="C21" s="78">
        <v>300</v>
      </c>
      <c r="D21" s="78">
        <v>46650000</v>
      </c>
      <c r="E21" s="15">
        <v>3.58</v>
      </c>
    </row>
    <row r="22" spans="1:7" x14ac:dyDescent="0.4">
      <c r="A22" s="73" t="s">
        <v>313</v>
      </c>
      <c r="B22" s="73" t="s">
        <v>5165</v>
      </c>
      <c r="C22" s="78">
        <v>150</v>
      </c>
      <c r="D22" s="78">
        <v>38325000</v>
      </c>
      <c r="E22" s="15">
        <v>2.94</v>
      </c>
    </row>
    <row r="23" spans="1:7" x14ac:dyDescent="0.4">
      <c r="A23" s="73" t="s">
        <v>146</v>
      </c>
      <c r="B23" s="73" t="s">
        <v>147</v>
      </c>
      <c r="C23" s="77">
        <v>150</v>
      </c>
      <c r="D23" s="78">
        <v>36750000</v>
      </c>
      <c r="E23" s="15">
        <v>2.82</v>
      </c>
    </row>
    <row r="24" spans="1:7" x14ac:dyDescent="0.4">
      <c r="A24" s="73" t="s">
        <v>756</v>
      </c>
      <c r="B24" s="73" t="s">
        <v>757</v>
      </c>
      <c r="C24" s="77">
        <v>330</v>
      </c>
      <c r="D24" s="78">
        <v>34089000</v>
      </c>
      <c r="E24" s="15">
        <v>2.61</v>
      </c>
    </row>
    <row r="25" spans="1:7" x14ac:dyDescent="0.4">
      <c r="A25" s="73" t="s">
        <v>491</v>
      </c>
      <c r="B25" s="73" t="s">
        <v>492</v>
      </c>
      <c r="C25" s="78">
        <v>130</v>
      </c>
      <c r="D25" s="78">
        <v>31460000</v>
      </c>
      <c r="E25" s="15">
        <v>2.41</v>
      </c>
    </row>
    <row r="26" spans="1:7" x14ac:dyDescent="0.4">
      <c r="A26" s="73" t="s">
        <v>432</v>
      </c>
      <c r="B26" s="73" t="s">
        <v>433</v>
      </c>
      <c r="C26" s="78">
        <v>550</v>
      </c>
      <c r="D26" s="78">
        <v>31020000</v>
      </c>
      <c r="E26" s="15">
        <v>2.38</v>
      </c>
    </row>
    <row r="27" spans="1:7" x14ac:dyDescent="0.4">
      <c r="A27" s="73" t="s">
        <v>2505</v>
      </c>
      <c r="B27" s="73" t="s">
        <v>5211</v>
      </c>
      <c r="C27" s="78">
        <v>1099</v>
      </c>
      <c r="D27" s="78">
        <v>25826500</v>
      </c>
      <c r="E27" s="15">
        <v>1.98</v>
      </c>
    </row>
    <row r="28" spans="1:7" x14ac:dyDescent="0.4">
      <c r="A28" s="73" t="s">
        <v>473</v>
      </c>
      <c r="B28" s="74" t="s">
        <v>474</v>
      </c>
      <c r="C28" s="76">
        <v>500</v>
      </c>
      <c r="D28" s="76">
        <v>25650000</v>
      </c>
      <c r="E28" s="19">
        <v>1.97</v>
      </c>
      <c r="F28" s="17"/>
      <c r="G28" s="17"/>
    </row>
    <row r="29" spans="1:7" x14ac:dyDescent="0.4">
      <c r="A29" s="73" t="s">
        <v>764</v>
      </c>
      <c r="B29" s="73" t="s">
        <v>765</v>
      </c>
      <c r="C29" s="78">
        <v>249</v>
      </c>
      <c r="D29" s="78">
        <v>22434900</v>
      </c>
      <c r="E29" s="15">
        <v>1.72</v>
      </c>
    </row>
    <row r="30" spans="1:7" x14ac:dyDescent="0.4">
      <c r="A30" s="73" t="s">
        <v>3400</v>
      </c>
      <c r="B30" s="73" t="s">
        <v>3401</v>
      </c>
      <c r="C30" s="78">
        <v>500</v>
      </c>
      <c r="D30" s="78">
        <v>19625000</v>
      </c>
      <c r="E30" s="15">
        <v>1.5</v>
      </c>
    </row>
    <row r="31" spans="1:7" x14ac:dyDescent="0.4">
      <c r="A31" s="73" t="s">
        <v>449</v>
      </c>
      <c r="B31" s="73" t="s">
        <v>450</v>
      </c>
      <c r="C31" s="78">
        <v>20</v>
      </c>
      <c r="D31" s="78">
        <v>18140000</v>
      </c>
      <c r="E31" s="15">
        <v>1.39</v>
      </c>
    </row>
    <row r="32" spans="1:7" x14ac:dyDescent="0.4">
      <c r="A32" s="73" t="s">
        <v>718</v>
      </c>
      <c r="B32" s="73" t="s">
        <v>719</v>
      </c>
      <c r="C32" s="78">
        <v>199</v>
      </c>
      <c r="D32" s="78">
        <v>16437400</v>
      </c>
      <c r="E32" s="15">
        <v>1.26</v>
      </c>
    </row>
    <row r="33" spans="1:7" x14ac:dyDescent="0.4">
      <c r="A33" s="73" t="s">
        <v>355</v>
      </c>
      <c r="B33" s="73" t="s">
        <v>356</v>
      </c>
      <c r="C33" s="78">
        <v>99</v>
      </c>
      <c r="D33" s="78">
        <v>15285600</v>
      </c>
      <c r="E33" s="15">
        <v>1.17</v>
      </c>
    </row>
    <row r="34" spans="1:7" x14ac:dyDescent="0.4">
      <c r="A34" s="73" t="s">
        <v>602</v>
      </c>
      <c r="B34" s="73" t="s">
        <v>603</v>
      </c>
      <c r="C34" s="78">
        <v>1500</v>
      </c>
      <c r="D34" s="78">
        <v>12645000</v>
      </c>
      <c r="E34" s="15">
        <v>0.97</v>
      </c>
    </row>
    <row r="35" spans="1:7" x14ac:dyDescent="0.4">
      <c r="A35" s="73" t="s">
        <v>4616</v>
      </c>
      <c r="B35" s="74" t="s">
        <v>4617</v>
      </c>
      <c r="C35" s="76">
        <v>149</v>
      </c>
      <c r="D35" s="76">
        <v>12113700</v>
      </c>
      <c r="E35" s="19">
        <v>0.93</v>
      </c>
      <c r="F35" s="17"/>
      <c r="G35" s="17"/>
    </row>
    <row r="36" spans="1:7" x14ac:dyDescent="0.4">
      <c r="A36" s="73"/>
      <c r="B36" s="73" t="s">
        <v>10</v>
      </c>
      <c r="C36" s="78">
        <v>8940950</v>
      </c>
      <c r="D36" s="78">
        <v>8940950</v>
      </c>
      <c r="E36" s="15">
        <v>0.69</v>
      </c>
    </row>
    <row r="37" spans="1:7" x14ac:dyDescent="0.4">
      <c r="C37" s="13"/>
      <c r="D37" s="13"/>
      <c r="E37" s="7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5" t="s">
        <v>656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249</v>
      </c>
      <c r="D11" s="78">
        <v>138195000</v>
      </c>
      <c r="E11" s="15">
        <v>9.84</v>
      </c>
    </row>
    <row r="12" spans="1:5" x14ac:dyDescent="0.4">
      <c r="A12" s="73" t="s">
        <v>13</v>
      </c>
      <c r="B12" s="73" t="s">
        <v>14</v>
      </c>
      <c r="C12" s="77">
        <v>45</v>
      </c>
      <c r="D12" s="78">
        <v>124380000</v>
      </c>
      <c r="E12" s="15">
        <v>8.86</v>
      </c>
    </row>
    <row r="13" spans="1:5" x14ac:dyDescent="0.4">
      <c r="A13" s="73" t="s">
        <v>287</v>
      </c>
      <c r="B13" s="73" t="s">
        <v>288</v>
      </c>
      <c r="C13" s="78">
        <v>295</v>
      </c>
      <c r="D13" s="78">
        <v>119327500</v>
      </c>
      <c r="E13" s="15">
        <v>8.5</v>
      </c>
    </row>
    <row r="14" spans="1:5" x14ac:dyDescent="0.4">
      <c r="A14" s="73" t="s">
        <v>120</v>
      </c>
      <c r="B14" s="73" t="s">
        <v>121</v>
      </c>
      <c r="C14" s="78">
        <v>267</v>
      </c>
      <c r="D14" s="78">
        <v>95185500</v>
      </c>
      <c r="E14" s="15">
        <v>6.78</v>
      </c>
    </row>
    <row r="15" spans="1:5" x14ac:dyDescent="0.4">
      <c r="A15" s="73" t="s">
        <v>98</v>
      </c>
      <c r="B15" s="73" t="s">
        <v>99</v>
      </c>
      <c r="C15" s="77">
        <v>347</v>
      </c>
      <c r="D15" s="78">
        <v>79636500</v>
      </c>
      <c r="E15" s="15">
        <v>5.67</v>
      </c>
    </row>
    <row r="16" spans="1:5" x14ac:dyDescent="0.4">
      <c r="A16" s="73" t="s">
        <v>80</v>
      </c>
      <c r="B16" s="73" t="s">
        <v>81</v>
      </c>
      <c r="C16" s="77">
        <v>200</v>
      </c>
      <c r="D16" s="78">
        <v>70800000</v>
      </c>
      <c r="E16" s="15">
        <v>5.04</v>
      </c>
    </row>
    <row r="17" spans="1:5" x14ac:dyDescent="0.4">
      <c r="A17" s="73" t="s">
        <v>451</v>
      </c>
      <c r="B17" s="73" t="s">
        <v>452</v>
      </c>
      <c r="C17" s="77">
        <v>30</v>
      </c>
      <c r="D17" s="78">
        <v>68100000</v>
      </c>
      <c r="E17" s="15">
        <v>4.8499999999999996</v>
      </c>
    </row>
    <row r="18" spans="1:5" x14ac:dyDescent="0.4">
      <c r="A18" s="73" t="s">
        <v>31</v>
      </c>
      <c r="B18" s="73" t="s">
        <v>32</v>
      </c>
      <c r="C18" s="78">
        <v>178</v>
      </c>
      <c r="D18" s="78">
        <v>62923000</v>
      </c>
      <c r="E18" s="15">
        <v>4.4800000000000004</v>
      </c>
    </row>
    <row r="19" spans="1:5" x14ac:dyDescent="0.4">
      <c r="A19" s="73" t="s">
        <v>486</v>
      </c>
      <c r="B19" s="73" t="s">
        <v>487</v>
      </c>
      <c r="C19" s="78">
        <v>500</v>
      </c>
      <c r="D19" s="78">
        <v>62150000</v>
      </c>
      <c r="E19" s="15">
        <v>4.43</v>
      </c>
    </row>
    <row r="20" spans="1:5" x14ac:dyDescent="0.4">
      <c r="A20" s="73" t="s">
        <v>967</v>
      </c>
      <c r="B20" s="73" t="s">
        <v>968</v>
      </c>
      <c r="C20" s="78">
        <v>300</v>
      </c>
      <c r="D20" s="78">
        <v>51450000</v>
      </c>
      <c r="E20" s="15">
        <v>3.66</v>
      </c>
    </row>
    <row r="21" spans="1:5" x14ac:dyDescent="0.4">
      <c r="A21" s="73" t="s">
        <v>217</v>
      </c>
      <c r="B21" s="73" t="s">
        <v>218</v>
      </c>
      <c r="C21" s="78">
        <v>71</v>
      </c>
      <c r="D21" s="78">
        <v>47357000</v>
      </c>
      <c r="E21" s="15">
        <v>3.37</v>
      </c>
    </row>
    <row r="22" spans="1:5" x14ac:dyDescent="0.4">
      <c r="A22" s="73" t="s">
        <v>449</v>
      </c>
      <c r="B22" s="73" t="s">
        <v>450</v>
      </c>
      <c r="C22" s="78">
        <v>40</v>
      </c>
      <c r="D22" s="78">
        <v>45800000</v>
      </c>
      <c r="E22" s="15">
        <v>3.26</v>
      </c>
    </row>
    <row r="23" spans="1:5" x14ac:dyDescent="0.4">
      <c r="A23" s="73" t="s">
        <v>313</v>
      </c>
      <c r="B23" s="73" t="s">
        <v>5165</v>
      </c>
      <c r="C23" s="77">
        <v>150</v>
      </c>
      <c r="D23" s="78">
        <v>41550000</v>
      </c>
      <c r="E23" s="15">
        <v>2.96</v>
      </c>
    </row>
    <row r="24" spans="1:5" x14ac:dyDescent="0.4">
      <c r="A24" s="73" t="s">
        <v>146</v>
      </c>
      <c r="B24" s="73" t="s">
        <v>147</v>
      </c>
      <c r="C24" s="77">
        <v>150</v>
      </c>
      <c r="D24" s="78">
        <v>36225000</v>
      </c>
      <c r="E24" s="15">
        <v>2.58</v>
      </c>
    </row>
    <row r="25" spans="1:5" x14ac:dyDescent="0.4">
      <c r="A25" s="73" t="s">
        <v>3400</v>
      </c>
      <c r="B25" s="73" t="s">
        <v>3401</v>
      </c>
      <c r="C25" s="78">
        <v>1001</v>
      </c>
      <c r="D25" s="78">
        <v>34834800</v>
      </c>
      <c r="E25" s="15">
        <v>2.48</v>
      </c>
    </row>
    <row r="26" spans="1:5" x14ac:dyDescent="0.4">
      <c r="A26" s="73" t="s">
        <v>640</v>
      </c>
      <c r="B26" s="73" t="s">
        <v>641</v>
      </c>
      <c r="C26" s="78">
        <v>249</v>
      </c>
      <c r="D26" s="78">
        <v>34611000</v>
      </c>
      <c r="E26" s="15">
        <v>2.46</v>
      </c>
    </row>
    <row r="27" spans="1:5" x14ac:dyDescent="0.4">
      <c r="A27" s="73" t="s">
        <v>756</v>
      </c>
      <c r="B27" s="73" t="s">
        <v>757</v>
      </c>
      <c r="C27" s="78">
        <v>300</v>
      </c>
      <c r="D27" s="78">
        <v>34290000</v>
      </c>
      <c r="E27" s="15">
        <v>2.44</v>
      </c>
    </row>
    <row r="28" spans="1:5" x14ac:dyDescent="0.4">
      <c r="A28" s="73" t="s">
        <v>764</v>
      </c>
      <c r="B28" s="73" t="s">
        <v>765</v>
      </c>
      <c r="C28" s="78">
        <v>249</v>
      </c>
      <c r="D28" s="78">
        <v>29655900</v>
      </c>
      <c r="E28" s="15">
        <v>2.11</v>
      </c>
    </row>
    <row r="29" spans="1:5" x14ac:dyDescent="0.4">
      <c r="A29" s="73" t="s">
        <v>232</v>
      </c>
      <c r="B29" s="73" t="s">
        <v>233</v>
      </c>
      <c r="C29" s="78">
        <v>100</v>
      </c>
      <c r="D29" s="78">
        <v>28700000</v>
      </c>
      <c r="E29" s="15">
        <v>2.04</v>
      </c>
    </row>
    <row r="30" spans="1:5" x14ac:dyDescent="0.4">
      <c r="A30" s="73" t="s">
        <v>602</v>
      </c>
      <c r="B30" s="73" t="s">
        <v>603</v>
      </c>
      <c r="C30" s="78">
        <v>2533</v>
      </c>
      <c r="D30" s="78">
        <v>28141630</v>
      </c>
      <c r="E30" s="15">
        <v>2</v>
      </c>
    </row>
    <row r="31" spans="1:5" x14ac:dyDescent="0.4">
      <c r="A31" s="73" t="s">
        <v>432</v>
      </c>
      <c r="B31" s="73" t="s">
        <v>433</v>
      </c>
      <c r="C31" s="78">
        <v>399</v>
      </c>
      <c r="D31" s="78">
        <v>26932500</v>
      </c>
      <c r="E31" s="15">
        <v>1.92</v>
      </c>
    </row>
    <row r="32" spans="1:5" x14ac:dyDescent="0.4">
      <c r="A32" s="73" t="s">
        <v>2505</v>
      </c>
      <c r="B32" s="73" t="s">
        <v>2506</v>
      </c>
      <c r="C32" s="78">
        <v>1003</v>
      </c>
      <c r="D32" s="78">
        <v>26128150</v>
      </c>
      <c r="E32" s="15">
        <v>1.86</v>
      </c>
    </row>
    <row r="33" spans="1:5" x14ac:dyDescent="0.4">
      <c r="A33" s="73" t="s">
        <v>473</v>
      </c>
      <c r="B33" s="73" t="s">
        <v>474</v>
      </c>
      <c r="C33" s="78">
        <v>500</v>
      </c>
      <c r="D33" s="78">
        <v>24500000</v>
      </c>
      <c r="E33" s="15">
        <v>1.74</v>
      </c>
    </row>
    <row r="34" spans="1:5" x14ac:dyDescent="0.4">
      <c r="A34" s="73" t="s">
        <v>491</v>
      </c>
      <c r="B34" s="73" t="s">
        <v>492</v>
      </c>
      <c r="C34" s="78">
        <v>100</v>
      </c>
      <c r="D34" s="78">
        <v>19310000</v>
      </c>
      <c r="E34" s="15">
        <v>1.38</v>
      </c>
    </row>
    <row r="35" spans="1:5" x14ac:dyDescent="0.4">
      <c r="A35" s="73" t="s">
        <v>252</v>
      </c>
      <c r="B35" s="73" t="s">
        <v>253</v>
      </c>
      <c r="C35" s="78">
        <v>199</v>
      </c>
      <c r="D35" s="78">
        <v>17432400</v>
      </c>
      <c r="E35" s="15">
        <v>1.24</v>
      </c>
    </row>
    <row r="36" spans="1:5" x14ac:dyDescent="0.4">
      <c r="A36" s="73" t="s">
        <v>355</v>
      </c>
      <c r="B36" s="73" t="s">
        <v>356</v>
      </c>
      <c r="C36" s="78">
        <v>99</v>
      </c>
      <c r="D36" s="78">
        <v>15473700</v>
      </c>
      <c r="E36" s="15">
        <v>1.1000000000000001</v>
      </c>
    </row>
    <row r="37" spans="1:5" x14ac:dyDescent="0.4">
      <c r="A37" s="73" t="s">
        <v>4616</v>
      </c>
      <c r="B37" s="73" t="s">
        <v>4617</v>
      </c>
      <c r="C37" s="78">
        <v>149</v>
      </c>
      <c r="D37" s="78">
        <v>12918300</v>
      </c>
      <c r="E37" s="15">
        <v>0.92</v>
      </c>
    </row>
    <row r="38" spans="1:5" x14ac:dyDescent="0.4">
      <c r="A38" s="73" t="s">
        <v>718</v>
      </c>
      <c r="B38" s="73" t="s">
        <v>719</v>
      </c>
      <c r="C38" s="78">
        <v>112</v>
      </c>
      <c r="D38" s="78">
        <v>11356800</v>
      </c>
      <c r="E38" s="15">
        <v>0.81</v>
      </c>
    </row>
    <row r="39" spans="1:5" x14ac:dyDescent="0.4">
      <c r="A39" s="73"/>
      <c r="B39" s="73" t="s">
        <v>10</v>
      </c>
      <c r="C39" s="78">
        <v>16772947</v>
      </c>
      <c r="D39" s="78">
        <v>16772947</v>
      </c>
      <c r="E39" s="15">
        <v>1.19</v>
      </c>
    </row>
    <row r="40" spans="1:5" x14ac:dyDescent="0.4">
      <c r="C40" s="13"/>
      <c r="D40" s="13"/>
      <c r="E40" s="7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68" t="s">
        <v>5214</v>
      </c>
      <c r="B8" s="6"/>
      <c r="C8" s="6"/>
      <c r="D8" s="6"/>
      <c r="E8" s="14"/>
    </row>
    <row r="9" spans="1:7" x14ac:dyDescent="0.4">
      <c r="A9" s="75" t="s">
        <v>5215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401</v>
      </c>
      <c r="D11" s="76">
        <v>126114500</v>
      </c>
      <c r="E11" s="19">
        <v>26.26</v>
      </c>
      <c r="F11" s="17"/>
      <c r="G11" s="17"/>
    </row>
    <row r="12" spans="1:7" x14ac:dyDescent="0.4">
      <c r="A12" s="73" t="s">
        <v>13</v>
      </c>
      <c r="B12" s="74" t="s">
        <v>14</v>
      </c>
      <c r="C12" s="81">
        <v>42</v>
      </c>
      <c r="D12" s="76">
        <v>107520000</v>
      </c>
      <c r="E12" s="19">
        <v>22.39</v>
      </c>
      <c r="F12" s="17"/>
      <c r="G12" s="17"/>
    </row>
    <row r="13" spans="1:7" x14ac:dyDescent="0.4">
      <c r="A13" s="73" t="s">
        <v>188</v>
      </c>
      <c r="B13" s="73" t="s">
        <v>189</v>
      </c>
      <c r="C13" s="78">
        <v>28</v>
      </c>
      <c r="D13" s="78">
        <v>49196000</v>
      </c>
      <c r="E13" s="15">
        <v>10.24</v>
      </c>
    </row>
    <row r="14" spans="1:7" x14ac:dyDescent="0.4">
      <c r="A14" s="73" t="s">
        <v>451</v>
      </c>
      <c r="B14" s="73" t="s">
        <v>452</v>
      </c>
      <c r="C14" s="78">
        <v>22</v>
      </c>
      <c r="D14" s="78">
        <v>48510000</v>
      </c>
      <c r="E14" s="15">
        <v>10.1</v>
      </c>
    </row>
    <row r="15" spans="1:7" x14ac:dyDescent="0.4">
      <c r="A15" s="73" t="s">
        <v>135</v>
      </c>
      <c r="B15" s="73" t="s">
        <v>136</v>
      </c>
      <c r="C15" s="77">
        <v>51</v>
      </c>
      <c r="D15" s="78">
        <v>22134000</v>
      </c>
      <c r="E15" s="15">
        <v>4.6100000000000003</v>
      </c>
    </row>
    <row r="16" spans="1:7" x14ac:dyDescent="0.4">
      <c r="A16" s="73" t="s">
        <v>102</v>
      </c>
      <c r="B16" s="73" t="s">
        <v>103</v>
      </c>
      <c r="C16" s="77">
        <v>70</v>
      </c>
      <c r="D16" s="78">
        <v>11095000</v>
      </c>
      <c r="E16" s="15">
        <v>2.31</v>
      </c>
    </row>
    <row r="17" spans="1:7" x14ac:dyDescent="0.4">
      <c r="A17" s="73" t="s">
        <v>78</v>
      </c>
      <c r="B17" s="74" t="s">
        <v>79</v>
      </c>
      <c r="C17" s="81">
        <v>7</v>
      </c>
      <c r="D17" s="76">
        <v>8134000</v>
      </c>
      <c r="E17" s="19">
        <v>1.69</v>
      </c>
      <c r="F17" s="17"/>
      <c r="G17" s="17"/>
    </row>
    <row r="18" spans="1:7" x14ac:dyDescent="0.4">
      <c r="A18" s="73" t="s">
        <v>140</v>
      </c>
      <c r="B18" s="73" t="s">
        <v>141</v>
      </c>
      <c r="C18" s="78">
        <v>14</v>
      </c>
      <c r="D18" s="78">
        <v>6825000</v>
      </c>
      <c r="E18" s="15">
        <v>1.42</v>
      </c>
    </row>
    <row r="19" spans="1:7" x14ac:dyDescent="0.4">
      <c r="A19" s="73" t="s">
        <v>108</v>
      </c>
      <c r="B19" s="73" t="s">
        <v>109</v>
      </c>
      <c r="C19" s="78">
        <v>15</v>
      </c>
      <c r="D19" s="78">
        <v>5805000</v>
      </c>
      <c r="E19" s="15">
        <v>1.21</v>
      </c>
    </row>
    <row r="20" spans="1:7" x14ac:dyDescent="0.4">
      <c r="A20" s="73" t="s">
        <v>217</v>
      </c>
      <c r="B20" s="73" t="s">
        <v>218</v>
      </c>
      <c r="C20" s="78">
        <v>8</v>
      </c>
      <c r="D20" s="78">
        <v>4920000</v>
      </c>
      <c r="E20" s="15">
        <v>1.02</v>
      </c>
    </row>
    <row r="21" spans="1:7" x14ac:dyDescent="0.4">
      <c r="A21" s="73" t="s">
        <v>92</v>
      </c>
      <c r="B21" s="73" t="s">
        <v>93</v>
      </c>
      <c r="C21" s="78">
        <v>3</v>
      </c>
      <c r="D21" s="78">
        <v>4770000</v>
      </c>
      <c r="E21" s="15">
        <v>0.99</v>
      </c>
    </row>
    <row r="22" spans="1:7" x14ac:dyDescent="0.4">
      <c r="A22" s="73" t="s">
        <v>287</v>
      </c>
      <c r="B22" s="74" t="s">
        <v>288</v>
      </c>
      <c r="C22" s="76">
        <v>13</v>
      </c>
      <c r="D22" s="76">
        <v>4524000</v>
      </c>
      <c r="E22" s="19">
        <v>0.94</v>
      </c>
      <c r="F22" s="17"/>
      <c r="G22" s="17"/>
    </row>
    <row r="23" spans="1:7" x14ac:dyDescent="0.4">
      <c r="A23" s="73" t="s">
        <v>63</v>
      </c>
      <c r="B23" s="74" t="s">
        <v>64</v>
      </c>
      <c r="C23" s="81">
        <v>11</v>
      </c>
      <c r="D23" s="76">
        <v>4488000</v>
      </c>
      <c r="E23" s="19">
        <v>0.93</v>
      </c>
      <c r="F23" s="17"/>
      <c r="G23" s="17"/>
    </row>
    <row r="24" spans="1:7" x14ac:dyDescent="0.4">
      <c r="A24" s="73" t="s">
        <v>752</v>
      </c>
      <c r="B24" s="73" t="s">
        <v>753</v>
      </c>
      <c r="C24" s="77">
        <v>21</v>
      </c>
      <c r="D24" s="78">
        <v>4473000</v>
      </c>
      <c r="E24" s="15">
        <v>0.93</v>
      </c>
    </row>
    <row r="25" spans="1:7" x14ac:dyDescent="0.4">
      <c r="A25" s="73" t="s">
        <v>73</v>
      </c>
      <c r="B25" s="73" t="s">
        <v>74</v>
      </c>
      <c r="C25" s="78">
        <v>4</v>
      </c>
      <c r="D25" s="78">
        <v>4364000</v>
      </c>
      <c r="E25" s="15">
        <v>0.91</v>
      </c>
    </row>
    <row r="26" spans="1:7" x14ac:dyDescent="0.4">
      <c r="A26" s="73" t="s">
        <v>112</v>
      </c>
      <c r="B26" s="73" t="s">
        <v>113</v>
      </c>
      <c r="C26" s="78">
        <v>35</v>
      </c>
      <c r="D26" s="78">
        <v>4074000</v>
      </c>
      <c r="E26" s="15">
        <v>0.85</v>
      </c>
    </row>
    <row r="27" spans="1:7" x14ac:dyDescent="0.4">
      <c r="A27" s="73" t="s">
        <v>114</v>
      </c>
      <c r="B27" s="73" t="s">
        <v>115</v>
      </c>
      <c r="C27" s="78">
        <v>40</v>
      </c>
      <c r="D27" s="78">
        <v>3856000</v>
      </c>
      <c r="E27" s="15">
        <v>0.8</v>
      </c>
    </row>
    <row r="28" spans="1:7" x14ac:dyDescent="0.4">
      <c r="A28" s="73" t="s">
        <v>11</v>
      </c>
      <c r="B28" s="73" t="s">
        <v>12</v>
      </c>
      <c r="C28" s="78">
        <v>1</v>
      </c>
      <c r="D28" s="78">
        <v>3718000</v>
      </c>
      <c r="E28" s="15">
        <v>0.77</v>
      </c>
    </row>
    <row r="29" spans="1:7" x14ac:dyDescent="0.4">
      <c r="A29" s="73" t="s">
        <v>17</v>
      </c>
      <c r="B29" s="73" t="s">
        <v>18</v>
      </c>
      <c r="C29" s="78">
        <v>36</v>
      </c>
      <c r="D29" s="78">
        <v>3186000</v>
      </c>
      <c r="E29" s="15">
        <v>0.66</v>
      </c>
    </row>
    <row r="30" spans="1:7" x14ac:dyDescent="0.4">
      <c r="A30" s="73" t="s">
        <v>469</v>
      </c>
      <c r="B30" s="73" t="s">
        <v>470</v>
      </c>
      <c r="C30" s="78">
        <v>15</v>
      </c>
      <c r="D30" s="78">
        <v>3172500</v>
      </c>
      <c r="E30" s="15">
        <v>0.66</v>
      </c>
    </row>
    <row r="31" spans="1:7" x14ac:dyDescent="0.4">
      <c r="A31" s="73" t="s">
        <v>473</v>
      </c>
      <c r="B31" s="73" t="s">
        <v>474</v>
      </c>
      <c r="C31" s="78">
        <v>48</v>
      </c>
      <c r="D31" s="78">
        <v>2462400</v>
      </c>
      <c r="E31" s="15">
        <v>0.51</v>
      </c>
    </row>
    <row r="32" spans="1:7" x14ac:dyDescent="0.4">
      <c r="A32" s="73" t="s">
        <v>330</v>
      </c>
      <c r="B32" s="73" t="s">
        <v>331</v>
      </c>
      <c r="C32" s="78">
        <v>3</v>
      </c>
      <c r="D32" s="78">
        <v>2328000</v>
      </c>
      <c r="E32" s="15">
        <v>0.48</v>
      </c>
    </row>
    <row r="33" spans="1:5" x14ac:dyDescent="0.4">
      <c r="A33" s="73" t="s">
        <v>19</v>
      </c>
      <c r="B33" s="73" t="s">
        <v>20</v>
      </c>
      <c r="C33" s="73">
        <v>8</v>
      </c>
      <c r="D33" s="78">
        <v>2108000</v>
      </c>
      <c r="E33" s="15">
        <v>0.44</v>
      </c>
    </row>
    <row r="34" spans="1:5" x14ac:dyDescent="0.4">
      <c r="A34" s="73" t="s">
        <v>142</v>
      </c>
      <c r="B34" s="73" t="s">
        <v>143</v>
      </c>
      <c r="C34" s="78">
        <v>13</v>
      </c>
      <c r="D34" s="78">
        <v>2080000</v>
      </c>
      <c r="E34" s="15">
        <v>0.43</v>
      </c>
    </row>
    <row r="35" spans="1:5" x14ac:dyDescent="0.4">
      <c r="A35" s="73" t="s">
        <v>716</v>
      </c>
      <c r="B35" s="73" t="s">
        <v>717</v>
      </c>
      <c r="C35" s="73">
        <v>161</v>
      </c>
      <c r="D35" s="78">
        <v>2017330</v>
      </c>
      <c r="E35" s="15">
        <v>0.42</v>
      </c>
    </row>
    <row r="36" spans="1:5" x14ac:dyDescent="0.4">
      <c r="A36" s="73" t="s">
        <v>301</v>
      </c>
      <c r="B36" s="73" t="s">
        <v>302</v>
      </c>
      <c r="C36" s="78">
        <v>18</v>
      </c>
      <c r="D36" s="78">
        <v>1859400</v>
      </c>
      <c r="E36" s="15">
        <v>0.39</v>
      </c>
    </row>
    <row r="37" spans="1:5" x14ac:dyDescent="0.4">
      <c r="A37" s="73" t="s">
        <v>328</v>
      </c>
      <c r="B37" s="73" t="s">
        <v>329</v>
      </c>
      <c r="C37" s="78">
        <v>10</v>
      </c>
      <c r="D37" s="78">
        <v>1850000</v>
      </c>
      <c r="E37" s="15">
        <v>0.39</v>
      </c>
    </row>
    <row r="38" spans="1:5" x14ac:dyDescent="0.4">
      <c r="A38" s="73" t="s">
        <v>118</v>
      </c>
      <c r="B38" s="73" t="s">
        <v>119</v>
      </c>
      <c r="C38" s="78">
        <v>8</v>
      </c>
      <c r="D38" s="78">
        <v>1824000</v>
      </c>
      <c r="E38" s="15">
        <v>0.38</v>
      </c>
    </row>
    <row r="39" spans="1:5" x14ac:dyDescent="0.4">
      <c r="A39" s="73" t="s">
        <v>449</v>
      </c>
      <c r="B39" s="73" t="s">
        <v>450</v>
      </c>
      <c r="C39" s="73">
        <v>2</v>
      </c>
      <c r="D39" s="78">
        <v>1814000</v>
      </c>
      <c r="E39" s="15">
        <v>0.38</v>
      </c>
    </row>
    <row r="40" spans="1:5" x14ac:dyDescent="0.4">
      <c r="A40" s="73" t="s">
        <v>324</v>
      </c>
      <c r="B40" s="73" t="s">
        <v>325</v>
      </c>
      <c r="C40" s="73">
        <v>7</v>
      </c>
      <c r="D40" s="78">
        <v>1680000</v>
      </c>
      <c r="E40" s="15">
        <v>0.35</v>
      </c>
    </row>
    <row r="41" spans="1:5" x14ac:dyDescent="0.4">
      <c r="A41" s="73" t="s">
        <v>122</v>
      </c>
      <c r="B41" s="73" t="s">
        <v>5163</v>
      </c>
      <c r="C41" s="73">
        <v>2</v>
      </c>
      <c r="D41" s="78">
        <v>1540000</v>
      </c>
      <c r="E41" s="15">
        <v>0.32</v>
      </c>
    </row>
    <row r="42" spans="1:5" x14ac:dyDescent="0.4">
      <c r="A42" s="73" t="s">
        <v>303</v>
      </c>
      <c r="B42" s="73" t="s">
        <v>304</v>
      </c>
      <c r="C42" s="78">
        <v>2</v>
      </c>
      <c r="D42" s="78">
        <v>1526000</v>
      </c>
      <c r="E42" s="15">
        <v>0.32</v>
      </c>
    </row>
    <row r="43" spans="1:5" x14ac:dyDescent="0.4">
      <c r="A43" s="73" t="s">
        <v>477</v>
      </c>
      <c r="B43" s="73" t="s">
        <v>478</v>
      </c>
      <c r="C43" s="73">
        <v>9</v>
      </c>
      <c r="D43" s="78">
        <v>1498500</v>
      </c>
      <c r="E43" s="15">
        <v>0.31</v>
      </c>
    </row>
    <row r="44" spans="1:5" x14ac:dyDescent="0.4">
      <c r="A44" s="73" t="s">
        <v>172</v>
      </c>
      <c r="B44" s="73" t="s">
        <v>173</v>
      </c>
      <c r="C44" s="73">
        <v>3</v>
      </c>
      <c r="D44" s="78">
        <v>1482000</v>
      </c>
      <c r="E44" s="15">
        <v>0.31</v>
      </c>
    </row>
    <row r="45" spans="1:5" x14ac:dyDescent="0.4">
      <c r="A45" s="73" t="s">
        <v>444</v>
      </c>
      <c r="B45" s="73" t="s">
        <v>445</v>
      </c>
      <c r="C45" s="78">
        <v>16</v>
      </c>
      <c r="D45" s="78">
        <v>1464000</v>
      </c>
      <c r="E45" s="15">
        <v>0.3</v>
      </c>
    </row>
    <row r="46" spans="1:5" x14ac:dyDescent="0.4">
      <c r="A46" s="73" t="s">
        <v>138</v>
      </c>
      <c r="B46" s="73" t="s">
        <v>139</v>
      </c>
      <c r="C46" s="78">
        <v>59</v>
      </c>
      <c r="D46" s="78">
        <v>1401250</v>
      </c>
      <c r="E46" s="15">
        <v>0.28999999999999998</v>
      </c>
    </row>
    <row r="47" spans="1:5" x14ac:dyDescent="0.4">
      <c r="A47" s="73" t="s">
        <v>680</v>
      </c>
      <c r="B47" s="73" t="s">
        <v>681</v>
      </c>
      <c r="C47" s="73">
        <v>15</v>
      </c>
      <c r="D47" s="78">
        <v>1395000</v>
      </c>
      <c r="E47" s="15">
        <v>0.28999999999999998</v>
      </c>
    </row>
    <row r="48" spans="1:5" x14ac:dyDescent="0.4">
      <c r="A48" s="73" t="s">
        <v>39</v>
      </c>
      <c r="B48" s="73" t="s">
        <v>40</v>
      </c>
      <c r="C48" s="73">
        <v>7</v>
      </c>
      <c r="D48" s="78">
        <v>1327200</v>
      </c>
      <c r="E48" s="15">
        <v>0.28000000000000003</v>
      </c>
    </row>
    <row r="49" spans="1:5" x14ac:dyDescent="0.4">
      <c r="A49" s="73" t="s">
        <v>392</v>
      </c>
      <c r="B49" s="73" t="s">
        <v>393</v>
      </c>
      <c r="C49" s="73">
        <v>5</v>
      </c>
      <c r="D49" s="78">
        <v>1307500</v>
      </c>
      <c r="E49" s="15">
        <v>0.27</v>
      </c>
    </row>
    <row r="50" spans="1:5" x14ac:dyDescent="0.4">
      <c r="A50" s="73" t="s">
        <v>148</v>
      </c>
      <c r="B50" s="73" t="s">
        <v>149</v>
      </c>
      <c r="C50" s="78">
        <v>3</v>
      </c>
      <c r="D50" s="78">
        <v>1197000</v>
      </c>
      <c r="E50" s="15">
        <v>0.25</v>
      </c>
    </row>
    <row r="51" spans="1:5" x14ac:dyDescent="0.4">
      <c r="A51" s="73" t="s">
        <v>21</v>
      </c>
      <c r="B51" s="73" t="s">
        <v>22</v>
      </c>
      <c r="C51" s="78">
        <v>10</v>
      </c>
      <c r="D51" s="78">
        <v>1190000</v>
      </c>
      <c r="E51" s="15">
        <v>0.25</v>
      </c>
    </row>
    <row r="52" spans="1:5" x14ac:dyDescent="0.4">
      <c r="A52" s="73" t="s">
        <v>192</v>
      </c>
      <c r="B52" s="73" t="s">
        <v>193</v>
      </c>
      <c r="C52" s="73">
        <v>10</v>
      </c>
      <c r="D52" s="78">
        <v>1164000</v>
      </c>
      <c r="E52" s="15">
        <v>0.24</v>
      </c>
    </row>
    <row r="53" spans="1:5" x14ac:dyDescent="0.4">
      <c r="A53" s="73" t="s">
        <v>355</v>
      </c>
      <c r="B53" s="73" t="s">
        <v>356</v>
      </c>
      <c r="C53" s="78">
        <v>7</v>
      </c>
      <c r="D53" s="78">
        <v>1080800</v>
      </c>
      <c r="E53" s="15">
        <v>0.23</v>
      </c>
    </row>
    <row r="54" spans="1:5" x14ac:dyDescent="0.4">
      <c r="A54" s="73" t="s">
        <v>84</v>
      </c>
      <c r="B54" s="73" t="s">
        <v>85</v>
      </c>
      <c r="C54" s="73">
        <v>24</v>
      </c>
      <c r="D54" s="78">
        <v>1047600</v>
      </c>
      <c r="E54" s="15">
        <v>0.22</v>
      </c>
    </row>
    <row r="55" spans="1:5" x14ac:dyDescent="0.4">
      <c r="A55" s="73" t="s">
        <v>96</v>
      </c>
      <c r="B55" s="73" t="s">
        <v>97</v>
      </c>
      <c r="C55" s="73">
        <v>9</v>
      </c>
      <c r="D55" s="78">
        <v>1014300</v>
      </c>
      <c r="E55" s="15">
        <v>0.21</v>
      </c>
    </row>
    <row r="56" spans="1:5" x14ac:dyDescent="0.4">
      <c r="A56" s="73" t="s">
        <v>15</v>
      </c>
      <c r="B56" s="73" t="s">
        <v>16</v>
      </c>
      <c r="C56" s="73">
        <v>1</v>
      </c>
      <c r="D56" s="78">
        <v>1012000</v>
      </c>
      <c r="E56" s="15">
        <v>0.21</v>
      </c>
    </row>
    <row r="57" spans="1:5" x14ac:dyDescent="0.4">
      <c r="A57" s="73" t="s">
        <v>116</v>
      </c>
      <c r="B57" s="73" t="s">
        <v>117</v>
      </c>
      <c r="C57" s="73">
        <v>9</v>
      </c>
      <c r="D57" s="78">
        <v>986400</v>
      </c>
      <c r="E57" s="15">
        <v>0.21</v>
      </c>
    </row>
    <row r="58" spans="1:5" x14ac:dyDescent="0.4">
      <c r="A58" s="73" t="s">
        <v>299</v>
      </c>
      <c r="B58" s="73" t="s">
        <v>300</v>
      </c>
      <c r="C58" s="73">
        <v>2</v>
      </c>
      <c r="D58" s="78">
        <v>982000</v>
      </c>
      <c r="E58" s="15">
        <v>0.2</v>
      </c>
    </row>
    <row r="59" spans="1:5" x14ac:dyDescent="0.4">
      <c r="A59" s="73" t="s">
        <v>676</v>
      </c>
      <c r="B59" s="73" t="s">
        <v>677</v>
      </c>
      <c r="C59" s="73">
        <v>8</v>
      </c>
      <c r="D59" s="78">
        <v>900800</v>
      </c>
      <c r="E59" s="15">
        <v>0.19</v>
      </c>
    </row>
    <row r="60" spans="1:5" x14ac:dyDescent="0.4">
      <c r="A60" s="73" t="s">
        <v>1093</v>
      </c>
      <c r="B60" s="73" t="s">
        <v>1094</v>
      </c>
      <c r="C60" s="78">
        <v>9</v>
      </c>
      <c r="D60" s="78">
        <v>869400</v>
      </c>
      <c r="E60" s="15">
        <v>0.18</v>
      </c>
    </row>
    <row r="61" spans="1:5" x14ac:dyDescent="0.4">
      <c r="A61" s="73" t="s">
        <v>133</v>
      </c>
      <c r="B61" s="73" t="s">
        <v>134</v>
      </c>
      <c r="C61" s="78">
        <v>5</v>
      </c>
      <c r="D61" s="78">
        <v>835500</v>
      </c>
      <c r="E61" s="15">
        <v>0.17</v>
      </c>
    </row>
    <row r="62" spans="1:5" x14ac:dyDescent="0.4">
      <c r="A62" s="73" t="s">
        <v>283</v>
      </c>
      <c r="B62" s="73" t="s">
        <v>284</v>
      </c>
      <c r="C62" s="73">
        <v>17</v>
      </c>
      <c r="D62" s="78">
        <v>800700</v>
      </c>
      <c r="E62" s="15">
        <v>0.17</v>
      </c>
    </row>
    <row r="63" spans="1:5" x14ac:dyDescent="0.4">
      <c r="A63" s="73" t="s">
        <v>1279</v>
      </c>
      <c r="B63" s="73" t="s">
        <v>1280</v>
      </c>
      <c r="C63" s="78">
        <v>7</v>
      </c>
      <c r="D63" s="78">
        <v>793800</v>
      </c>
      <c r="E63" s="15">
        <v>0.17</v>
      </c>
    </row>
    <row r="64" spans="1:5" x14ac:dyDescent="0.4">
      <c r="A64" s="73" t="s">
        <v>718</v>
      </c>
      <c r="B64" s="73" t="s">
        <v>719</v>
      </c>
      <c r="C64" s="78">
        <v>9</v>
      </c>
      <c r="D64" s="78">
        <v>743400</v>
      </c>
      <c r="E64" s="15">
        <v>0.15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560000</v>
      </c>
      <c r="E65" s="15">
        <v>0.12</v>
      </c>
    </row>
    <row r="66" spans="1:5" x14ac:dyDescent="0.4">
      <c r="A66" s="73"/>
      <c r="B66" s="73" t="s">
        <v>10</v>
      </c>
      <c r="C66" s="78">
        <v>1275810</v>
      </c>
      <c r="D66" s="78">
        <v>1275810</v>
      </c>
      <c r="E66" s="15">
        <v>0.27</v>
      </c>
    </row>
    <row r="67" spans="1:5" x14ac:dyDescent="0.4">
      <c r="C67" s="13"/>
      <c r="D67" s="13"/>
      <c r="E67" s="73"/>
    </row>
    <row r="68" spans="1:5" x14ac:dyDescent="0.4"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5216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68" t="s">
        <v>5214</v>
      </c>
      <c r="B8" s="6"/>
      <c r="C8" s="6"/>
      <c r="D8" s="6"/>
      <c r="E8" s="14"/>
    </row>
    <row r="9" spans="1:5" x14ac:dyDescent="0.4">
      <c r="A9" s="75" t="s">
        <v>5215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401</v>
      </c>
      <c r="D11" s="78">
        <v>124310000</v>
      </c>
      <c r="E11" s="15">
        <v>26.17</v>
      </c>
    </row>
    <row r="12" spans="1:5" x14ac:dyDescent="0.4">
      <c r="A12" s="73" t="s">
        <v>13</v>
      </c>
      <c r="B12" s="73" t="s">
        <v>14</v>
      </c>
      <c r="C12" s="77">
        <v>42</v>
      </c>
      <c r="D12" s="78">
        <v>107310000</v>
      </c>
      <c r="E12" s="15">
        <v>22.59</v>
      </c>
    </row>
    <row r="13" spans="1:5" x14ac:dyDescent="0.4">
      <c r="A13" s="73" t="s">
        <v>188</v>
      </c>
      <c r="B13" s="73" t="s">
        <v>189</v>
      </c>
      <c r="C13" s="78">
        <v>28</v>
      </c>
      <c r="D13" s="78">
        <v>51296000</v>
      </c>
      <c r="E13" s="15">
        <v>10.8</v>
      </c>
    </row>
    <row r="14" spans="1:5" x14ac:dyDescent="0.4">
      <c r="A14" s="73" t="s">
        <v>451</v>
      </c>
      <c r="B14" s="73" t="s">
        <v>452</v>
      </c>
      <c r="C14" s="78">
        <v>22</v>
      </c>
      <c r="D14" s="78">
        <v>43780000</v>
      </c>
      <c r="E14" s="15">
        <v>9.2100000000000009</v>
      </c>
    </row>
    <row r="15" spans="1:5" x14ac:dyDescent="0.4">
      <c r="A15" s="73" t="s">
        <v>135</v>
      </c>
      <c r="B15" s="73" t="s">
        <v>136</v>
      </c>
      <c r="C15" s="77">
        <v>51</v>
      </c>
      <c r="D15" s="78">
        <v>23205000</v>
      </c>
      <c r="E15" s="15">
        <v>4.88</v>
      </c>
    </row>
    <row r="16" spans="1:5" x14ac:dyDescent="0.4">
      <c r="A16" s="73" t="s">
        <v>102</v>
      </c>
      <c r="B16" s="73" t="s">
        <v>103</v>
      </c>
      <c r="C16" s="77">
        <v>70</v>
      </c>
      <c r="D16" s="78">
        <v>10759000</v>
      </c>
      <c r="E16" s="15">
        <v>2.2599999999999998</v>
      </c>
    </row>
    <row r="17" spans="1:5" x14ac:dyDescent="0.4">
      <c r="A17" s="73" t="s">
        <v>78</v>
      </c>
      <c r="B17" s="73" t="s">
        <v>79</v>
      </c>
      <c r="C17" s="77">
        <v>7</v>
      </c>
      <c r="D17" s="78">
        <v>7504000</v>
      </c>
      <c r="E17" s="15">
        <v>1.58</v>
      </c>
    </row>
    <row r="18" spans="1:5" x14ac:dyDescent="0.4">
      <c r="A18" s="73" t="s">
        <v>140</v>
      </c>
      <c r="B18" s="73" t="s">
        <v>141</v>
      </c>
      <c r="C18" s="78">
        <v>14</v>
      </c>
      <c r="D18" s="78">
        <v>7154000</v>
      </c>
      <c r="E18" s="15">
        <v>1.51</v>
      </c>
    </row>
    <row r="19" spans="1:5" x14ac:dyDescent="0.4">
      <c r="A19" s="73" t="s">
        <v>108</v>
      </c>
      <c r="B19" s="73" t="s">
        <v>109</v>
      </c>
      <c r="C19" s="78">
        <v>15</v>
      </c>
      <c r="D19" s="78">
        <v>6375000</v>
      </c>
      <c r="E19" s="15">
        <v>1.34</v>
      </c>
    </row>
    <row r="20" spans="1:5" x14ac:dyDescent="0.4">
      <c r="A20" s="73" t="s">
        <v>287</v>
      </c>
      <c r="B20" s="73" t="s">
        <v>288</v>
      </c>
      <c r="C20" s="78">
        <v>13</v>
      </c>
      <c r="D20" s="78">
        <v>4706000</v>
      </c>
      <c r="E20" s="15">
        <v>0.99</v>
      </c>
    </row>
    <row r="21" spans="1:5" x14ac:dyDescent="0.4">
      <c r="A21" s="73" t="s">
        <v>217</v>
      </c>
      <c r="B21" s="73" t="s">
        <v>218</v>
      </c>
      <c r="C21" s="78">
        <v>8</v>
      </c>
      <c r="D21" s="78">
        <v>4704000</v>
      </c>
      <c r="E21" s="15">
        <v>0.99</v>
      </c>
    </row>
    <row r="22" spans="1:5" x14ac:dyDescent="0.4">
      <c r="A22" s="73" t="s">
        <v>92</v>
      </c>
      <c r="B22" s="73" t="s">
        <v>93</v>
      </c>
      <c r="C22" s="78">
        <v>3</v>
      </c>
      <c r="D22" s="78">
        <v>4593000</v>
      </c>
      <c r="E22" s="15">
        <v>0.97</v>
      </c>
    </row>
    <row r="23" spans="1:5" x14ac:dyDescent="0.4">
      <c r="A23" s="73" t="s">
        <v>73</v>
      </c>
      <c r="B23" s="73" t="s">
        <v>74</v>
      </c>
      <c r="C23" s="77">
        <v>4</v>
      </c>
      <c r="D23" s="78">
        <v>4292000</v>
      </c>
      <c r="E23" s="15">
        <v>0.9</v>
      </c>
    </row>
    <row r="24" spans="1:5" x14ac:dyDescent="0.4">
      <c r="A24" s="73" t="s">
        <v>112</v>
      </c>
      <c r="B24" s="73" t="s">
        <v>113</v>
      </c>
      <c r="C24" s="77">
        <v>35</v>
      </c>
      <c r="D24" s="78">
        <v>4042500</v>
      </c>
      <c r="E24" s="15">
        <v>0.85</v>
      </c>
    </row>
    <row r="25" spans="1:5" x14ac:dyDescent="0.4">
      <c r="A25" s="73" t="s">
        <v>63</v>
      </c>
      <c r="B25" s="73" t="s">
        <v>64</v>
      </c>
      <c r="C25" s="78">
        <v>11</v>
      </c>
      <c r="D25" s="78">
        <v>3910500</v>
      </c>
      <c r="E25" s="15">
        <v>0.82</v>
      </c>
    </row>
    <row r="26" spans="1:5" x14ac:dyDescent="0.4">
      <c r="A26" s="73" t="s">
        <v>114</v>
      </c>
      <c r="B26" s="73" t="s">
        <v>115</v>
      </c>
      <c r="C26" s="78">
        <v>40</v>
      </c>
      <c r="D26" s="78">
        <v>3908000</v>
      </c>
      <c r="E26" s="15">
        <v>0.82</v>
      </c>
    </row>
    <row r="27" spans="1:5" x14ac:dyDescent="0.4">
      <c r="A27" s="73" t="s">
        <v>11</v>
      </c>
      <c r="B27" s="73" t="s">
        <v>12</v>
      </c>
      <c r="C27" s="78">
        <v>1</v>
      </c>
      <c r="D27" s="78">
        <v>3616000</v>
      </c>
      <c r="E27" s="15">
        <v>0.76</v>
      </c>
    </row>
    <row r="28" spans="1:5" x14ac:dyDescent="0.4">
      <c r="A28" s="73" t="s">
        <v>752</v>
      </c>
      <c r="B28" s="73" t="s">
        <v>753</v>
      </c>
      <c r="C28" s="78">
        <v>21</v>
      </c>
      <c r="D28" s="78">
        <v>3311700</v>
      </c>
      <c r="E28" s="15">
        <v>0.7</v>
      </c>
    </row>
    <row r="29" spans="1:5" x14ac:dyDescent="0.4">
      <c r="A29" s="73" t="s">
        <v>17</v>
      </c>
      <c r="B29" s="73" t="s">
        <v>18</v>
      </c>
      <c r="C29" s="78">
        <v>36</v>
      </c>
      <c r="D29" s="78">
        <v>3211200</v>
      </c>
      <c r="E29" s="15">
        <v>0.68</v>
      </c>
    </row>
    <row r="30" spans="1:5" x14ac:dyDescent="0.4">
      <c r="A30" s="73" t="s">
        <v>469</v>
      </c>
      <c r="B30" s="73" t="s">
        <v>470</v>
      </c>
      <c r="C30" s="78">
        <v>15</v>
      </c>
      <c r="D30" s="78">
        <v>2395500</v>
      </c>
      <c r="E30" s="15">
        <v>0.5</v>
      </c>
    </row>
    <row r="31" spans="1:5" x14ac:dyDescent="0.4">
      <c r="A31" s="73" t="s">
        <v>473</v>
      </c>
      <c r="B31" s="73" t="s">
        <v>474</v>
      </c>
      <c r="C31" s="78">
        <v>48</v>
      </c>
      <c r="D31" s="78">
        <v>2383200</v>
      </c>
      <c r="E31" s="15">
        <v>0.5</v>
      </c>
    </row>
    <row r="32" spans="1:5" x14ac:dyDescent="0.4">
      <c r="A32" s="73" t="s">
        <v>142</v>
      </c>
      <c r="B32" s="73" t="s">
        <v>143</v>
      </c>
      <c r="C32" s="78">
        <v>13</v>
      </c>
      <c r="D32" s="78">
        <v>2067000</v>
      </c>
      <c r="E32" s="15">
        <v>0.44</v>
      </c>
    </row>
    <row r="33" spans="1:5" x14ac:dyDescent="0.4">
      <c r="A33" s="73" t="s">
        <v>330</v>
      </c>
      <c r="B33" s="73" t="s">
        <v>331</v>
      </c>
      <c r="C33" s="73">
        <v>3</v>
      </c>
      <c r="D33" s="78">
        <v>2016000</v>
      </c>
      <c r="E33" s="15">
        <v>0.42</v>
      </c>
    </row>
    <row r="34" spans="1:5" x14ac:dyDescent="0.4">
      <c r="A34" s="73" t="s">
        <v>449</v>
      </c>
      <c r="B34" s="73" t="s">
        <v>450</v>
      </c>
      <c r="C34" s="78">
        <v>2</v>
      </c>
      <c r="D34" s="78">
        <v>1982000</v>
      </c>
      <c r="E34" s="15">
        <v>0.42</v>
      </c>
    </row>
    <row r="35" spans="1:5" x14ac:dyDescent="0.4">
      <c r="A35" s="73" t="s">
        <v>716</v>
      </c>
      <c r="B35" s="73" t="s">
        <v>717</v>
      </c>
      <c r="C35" s="78">
        <v>161</v>
      </c>
      <c r="D35" s="78">
        <v>1883700</v>
      </c>
      <c r="E35" s="15">
        <v>0.4</v>
      </c>
    </row>
    <row r="36" spans="1:5" x14ac:dyDescent="0.4">
      <c r="A36" s="73" t="s">
        <v>301</v>
      </c>
      <c r="B36" s="73" t="s">
        <v>302</v>
      </c>
      <c r="C36" s="78">
        <v>18</v>
      </c>
      <c r="D36" s="78">
        <v>1881000</v>
      </c>
      <c r="E36" s="15">
        <v>0.4</v>
      </c>
    </row>
    <row r="37" spans="1:5" x14ac:dyDescent="0.4">
      <c r="A37" s="73" t="s">
        <v>19</v>
      </c>
      <c r="B37" s="73" t="s">
        <v>20</v>
      </c>
      <c r="C37" s="78">
        <v>8</v>
      </c>
      <c r="D37" s="78">
        <v>1860000</v>
      </c>
      <c r="E37" s="15">
        <v>0.39</v>
      </c>
    </row>
    <row r="38" spans="1:5" x14ac:dyDescent="0.4">
      <c r="A38" s="73" t="s">
        <v>328</v>
      </c>
      <c r="B38" s="73" t="s">
        <v>329</v>
      </c>
      <c r="C38" s="78">
        <v>10</v>
      </c>
      <c r="D38" s="78">
        <v>1750000</v>
      </c>
      <c r="E38" s="15">
        <v>0.37</v>
      </c>
    </row>
    <row r="39" spans="1:5" x14ac:dyDescent="0.4">
      <c r="A39" s="73" t="s">
        <v>118</v>
      </c>
      <c r="B39" s="73" t="s">
        <v>119</v>
      </c>
      <c r="C39" s="73">
        <v>8</v>
      </c>
      <c r="D39" s="78">
        <v>1664000</v>
      </c>
      <c r="E39" s="15">
        <v>0.35</v>
      </c>
    </row>
    <row r="40" spans="1:5" x14ac:dyDescent="0.4">
      <c r="A40" s="73" t="s">
        <v>122</v>
      </c>
      <c r="B40" s="73" t="s">
        <v>5163</v>
      </c>
      <c r="C40" s="73">
        <v>2</v>
      </c>
      <c r="D40" s="78">
        <v>1618000</v>
      </c>
      <c r="E40" s="15">
        <v>0.34</v>
      </c>
    </row>
    <row r="41" spans="1:5" x14ac:dyDescent="0.4">
      <c r="A41" s="73" t="s">
        <v>172</v>
      </c>
      <c r="B41" s="73" t="s">
        <v>173</v>
      </c>
      <c r="C41" s="73">
        <v>3</v>
      </c>
      <c r="D41" s="78">
        <v>1530000</v>
      </c>
      <c r="E41" s="15">
        <v>0.32</v>
      </c>
    </row>
    <row r="42" spans="1:5" x14ac:dyDescent="0.4">
      <c r="A42" s="73" t="s">
        <v>444</v>
      </c>
      <c r="B42" s="73" t="s">
        <v>445</v>
      </c>
      <c r="C42" s="73">
        <v>16</v>
      </c>
      <c r="D42" s="78">
        <v>1524800</v>
      </c>
      <c r="E42" s="15">
        <v>0.32</v>
      </c>
    </row>
    <row r="43" spans="1:5" x14ac:dyDescent="0.4">
      <c r="A43" s="73" t="s">
        <v>324</v>
      </c>
      <c r="B43" s="73" t="s">
        <v>325</v>
      </c>
      <c r="C43" s="78">
        <v>7</v>
      </c>
      <c r="D43" s="78">
        <v>1512000</v>
      </c>
      <c r="E43" s="15">
        <v>0.32</v>
      </c>
    </row>
    <row r="44" spans="1:5" x14ac:dyDescent="0.4">
      <c r="A44" s="73" t="s">
        <v>138</v>
      </c>
      <c r="B44" s="73" t="s">
        <v>139</v>
      </c>
      <c r="C44" s="73">
        <v>59</v>
      </c>
      <c r="D44" s="78">
        <v>1433700</v>
      </c>
      <c r="E44" s="15">
        <v>0.3</v>
      </c>
    </row>
    <row r="45" spans="1:5" x14ac:dyDescent="0.4">
      <c r="A45" s="73" t="s">
        <v>680</v>
      </c>
      <c r="B45" s="73" t="s">
        <v>681</v>
      </c>
      <c r="C45" s="73">
        <v>15</v>
      </c>
      <c r="D45" s="78">
        <v>1428000</v>
      </c>
      <c r="E45" s="15">
        <v>0.3</v>
      </c>
    </row>
    <row r="46" spans="1:5" x14ac:dyDescent="0.4">
      <c r="A46" s="73" t="s">
        <v>303</v>
      </c>
      <c r="B46" s="73" t="s">
        <v>304</v>
      </c>
      <c r="C46" s="78">
        <v>2</v>
      </c>
      <c r="D46" s="78">
        <v>1410000</v>
      </c>
      <c r="E46" s="15">
        <v>0.3</v>
      </c>
    </row>
    <row r="47" spans="1:5" x14ac:dyDescent="0.4">
      <c r="A47" s="73" t="s">
        <v>39</v>
      </c>
      <c r="B47" s="73" t="s">
        <v>40</v>
      </c>
      <c r="C47" s="78">
        <v>7</v>
      </c>
      <c r="D47" s="78">
        <v>1301300</v>
      </c>
      <c r="E47" s="15">
        <v>0.27</v>
      </c>
    </row>
    <row r="48" spans="1:5" x14ac:dyDescent="0.4">
      <c r="A48" s="73" t="s">
        <v>21</v>
      </c>
      <c r="B48" s="73" t="s">
        <v>22</v>
      </c>
      <c r="C48" s="78">
        <v>10</v>
      </c>
      <c r="D48" s="78">
        <v>1151000</v>
      </c>
      <c r="E48" s="15">
        <v>0.24</v>
      </c>
    </row>
    <row r="49" spans="1:5" x14ac:dyDescent="0.4">
      <c r="A49" s="73" t="s">
        <v>192</v>
      </c>
      <c r="B49" s="73" t="s">
        <v>193</v>
      </c>
      <c r="C49" s="73">
        <v>10</v>
      </c>
      <c r="D49" s="78">
        <v>1137000</v>
      </c>
      <c r="E49" s="15">
        <v>0.24</v>
      </c>
    </row>
    <row r="50" spans="1:5" x14ac:dyDescent="0.4">
      <c r="A50" s="73" t="s">
        <v>392</v>
      </c>
      <c r="B50" s="73" t="s">
        <v>393</v>
      </c>
      <c r="C50" s="73">
        <v>5</v>
      </c>
      <c r="D50" s="78">
        <v>1110000</v>
      </c>
      <c r="E50" s="15">
        <v>0.23</v>
      </c>
    </row>
    <row r="51" spans="1:5" x14ac:dyDescent="0.4">
      <c r="A51" s="73" t="s">
        <v>148</v>
      </c>
      <c r="B51" s="73" t="s">
        <v>149</v>
      </c>
      <c r="C51" s="78">
        <v>3</v>
      </c>
      <c r="D51" s="78">
        <v>1084500</v>
      </c>
      <c r="E51" s="15">
        <v>0.23</v>
      </c>
    </row>
    <row r="52" spans="1:5" x14ac:dyDescent="0.4">
      <c r="A52" s="73" t="s">
        <v>477</v>
      </c>
      <c r="B52" s="73" t="s">
        <v>478</v>
      </c>
      <c r="C52" s="78">
        <v>9</v>
      </c>
      <c r="D52" s="78">
        <v>1057500</v>
      </c>
      <c r="E52" s="15">
        <v>0.22</v>
      </c>
    </row>
    <row r="53" spans="1:5" x14ac:dyDescent="0.4">
      <c r="A53" s="73" t="s">
        <v>84</v>
      </c>
      <c r="B53" s="73" t="s">
        <v>85</v>
      </c>
      <c r="C53" s="73">
        <v>24</v>
      </c>
      <c r="D53" s="78">
        <v>1011600</v>
      </c>
      <c r="E53" s="15">
        <v>0.21</v>
      </c>
    </row>
    <row r="54" spans="1:5" x14ac:dyDescent="0.4">
      <c r="A54" s="73" t="s">
        <v>676</v>
      </c>
      <c r="B54" s="73" t="s">
        <v>677</v>
      </c>
      <c r="C54" s="78">
        <v>8</v>
      </c>
      <c r="D54" s="78">
        <v>1000000</v>
      </c>
      <c r="E54" s="15">
        <v>0.21</v>
      </c>
    </row>
    <row r="55" spans="1:5" x14ac:dyDescent="0.4">
      <c r="A55" s="73" t="s">
        <v>355</v>
      </c>
      <c r="B55" s="73" t="s">
        <v>356</v>
      </c>
      <c r="C55" s="73">
        <v>7</v>
      </c>
      <c r="D55" s="78">
        <v>982800</v>
      </c>
      <c r="E55" s="15">
        <v>0.21</v>
      </c>
    </row>
    <row r="56" spans="1:5" x14ac:dyDescent="0.4">
      <c r="A56" s="73" t="s">
        <v>96</v>
      </c>
      <c r="B56" s="73" t="s">
        <v>97</v>
      </c>
      <c r="C56" s="73">
        <v>9</v>
      </c>
      <c r="D56" s="78">
        <v>972000</v>
      </c>
      <c r="E56" s="15">
        <v>0.2</v>
      </c>
    </row>
    <row r="57" spans="1:5" x14ac:dyDescent="0.4">
      <c r="A57" s="73" t="s">
        <v>15</v>
      </c>
      <c r="B57" s="73" t="s">
        <v>16</v>
      </c>
      <c r="C57" s="73">
        <v>1</v>
      </c>
      <c r="D57" s="78">
        <v>949000</v>
      </c>
      <c r="E57" s="15">
        <v>0.2</v>
      </c>
    </row>
    <row r="58" spans="1:5" x14ac:dyDescent="0.4">
      <c r="A58" s="73" t="s">
        <v>299</v>
      </c>
      <c r="B58" s="73" t="s">
        <v>300</v>
      </c>
      <c r="C58" s="73">
        <v>2</v>
      </c>
      <c r="D58" s="78">
        <v>938000</v>
      </c>
      <c r="E58" s="15">
        <v>0.2</v>
      </c>
    </row>
    <row r="59" spans="1:5" x14ac:dyDescent="0.4">
      <c r="A59" s="73" t="s">
        <v>116</v>
      </c>
      <c r="B59" s="73" t="s">
        <v>117</v>
      </c>
      <c r="C59" s="78">
        <v>9</v>
      </c>
      <c r="D59" s="78">
        <v>913500</v>
      </c>
      <c r="E59" s="15">
        <v>0.19</v>
      </c>
    </row>
    <row r="60" spans="1:5" x14ac:dyDescent="0.4">
      <c r="A60" s="73" t="s">
        <v>1093</v>
      </c>
      <c r="B60" s="73" t="s">
        <v>1094</v>
      </c>
      <c r="C60" s="73">
        <v>9</v>
      </c>
      <c r="D60" s="78">
        <v>887400</v>
      </c>
      <c r="E60" s="15">
        <v>0.19</v>
      </c>
    </row>
    <row r="61" spans="1:5" x14ac:dyDescent="0.4">
      <c r="A61" s="73" t="s">
        <v>133</v>
      </c>
      <c r="B61" s="73" t="s">
        <v>134</v>
      </c>
      <c r="C61" s="78">
        <v>5</v>
      </c>
      <c r="D61" s="78">
        <v>863000</v>
      </c>
      <c r="E61" s="15">
        <v>0.18</v>
      </c>
    </row>
    <row r="62" spans="1:5" x14ac:dyDescent="0.4">
      <c r="A62" s="73" t="s">
        <v>283</v>
      </c>
      <c r="B62" s="73" t="s">
        <v>284</v>
      </c>
      <c r="C62" s="78">
        <v>17</v>
      </c>
      <c r="D62" s="78">
        <v>844900</v>
      </c>
      <c r="E62" s="15">
        <v>0.18</v>
      </c>
    </row>
    <row r="63" spans="1:5" x14ac:dyDescent="0.4">
      <c r="A63" s="73" t="s">
        <v>718</v>
      </c>
      <c r="B63" s="73" t="s">
        <v>719</v>
      </c>
      <c r="C63" s="73">
        <v>9</v>
      </c>
      <c r="D63" s="78">
        <v>808200</v>
      </c>
      <c r="E63" s="15">
        <v>0.17</v>
      </c>
    </row>
    <row r="64" spans="1:5" x14ac:dyDescent="0.4">
      <c r="A64" s="73" t="s">
        <v>1279</v>
      </c>
      <c r="B64" s="73" t="s">
        <v>1280</v>
      </c>
      <c r="C64" s="78">
        <v>7</v>
      </c>
      <c r="D64" s="78">
        <v>756700</v>
      </c>
      <c r="E64" s="15">
        <v>0.16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583000</v>
      </c>
      <c r="E65" s="15">
        <v>0.12</v>
      </c>
    </row>
    <row r="66" spans="1:5" x14ac:dyDescent="0.4">
      <c r="A66" s="73"/>
      <c r="B66" s="73" t="s">
        <v>10</v>
      </c>
      <c r="C66" s="78">
        <v>4417155</v>
      </c>
      <c r="D66" s="78">
        <v>4417155</v>
      </c>
      <c r="E66" s="15">
        <v>0.93</v>
      </c>
    </row>
    <row r="67" spans="1:5" x14ac:dyDescent="0.4">
      <c r="C67" s="13"/>
      <c r="D67" s="13"/>
      <c r="E67" s="73"/>
    </row>
    <row r="68" spans="1:5" x14ac:dyDescent="0.4">
      <c r="C68" s="13"/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5" t="s">
        <v>525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138</v>
      </c>
      <c r="D11" s="76">
        <v>353280000</v>
      </c>
      <c r="E11" s="19">
        <v>19.170000000000002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510</v>
      </c>
      <c r="D12" s="76">
        <v>160395000</v>
      </c>
      <c r="E12" s="19">
        <v>8.6999999999999993</v>
      </c>
      <c r="F12" s="17"/>
      <c r="G12" s="17"/>
    </row>
    <row r="13" spans="1:7" x14ac:dyDescent="0.4">
      <c r="A13" s="73" t="s">
        <v>752</v>
      </c>
      <c r="B13" s="74" t="s">
        <v>753</v>
      </c>
      <c r="C13" s="76">
        <v>696</v>
      </c>
      <c r="D13" s="76">
        <v>148248000</v>
      </c>
      <c r="E13" s="19">
        <v>8.0399999999999991</v>
      </c>
      <c r="F13" s="17"/>
      <c r="G13" s="17"/>
    </row>
    <row r="14" spans="1:7" x14ac:dyDescent="0.4">
      <c r="A14" s="73" t="s">
        <v>19</v>
      </c>
      <c r="B14" s="74" t="s">
        <v>20</v>
      </c>
      <c r="C14" s="76">
        <v>392</v>
      </c>
      <c r="D14" s="76">
        <v>103292000</v>
      </c>
      <c r="E14" s="19">
        <v>5.6</v>
      </c>
      <c r="F14" s="17"/>
      <c r="G14" s="17"/>
    </row>
    <row r="15" spans="1:7" x14ac:dyDescent="0.4">
      <c r="A15" s="73" t="s">
        <v>469</v>
      </c>
      <c r="B15" s="74" t="s">
        <v>470</v>
      </c>
      <c r="C15" s="76">
        <v>424</v>
      </c>
      <c r="D15" s="76">
        <v>89676000</v>
      </c>
      <c r="E15" s="19">
        <v>4.87</v>
      </c>
      <c r="F15" s="17"/>
      <c r="G15" s="17"/>
    </row>
    <row r="16" spans="1:7" x14ac:dyDescent="0.4">
      <c r="A16" s="73" t="s">
        <v>15</v>
      </c>
      <c r="B16" s="74" t="s">
        <v>16</v>
      </c>
      <c r="C16" s="76">
        <v>85</v>
      </c>
      <c r="D16" s="76">
        <v>86020000</v>
      </c>
      <c r="E16" s="19">
        <v>4.67</v>
      </c>
      <c r="F16" s="17"/>
      <c r="G16" s="17"/>
    </row>
    <row r="17" spans="1:7" x14ac:dyDescent="0.4">
      <c r="A17" s="73" t="s">
        <v>451</v>
      </c>
      <c r="B17" s="73" t="s">
        <v>452</v>
      </c>
      <c r="C17" s="78">
        <v>34</v>
      </c>
      <c r="D17" s="78">
        <v>74970000</v>
      </c>
      <c r="E17" s="15">
        <v>4.07</v>
      </c>
    </row>
    <row r="18" spans="1:7" x14ac:dyDescent="0.4">
      <c r="A18" s="73" t="s">
        <v>180</v>
      </c>
      <c r="B18" s="74" t="s">
        <v>181</v>
      </c>
      <c r="C18" s="76">
        <v>451</v>
      </c>
      <c r="D18" s="76">
        <v>74685600</v>
      </c>
      <c r="E18" s="19">
        <v>4.05</v>
      </c>
      <c r="F18" s="17"/>
      <c r="G18" s="17"/>
    </row>
    <row r="19" spans="1:7" x14ac:dyDescent="0.4">
      <c r="A19" s="73" t="s">
        <v>491</v>
      </c>
      <c r="B19" s="73" t="s">
        <v>492</v>
      </c>
      <c r="C19" s="77">
        <v>263</v>
      </c>
      <c r="D19" s="78">
        <v>63646000</v>
      </c>
      <c r="E19" s="15">
        <v>3.45</v>
      </c>
    </row>
    <row r="20" spans="1:7" x14ac:dyDescent="0.4">
      <c r="A20" s="73" t="s">
        <v>392</v>
      </c>
      <c r="B20" s="73" t="s">
        <v>393</v>
      </c>
      <c r="C20" s="77">
        <v>243</v>
      </c>
      <c r="D20" s="78">
        <v>63544500</v>
      </c>
      <c r="E20" s="15">
        <v>3.45</v>
      </c>
    </row>
    <row r="21" spans="1:7" x14ac:dyDescent="0.4">
      <c r="A21" s="73" t="s">
        <v>756</v>
      </c>
      <c r="B21" s="73" t="s">
        <v>757</v>
      </c>
      <c r="C21" s="78">
        <v>594</v>
      </c>
      <c r="D21" s="78">
        <v>61360200</v>
      </c>
      <c r="E21" s="15">
        <v>3.33</v>
      </c>
    </row>
    <row r="22" spans="1:7" x14ac:dyDescent="0.4">
      <c r="A22" s="73" t="s">
        <v>299</v>
      </c>
      <c r="B22" s="73" t="s">
        <v>300</v>
      </c>
      <c r="C22" s="77">
        <v>123</v>
      </c>
      <c r="D22" s="78">
        <v>60393000</v>
      </c>
      <c r="E22" s="15">
        <v>3.28</v>
      </c>
    </row>
    <row r="23" spans="1:7" x14ac:dyDescent="0.4">
      <c r="A23" s="73" t="s">
        <v>486</v>
      </c>
      <c r="B23" s="73" t="s">
        <v>487</v>
      </c>
      <c r="C23" s="77">
        <v>363</v>
      </c>
      <c r="D23" s="78">
        <v>57099900</v>
      </c>
      <c r="E23" s="15">
        <v>3.1</v>
      </c>
    </row>
    <row r="24" spans="1:7" x14ac:dyDescent="0.4">
      <c r="A24" s="73" t="s">
        <v>92</v>
      </c>
      <c r="B24" s="73" t="s">
        <v>93</v>
      </c>
      <c r="C24" s="77">
        <v>33</v>
      </c>
      <c r="D24" s="78">
        <v>52470000</v>
      </c>
      <c r="E24" s="15">
        <v>2.85</v>
      </c>
    </row>
    <row r="25" spans="1:7" x14ac:dyDescent="0.4">
      <c r="A25" s="73" t="s">
        <v>98</v>
      </c>
      <c r="B25" s="73" t="s">
        <v>99</v>
      </c>
      <c r="C25" s="78">
        <v>244</v>
      </c>
      <c r="D25" s="78">
        <v>48165600</v>
      </c>
      <c r="E25" s="15">
        <v>2.61</v>
      </c>
    </row>
    <row r="26" spans="1:7" x14ac:dyDescent="0.4">
      <c r="A26" s="73" t="s">
        <v>640</v>
      </c>
      <c r="B26" s="73" t="s">
        <v>641</v>
      </c>
      <c r="C26" s="78">
        <v>218</v>
      </c>
      <c r="D26" s="78">
        <v>41245600</v>
      </c>
      <c r="E26" s="15">
        <v>2.2400000000000002</v>
      </c>
    </row>
    <row r="27" spans="1:7" x14ac:dyDescent="0.4">
      <c r="A27" s="73" t="s">
        <v>482</v>
      </c>
      <c r="B27" s="73" t="s">
        <v>483</v>
      </c>
      <c r="C27" s="78">
        <v>342</v>
      </c>
      <c r="D27" s="78">
        <v>40937400</v>
      </c>
      <c r="E27" s="15">
        <v>2.2200000000000002</v>
      </c>
    </row>
    <row r="28" spans="1:7" x14ac:dyDescent="0.4">
      <c r="A28" s="73" t="s">
        <v>320</v>
      </c>
      <c r="B28" s="73" t="s">
        <v>321</v>
      </c>
      <c r="C28" s="78">
        <v>1007</v>
      </c>
      <c r="D28" s="78">
        <v>37057600</v>
      </c>
      <c r="E28" s="15">
        <v>2.0099999999999998</v>
      </c>
    </row>
    <row r="29" spans="1:7" x14ac:dyDescent="0.4">
      <c r="A29" s="73" t="s">
        <v>355</v>
      </c>
      <c r="B29" s="73" t="s">
        <v>356</v>
      </c>
      <c r="C29" s="78">
        <v>219</v>
      </c>
      <c r="D29" s="78">
        <v>33813600</v>
      </c>
      <c r="E29" s="15">
        <v>1.83</v>
      </c>
    </row>
    <row r="30" spans="1:7" x14ac:dyDescent="0.4">
      <c r="A30" s="73" t="s">
        <v>287</v>
      </c>
      <c r="B30" s="73" t="s">
        <v>288</v>
      </c>
      <c r="C30" s="77">
        <v>76</v>
      </c>
      <c r="D30" s="78">
        <v>26448000</v>
      </c>
      <c r="E30" s="15">
        <v>1.44</v>
      </c>
    </row>
    <row r="31" spans="1:7" x14ac:dyDescent="0.4">
      <c r="A31" s="73" t="s">
        <v>554</v>
      </c>
      <c r="B31" s="73" t="s">
        <v>555</v>
      </c>
      <c r="C31" s="78">
        <v>1035</v>
      </c>
      <c r="D31" s="78">
        <v>25202250</v>
      </c>
      <c r="E31" s="15">
        <v>1.37</v>
      </c>
    </row>
    <row r="32" spans="1:7" x14ac:dyDescent="0.4">
      <c r="A32" s="73" t="s">
        <v>349</v>
      </c>
      <c r="B32" s="73" t="s">
        <v>350</v>
      </c>
      <c r="C32" s="78">
        <v>45</v>
      </c>
      <c r="D32" s="78">
        <v>19575000</v>
      </c>
      <c r="E32" s="15">
        <v>1.06</v>
      </c>
    </row>
    <row r="33" spans="1:5" x14ac:dyDescent="0.4">
      <c r="A33" s="73" t="s">
        <v>4616</v>
      </c>
      <c r="B33" s="73" t="s">
        <v>4617</v>
      </c>
      <c r="C33" s="78">
        <v>222</v>
      </c>
      <c r="D33" s="78">
        <v>18048600</v>
      </c>
      <c r="E33" s="15">
        <v>0.98</v>
      </c>
    </row>
    <row r="34" spans="1:5" x14ac:dyDescent="0.4">
      <c r="A34" s="73" t="s">
        <v>21</v>
      </c>
      <c r="B34" s="73" t="s">
        <v>22</v>
      </c>
      <c r="C34" s="78">
        <v>148</v>
      </c>
      <c r="D34" s="78">
        <v>17612000</v>
      </c>
      <c r="E34" s="15">
        <v>0.96</v>
      </c>
    </row>
    <row r="35" spans="1:5" x14ac:dyDescent="0.4">
      <c r="A35" s="73" t="s">
        <v>238</v>
      </c>
      <c r="B35" s="73" t="s">
        <v>239</v>
      </c>
      <c r="C35" s="78">
        <v>70</v>
      </c>
      <c r="D35" s="78">
        <v>13818000</v>
      </c>
      <c r="E35" s="15">
        <v>0.75</v>
      </c>
    </row>
    <row r="36" spans="1:5" x14ac:dyDescent="0.4">
      <c r="A36" s="73" t="s">
        <v>4842</v>
      </c>
      <c r="B36" s="73" t="s">
        <v>4843</v>
      </c>
      <c r="C36" s="78">
        <v>699</v>
      </c>
      <c r="D36" s="78">
        <v>10694700</v>
      </c>
      <c r="E36" s="15">
        <v>0.57999999999999996</v>
      </c>
    </row>
    <row r="37" spans="1:5" x14ac:dyDescent="0.4">
      <c r="A37" s="73" t="s">
        <v>17</v>
      </c>
      <c r="B37" s="73" t="s">
        <v>18</v>
      </c>
      <c r="C37" s="78">
        <v>110</v>
      </c>
      <c r="D37" s="78">
        <v>9735000</v>
      </c>
      <c r="E37" s="15">
        <v>0.53</v>
      </c>
    </row>
    <row r="38" spans="1:5" x14ac:dyDescent="0.4">
      <c r="A38" s="73" t="s">
        <v>217</v>
      </c>
      <c r="B38" s="73" t="s">
        <v>218</v>
      </c>
      <c r="C38" s="78">
        <v>15</v>
      </c>
      <c r="D38" s="78">
        <v>9225000</v>
      </c>
      <c r="E38" s="15">
        <v>0.5</v>
      </c>
    </row>
    <row r="39" spans="1:5" x14ac:dyDescent="0.4">
      <c r="A39" s="73" t="s">
        <v>386</v>
      </c>
      <c r="B39" s="73" t="s">
        <v>387</v>
      </c>
      <c r="C39" s="78">
        <v>150</v>
      </c>
      <c r="D39" s="78">
        <v>8925000</v>
      </c>
      <c r="E39" s="15">
        <v>0.48</v>
      </c>
    </row>
    <row r="40" spans="1:5" x14ac:dyDescent="0.4">
      <c r="A40" s="73" t="s">
        <v>1994</v>
      </c>
      <c r="B40" s="73" t="s">
        <v>1995</v>
      </c>
      <c r="C40" s="78">
        <v>328</v>
      </c>
      <c r="D40" s="78">
        <v>8380400</v>
      </c>
      <c r="E40" s="15">
        <v>0.45</v>
      </c>
    </row>
    <row r="41" spans="1:5" x14ac:dyDescent="0.4">
      <c r="A41" s="73" t="s">
        <v>650</v>
      </c>
      <c r="B41" s="73" t="s">
        <v>651</v>
      </c>
      <c r="C41" s="78">
        <v>52</v>
      </c>
      <c r="D41" s="78">
        <v>4607200</v>
      </c>
      <c r="E41" s="15">
        <v>0.25</v>
      </c>
    </row>
    <row r="42" spans="1:5" x14ac:dyDescent="0.4">
      <c r="A42" s="73"/>
      <c r="B42" s="73" t="s">
        <v>10</v>
      </c>
      <c r="C42" s="78">
        <v>20469891</v>
      </c>
      <c r="D42" s="78">
        <v>20469891</v>
      </c>
      <c r="E42" s="15">
        <v>1.1100000000000001</v>
      </c>
    </row>
    <row r="43" spans="1:5" x14ac:dyDescent="0.4">
      <c r="C43" s="13"/>
      <c r="D43" s="13"/>
      <c r="E43" s="73"/>
    </row>
    <row r="44" spans="1:5" x14ac:dyDescent="0.4">
      <c r="C44" s="13"/>
      <c r="D44" s="13"/>
      <c r="E44" s="73"/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5" t="s">
        <v>525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126</v>
      </c>
      <c r="D11" s="78">
        <v>348264000</v>
      </c>
      <c r="E11" s="15">
        <v>18.59</v>
      </c>
    </row>
    <row r="12" spans="1:5" x14ac:dyDescent="0.4">
      <c r="A12" s="73" t="s">
        <v>15</v>
      </c>
      <c r="B12" s="73" t="s">
        <v>16</v>
      </c>
      <c r="C12" s="77">
        <v>103</v>
      </c>
      <c r="D12" s="78">
        <v>111034000</v>
      </c>
      <c r="E12" s="15">
        <v>5.93</v>
      </c>
    </row>
    <row r="13" spans="1:5" x14ac:dyDescent="0.4">
      <c r="A13" s="73" t="s">
        <v>451</v>
      </c>
      <c r="B13" s="73" t="s">
        <v>452</v>
      </c>
      <c r="C13" s="78">
        <v>41</v>
      </c>
      <c r="D13" s="78">
        <v>93070000</v>
      </c>
      <c r="E13" s="15">
        <v>4.97</v>
      </c>
    </row>
    <row r="14" spans="1:5" x14ac:dyDescent="0.4">
      <c r="A14" s="73" t="s">
        <v>299</v>
      </c>
      <c r="B14" s="73" t="s">
        <v>300</v>
      </c>
      <c r="C14" s="78">
        <v>130</v>
      </c>
      <c r="D14" s="78">
        <v>72150000</v>
      </c>
      <c r="E14" s="15">
        <v>3.85</v>
      </c>
    </row>
    <row r="15" spans="1:5" x14ac:dyDescent="0.4">
      <c r="A15" s="73" t="s">
        <v>764</v>
      </c>
      <c r="B15" s="73" t="s">
        <v>765</v>
      </c>
      <c r="C15" s="77">
        <v>594</v>
      </c>
      <c r="D15" s="78">
        <v>70745400</v>
      </c>
      <c r="E15" s="15">
        <v>3.78</v>
      </c>
    </row>
    <row r="16" spans="1:5" x14ac:dyDescent="0.4">
      <c r="A16" s="73" t="s">
        <v>180</v>
      </c>
      <c r="B16" s="73" t="s">
        <v>181</v>
      </c>
      <c r="C16" s="77">
        <v>451</v>
      </c>
      <c r="D16" s="78">
        <v>70356000</v>
      </c>
      <c r="E16" s="15">
        <v>3.75</v>
      </c>
    </row>
    <row r="17" spans="1:5" x14ac:dyDescent="0.4">
      <c r="A17" s="73" t="s">
        <v>469</v>
      </c>
      <c r="B17" s="73" t="s">
        <v>470</v>
      </c>
      <c r="C17" s="77">
        <v>424</v>
      </c>
      <c r="D17" s="78">
        <v>69960000</v>
      </c>
      <c r="E17" s="15">
        <v>3.73</v>
      </c>
    </row>
    <row r="18" spans="1:5" x14ac:dyDescent="0.4">
      <c r="A18" s="73" t="s">
        <v>98</v>
      </c>
      <c r="B18" s="73" t="s">
        <v>99</v>
      </c>
      <c r="C18" s="78">
        <v>281</v>
      </c>
      <c r="D18" s="78">
        <v>64489500</v>
      </c>
      <c r="E18" s="15">
        <v>3.44</v>
      </c>
    </row>
    <row r="19" spans="1:5" x14ac:dyDescent="0.4">
      <c r="A19" s="73" t="s">
        <v>752</v>
      </c>
      <c r="B19" s="73" t="s">
        <v>753</v>
      </c>
      <c r="C19" s="78">
        <v>380</v>
      </c>
      <c r="D19" s="78">
        <v>63156000</v>
      </c>
      <c r="E19" s="15">
        <v>3.37</v>
      </c>
    </row>
    <row r="20" spans="1:5" x14ac:dyDescent="0.4">
      <c r="A20" s="73" t="s">
        <v>80</v>
      </c>
      <c r="B20" s="73" t="s">
        <v>81</v>
      </c>
      <c r="C20" s="78">
        <v>175</v>
      </c>
      <c r="D20" s="78">
        <v>61950000</v>
      </c>
      <c r="E20" s="15">
        <v>3.31</v>
      </c>
    </row>
    <row r="21" spans="1:5" x14ac:dyDescent="0.4">
      <c r="A21" s="73" t="s">
        <v>19</v>
      </c>
      <c r="B21" s="73" t="s">
        <v>20</v>
      </c>
      <c r="C21" s="78">
        <v>231</v>
      </c>
      <c r="D21" s="78">
        <v>59829000</v>
      </c>
      <c r="E21" s="15">
        <v>3.19</v>
      </c>
    </row>
    <row r="22" spans="1:5" x14ac:dyDescent="0.4">
      <c r="A22" s="73" t="s">
        <v>473</v>
      </c>
      <c r="B22" s="73" t="s">
        <v>474</v>
      </c>
      <c r="C22" s="78">
        <v>1200</v>
      </c>
      <c r="D22" s="78">
        <v>58800000</v>
      </c>
      <c r="E22" s="15">
        <v>3.14</v>
      </c>
    </row>
    <row r="23" spans="1:5" x14ac:dyDescent="0.4">
      <c r="A23" s="73" t="s">
        <v>1994</v>
      </c>
      <c r="B23" s="73" t="s">
        <v>1995</v>
      </c>
      <c r="C23" s="77">
        <v>1650</v>
      </c>
      <c r="D23" s="78">
        <v>53872500</v>
      </c>
      <c r="E23" s="15">
        <v>2.88</v>
      </c>
    </row>
    <row r="24" spans="1:5" x14ac:dyDescent="0.4">
      <c r="A24" s="73" t="s">
        <v>756</v>
      </c>
      <c r="B24" s="73" t="s">
        <v>757</v>
      </c>
      <c r="C24" s="77">
        <v>448</v>
      </c>
      <c r="D24" s="78">
        <v>51206400</v>
      </c>
      <c r="E24" s="15">
        <v>2.73</v>
      </c>
    </row>
    <row r="25" spans="1:5" x14ac:dyDescent="0.4">
      <c r="A25" s="73" t="s">
        <v>491</v>
      </c>
      <c r="B25" s="73" t="s">
        <v>492</v>
      </c>
      <c r="C25" s="78">
        <v>263</v>
      </c>
      <c r="D25" s="78">
        <v>50785300</v>
      </c>
      <c r="E25" s="15">
        <v>2.71</v>
      </c>
    </row>
    <row r="26" spans="1:5" x14ac:dyDescent="0.4">
      <c r="A26" s="73" t="s">
        <v>486</v>
      </c>
      <c r="B26" s="73" t="s">
        <v>487</v>
      </c>
      <c r="C26" s="78">
        <v>363</v>
      </c>
      <c r="D26" s="78">
        <v>45120900</v>
      </c>
      <c r="E26" s="15">
        <v>2.41</v>
      </c>
    </row>
    <row r="27" spans="1:5" x14ac:dyDescent="0.4">
      <c r="A27" s="73" t="s">
        <v>466</v>
      </c>
      <c r="B27" s="73" t="s">
        <v>467</v>
      </c>
      <c r="C27" s="78">
        <v>789</v>
      </c>
      <c r="D27" s="78">
        <v>44657400</v>
      </c>
      <c r="E27" s="15">
        <v>2.38</v>
      </c>
    </row>
    <row r="28" spans="1:5" x14ac:dyDescent="0.4">
      <c r="A28" s="73" t="s">
        <v>386</v>
      </c>
      <c r="B28" s="73" t="s">
        <v>387</v>
      </c>
      <c r="C28" s="78">
        <v>652</v>
      </c>
      <c r="D28" s="78">
        <v>42380000</v>
      </c>
      <c r="E28" s="15">
        <v>2.2599999999999998</v>
      </c>
    </row>
    <row r="29" spans="1:5" x14ac:dyDescent="0.4">
      <c r="A29" s="73" t="s">
        <v>320</v>
      </c>
      <c r="B29" s="73" t="s">
        <v>321</v>
      </c>
      <c r="C29" s="78">
        <v>1055</v>
      </c>
      <c r="D29" s="78">
        <v>40353750</v>
      </c>
      <c r="E29" s="15">
        <v>2.15</v>
      </c>
    </row>
    <row r="30" spans="1:5" x14ac:dyDescent="0.4">
      <c r="A30" s="73" t="s">
        <v>392</v>
      </c>
      <c r="B30" s="73" t="s">
        <v>393</v>
      </c>
      <c r="C30" s="78">
        <v>165</v>
      </c>
      <c r="D30" s="78">
        <v>38857500</v>
      </c>
      <c r="E30" s="15">
        <v>2.0699999999999998</v>
      </c>
    </row>
    <row r="31" spans="1:5" x14ac:dyDescent="0.4">
      <c r="A31" s="73" t="s">
        <v>47</v>
      </c>
      <c r="B31" s="73" t="s">
        <v>48</v>
      </c>
      <c r="C31" s="78">
        <v>1144</v>
      </c>
      <c r="D31" s="78">
        <v>37809200</v>
      </c>
      <c r="E31" s="15">
        <v>2.02</v>
      </c>
    </row>
    <row r="32" spans="1:5" x14ac:dyDescent="0.4">
      <c r="A32" s="73" t="s">
        <v>4616</v>
      </c>
      <c r="B32" s="73" t="s">
        <v>4617</v>
      </c>
      <c r="C32" s="78">
        <v>417</v>
      </c>
      <c r="D32" s="78">
        <v>36153900</v>
      </c>
      <c r="E32" s="15">
        <v>1.93</v>
      </c>
    </row>
    <row r="33" spans="1:5" x14ac:dyDescent="0.4">
      <c r="A33" s="73" t="s">
        <v>287</v>
      </c>
      <c r="B33" s="73" t="s">
        <v>288</v>
      </c>
      <c r="C33" s="78">
        <v>85</v>
      </c>
      <c r="D33" s="78">
        <v>34382500</v>
      </c>
      <c r="E33" s="15">
        <v>1.83</v>
      </c>
    </row>
    <row r="34" spans="1:5" x14ac:dyDescent="0.4">
      <c r="A34" s="73" t="s">
        <v>622</v>
      </c>
      <c r="B34" s="73" t="s">
        <v>623</v>
      </c>
      <c r="C34" s="78">
        <v>708</v>
      </c>
      <c r="D34" s="78">
        <v>34267200</v>
      </c>
      <c r="E34" s="15">
        <v>1.83</v>
      </c>
    </row>
    <row r="35" spans="1:5" x14ac:dyDescent="0.4">
      <c r="A35" s="73" t="s">
        <v>554</v>
      </c>
      <c r="B35" s="73" t="s">
        <v>555</v>
      </c>
      <c r="C35" s="78">
        <v>1426</v>
      </c>
      <c r="D35" s="78">
        <v>33011900</v>
      </c>
      <c r="E35" s="15">
        <v>1.76</v>
      </c>
    </row>
    <row r="36" spans="1:5" x14ac:dyDescent="0.4">
      <c r="A36" s="73" t="s">
        <v>349</v>
      </c>
      <c r="B36" s="73" t="s">
        <v>350</v>
      </c>
      <c r="C36" s="78">
        <v>62</v>
      </c>
      <c r="D36" s="78">
        <v>30907000</v>
      </c>
      <c r="E36" s="15">
        <v>1.65</v>
      </c>
    </row>
    <row r="37" spans="1:5" x14ac:dyDescent="0.4">
      <c r="A37" s="73" t="s">
        <v>21</v>
      </c>
      <c r="B37" s="73" t="s">
        <v>22</v>
      </c>
      <c r="C37" s="78">
        <v>237</v>
      </c>
      <c r="D37" s="78">
        <v>30478200</v>
      </c>
      <c r="E37" s="15">
        <v>1.63</v>
      </c>
    </row>
    <row r="38" spans="1:5" x14ac:dyDescent="0.4">
      <c r="A38" s="73" t="s">
        <v>355</v>
      </c>
      <c r="B38" s="73" t="s">
        <v>356</v>
      </c>
      <c r="C38" s="78">
        <v>162</v>
      </c>
      <c r="D38" s="78">
        <v>25320600</v>
      </c>
      <c r="E38" s="15">
        <v>1.35</v>
      </c>
    </row>
    <row r="39" spans="1:5" x14ac:dyDescent="0.4">
      <c r="A39" s="73" t="s">
        <v>238</v>
      </c>
      <c r="B39" s="73" t="s">
        <v>239</v>
      </c>
      <c r="C39" s="78">
        <v>113</v>
      </c>
      <c r="D39" s="78">
        <v>23956000</v>
      </c>
      <c r="E39" s="15">
        <v>1.28</v>
      </c>
    </row>
    <row r="40" spans="1:5" x14ac:dyDescent="0.4">
      <c r="A40" s="73" t="s">
        <v>217</v>
      </c>
      <c r="B40" s="73" t="s">
        <v>218</v>
      </c>
      <c r="C40" s="78">
        <v>23</v>
      </c>
      <c r="D40" s="78">
        <v>15341000</v>
      </c>
      <c r="E40" s="15">
        <v>0.82</v>
      </c>
    </row>
    <row r="41" spans="1:5" x14ac:dyDescent="0.4">
      <c r="A41" s="73" t="s">
        <v>650</v>
      </c>
      <c r="B41" s="73" t="s">
        <v>651</v>
      </c>
      <c r="C41" s="78">
        <v>151</v>
      </c>
      <c r="D41" s="78">
        <v>14329900</v>
      </c>
      <c r="E41" s="15">
        <v>0.76</v>
      </c>
    </row>
    <row r="42" spans="1:5" x14ac:dyDescent="0.4">
      <c r="A42" s="73" t="s">
        <v>536</v>
      </c>
      <c r="B42" s="73" t="s">
        <v>537</v>
      </c>
      <c r="C42" s="78">
        <v>166</v>
      </c>
      <c r="D42" s="78">
        <v>12167800</v>
      </c>
      <c r="E42" s="15">
        <v>0.65</v>
      </c>
    </row>
    <row r="43" spans="1:5" x14ac:dyDescent="0.4">
      <c r="A43" s="73" t="s">
        <v>17</v>
      </c>
      <c r="B43" s="73" t="s">
        <v>18</v>
      </c>
      <c r="C43" s="78">
        <v>110</v>
      </c>
      <c r="D43" s="78">
        <v>10769000</v>
      </c>
      <c r="E43" s="15">
        <v>0.56999999999999995</v>
      </c>
    </row>
    <row r="44" spans="1:5" x14ac:dyDescent="0.4">
      <c r="A44" s="73" t="s">
        <v>4842</v>
      </c>
      <c r="B44" s="73" t="s">
        <v>4843</v>
      </c>
      <c r="C44" s="78">
        <v>699</v>
      </c>
      <c r="D44" s="78">
        <v>9981720</v>
      </c>
      <c r="E44" s="15">
        <v>0.53</v>
      </c>
    </row>
    <row r="45" spans="1:5" x14ac:dyDescent="0.4">
      <c r="A45" s="73"/>
      <c r="B45" s="73" t="s">
        <v>10</v>
      </c>
      <c r="C45" s="78">
        <v>13830146</v>
      </c>
      <c r="D45" s="78">
        <v>13830146</v>
      </c>
      <c r="E45" s="15">
        <v>0.74</v>
      </c>
    </row>
    <row r="46" spans="1:5" x14ac:dyDescent="0.4">
      <c r="C46" s="13"/>
      <c r="D46" s="13"/>
      <c r="E46" s="7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5" t="s">
        <v>657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323</v>
      </c>
      <c r="D11" s="76">
        <v>826880000</v>
      </c>
      <c r="E11" s="19">
        <v>25.63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1694</v>
      </c>
      <c r="D12" s="78">
        <v>532763000</v>
      </c>
      <c r="E12" s="15">
        <v>16.52</v>
      </c>
    </row>
    <row r="13" spans="1:7" x14ac:dyDescent="0.4">
      <c r="A13" s="73" t="s">
        <v>451</v>
      </c>
      <c r="B13" s="73" t="s">
        <v>452</v>
      </c>
      <c r="C13" s="78">
        <v>116</v>
      </c>
      <c r="D13" s="78">
        <v>255780000</v>
      </c>
      <c r="E13" s="15">
        <v>7.93</v>
      </c>
    </row>
    <row r="14" spans="1:7" x14ac:dyDescent="0.4">
      <c r="A14" s="73" t="s">
        <v>188</v>
      </c>
      <c r="B14" s="74" t="s">
        <v>189</v>
      </c>
      <c r="C14" s="76">
        <v>80</v>
      </c>
      <c r="D14" s="76">
        <v>140560000</v>
      </c>
      <c r="E14" s="19">
        <v>4.3600000000000003</v>
      </c>
      <c r="F14" s="17"/>
      <c r="G14" s="17"/>
    </row>
    <row r="15" spans="1:7" x14ac:dyDescent="0.4">
      <c r="A15" s="73" t="s">
        <v>78</v>
      </c>
      <c r="B15" s="74" t="s">
        <v>79</v>
      </c>
      <c r="C15" s="77">
        <v>110</v>
      </c>
      <c r="D15" s="78">
        <v>127820000</v>
      </c>
      <c r="E15" s="15">
        <v>3.96</v>
      </c>
    </row>
    <row r="16" spans="1:7" x14ac:dyDescent="0.4">
      <c r="A16" s="73" t="s">
        <v>63</v>
      </c>
      <c r="B16" s="73" t="s">
        <v>64</v>
      </c>
      <c r="C16" s="77">
        <v>310</v>
      </c>
      <c r="D16" s="78">
        <v>126480000</v>
      </c>
      <c r="E16" s="15">
        <v>3.92</v>
      </c>
    </row>
    <row r="17" spans="1:7" x14ac:dyDescent="0.4">
      <c r="A17" s="73" t="s">
        <v>303</v>
      </c>
      <c r="B17" s="74" t="s">
        <v>304</v>
      </c>
      <c r="C17" s="77">
        <v>140</v>
      </c>
      <c r="D17" s="78">
        <v>106820000</v>
      </c>
      <c r="E17" s="15">
        <v>3.31</v>
      </c>
    </row>
    <row r="18" spans="1:7" x14ac:dyDescent="0.4">
      <c r="A18" s="73" t="s">
        <v>299</v>
      </c>
      <c r="B18" s="73" t="s">
        <v>300</v>
      </c>
      <c r="C18" s="78">
        <v>214</v>
      </c>
      <c r="D18" s="78">
        <v>105074000</v>
      </c>
      <c r="E18" s="15">
        <v>3.26</v>
      </c>
    </row>
    <row r="19" spans="1:7" x14ac:dyDescent="0.4">
      <c r="A19" s="73" t="s">
        <v>92</v>
      </c>
      <c r="B19" s="74" t="s">
        <v>93</v>
      </c>
      <c r="C19" s="76">
        <v>53</v>
      </c>
      <c r="D19" s="76">
        <v>84270000</v>
      </c>
      <c r="E19" s="19">
        <v>2.61</v>
      </c>
      <c r="F19" s="17"/>
      <c r="G19" s="17"/>
    </row>
    <row r="20" spans="1:7" x14ac:dyDescent="0.4">
      <c r="A20" s="73" t="s">
        <v>287</v>
      </c>
      <c r="B20" s="73" t="s">
        <v>288</v>
      </c>
      <c r="C20" s="78">
        <v>232</v>
      </c>
      <c r="D20" s="78">
        <v>80736000</v>
      </c>
      <c r="E20" s="15">
        <v>2.5</v>
      </c>
    </row>
    <row r="21" spans="1:7" x14ac:dyDescent="0.4">
      <c r="A21" s="73" t="s">
        <v>330</v>
      </c>
      <c r="B21" s="73" t="s">
        <v>331</v>
      </c>
      <c r="C21" s="78">
        <v>100</v>
      </c>
      <c r="D21" s="78">
        <v>77600000</v>
      </c>
      <c r="E21" s="15">
        <v>2.41</v>
      </c>
    </row>
    <row r="22" spans="1:7" x14ac:dyDescent="0.4">
      <c r="A22" s="73" t="s">
        <v>102</v>
      </c>
      <c r="B22" s="73" t="s">
        <v>103</v>
      </c>
      <c r="C22" s="78">
        <v>478</v>
      </c>
      <c r="D22" s="78">
        <v>75763000</v>
      </c>
      <c r="E22" s="15">
        <v>2.35</v>
      </c>
    </row>
    <row r="23" spans="1:7" x14ac:dyDescent="0.4">
      <c r="A23" s="73" t="s">
        <v>11</v>
      </c>
      <c r="B23" s="73" t="s">
        <v>12</v>
      </c>
      <c r="C23" s="77">
        <v>18</v>
      </c>
      <c r="D23" s="78">
        <v>66924000</v>
      </c>
      <c r="E23" s="15">
        <v>2.0699999999999998</v>
      </c>
    </row>
    <row r="24" spans="1:7" x14ac:dyDescent="0.4">
      <c r="A24" s="73" t="s">
        <v>135</v>
      </c>
      <c r="B24" s="73" t="s">
        <v>136</v>
      </c>
      <c r="C24" s="77">
        <v>128</v>
      </c>
      <c r="D24" s="78">
        <v>55552000</v>
      </c>
      <c r="E24" s="15">
        <v>1.72</v>
      </c>
    </row>
    <row r="25" spans="1:7" x14ac:dyDescent="0.4">
      <c r="A25" s="73" t="s">
        <v>453</v>
      </c>
      <c r="B25" s="73" t="s">
        <v>454</v>
      </c>
      <c r="C25" s="78">
        <v>206</v>
      </c>
      <c r="D25" s="78">
        <v>39964000</v>
      </c>
      <c r="E25" s="15">
        <v>1.24</v>
      </c>
    </row>
    <row r="26" spans="1:7" x14ac:dyDescent="0.4">
      <c r="A26" s="73" t="s">
        <v>31</v>
      </c>
      <c r="B26" s="73" t="s">
        <v>32</v>
      </c>
      <c r="C26" s="78">
        <v>110</v>
      </c>
      <c r="D26" s="78">
        <v>39380000</v>
      </c>
      <c r="E26" s="15">
        <v>1.22</v>
      </c>
    </row>
    <row r="27" spans="1:7" x14ac:dyDescent="0.4">
      <c r="A27" s="73" t="s">
        <v>392</v>
      </c>
      <c r="B27" s="73" t="s">
        <v>393</v>
      </c>
      <c r="C27" s="78">
        <v>150</v>
      </c>
      <c r="D27" s="78">
        <v>39225000</v>
      </c>
      <c r="E27" s="15">
        <v>1.22</v>
      </c>
    </row>
    <row r="28" spans="1:7" x14ac:dyDescent="0.4">
      <c r="A28" s="73" t="s">
        <v>118</v>
      </c>
      <c r="B28" s="74" t="s">
        <v>119</v>
      </c>
      <c r="C28" s="76">
        <v>160</v>
      </c>
      <c r="D28" s="76">
        <v>36480000</v>
      </c>
      <c r="E28" s="19">
        <v>1.1299999999999999</v>
      </c>
      <c r="F28" s="17"/>
      <c r="G28" s="17"/>
    </row>
    <row r="29" spans="1:7" x14ac:dyDescent="0.4">
      <c r="A29" s="73" t="s">
        <v>532</v>
      </c>
      <c r="B29" s="73" t="s">
        <v>533</v>
      </c>
      <c r="C29" s="78">
        <v>379</v>
      </c>
      <c r="D29" s="78">
        <v>34375300</v>
      </c>
      <c r="E29" s="15">
        <v>1.07</v>
      </c>
    </row>
    <row r="30" spans="1:7" x14ac:dyDescent="0.4">
      <c r="A30" s="73" t="s">
        <v>148</v>
      </c>
      <c r="B30" s="73" t="s">
        <v>149</v>
      </c>
      <c r="C30" s="78">
        <v>80</v>
      </c>
      <c r="D30" s="78">
        <v>31920000</v>
      </c>
      <c r="E30" s="15">
        <v>0.99</v>
      </c>
    </row>
    <row r="31" spans="1:7" x14ac:dyDescent="0.4">
      <c r="A31" s="73" t="s">
        <v>114</v>
      </c>
      <c r="B31" s="73" t="s">
        <v>115</v>
      </c>
      <c r="C31" s="78">
        <v>329</v>
      </c>
      <c r="D31" s="78">
        <v>31715600</v>
      </c>
      <c r="E31" s="15">
        <v>0.98</v>
      </c>
    </row>
    <row r="32" spans="1:7" x14ac:dyDescent="0.4">
      <c r="A32" s="73" t="s">
        <v>140</v>
      </c>
      <c r="B32" s="73" t="s">
        <v>141</v>
      </c>
      <c r="C32" s="78">
        <v>65</v>
      </c>
      <c r="D32" s="78">
        <v>31687500</v>
      </c>
      <c r="E32" s="15">
        <v>0.98</v>
      </c>
    </row>
    <row r="33" spans="1:7" x14ac:dyDescent="0.4">
      <c r="A33" s="73" t="s">
        <v>120</v>
      </c>
      <c r="B33" s="73" t="s">
        <v>121</v>
      </c>
      <c r="C33" s="78">
        <v>100</v>
      </c>
      <c r="D33" s="78">
        <v>31500000</v>
      </c>
      <c r="E33" s="15">
        <v>0.98</v>
      </c>
    </row>
    <row r="34" spans="1:7" x14ac:dyDescent="0.4">
      <c r="A34" s="73" t="s">
        <v>104</v>
      </c>
      <c r="B34" s="73" t="s">
        <v>105</v>
      </c>
      <c r="C34" s="78">
        <v>50</v>
      </c>
      <c r="D34" s="78">
        <v>31150000</v>
      </c>
      <c r="E34" s="15">
        <v>0.97</v>
      </c>
    </row>
    <row r="35" spans="1:7" x14ac:dyDescent="0.4">
      <c r="A35" s="73" t="s">
        <v>650</v>
      </c>
      <c r="B35" s="74" t="s">
        <v>651</v>
      </c>
      <c r="C35" s="76">
        <v>351</v>
      </c>
      <c r="D35" s="76">
        <v>31098600</v>
      </c>
      <c r="E35" s="19">
        <v>0.96</v>
      </c>
      <c r="F35" s="17"/>
      <c r="G35" s="17"/>
    </row>
    <row r="36" spans="1:7" x14ac:dyDescent="0.4">
      <c r="A36" s="73" t="s">
        <v>122</v>
      </c>
      <c r="B36" s="73" t="s">
        <v>5163</v>
      </c>
      <c r="C36" s="78">
        <v>39</v>
      </c>
      <c r="D36" s="78">
        <v>30030000</v>
      </c>
      <c r="E36" s="15">
        <v>0.93</v>
      </c>
    </row>
    <row r="37" spans="1:7" x14ac:dyDescent="0.4">
      <c r="A37" s="73" t="s">
        <v>3628</v>
      </c>
      <c r="B37" s="73" t="s">
        <v>3629</v>
      </c>
      <c r="C37" s="78">
        <v>265</v>
      </c>
      <c r="D37" s="78">
        <v>28302000</v>
      </c>
      <c r="E37" s="15">
        <v>0.88</v>
      </c>
    </row>
    <row r="38" spans="1:7" x14ac:dyDescent="0.4">
      <c r="A38" s="73" t="s">
        <v>96</v>
      </c>
      <c r="B38" s="73" t="s">
        <v>97</v>
      </c>
      <c r="C38" s="78">
        <v>250</v>
      </c>
      <c r="D38" s="78">
        <v>28175000</v>
      </c>
      <c r="E38" s="15">
        <v>0.87</v>
      </c>
    </row>
    <row r="39" spans="1:7" x14ac:dyDescent="0.4">
      <c r="A39" s="73" t="s">
        <v>133</v>
      </c>
      <c r="B39" s="73" t="s">
        <v>134</v>
      </c>
      <c r="C39" s="78">
        <v>140</v>
      </c>
      <c r="D39" s="78">
        <v>23394000</v>
      </c>
      <c r="E39" s="15">
        <v>0.73</v>
      </c>
    </row>
    <row r="40" spans="1:7" x14ac:dyDescent="0.4">
      <c r="A40" s="73" t="s">
        <v>19</v>
      </c>
      <c r="B40" s="73" t="s">
        <v>20</v>
      </c>
      <c r="C40" s="78">
        <v>80</v>
      </c>
      <c r="D40" s="78">
        <v>21080000</v>
      </c>
      <c r="E40" s="15">
        <v>0.65</v>
      </c>
    </row>
    <row r="41" spans="1:7" x14ac:dyDescent="0.4">
      <c r="A41" s="73" t="s">
        <v>580</v>
      </c>
      <c r="B41" s="73" t="s">
        <v>581</v>
      </c>
      <c r="C41" s="78">
        <v>87</v>
      </c>
      <c r="D41" s="78">
        <v>21010500</v>
      </c>
      <c r="E41" s="15">
        <v>0.65</v>
      </c>
    </row>
    <row r="42" spans="1:7" x14ac:dyDescent="0.4">
      <c r="A42" s="73" t="s">
        <v>326</v>
      </c>
      <c r="B42" s="74" t="s">
        <v>327</v>
      </c>
      <c r="C42" s="76">
        <v>90</v>
      </c>
      <c r="D42" s="76">
        <v>9900000</v>
      </c>
      <c r="E42" s="19">
        <v>0.31</v>
      </c>
      <c r="F42" s="17"/>
      <c r="G42" s="17"/>
    </row>
    <row r="43" spans="1:7" x14ac:dyDescent="0.4">
      <c r="A43" s="73"/>
      <c r="B43" s="74" t="s">
        <v>10</v>
      </c>
      <c r="C43" s="76">
        <v>22461784</v>
      </c>
      <c r="D43" s="76">
        <v>22461784</v>
      </c>
      <c r="E43" s="19">
        <v>0.7</v>
      </c>
      <c r="F43" s="17"/>
      <c r="G43" s="17"/>
    </row>
    <row r="44" spans="1:7" x14ac:dyDescent="0.4">
      <c r="C44" s="13"/>
      <c r="D44" s="13"/>
      <c r="E44" s="73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5" t="s">
        <v>657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335</v>
      </c>
      <c r="D11" s="78">
        <v>925940000</v>
      </c>
      <c r="E11" s="15">
        <v>26.84</v>
      </c>
    </row>
    <row r="12" spans="1:5" x14ac:dyDescent="0.4">
      <c r="A12" s="73" t="s">
        <v>80</v>
      </c>
      <c r="B12" s="73" t="s">
        <v>81</v>
      </c>
      <c r="C12" s="77">
        <v>1894</v>
      </c>
      <c r="D12" s="78">
        <v>670476000</v>
      </c>
      <c r="E12" s="15">
        <v>19.440000000000001</v>
      </c>
    </row>
    <row r="13" spans="1:5" x14ac:dyDescent="0.4">
      <c r="A13" s="73" t="s">
        <v>451</v>
      </c>
      <c r="B13" s="73" t="s">
        <v>452</v>
      </c>
      <c r="C13" s="78">
        <v>116</v>
      </c>
      <c r="D13" s="78">
        <v>263320000</v>
      </c>
      <c r="E13" s="15">
        <v>7.63</v>
      </c>
    </row>
    <row r="14" spans="1:5" x14ac:dyDescent="0.4">
      <c r="A14" s="73" t="s">
        <v>188</v>
      </c>
      <c r="B14" s="73" t="s">
        <v>189</v>
      </c>
      <c r="C14" s="78">
        <v>103</v>
      </c>
      <c r="D14" s="78">
        <v>183340000</v>
      </c>
      <c r="E14" s="15">
        <v>5.31</v>
      </c>
    </row>
    <row r="15" spans="1:5" x14ac:dyDescent="0.4">
      <c r="A15" s="73" t="s">
        <v>63</v>
      </c>
      <c r="B15" s="73" t="s">
        <v>64</v>
      </c>
      <c r="C15" s="77">
        <v>309</v>
      </c>
      <c r="D15" s="78">
        <v>119119500</v>
      </c>
      <c r="E15" s="15">
        <v>3.45</v>
      </c>
    </row>
    <row r="16" spans="1:5" x14ac:dyDescent="0.4">
      <c r="A16" s="73" t="s">
        <v>299</v>
      </c>
      <c r="B16" s="73" t="s">
        <v>300</v>
      </c>
      <c r="C16" s="77">
        <v>200</v>
      </c>
      <c r="D16" s="78">
        <v>111000000</v>
      </c>
      <c r="E16" s="15">
        <v>3.22</v>
      </c>
    </row>
    <row r="17" spans="1:5" x14ac:dyDescent="0.4">
      <c r="A17" s="73" t="s">
        <v>11</v>
      </c>
      <c r="B17" s="73" t="s">
        <v>12</v>
      </c>
      <c r="C17" s="77">
        <v>25</v>
      </c>
      <c r="D17" s="78">
        <v>96375000</v>
      </c>
      <c r="E17" s="15">
        <v>2.79</v>
      </c>
    </row>
    <row r="18" spans="1:5" x14ac:dyDescent="0.4">
      <c r="A18" s="73" t="s">
        <v>287</v>
      </c>
      <c r="B18" s="73" t="s">
        <v>288</v>
      </c>
      <c r="C18" s="78">
        <v>232</v>
      </c>
      <c r="D18" s="78">
        <v>93844000</v>
      </c>
      <c r="E18" s="15">
        <v>2.72</v>
      </c>
    </row>
    <row r="19" spans="1:5" x14ac:dyDescent="0.4">
      <c r="A19" s="73" t="s">
        <v>78</v>
      </c>
      <c r="B19" s="73" t="s">
        <v>79</v>
      </c>
      <c r="C19" s="78">
        <v>85</v>
      </c>
      <c r="D19" s="78">
        <v>93755000</v>
      </c>
      <c r="E19" s="15">
        <v>2.72</v>
      </c>
    </row>
    <row r="20" spans="1:5" x14ac:dyDescent="0.4">
      <c r="A20" s="73" t="s">
        <v>140</v>
      </c>
      <c r="B20" s="73" t="s">
        <v>141</v>
      </c>
      <c r="C20" s="78">
        <v>144</v>
      </c>
      <c r="D20" s="78">
        <v>88272000</v>
      </c>
      <c r="E20" s="15">
        <v>2.56</v>
      </c>
    </row>
    <row r="21" spans="1:5" x14ac:dyDescent="0.4">
      <c r="A21" s="73" t="s">
        <v>92</v>
      </c>
      <c r="B21" s="73" t="s">
        <v>93</v>
      </c>
      <c r="C21" s="78">
        <v>53</v>
      </c>
      <c r="D21" s="78">
        <v>86443000</v>
      </c>
      <c r="E21" s="15">
        <v>2.5099999999999998</v>
      </c>
    </row>
    <row r="22" spans="1:5" x14ac:dyDescent="0.4">
      <c r="A22" s="73" t="s">
        <v>102</v>
      </c>
      <c r="B22" s="73" t="s">
        <v>103</v>
      </c>
      <c r="C22" s="78">
        <v>478</v>
      </c>
      <c r="D22" s="78">
        <v>75667400</v>
      </c>
      <c r="E22" s="15">
        <v>2.19</v>
      </c>
    </row>
    <row r="23" spans="1:5" x14ac:dyDescent="0.4">
      <c r="A23" s="73" t="s">
        <v>330</v>
      </c>
      <c r="B23" s="73" t="s">
        <v>331</v>
      </c>
      <c r="C23" s="77">
        <v>100</v>
      </c>
      <c r="D23" s="78">
        <v>71100000</v>
      </c>
      <c r="E23" s="15">
        <v>2.06</v>
      </c>
    </row>
    <row r="24" spans="1:5" x14ac:dyDescent="0.4">
      <c r="A24" s="73" t="s">
        <v>104</v>
      </c>
      <c r="B24" s="73" t="s">
        <v>105</v>
      </c>
      <c r="C24" s="77">
        <v>100</v>
      </c>
      <c r="D24" s="78">
        <v>70000000</v>
      </c>
      <c r="E24" s="15">
        <v>2.0299999999999998</v>
      </c>
    </row>
    <row r="25" spans="1:5" x14ac:dyDescent="0.4">
      <c r="A25" s="73" t="s">
        <v>217</v>
      </c>
      <c r="B25" s="73" t="s">
        <v>218</v>
      </c>
      <c r="C25" s="78">
        <v>100</v>
      </c>
      <c r="D25" s="78">
        <v>66700000</v>
      </c>
      <c r="E25" s="15">
        <v>1.93</v>
      </c>
    </row>
    <row r="26" spans="1:5" x14ac:dyDescent="0.4">
      <c r="A26" s="73" t="s">
        <v>303</v>
      </c>
      <c r="B26" s="73" t="s">
        <v>304</v>
      </c>
      <c r="C26" s="78">
        <v>91</v>
      </c>
      <c r="D26" s="78">
        <v>65884000</v>
      </c>
      <c r="E26" s="15">
        <v>1.91</v>
      </c>
    </row>
    <row r="27" spans="1:5" x14ac:dyDescent="0.4">
      <c r="A27" s="73" t="s">
        <v>172</v>
      </c>
      <c r="B27" s="73" t="s">
        <v>173</v>
      </c>
      <c r="C27" s="78">
        <v>102</v>
      </c>
      <c r="D27" s="78">
        <v>62424000</v>
      </c>
      <c r="E27" s="15">
        <v>1.81</v>
      </c>
    </row>
    <row r="28" spans="1:5" x14ac:dyDescent="0.4">
      <c r="A28" s="73" t="s">
        <v>135</v>
      </c>
      <c r="B28" s="73" t="s">
        <v>136</v>
      </c>
      <c r="C28" s="78">
        <v>88</v>
      </c>
      <c r="D28" s="78">
        <v>43252000</v>
      </c>
      <c r="E28" s="15">
        <v>1.25</v>
      </c>
    </row>
    <row r="29" spans="1:5" x14ac:dyDescent="0.4">
      <c r="A29" s="73" t="s">
        <v>453</v>
      </c>
      <c r="B29" s="73" t="s">
        <v>454</v>
      </c>
      <c r="C29" s="78">
        <v>206</v>
      </c>
      <c r="D29" s="78">
        <v>40108200</v>
      </c>
      <c r="E29" s="15">
        <v>1.1599999999999999</v>
      </c>
    </row>
    <row r="30" spans="1:5" x14ac:dyDescent="0.4">
      <c r="A30" s="73" t="s">
        <v>37</v>
      </c>
      <c r="B30" s="73" t="s">
        <v>38</v>
      </c>
      <c r="C30" s="78">
        <v>350</v>
      </c>
      <c r="D30" s="78">
        <v>38920000</v>
      </c>
      <c r="E30" s="15">
        <v>1.1299999999999999</v>
      </c>
    </row>
    <row r="31" spans="1:5" x14ac:dyDescent="0.4">
      <c r="A31" s="73" t="s">
        <v>120</v>
      </c>
      <c r="B31" s="73" t="s">
        <v>121</v>
      </c>
      <c r="C31" s="78">
        <v>100</v>
      </c>
      <c r="D31" s="78">
        <v>35650000</v>
      </c>
      <c r="E31" s="15">
        <v>1.03</v>
      </c>
    </row>
    <row r="32" spans="1:5" x14ac:dyDescent="0.4">
      <c r="A32" s="73" t="s">
        <v>650</v>
      </c>
      <c r="B32" s="73" t="s">
        <v>651</v>
      </c>
      <c r="C32" s="78">
        <v>351</v>
      </c>
      <c r="D32" s="78">
        <v>33309900</v>
      </c>
      <c r="E32" s="15">
        <v>0.97</v>
      </c>
    </row>
    <row r="33" spans="1:5" x14ac:dyDescent="0.4">
      <c r="A33" s="73" t="s">
        <v>122</v>
      </c>
      <c r="B33" s="73" t="s">
        <v>5163</v>
      </c>
      <c r="C33" s="78">
        <v>39</v>
      </c>
      <c r="D33" s="78">
        <v>33228000</v>
      </c>
      <c r="E33" s="15">
        <v>0.96</v>
      </c>
    </row>
    <row r="34" spans="1:5" x14ac:dyDescent="0.4">
      <c r="A34" s="73" t="s">
        <v>148</v>
      </c>
      <c r="B34" s="73" t="s">
        <v>149</v>
      </c>
      <c r="C34" s="78">
        <v>80</v>
      </c>
      <c r="D34" s="78">
        <v>32800000</v>
      </c>
      <c r="E34" s="15">
        <v>0.95</v>
      </c>
    </row>
    <row r="35" spans="1:5" x14ac:dyDescent="0.4">
      <c r="A35" s="73" t="s">
        <v>133</v>
      </c>
      <c r="B35" s="73" t="s">
        <v>134</v>
      </c>
      <c r="C35" s="78">
        <v>99</v>
      </c>
      <c r="D35" s="78">
        <v>17820000</v>
      </c>
      <c r="E35" s="15">
        <v>0.52</v>
      </c>
    </row>
    <row r="36" spans="1:5" x14ac:dyDescent="0.4">
      <c r="A36" s="73" t="s">
        <v>326</v>
      </c>
      <c r="B36" s="73" t="s">
        <v>327</v>
      </c>
      <c r="C36" s="78">
        <v>90</v>
      </c>
      <c r="D36" s="78">
        <v>11574000</v>
      </c>
      <c r="E36" s="15">
        <v>0.34</v>
      </c>
    </row>
    <row r="37" spans="1:5" x14ac:dyDescent="0.4">
      <c r="A37" s="73"/>
      <c r="B37" s="73" t="s">
        <v>10</v>
      </c>
      <c r="C37" s="78">
        <v>19281700</v>
      </c>
      <c r="D37" s="78">
        <v>19281700</v>
      </c>
      <c r="E37" s="15">
        <v>0.56000000000000005</v>
      </c>
    </row>
    <row r="38" spans="1:5" x14ac:dyDescent="0.4">
      <c r="C38" s="13"/>
      <c r="D38" s="13"/>
      <c r="E38" s="7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5" t="s">
        <v>526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217</v>
      </c>
      <c r="B11" s="74" t="s">
        <v>218</v>
      </c>
      <c r="C11" s="76">
        <v>254</v>
      </c>
      <c r="D11" s="76">
        <v>156210000</v>
      </c>
      <c r="E11" s="19">
        <v>10.050000000000001</v>
      </c>
      <c r="F11" s="17"/>
      <c r="G11" s="17"/>
    </row>
    <row r="12" spans="1:7" x14ac:dyDescent="0.4">
      <c r="A12" s="73" t="s">
        <v>301</v>
      </c>
      <c r="B12" s="74" t="s">
        <v>302</v>
      </c>
      <c r="C12" s="81">
        <v>1314</v>
      </c>
      <c r="D12" s="76">
        <v>135736200</v>
      </c>
      <c r="E12" s="19">
        <v>8.74</v>
      </c>
      <c r="F12" s="17"/>
      <c r="G12" s="17"/>
    </row>
    <row r="13" spans="1:7" x14ac:dyDescent="0.4">
      <c r="A13" s="73" t="s">
        <v>138</v>
      </c>
      <c r="B13" s="73" t="s">
        <v>139</v>
      </c>
      <c r="C13" s="78">
        <v>5527</v>
      </c>
      <c r="D13" s="78">
        <v>131266250</v>
      </c>
      <c r="E13" s="15">
        <v>8.4499999999999993</v>
      </c>
    </row>
    <row r="14" spans="1:7" x14ac:dyDescent="0.4">
      <c r="A14" s="73" t="s">
        <v>289</v>
      </c>
      <c r="B14" s="73" t="s">
        <v>290</v>
      </c>
      <c r="C14" s="78">
        <v>325</v>
      </c>
      <c r="D14" s="78">
        <v>116512500</v>
      </c>
      <c r="E14" s="15">
        <v>7.5</v>
      </c>
    </row>
    <row r="15" spans="1:7" x14ac:dyDescent="0.4">
      <c r="A15" s="73" t="s">
        <v>368</v>
      </c>
      <c r="B15" s="73" t="s">
        <v>369</v>
      </c>
      <c r="C15" s="77">
        <v>6147</v>
      </c>
      <c r="D15" s="78">
        <v>112182750</v>
      </c>
      <c r="E15" s="15">
        <v>7.22</v>
      </c>
    </row>
    <row r="16" spans="1:7" x14ac:dyDescent="0.4">
      <c r="A16" s="73" t="s">
        <v>364</v>
      </c>
      <c r="B16" s="73" t="s">
        <v>365</v>
      </c>
      <c r="C16" s="77">
        <v>1463</v>
      </c>
      <c r="D16" s="78">
        <v>100654400</v>
      </c>
      <c r="E16" s="15">
        <v>6.48</v>
      </c>
    </row>
    <row r="17" spans="1:7" x14ac:dyDescent="0.4">
      <c r="A17" s="73" t="s">
        <v>4902</v>
      </c>
      <c r="B17" s="74" t="s">
        <v>4903</v>
      </c>
      <c r="C17" s="81">
        <v>1798</v>
      </c>
      <c r="D17" s="76">
        <v>96372800</v>
      </c>
      <c r="E17" s="19">
        <v>6.2</v>
      </c>
      <c r="F17" s="17"/>
      <c r="G17" s="17"/>
    </row>
    <row r="18" spans="1:7" x14ac:dyDescent="0.4">
      <c r="A18" s="73" t="s">
        <v>219</v>
      </c>
      <c r="B18" s="73" t="s">
        <v>220</v>
      </c>
      <c r="C18" s="78">
        <v>3500</v>
      </c>
      <c r="D18" s="78">
        <v>96250000</v>
      </c>
      <c r="E18" s="15">
        <v>6.19</v>
      </c>
    </row>
    <row r="19" spans="1:7" x14ac:dyDescent="0.4">
      <c r="A19" s="73" t="s">
        <v>366</v>
      </c>
      <c r="B19" s="73" t="s">
        <v>367</v>
      </c>
      <c r="C19" s="78">
        <v>1715</v>
      </c>
      <c r="D19" s="78">
        <v>94325000</v>
      </c>
      <c r="E19" s="15">
        <v>6.07</v>
      </c>
    </row>
    <row r="20" spans="1:7" x14ac:dyDescent="0.4">
      <c r="A20" s="73" t="s">
        <v>293</v>
      </c>
      <c r="B20" s="73" t="s">
        <v>294</v>
      </c>
      <c r="C20" s="78">
        <v>392</v>
      </c>
      <c r="D20" s="78">
        <v>88592000</v>
      </c>
      <c r="E20" s="15">
        <v>5.7</v>
      </c>
    </row>
    <row r="21" spans="1:7" x14ac:dyDescent="0.4">
      <c r="A21" s="73" t="s">
        <v>336</v>
      </c>
      <c r="B21" s="73" t="s">
        <v>337</v>
      </c>
      <c r="C21" s="78">
        <v>12613</v>
      </c>
      <c r="D21" s="78">
        <v>60542400</v>
      </c>
      <c r="E21" s="15">
        <v>3.9</v>
      </c>
    </row>
    <row r="22" spans="1:7" x14ac:dyDescent="0.4">
      <c r="A22" s="73" t="s">
        <v>374</v>
      </c>
      <c r="B22" s="74" t="s">
        <v>375</v>
      </c>
      <c r="C22" s="76">
        <v>25576</v>
      </c>
      <c r="D22" s="76">
        <v>47750392</v>
      </c>
      <c r="E22" s="19">
        <v>3.07</v>
      </c>
      <c r="F22" s="17"/>
      <c r="G22" s="17"/>
    </row>
    <row r="23" spans="1:7" x14ac:dyDescent="0.4">
      <c r="A23" s="73" t="s">
        <v>160</v>
      </c>
      <c r="B23" s="74" t="s">
        <v>161</v>
      </c>
      <c r="C23" s="81">
        <v>2507</v>
      </c>
      <c r="D23" s="76">
        <v>46780620</v>
      </c>
      <c r="E23" s="19">
        <v>3.01</v>
      </c>
      <c r="F23" s="17"/>
      <c r="G23" s="17"/>
    </row>
    <row r="24" spans="1:7" x14ac:dyDescent="0.4">
      <c r="A24" s="73" t="s">
        <v>4998</v>
      </c>
      <c r="B24" s="73" t="s">
        <v>4999</v>
      </c>
      <c r="C24" s="77">
        <v>2450</v>
      </c>
      <c r="D24" s="78">
        <v>30968000</v>
      </c>
      <c r="E24" s="15">
        <v>1.99</v>
      </c>
    </row>
    <row r="25" spans="1:7" x14ac:dyDescent="0.4">
      <c r="A25" s="73" t="s">
        <v>166</v>
      </c>
      <c r="B25" s="73" t="s">
        <v>167</v>
      </c>
      <c r="C25" s="78">
        <v>146</v>
      </c>
      <c r="D25" s="78">
        <v>30660000</v>
      </c>
      <c r="E25" s="15">
        <v>1.97</v>
      </c>
    </row>
    <row r="26" spans="1:7" x14ac:dyDescent="0.4">
      <c r="A26" s="73" t="s">
        <v>372</v>
      </c>
      <c r="B26" s="73" t="s">
        <v>373</v>
      </c>
      <c r="C26" s="78">
        <v>918</v>
      </c>
      <c r="D26" s="78">
        <v>28320300</v>
      </c>
      <c r="E26" s="15">
        <v>1.82</v>
      </c>
    </row>
    <row r="27" spans="1:7" x14ac:dyDescent="0.4">
      <c r="A27" s="73" t="s">
        <v>309</v>
      </c>
      <c r="B27" s="73" t="s">
        <v>310</v>
      </c>
      <c r="C27" s="78">
        <v>337</v>
      </c>
      <c r="D27" s="78">
        <v>25949000</v>
      </c>
      <c r="E27" s="15">
        <v>1.67</v>
      </c>
    </row>
    <row r="28" spans="1:7" x14ac:dyDescent="0.4">
      <c r="A28" s="73" t="s">
        <v>299</v>
      </c>
      <c r="B28" s="73" t="s">
        <v>300</v>
      </c>
      <c r="C28" s="78">
        <v>50</v>
      </c>
      <c r="D28" s="78">
        <v>24550000</v>
      </c>
      <c r="E28" s="15">
        <v>1.58</v>
      </c>
    </row>
    <row r="29" spans="1:7" x14ac:dyDescent="0.4">
      <c r="A29" s="73" t="s">
        <v>287</v>
      </c>
      <c r="B29" s="73" t="s">
        <v>288</v>
      </c>
      <c r="C29" s="78">
        <v>66</v>
      </c>
      <c r="D29" s="78">
        <v>22968000</v>
      </c>
      <c r="E29" s="15">
        <v>1.48</v>
      </c>
    </row>
    <row r="30" spans="1:7" x14ac:dyDescent="0.4">
      <c r="A30" s="73" t="s">
        <v>116</v>
      </c>
      <c r="B30" s="73" t="s">
        <v>117</v>
      </c>
      <c r="C30" s="78">
        <v>184</v>
      </c>
      <c r="D30" s="78">
        <v>20166400</v>
      </c>
      <c r="E30" s="15">
        <v>1.3</v>
      </c>
    </row>
    <row r="31" spans="1:7" x14ac:dyDescent="0.4">
      <c r="A31" s="73" t="s">
        <v>303</v>
      </c>
      <c r="B31" s="73" t="s">
        <v>304</v>
      </c>
      <c r="C31" s="78">
        <v>22</v>
      </c>
      <c r="D31" s="78">
        <v>16786000</v>
      </c>
      <c r="E31" s="15">
        <v>1.08</v>
      </c>
    </row>
    <row r="32" spans="1:7" x14ac:dyDescent="0.4">
      <c r="A32" s="73" t="s">
        <v>500</v>
      </c>
      <c r="B32" s="73" t="s">
        <v>501</v>
      </c>
      <c r="C32" s="78">
        <v>778</v>
      </c>
      <c r="D32" s="78">
        <v>15793400</v>
      </c>
      <c r="E32" s="15">
        <v>1.02</v>
      </c>
    </row>
    <row r="33" spans="1:5" x14ac:dyDescent="0.4">
      <c r="A33" s="73" t="s">
        <v>2062</v>
      </c>
      <c r="B33" s="73" t="s">
        <v>2063</v>
      </c>
      <c r="C33" s="73">
        <v>474</v>
      </c>
      <c r="D33" s="78">
        <v>15428700</v>
      </c>
      <c r="E33" s="15">
        <v>0.99</v>
      </c>
    </row>
    <row r="34" spans="1:5" x14ac:dyDescent="0.4">
      <c r="A34" s="73" t="s">
        <v>1474</v>
      </c>
      <c r="B34" s="73" t="s">
        <v>1475</v>
      </c>
      <c r="C34" s="78">
        <v>226</v>
      </c>
      <c r="D34" s="78">
        <v>14554400</v>
      </c>
      <c r="E34" s="15">
        <v>0.94</v>
      </c>
    </row>
    <row r="35" spans="1:5" x14ac:dyDescent="0.4">
      <c r="A35" s="73" t="s">
        <v>353</v>
      </c>
      <c r="B35" s="73" t="s">
        <v>354</v>
      </c>
      <c r="C35" s="78">
        <v>103</v>
      </c>
      <c r="D35" s="78">
        <v>13668100</v>
      </c>
      <c r="E35" s="15">
        <v>0.88</v>
      </c>
    </row>
    <row r="36" spans="1:5" x14ac:dyDescent="0.4">
      <c r="A36" s="73"/>
      <c r="B36" s="73" t="s">
        <v>10</v>
      </c>
      <c r="C36" s="78">
        <v>10694937</v>
      </c>
      <c r="D36" s="78">
        <v>10694937</v>
      </c>
      <c r="E36" s="15">
        <v>0.69</v>
      </c>
    </row>
    <row r="37" spans="1:5" x14ac:dyDescent="0.4">
      <c r="C37" s="13"/>
      <c r="D37" s="13"/>
      <c r="E37" s="7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5" t="s">
        <v>526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217</v>
      </c>
      <c r="B11" s="73" t="s">
        <v>218</v>
      </c>
      <c r="C11" s="78">
        <v>254</v>
      </c>
      <c r="D11" s="78">
        <v>169418000</v>
      </c>
      <c r="E11" s="15">
        <v>9.9</v>
      </c>
    </row>
    <row r="12" spans="1:5" x14ac:dyDescent="0.4">
      <c r="A12" s="73" t="s">
        <v>301</v>
      </c>
      <c r="B12" s="73" t="s">
        <v>302</v>
      </c>
      <c r="C12" s="77">
        <v>1314</v>
      </c>
      <c r="D12" s="78">
        <v>168717600</v>
      </c>
      <c r="E12" s="15">
        <v>9.86</v>
      </c>
    </row>
    <row r="13" spans="1:5" x14ac:dyDescent="0.4">
      <c r="A13" s="73" t="s">
        <v>138</v>
      </c>
      <c r="B13" s="73" t="s">
        <v>139</v>
      </c>
      <c r="C13" s="78">
        <v>5527</v>
      </c>
      <c r="D13" s="78">
        <v>152268850</v>
      </c>
      <c r="E13" s="15">
        <v>8.9</v>
      </c>
    </row>
    <row r="14" spans="1:5" x14ac:dyDescent="0.4">
      <c r="A14" s="73" t="s">
        <v>289</v>
      </c>
      <c r="B14" s="73" t="s">
        <v>290</v>
      </c>
      <c r="C14" s="78">
        <v>325</v>
      </c>
      <c r="D14" s="78">
        <v>136175000</v>
      </c>
      <c r="E14" s="15">
        <v>7.96</v>
      </c>
    </row>
    <row r="15" spans="1:5" x14ac:dyDescent="0.4">
      <c r="A15" s="73" t="s">
        <v>4902</v>
      </c>
      <c r="B15" s="73" t="s">
        <v>4903</v>
      </c>
      <c r="C15" s="77">
        <v>1798</v>
      </c>
      <c r="D15" s="78">
        <v>108958800</v>
      </c>
      <c r="E15" s="15">
        <v>6.37</v>
      </c>
    </row>
    <row r="16" spans="1:5" x14ac:dyDescent="0.4">
      <c r="A16" s="73" t="s">
        <v>368</v>
      </c>
      <c r="B16" s="73" t="s">
        <v>369</v>
      </c>
      <c r="C16" s="77">
        <v>5634</v>
      </c>
      <c r="D16" s="78">
        <v>105975540</v>
      </c>
      <c r="E16" s="15">
        <v>6.19</v>
      </c>
    </row>
    <row r="17" spans="1:5" x14ac:dyDescent="0.4">
      <c r="A17" s="73" t="s">
        <v>366</v>
      </c>
      <c r="B17" s="73" t="s">
        <v>367</v>
      </c>
      <c r="C17" s="77">
        <v>1715</v>
      </c>
      <c r="D17" s="78">
        <v>104615000</v>
      </c>
      <c r="E17" s="15">
        <v>6.11</v>
      </c>
    </row>
    <row r="18" spans="1:5" x14ac:dyDescent="0.4">
      <c r="A18" s="73" t="s">
        <v>219</v>
      </c>
      <c r="B18" s="73" t="s">
        <v>220</v>
      </c>
      <c r="C18" s="78">
        <v>3333</v>
      </c>
      <c r="D18" s="78">
        <v>101156550</v>
      </c>
      <c r="E18" s="15">
        <v>5.91</v>
      </c>
    </row>
    <row r="19" spans="1:5" x14ac:dyDescent="0.4">
      <c r="A19" s="73" t="s">
        <v>364</v>
      </c>
      <c r="B19" s="73" t="s">
        <v>365</v>
      </c>
      <c r="C19" s="78">
        <v>1463</v>
      </c>
      <c r="D19" s="78">
        <v>98606200</v>
      </c>
      <c r="E19" s="15">
        <v>5.76</v>
      </c>
    </row>
    <row r="20" spans="1:5" x14ac:dyDescent="0.4">
      <c r="A20" s="73" t="s">
        <v>293</v>
      </c>
      <c r="B20" s="73" t="s">
        <v>294</v>
      </c>
      <c r="C20" s="78">
        <v>392</v>
      </c>
      <c r="D20" s="78">
        <v>88200000</v>
      </c>
      <c r="E20" s="15">
        <v>5.15</v>
      </c>
    </row>
    <row r="21" spans="1:5" x14ac:dyDescent="0.4">
      <c r="A21" s="73" t="s">
        <v>336</v>
      </c>
      <c r="B21" s="73" t="s">
        <v>337</v>
      </c>
      <c r="C21" s="78">
        <v>12613</v>
      </c>
      <c r="D21" s="78">
        <v>65335340</v>
      </c>
      <c r="E21" s="15">
        <v>3.82</v>
      </c>
    </row>
    <row r="22" spans="1:5" x14ac:dyDescent="0.4">
      <c r="A22" s="73" t="s">
        <v>374</v>
      </c>
      <c r="B22" s="73" t="s">
        <v>375</v>
      </c>
      <c r="C22" s="78">
        <v>25576</v>
      </c>
      <c r="D22" s="78">
        <v>50717208</v>
      </c>
      <c r="E22" s="15">
        <v>2.96</v>
      </c>
    </row>
    <row r="23" spans="1:5" x14ac:dyDescent="0.4">
      <c r="A23" s="73" t="s">
        <v>160</v>
      </c>
      <c r="B23" s="73" t="s">
        <v>161</v>
      </c>
      <c r="C23" s="77">
        <v>2507</v>
      </c>
      <c r="D23" s="78">
        <v>50516050</v>
      </c>
      <c r="E23" s="15">
        <v>2.95</v>
      </c>
    </row>
    <row r="24" spans="1:5" x14ac:dyDescent="0.4">
      <c r="A24" s="73" t="s">
        <v>166</v>
      </c>
      <c r="B24" s="73" t="s">
        <v>167</v>
      </c>
      <c r="C24" s="77">
        <v>190</v>
      </c>
      <c r="D24" s="78">
        <v>43795000</v>
      </c>
      <c r="E24" s="15">
        <v>2.56</v>
      </c>
    </row>
    <row r="25" spans="1:5" x14ac:dyDescent="0.4">
      <c r="A25" s="73" t="s">
        <v>303</v>
      </c>
      <c r="B25" s="73" t="s">
        <v>304</v>
      </c>
      <c r="C25" s="78">
        <v>56</v>
      </c>
      <c r="D25" s="78">
        <v>40544000</v>
      </c>
      <c r="E25" s="15">
        <v>2.37</v>
      </c>
    </row>
    <row r="26" spans="1:5" x14ac:dyDescent="0.4">
      <c r="A26" s="73" t="s">
        <v>4998</v>
      </c>
      <c r="B26" s="73" t="s">
        <v>4999</v>
      </c>
      <c r="C26" s="78">
        <v>2450</v>
      </c>
      <c r="D26" s="78">
        <v>34324500</v>
      </c>
      <c r="E26" s="15">
        <v>2.0099999999999998</v>
      </c>
    </row>
    <row r="27" spans="1:5" x14ac:dyDescent="0.4">
      <c r="A27" s="73" t="s">
        <v>372</v>
      </c>
      <c r="B27" s="73" t="s">
        <v>373</v>
      </c>
      <c r="C27" s="78">
        <v>918</v>
      </c>
      <c r="D27" s="78">
        <v>30982500</v>
      </c>
      <c r="E27" s="15">
        <v>1.81</v>
      </c>
    </row>
    <row r="28" spans="1:5" x14ac:dyDescent="0.4">
      <c r="A28" s="73" t="s">
        <v>309</v>
      </c>
      <c r="B28" s="73" t="s">
        <v>310</v>
      </c>
      <c r="C28" s="78">
        <v>337</v>
      </c>
      <c r="D28" s="78">
        <v>30700700</v>
      </c>
      <c r="E28" s="15">
        <v>1.79</v>
      </c>
    </row>
    <row r="29" spans="1:5" x14ac:dyDescent="0.4">
      <c r="A29" s="73" t="s">
        <v>299</v>
      </c>
      <c r="B29" s="73" t="s">
        <v>300</v>
      </c>
      <c r="C29" s="78">
        <v>50</v>
      </c>
      <c r="D29" s="78">
        <v>27750000</v>
      </c>
      <c r="E29" s="15">
        <v>1.62</v>
      </c>
    </row>
    <row r="30" spans="1:5" x14ac:dyDescent="0.4">
      <c r="A30" s="73" t="s">
        <v>287</v>
      </c>
      <c r="B30" s="73" t="s">
        <v>288</v>
      </c>
      <c r="C30" s="78">
        <v>66</v>
      </c>
      <c r="D30" s="78">
        <v>26697000</v>
      </c>
      <c r="E30" s="15">
        <v>1.56</v>
      </c>
    </row>
    <row r="31" spans="1:5" x14ac:dyDescent="0.4">
      <c r="A31" s="73" t="s">
        <v>500</v>
      </c>
      <c r="B31" s="73" t="s">
        <v>501</v>
      </c>
      <c r="C31" s="78">
        <v>987</v>
      </c>
      <c r="D31" s="78">
        <v>22010100</v>
      </c>
      <c r="E31" s="15">
        <v>1.29</v>
      </c>
    </row>
    <row r="32" spans="1:5" x14ac:dyDescent="0.4">
      <c r="A32" s="73" t="s">
        <v>116</v>
      </c>
      <c r="B32" s="73" t="s">
        <v>117</v>
      </c>
      <c r="C32" s="78">
        <v>184</v>
      </c>
      <c r="D32" s="78">
        <v>19375200</v>
      </c>
      <c r="E32" s="15">
        <v>1.1299999999999999</v>
      </c>
    </row>
    <row r="33" spans="1:5" x14ac:dyDescent="0.4">
      <c r="A33" s="73" t="s">
        <v>353</v>
      </c>
      <c r="B33" s="73" t="s">
        <v>354</v>
      </c>
      <c r="C33" s="73">
        <v>103</v>
      </c>
      <c r="D33" s="78">
        <v>17448200</v>
      </c>
      <c r="E33" s="15">
        <v>1.02</v>
      </c>
    </row>
    <row r="34" spans="1:5" x14ac:dyDescent="0.4">
      <c r="A34" s="73" t="s">
        <v>1474</v>
      </c>
      <c r="B34" s="73" t="s">
        <v>1475</v>
      </c>
      <c r="C34" s="78">
        <v>226</v>
      </c>
      <c r="D34" s="78">
        <v>17334200</v>
      </c>
      <c r="E34" s="15">
        <v>1.01</v>
      </c>
    </row>
    <row r="35" spans="1:5" x14ac:dyDescent="0.4">
      <c r="A35" s="73"/>
      <c r="B35" s="73" t="s">
        <v>10</v>
      </c>
      <c r="C35" s="78">
        <v>-1589163</v>
      </c>
      <c r="D35" s="78">
        <v>-1589163</v>
      </c>
      <c r="E35" s="15"/>
    </row>
    <row r="36" spans="1:5" x14ac:dyDescent="0.4">
      <c r="C36" s="13"/>
      <c r="D36" s="13"/>
      <c r="E36" s="7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5" t="s">
        <v>527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374</v>
      </c>
      <c r="D11" s="76">
        <v>117623000</v>
      </c>
      <c r="E11" s="19">
        <v>24.56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39</v>
      </c>
      <c r="D12" s="76">
        <v>99840000</v>
      </c>
      <c r="E12" s="19">
        <v>20.84</v>
      </c>
      <c r="F12" s="17"/>
      <c r="G12" s="17"/>
    </row>
    <row r="13" spans="1:7" x14ac:dyDescent="0.4">
      <c r="A13" s="73" t="s">
        <v>451</v>
      </c>
      <c r="B13" s="74" t="s">
        <v>452</v>
      </c>
      <c r="C13" s="76">
        <v>30</v>
      </c>
      <c r="D13" s="76">
        <v>66150000</v>
      </c>
      <c r="E13" s="19">
        <v>13.81</v>
      </c>
      <c r="F13" s="17"/>
      <c r="G13" s="17"/>
    </row>
    <row r="14" spans="1:7" x14ac:dyDescent="0.4">
      <c r="A14" s="73" t="s">
        <v>469</v>
      </c>
      <c r="B14" s="74" t="s">
        <v>470</v>
      </c>
      <c r="C14" s="76">
        <v>88</v>
      </c>
      <c r="D14" s="76">
        <v>18612000</v>
      </c>
      <c r="E14" s="19">
        <v>3.89</v>
      </c>
      <c r="F14" s="17"/>
      <c r="G14" s="17"/>
    </row>
    <row r="15" spans="1:7" x14ac:dyDescent="0.4">
      <c r="A15" s="73" t="s">
        <v>355</v>
      </c>
      <c r="B15" s="74" t="s">
        <v>356</v>
      </c>
      <c r="C15" s="74">
        <v>120</v>
      </c>
      <c r="D15" s="76">
        <v>18528000</v>
      </c>
      <c r="E15" s="19">
        <v>3.87</v>
      </c>
      <c r="F15" s="17"/>
      <c r="G15" s="17"/>
    </row>
    <row r="16" spans="1:7" x14ac:dyDescent="0.4">
      <c r="A16" s="73" t="s">
        <v>482</v>
      </c>
      <c r="B16" s="74" t="s">
        <v>483</v>
      </c>
      <c r="C16" s="76">
        <v>132</v>
      </c>
      <c r="D16" s="76">
        <v>15800400</v>
      </c>
      <c r="E16" s="19">
        <v>3.3</v>
      </c>
      <c r="F16" s="17"/>
      <c r="G16" s="17"/>
    </row>
    <row r="17" spans="1:7" x14ac:dyDescent="0.4">
      <c r="A17" s="73" t="s">
        <v>752</v>
      </c>
      <c r="B17" s="73" t="s">
        <v>753</v>
      </c>
      <c r="C17" s="78">
        <v>73</v>
      </c>
      <c r="D17" s="78">
        <v>15549000</v>
      </c>
      <c r="E17" s="15">
        <v>3.25</v>
      </c>
    </row>
    <row r="18" spans="1:7" x14ac:dyDescent="0.4">
      <c r="A18" s="73" t="s">
        <v>640</v>
      </c>
      <c r="B18" s="74" t="s">
        <v>641</v>
      </c>
      <c r="C18" s="76">
        <v>73</v>
      </c>
      <c r="D18" s="76">
        <v>13811600</v>
      </c>
      <c r="E18" s="19">
        <v>2.88</v>
      </c>
      <c r="F18" s="17"/>
      <c r="G18" s="17"/>
    </row>
    <row r="19" spans="1:7" x14ac:dyDescent="0.4">
      <c r="A19" s="73" t="s">
        <v>45</v>
      </c>
      <c r="B19" s="73" t="s">
        <v>46</v>
      </c>
      <c r="C19" s="77">
        <v>76</v>
      </c>
      <c r="D19" s="78">
        <v>12692000</v>
      </c>
      <c r="E19" s="15">
        <v>2.65</v>
      </c>
    </row>
    <row r="20" spans="1:7" x14ac:dyDescent="0.4">
      <c r="A20" s="73" t="s">
        <v>212</v>
      </c>
      <c r="B20" s="73" t="s">
        <v>213</v>
      </c>
      <c r="C20" s="77">
        <v>77</v>
      </c>
      <c r="D20" s="78">
        <v>10256400</v>
      </c>
      <c r="E20" s="15">
        <v>2.14</v>
      </c>
    </row>
    <row r="21" spans="1:7" x14ac:dyDescent="0.4">
      <c r="A21" s="73" t="s">
        <v>718</v>
      </c>
      <c r="B21" s="73" t="s">
        <v>719</v>
      </c>
      <c r="C21" s="78">
        <v>107</v>
      </c>
      <c r="D21" s="78">
        <v>8838200</v>
      </c>
      <c r="E21" s="15">
        <v>1.85</v>
      </c>
    </row>
    <row r="22" spans="1:7" x14ac:dyDescent="0.4">
      <c r="A22" s="73" t="s">
        <v>676</v>
      </c>
      <c r="B22" s="73" t="s">
        <v>677</v>
      </c>
      <c r="C22" s="77">
        <v>75</v>
      </c>
      <c r="D22" s="78">
        <v>8445000</v>
      </c>
      <c r="E22" s="15">
        <v>1.76</v>
      </c>
    </row>
    <row r="23" spans="1:7" x14ac:dyDescent="0.4">
      <c r="A23" s="73" t="s">
        <v>299</v>
      </c>
      <c r="B23" s="73" t="s">
        <v>300</v>
      </c>
      <c r="C23" s="77">
        <v>17</v>
      </c>
      <c r="D23" s="78">
        <v>8347000</v>
      </c>
      <c r="E23" s="15">
        <v>1.74</v>
      </c>
    </row>
    <row r="24" spans="1:7" x14ac:dyDescent="0.4">
      <c r="A24" s="73" t="s">
        <v>477</v>
      </c>
      <c r="B24" s="73" t="s">
        <v>478</v>
      </c>
      <c r="C24" s="77">
        <v>50</v>
      </c>
      <c r="D24" s="78">
        <v>8325000</v>
      </c>
      <c r="E24" s="15">
        <v>1.74</v>
      </c>
    </row>
    <row r="25" spans="1:7" x14ac:dyDescent="0.4">
      <c r="A25" s="73" t="s">
        <v>566</v>
      </c>
      <c r="B25" s="73" t="s">
        <v>567</v>
      </c>
      <c r="C25" s="78">
        <v>29</v>
      </c>
      <c r="D25" s="78">
        <v>8004000</v>
      </c>
      <c r="E25" s="15">
        <v>1.67</v>
      </c>
    </row>
    <row r="26" spans="1:7" x14ac:dyDescent="0.4">
      <c r="A26" s="73" t="s">
        <v>3652</v>
      </c>
      <c r="B26" s="73" t="s">
        <v>3653</v>
      </c>
      <c r="C26" s="78">
        <v>118</v>
      </c>
      <c r="D26" s="78">
        <v>6525400</v>
      </c>
      <c r="E26" s="15">
        <v>1.36</v>
      </c>
    </row>
    <row r="27" spans="1:7" x14ac:dyDescent="0.4">
      <c r="A27" s="73" t="s">
        <v>92</v>
      </c>
      <c r="B27" s="73" t="s">
        <v>93</v>
      </c>
      <c r="C27" s="78">
        <v>4</v>
      </c>
      <c r="D27" s="78">
        <v>6360000</v>
      </c>
      <c r="E27" s="15">
        <v>1.33</v>
      </c>
    </row>
    <row r="28" spans="1:7" x14ac:dyDescent="0.4">
      <c r="A28" s="73" t="s">
        <v>347</v>
      </c>
      <c r="B28" s="73" t="s">
        <v>348</v>
      </c>
      <c r="C28" s="78">
        <v>42</v>
      </c>
      <c r="D28" s="78">
        <v>5581800</v>
      </c>
      <c r="E28" s="15">
        <v>1.17</v>
      </c>
    </row>
    <row r="29" spans="1:7" x14ac:dyDescent="0.4">
      <c r="A29" s="73" t="s">
        <v>630</v>
      </c>
      <c r="B29" s="73" t="s">
        <v>631</v>
      </c>
      <c r="C29" s="78">
        <v>275</v>
      </c>
      <c r="D29" s="78">
        <v>5500000</v>
      </c>
      <c r="E29" s="15">
        <v>1.1499999999999999</v>
      </c>
    </row>
    <row r="30" spans="1:7" x14ac:dyDescent="0.4">
      <c r="A30" s="73" t="s">
        <v>572</v>
      </c>
      <c r="B30" s="73" t="s">
        <v>573</v>
      </c>
      <c r="C30" s="77">
        <v>98</v>
      </c>
      <c r="D30" s="78">
        <v>5321400</v>
      </c>
      <c r="E30" s="15">
        <v>1.1100000000000001</v>
      </c>
    </row>
    <row r="31" spans="1:7" x14ac:dyDescent="0.4">
      <c r="A31" s="73" t="s">
        <v>486</v>
      </c>
      <c r="B31" s="73" t="s">
        <v>487</v>
      </c>
      <c r="C31" s="78">
        <v>33</v>
      </c>
      <c r="D31" s="78">
        <v>5190900</v>
      </c>
      <c r="E31" s="15">
        <v>1.08</v>
      </c>
    </row>
    <row r="32" spans="1:7" x14ac:dyDescent="0.4">
      <c r="A32" s="73" t="s">
        <v>4576</v>
      </c>
      <c r="B32" s="73" t="s">
        <v>4577</v>
      </c>
      <c r="C32" s="78">
        <v>79</v>
      </c>
      <c r="D32" s="78">
        <v>3855200</v>
      </c>
      <c r="E32" s="15">
        <v>0.8</v>
      </c>
    </row>
    <row r="33" spans="1:5" x14ac:dyDescent="0.4">
      <c r="A33" s="73" t="s">
        <v>188</v>
      </c>
      <c r="B33" s="73" t="s">
        <v>189</v>
      </c>
      <c r="C33" s="78">
        <v>2</v>
      </c>
      <c r="D33" s="78">
        <v>3514000</v>
      </c>
      <c r="E33" s="15">
        <v>0.73</v>
      </c>
    </row>
    <row r="34" spans="1:5" x14ac:dyDescent="0.4">
      <c r="A34" s="73"/>
      <c r="B34" s="73" t="s">
        <v>10</v>
      </c>
      <c r="C34" s="78">
        <v>6322440</v>
      </c>
      <c r="D34" s="78">
        <v>6322440</v>
      </c>
      <c r="E34" s="15">
        <v>1.32</v>
      </c>
    </row>
    <row r="35" spans="1:5" x14ac:dyDescent="0.4">
      <c r="C35" s="13"/>
      <c r="D35" s="13"/>
      <c r="E35" s="73"/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5" t="s">
        <v>527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363</v>
      </c>
      <c r="D11" s="78">
        <v>128502000</v>
      </c>
      <c r="E11" s="15">
        <v>26.01</v>
      </c>
    </row>
    <row r="12" spans="1:5" x14ac:dyDescent="0.4">
      <c r="A12" s="73" t="s">
        <v>13</v>
      </c>
      <c r="B12" s="73" t="s">
        <v>14</v>
      </c>
      <c r="C12" s="77">
        <v>40</v>
      </c>
      <c r="D12" s="78">
        <v>110560000</v>
      </c>
      <c r="E12" s="15">
        <v>22.38</v>
      </c>
    </row>
    <row r="13" spans="1:5" x14ac:dyDescent="0.4">
      <c r="A13" s="73" t="s">
        <v>451</v>
      </c>
      <c r="B13" s="73" t="s">
        <v>452</v>
      </c>
      <c r="C13" s="73">
        <v>31</v>
      </c>
      <c r="D13" s="78">
        <v>70370000</v>
      </c>
      <c r="E13" s="15">
        <v>14.24</v>
      </c>
    </row>
    <row r="14" spans="1:5" x14ac:dyDescent="0.4">
      <c r="A14" s="73" t="s">
        <v>355</v>
      </c>
      <c r="B14" s="73" t="s">
        <v>356</v>
      </c>
      <c r="C14" s="73">
        <v>120</v>
      </c>
      <c r="D14" s="78">
        <v>18756000</v>
      </c>
      <c r="E14" s="15">
        <v>3.8</v>
      </c>
    </row>
    <row r="15" spans="1:5" x14ac:dyDescent="0.4">
      <c r="A15" s="73" t="s">
        <v>469</v>
      </c>
      <c r="B15" s="73" t="s">
        <v>470</v>
      </c>
      <c r="C15" s="77">
        <v>93</v>
      </c>
      <c r="D15" s="78">
        <v>15345000</v>
      </c>
      <c r="E15" s="15">
        <v>3.11</v>
      </c>
    </row>
    <row r="16" spans="1:5" x14ac:dyDescent="0.4">
      <c r="A16" s="73" t="s">
        <v>299</v>
      </c>
      <c r="B16" s="73" t="s">
        <v>300</v>
      </c>
      <c r="C16" s="77">
        <v>27</v>
      </c>
      <c r="D16" s="78">
        <v>14985000</v>
      </c>
      <c r="E16" s="15">
        <v>3.03</v>
      </c>
    </row>
    <row r="17" spans="1:5" x14ac:dyDescent="0.4">
      <c r="A17" s="73" t="s">
        <v>752</v>
      </c>
      <c r="B17" s="73" t="s">
        <v>753</v>
      </c>
      <c r="C17" s="77">
        <v>71</v>
      </c>
      <c r="D17" s="78">
        <v>11800200</v>
      </c>
      <c r="E17" s="15">
        <v>2.39</v>
      </c>
    </row>
    <row r="18" spans="1:5" x14ac:dyDescent="0.4">
      <c r="A18" s="73" t="s">
        <v>482</v>
      </c>
      <c r="B18" s="73" t="s">
        <v>483</v>
      </c>
      <c r="C18" s="78">
        <v>132</v>
      </c>
      <c r="D18" s="78">
        <v>11668800</v>
      </c>
      <c r="E18" s="15">
        <v>2.36</v>
      </c>
    </row>
    <row r="19" spans="1:5" x14ac:dyDescent="0.4">
      <c r="A19" s="73" t="s">
        <v>676</v>
      </c>
      <c r="B19" s="73" t="s">
        <v>677</v>
      </c>
      <c r="C19" s="78">
        <v>75</v>
      </c>
      <c r="D19" s="78">
        <v>10080000</v>
      </c>
      <c r="E19" s="15">
        <v>2.04</v>
      </c>
    </row>
    <row r="20" spans="1:5" x14ac:dyDescent="0.4">
      <c r="A20" s="73" t="s">
        <v>764</v>
      </c>
      <c r="B20" s="73" t="s">
        <v>765</v>
      </c>
      <c r="C20" s="73">
        <v>84</v>
      </c>
      <c r="D20" s="78">
        <v>10004400</v>
      </c>
      <c r="E20" s="15">
        <v>2.0299999999999998</v>
      </c>
    </row>
    <row r="21" spans="1:5" x14ac:dyDescent="0.4">
      <c r="A21" s="73" t="s">
        <v>718</v>
      </c>
      <c r="B21" s="73" t="s">
        <v>719</v>
      </c>
      <c r="C21" s="78">
        <v>94</v>
      </c>
      <c r="D21" s="78">
        <v>9531600</v>
      </c>
      <c r="E21" s="15">
        <v>1.93</v>
      </c>
    </row>
    <row r="22" spans="1:5" x14ac:dyDescent="0.4">
      <c r="A22" s="73" t="s">
        <v>640</v>
      </c>
      <c r="B22" s="73" t="s">
        <v>641</v>
      </c>
      <c r="C22" s="78">
        <v>68</v>
      </c>
      <c r="D22" s="78">
        <v>9452000</v>
      </c>
      <c r="E22" s="15">
        <v>1.91</v>
      </c>
    </row>
    <row r="23" spans="1:5" x14ac:dyDescent="0.4">
      <c r="A23" s="73" t="s">
        <v>1966</v>
      </c>
      <c r="B23" s="73" t="s">
        <v>1967</v>
      </c>
      <c r="C23" s="77">
        <v>275</v>
      </c>
      <c r="D23" s="78">
        <v>7700000</v>
      </c>
      <c r="E23" s="15">
        <v>1.56</v>
      </c>
    </row>
    <row r="24" spans="1:5" x14ac:dyDescent="0.4">
      <c r="A24" s="73" t="s">
        <v>45</v>
      </c>
      <c r="B24" s="73" t="s">
        <v>46</v>
      </c>
      <c r="C24" s="77">
        <v>54</v>
      </c>
      <c r="D24" s="78">
        <v>7128000</v>
      </c>
      <c r="E24" s="15">
        <v>1.44</v>
      </c>
    </row>
    <row r="25" spans="1:5" x14ac:dyDescent="0.4">
      <c r="A25" s="73" t="s">
        <v>188</v>
      </c>
      <c r="B25" s="73" t="s">
        <v>189</v>
      </c>
      <c r="C25" s="78">
        <v>4</v>
      </c>
      <c r="D25" s="78">
        <v>7120000</v>
      </c>
      <c r="E25" s="15">
        <v>1.44</v>
      </c>
    </row>
    <row r="26" spans="1:5" x14ac:dyDescent="0.4">
      <c r="A26" s="73" t="s">
        <v>566</v>
      </c>
      <c r="B26" s="73" t="s">
        <v>567</v>
      </c>
      <c r="C26" s="73">
        <v>29</v>
      </c>
      <c r="D26" s="78">
        <v>7076000</v>
      </c>
      <c r="E26" s="15">
        <v>1.43</v>
      </c>
    </row>
    <row r="27" spans="1:5" x14ac:dyDescent="0.4">
      <c r="A27" s="73" t="s">
        <v>630</v>
      </c>
      <c r="B27" s="73" t="s">
        <v>631</v>
      </c>
      <c r="C27" s="78">
        <v>258</v>
      </c>
      <c r="D27" s="78">
        <v>6617700</v>
      </c>
      <c r="E27" s="15">
        <v>1.34</v>
      </c>
    </row>
    <row r="28" spans="1:5" x14ac:dyDescent="0.4">
      <c r="A28" s="73" t="s">
        <v>92</v>
      </c>
      <c r="B28" s="73" t="s">
        <v>93</v>
      </c>
      <c r="C28" s="73">
        <v>4</v>
      </c>
      <c r="D28" s="78">
        <v>6524000</v>
      </c>
      <c r="E28" s="15">
        <v>1.32</v>
      </c>
    </row>
    <row r="29" spans="1:5" x14ac:dyDescent="0.4">
      <c r="A29" s="73" t="s">
        <v>477</v>
      </c>
      <c r="B29" s="73" t="s">
        <v>478</v>
      </c>
      <c r="C29" s="78">
        <v>50</v>
      </c>
      <c r="D29" s="78">
        <v>5625000</v>
      </c>
      <c r="E29" s="15">
        <v>1.1399999999999999</v>
      </c>
    </row>
    <row r="30" spans="1:5" x14ac:dyDescent="0.4">
      <c r="A30" s="73" t="s">
        <v>572</v>
      </c>
      <c r="B30" s="73" t="s">
        <v>573</v>
      </c>
      <c r="C30" s="78">
        <v>98</v>
      </c>
      <c r="D30" s="78">
        <v>5341000</v>
      </c>
      <c r="E30" s="15">
        <v>1.08</v>
      </c>
    </row>
    <row r="31" spans="1:5" x14ac:dyDescent="0.4">
      <c r="A31" s="73" t="s">
        <v>4576</v>
      </c>
      <c r="B31" s="73" t="s">
        <v>4577</v>
      </c>
      <c r="C31" s="78">
        <v>87</v>
      </c>
      <c r="D31" s="78">
        <v>4584900</v>
      </c>
      <c r="E31" s="15">
        <v>0.93</v>
      </c>
    </row>
    <row r="32" spans="1:5" x14ac:dyDescent="0.4">
      <c r="A32" s="73" t="s">
        <v>493</v>
      </c>
      <c r="B32" s="73" t="s">
        <v>494</v>
      </c>
      <c r="C32" s="78">
        <v>17</v>
      </c>
      <c r="D32" s="78">
        <v>4394500</v>
      </c>
      <c r="E32" s="15">
        <v>0.89</v>
      </c>
    </row>
    <row r="33" spans="1:5" x14ac:dyDescent="0.4">
      <c r="A33" s="73" t="s">
        <v>347</v>
      </c>
      <c r="B33" s="73" t="s">
        <v>348</v>
      </c>
      <c r="C33" s="78">
        <v>35</v>
      </c>
      <c r="D33" s="78">
        <v>4028500</v>
      </c>
      <c r="E33" s="15">
        <v>0.82</v>
      </c>
    </row>
    <row r="34" spans="1:5" x14ac:dyDescent="0.4">
      <c r="A34" s="73" t="s">
        <v>4778</v>
      </c>
      <c r="B34" s="73" t="s">
        <v>4779</v>
      </c>
      <c r="C34" s="78">
        <v>335</v>
      </c>
      <c r="D34" s="78">
        <v>3929550</v>
      </c>
      <c r="E34" s="15">
        <v>0.8</v>
      </c>
    </row>
    <row r="35" spans="1:5" x14ac:dyDescent="0.4">
      <c r="A35" s="73"/>
      <c r="B35" s="73" t="s">
        <v>10</v>
      </c>
      <c r="C35" s="78">
        <v>2915758</v>
      </c>
      <c r="D35" s="78">
        <v>2915758</v>
      </c>
      <c r="E35" s="15">
        <v>0.59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5" t="s">
        <v>528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81</v>
      </c>
      <c r="D11" s="76">
        <v>207360000</v>
      </c>
      <c r="E11" s="19">
        <v>19.84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321</v>
      </c>
      <c r="D12" s="78">
        <v>100954500</v>
      </c>
      <c r="E12" s="15">
        <v>9.66</v>
      </c>
    </row>
    <row r="13" spans="1:7" x14ac:dyDescent="0.4">
      <c r="A13" s="73" t="s">
        <v>451</v>
      </c>
      <c r="B13" s="73" t="s">
        <v>452</v>
      </c>
      <c r="C13" s="78">
        <v>37</v>
      </c>
      <c r="D13" s="78">
        <v>81585000</v>
      </c>
      <c r="E13" s="15">
        <v>7.81</v>
      </c>
    </row>
    <row r="14" spans="1:7" x14ac:dyDescent="0.4">
      <c r="A14" s="73" t="s">
        <v>756</v>
      </c>
      <c r="B14" s="74" t="s">
        <v>757</v>
      </c>
      <c r="C14" s="76">
        <v>744</v>
      </c>
      <c r="D14" s="76">
        <v>76855200</v>
      </c>
      <c r="E14" s="19">
        <v>7.35</v>
      </c>
      <c r="F14" s="17"/>
      <c r="G14" s="17"/>
    </row>
    <row r="15" spans="1:7" x14ac:dyDescent="0.4">
      <c r="A15" s="73" t="s">
        <v>122</v>
      </c>
      <c r="B15" s="74" t="s">
        <v>5163</v>
      </c>
      <c r="C15" s="77">
        <v>65</v>
      </c>
      <c r="D15" s="78">
        <v>50050000</v>
      </c>
      <c r="E15" s="15">
        <v>4.79</v>
      </c>
    </row>
    <row r="16" spans="1:7" x14ac:dyDescent="0.4">
      <c r="A16" s="73" t="s">
        <v>392</v>
      </c>
      <c r="B16" s="73" t="s">
        <v>393</v>
      </c>
      <c r="C16" s="77">
        <v>156</v>
      </c>
      <c r="D16" s="78">
        <v>40794000</v>
      </c>
      <c r="E16" s="15">
        <v>3.9</v>
      </c>
    </row>
    <row r="17" spans="1:7" x14ac:dyDescent="0.4">
      <c r="A17" s="73" t="s">
        <v>19</v>
      </c>
      <c r="B17" s="74" t="s">
        <v>20</v>
      </c>
      <c r="C17" s="77">
        <v>153</v>
      </c>
      <c r="D17" s="78">
        <v>40315500</v>
      </c>
      <c r="E17" s="15">
        <v>3.86</v>
      </c>
    </row>
    <row r="18" spans="1:7" x14ac:dyDescent="0.4">
      <c r="A18" s="73" t="s">
        <v>217</v>
      </c>
      <c r="B18" s="73" t="s">
        <v>218</v>
      </c>
      <c r="C18" s="78">
        <v>64</v>
      </c>
      <c r="D18" s="78">
        <v>39360000</v>
      </c>
      <c r="E18" s="15">
        <v>3.77</v>
      </c>
    </row>
    <row r="19" spans="1:7" x14ac:dyDescent="0.4">
      <c r="A19" s="73" t="s">
        <v>63</v>
      </c>
      <c r="B19" s="74" t="s">
        <v>64</v>
      </c>
      <c r="C19" s="76">
        <v>86</v>
      </c>
      <c r="D19" s="76">
        <v>35088000</v>
      </c>
      <c r="E19" s="19">
        <v>3.36</v>
      </c>
      <c r="F19" s="17"/>
      <c r="G19" s="17"/>
    </row>
    <row r="20" spans="1:7" x14ac:dyDescent="0.4">
      <c r="A20" s="73" t="s">
        <v>606</v>
      </c>
      <c r="B20" s="73" t="s">
        <v>607</v>
      </c>
      <c r="C20" s="78">
        <v>526</v>
      </c>
      <c r="D20" s="78">
        <v>28930000</v>
      </c>
      <c r="E20" s="15">
        <v>2.77</v>
      </c>
    </row>
    <row r="21" spans="1:7" x14ac:dyDescent="0.4">
      <c r="A21" s="73" t="s">
        <v>309</v>
      </c>
      <c r="B21" s="73" t="s">
        <v>310</v>
      </c>
      <c r="C21" s="78">
        <v>359</v>
      </c>
      <c r="D21" s="78">
        <v>27643000</v>
      </c>
      <c r="E21" s="15">
        <v>2.65</v>
      </c>
    </row>
    <row r="22" spans="1:7" x14ac:dyDescent="0.4">
      <c r="A22" s="73" t="s">
        <v>140</v>
      </c>
      <c r="B22" s="73" t="s">
        <v>141</v>
      </c>
      <c r="C22" s="78">
        <v>54</v>
      </c>
      <c r="D22" s="78">
        <v>26325000</v>
      </c>
      <c r="E22" s="15">
        <v>2.52</v>
      </c>
    </row>
    <row r="23" spans="1:7" x14ac:dyDescent="0.4">
      <c r="A23" s="73" t="s">
        <v>242</v>
      </c>
      <c r="B23" s="73" t="s">
        <v>243</v>
      </c>
      <c r="C23" s="77">
        <v>129</v>
      </c>
      <c r="D23" s="78">
        <v>24935700</v>
      </c>
      <c r="E23" s="15">
        <v>2.39</v>
      </c>
    </row>
    <row r="24" spans="1:7" x14ac:dyDescent="0.4">
      <c r="A24" s="73" t="s">
        <v>347</v>
      </c>
      <c r="B24" s="73" t="s">
        <v>348</v>
      </c>
      <c r="C24" s="77">
        <v>183</v>
      </c>
      <c r="D24" s="78">
        <v>24320700</v>
      </c>
      <c r="E24" s="15">
        <v>2.33</v>
      </c>
    </row>
    <row r="25" spans="1:7" x14ac:dyDescent="0.4">
      <c r="A25" s="73" t="s">
        <v>289</v>
      </c>
      <c r="B25" s="73" t="s">
        <v>290</v>
      </c>
      <c r="C25" s="78">
        <v>65</v>
      </c>
      <c r="D25" s="78">
        <v>23302500</v>
      </c>
      <c r="E25" s="15">
        <v>2.23</v>
      </c>
    </row>
    <row r="26" spans="1:7" x14ac:dyDescent="0.4">
      <c r="A26" s="73" t="s">
        <v>11</v>
      </c>
      <c r="B26" s="73" t="s">
        <v>12</v>
      </c>
      <c r="C26" s="73">
        <v>6</v>
      </c>
      <c r="D26" s="78">
        <v>22308000</v>
      </c>
      <c r="E26" s="15">
        <v>2.13</v>
      </c>
    </row>
    <row r="27" spans="1:7" x14ac:dyDescent="0.4">
      <c r="A27" s="73" t="s">
        <v>301</v>
      </c>
      <c r="B27" s="73" t="s">
        <v>302</v>
      </c>
      <c r="C27" s="78">
        <v>214</v>
      </c>
      <c r="D27" s="78">
        <v>22106200</v>
      </c>
      <c r="E27" s="15">
        <v>2.12</v>
      </c>
    </row>
    <row r="28" spans="1:7" x14ac:dyDescent="0.4">
      <c r="A28" s="73" t="s">
        <v>15</v>
      </c>
      <c r="B28" s="74" t="s">
        <v>16</v>
      </c>
      <c r="C28" s="76">
        <v>18</v>
      </c>
      <c r="D28" s="76">
        <v>18216000</v>
      </c>
      <c r="E28" s="19">
        <v>1.74</v>
      </c>
      <c r="F28" s="17"/>
      <c r="G28" s="17"/>
    </row>
    <row r="29" spans="1:7" x14ac:dyDescent="0.4">
      <c r="A29" s="73" t="s">
        <v>299</v>
      </c>
      <c r="B29" s="73" t="s">
        <v>300</v>
      </c>
      <c r="C29" s="78">
        <v>37</v>
      </c>
      <c r="D29" s="78">
        <v>18167000</v>
      </c>
      <c r="E29" s="15">
        <v>1.74</v>
      </c>
    </row>
    <row r="30" spans="1:7" x14ac:dyDescent="0.4">
      <c r="A30" s="73" t="s">
        <v>78</v>
      </c>
      <c r="B30" s="73" t="s">
        <v>79</v>
      </c>
      <c r="C30" s="78">
        <v>15</v>
      </c>
      <c r="D30" s="78">
        <v>17430000</v>
      </c>
      <c r="E30" s="15">
        <v>1.67</v>
      </c>
    </row>
    <row r="31" spans="1:7" x14ac:dyDescent="0.4">
      <c r="A31" s="73" t="s">
        <v>326</v>
      </c>
      <c r="B31" s="73" t="s">
        <v>327</v>
      </c>
      <c r="C31" s="78">
        <v>147</v>
      </c>
      <c r="D31" s="78">
        <v>16170000</v>
      </c>
      <c r="E31" s="15">
        <v>1.55</v>
      </c>
    </row>
    <row r="32" spans="1:7" x14ac:dyDescent="0.4">
      <c r="A32" s="73" t="s">
        <v>550</v>
      </c>
      <c r="B32" s="73" t="s">
        <v>551</v>
      </c>
      <c r="C32" s="78">
        <v>104</v>
      </c>
      <c r="D32" s="78">
        <v>16036800</v>
      </c>
      <c r="E32" s="15">
        <v>1.53</v>
      </c>
    </row>
    <row r="33" spans="1:7" x14ac:dyDescent="0.4">
      <c r="A33" s="73" t="s">
        <v>351</v>
      </c>
      <c r="B33" s="73" t="s">
        <v>352</v>
      </c>
      <c r="C33" s="78">
        <v>85</v>
      </c>
      <c r="D33" s="78">
        <v>14509500</v>
      </c>
      <c r="E33" s="15">
        <v>1.39</v>
      </c>
    </row>
    <row r="34" spans="1:7" x14ac:dyDescent="0.4">
      <c r="A34" s="73" t="s">
        <v>73</v>
      </c>
      <c r="B34" s="73" t="s">
        <v>74</v>
      </c>
      <c r="C34" s="78">
        <v>11</v>
      </c>
      <c r="D34" s="78">
        <v>12001000</v>
      </c>
      <c r="E34" s="15">
        <v>1.1499999999999999</v>
      </c>
    </row>
    <row r="35" spans="1:7" x14ac:dyDescent="0.4">
      <c r="A35" s="73" t="s">
        <v>172</v>
      </c>
      <c r="B35" s="74" t="s">
        <v>173</v>
      </c>
      <c r="C35" s="76">
        <v>21</v>
      </c>
      <c r="D35" s="76">
        <v>10374000</v>
      </c>
      <c r="E35" s="19">
        <v>0.99</v>
      </c>
      <c r="F35" s="17"/>
      <c r="G35" s="17"/>
    </row>
    <row r="36" spans="1:7" x14ac:dyDescent="0.4">
      <c r="A36" s="73" t="s">
        <v>696</v>
      </c>
      <c r="B36" s="73" t="s">
        <v>697</v>
      </c>
      <c r="C36" s="78">
        <v>33</v>
      </c>
      <c r="D36" s="78">
        <v>8134500</v>
      </c>
      <c r="E36" s="15">
        <v>0.78</v>
      </c>
    </row>
    <row r="37" spans="1:7" x14ac:dyDescent="0.4">
      <c r="A37" s="73" t="s">
        <v>397</v>
      </c>
      <c r="B37" s="73" t="s">
        <v>398</v>
      </c>
      <c r="C37" s="78">
        <v>86</v>
      </c>
      <c r="D37" s="78">
        <v>7998000</v>
      </c>
      <c r="E37" s="15">
        <v>0.77</v>
      </c>
    </row>
    <row r="38" spans="1:7" x14ac:dyDescent="0.4">
      <c r="A38" s="73" t="s">
        <v>2239</v>
      </c>
      <c r="B38" s="73" t="s">
        <v>2240</v>
      </c>
      <c r="C38" s="78">
        <v>231</v>
      </c>
      <c r="D38" s="78">
        <v>7068600</v>
      </c>
      <c r="E38" s="15">
        <v>0.68</v>
      </c>
    </row>
    <row r="39" spans="1:7" x14ac:dyDescent="0.4">
      <c r="A39" s="73" t="s">
        <v>556</v>
      </c>
      <c r="B39" s="73" t="s">
        <v>557</v>
      </c>
      <c r="C39" s="73">
        <v>5</v>
      </c>
      <c r="D39" s="78">
        <v>6980000</v>
      </c>
      <c r="E39" s="15">
        <v>0.67</v>
      </c>
    </row>
    <row r="40" spans="1:7" x14ac:dyDescent="0.4">
      <c r="A40" s="73" t="s">
        <v>158</v>
      </c>
      <c r="B40" s="73" t="s">
        <v>159</v>
      </c>
      <c r="C40" s="73">
        <v>52</v>
      </c>
      <c r="D40" s="78">
        <v>4248400</v>
      </c>
      <c r="E40" s="15">
        <v>0.41</v>
      </c>
    </row>
    <row r="41" spans="1:7" x14ac:dyDescent="0.4">
      <c r="A41" s="73" t="s">
        <v>229</v>
      </c>
      <c r="B41" s="73" t="s">
        <v>230</v>
      </c>
      <c r="C41" s="78">
        <v>18</v>
      </c>
      <c r="D41" s="78">
        <v>3672000</v>
      </c>
      <c r="E41" s="15">
        <v>0.35</v>
      </c>
    </row>
    <row r="42" spans="1:7" x14ac:dyDescent="0.4">
      <c r="A42" s="73" t="s">
        <v>41</v>
      </c>
      <c r="B42" s="74" t="s">
        <v>42</v>
      </c>
      <c r="C42" s="76">
        <v>22</v>
      </c>
      <c r="D42" s="76">
        <v>2233000</v>
      </c>
      <c r="E42" s="19">
        <v>0.21</v>
      </c>
      <c r="F42" s="17"/>
      <c r="G42" s="17"/>
    </row>
    <row r="43" spans="1:7" x14ac:dyDescent="0.4">
      <c r="A43" s="73" t="s">
        <v>49</v>
      </c>
      <c r="B43" s="74" t="s">
        <v>50</v>
      </c>
      <c r="C43" s="76">
        <v>16</v>
      </c>
      <c r="D43" s="76">
        <v>2105600</v>
      </c>
      <c r="E43" s="19">
        <v>0.2</v>
      </c>
      <c r="F43" s="17"/>
      <c r="G43" s="17"/>
    </row>
    <row r="44" spans="1:7" x14ac:dyDescent="0.4">
      <c r="A44" s="73"/>
      <c r="B44" s="73" t="s">
        <v>10</v>
      </c>
      <c r="C44" s="78">
        <v>7440875</v>
      </c>
      <c r="D44" s="78">
        <v>7440875</v>
      </c>
      <c r="E44" s="15">
        <v>0.71</v>
      </c>
    </row>
    <row r="45" spans="1:7" x14ac:dyDescent="0.4">
      <c r="C45" s="13"/>
      <c r="D45" s="13"/>
      <c r="E45" s="7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5" t="s">
        <v>528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81</v>
      </c>
      <c r="D11" s="78">
        <v>223884000</v>
      </c>
      <c r="E11" s="15">
        <v>19.8</v>
      </c>
    </row>
    <row r="12" spans="1:5" x14ac:dyDescent="0.4">
      <c r="A12" s="73" t="s">
        <v>80</v>
      </c>
      <c r="B12" s="73" t="s">
        <v>81</v>
      </c>
      <c r="C12" s="77">
        <v>321</v>
      </c>
      <c r="D12" s="78">
        <v>113634000</v>
      </c>
      <c r="E12" s="15">
        <v>10.050000000000001</v>
      </c>
    </row>
    <row r="13" spans="1:5" x14ac:dyDescent="0.4">
      <c r="A13" s="73" t="s">
        <v>756</v>
      </c>
      <c r="B13" s="73" t="s">
        <v>757</v>
      </c>
      <c r="C13" s="78">
        <v>989</v>
      </c>
      <c r="D13" s="78">
        <v>113042700</v>
      </c>
      <c r="E13" s="15">
        <v>10</v>
      </c>
    </row>
    <row r="14" spans="1:5" x14ac:dyDescent="0.4">
      <c r="A14" s="73" t="s">
        <v>451</v>
      </c>
      <c r="B14" s="73" t="s">
        <v>452</v>
      </c>
      <c r="C14" s="78">
        <v>37</v>
      </c>
      <c r="D14" s="78">
        <v>83990000</v>
      </c>
      <c r="E14" s="15">
        <v>7.43</v>
      </c>
    </row>
    <row r="15" spans="1:5" x14ac:dyDescent="0.4">
      <c r="A15" s="73" t="s">
        <v>122</v>
      </c>
      <c r="B15" s="73" t="s">
        <v>5163</v>
      </c>
      <c r="C15" s="77">
        <v>67</v>
      </c>
      <c r="D15" s="78">
        <v>57084000</v>
      </c>
      <c r="E15" s="15">
        <v>5.05</v>
      </c>
    </row>
    <row r="16" spans="1:5" x14ac:dyDescent="0.4">
      <c r="A16" s="73" t="s">
        <v>217</v>
      </c>
      <c r="B16" s="73" t="s">
        <v>218</v>
      </c>
      <c r="C16" s="77">
        <v>59</v>
      </c>
      <c r="D16" s="78">
        <v>39353000</v>
      </c>
      <c r="E16" s="15">
        <v>3.48</v>
      </c>
    </row>
    <row r="17" spans="1:5" x14ac:dyDescent="0.4">
      <c r="A17" s="73" t="s">
        <v>392</v>
      </c>
      <c r="B17" s="73" t="s">
        <v>393</v>
      </c>
      <c r="C17" s="77">
        <v>156</v>
      </c>
      <c r="D17" s="78">
        <v>36738000</v>
      </c>
      <c r="E17" s="15">
        <v>3.25</v>
      </c>
    </row>
    <row r="18" spans="1:5" x14ac:dyDescent="0.4">
      <c r="A18" s="73" t="s">
        <v>19</v>
      </c>
      <c r="B18" s="73" t="s">
        <v>20</v>
      </c>
      <c r="C18" s="78">
        <v>139</v>
      </c>
      <c r="D18" s="78">
        <v>36001000</v>
      </c>
      <c r="E18" s="15">
        <v>3.18</v>
      </c>
    </row>
    <row r="19" spans="1:5" x14ac:dyDescent="0.4">
      <c r="A19" s="73" t="s">
        <v>606</v>
      </c>
      <c r="B19" s="73" t="s">
        <v>607</v>
      </c>
      <c r="C19" s="78">
        <v>526</v>
      </c>
      <c r="D19" s="78">
        <v>35452400</v>
      </c>
      <c r="E19" s="15">
        <v>3.14</v>
      </c>
    </row>
    <row r="20" spans="1:5" x14ac:dyDescent="0.4">
      <c r="A20" s="73" t="s">
        <v>140</v>
      </c>
      <c r="B20" s="73" t="s">
        <v>141</v>
      </c>
      <c r="C20" s="78">
        <v>54</v>
      </c>
      <c r="D20" s="78">
        <v>33102000</v>
      </c>
      <c r="E20" s="15">
        <v>2.93</v>
      </c>
    </row>
    <row r="21" spans="1:5" x14ac:dyDescent="0.4">
      <c r="A21" s="73" t="s">
        <v>309</v>
      </c>
      <c r="B21" s="73" t="s">
        <v>310</v>
      </c>
      <c r="C21" s="78">
        <v>359</v>
      </c>
      <c r="D21" s="78">
        <v>32704900</v>
      </c>
      <c r="E21" s="15">
        <v>2.89</v>
      </c>
    </row>
    <row r="22" spans="1:5" x14ac:dyDescent="0.4">
      <c r="A22" s="73" t="s">
        <v>301</v>
      </c>
      <c r="B22" s="73" t="s">
        <v>302</v>
      </c>
      <c r="C22" s="78">
        <v>243</v>
      </c>
      <c r="D22" s="78">
        <v>31201200</v>
      </c>
      <c r="E22" s="15">
        <v>2.76</v>
      </c>
    </row>
    <row r="23" spans="1:5" x14ac:dyDescent="0.4">
      <c r="A23" s="73" t="s">
        <v>242</v>
      </c>
      <c r="B23" s="73" t="s">
        <v>243</v>
      </c>
      <c r="C23" s="77">
        <v>129</v>
      </c>
      <c r="D23" s="78">
        <v>27283500</v>
      </c>
      <c r="E23" s="15">
        <v>2.41</v>
      </c>
    </row>
    <row r="24" spans="1:5" x14ac:dyDescent="0.4">
      <c r="A24" s="73" t="s">
        <v>289</v>
      </c>
      <c r="B24" s="73" t="s">
        <v>290</v>
      </c>
      <c r="C24" s="77">
        <v>65</v>
      </c>
      <c r="D24" s="78">
        <v>27235000</v>
      </c>
      <c r="E24" s="15">
        <v>2.41</v>
      </c>
    </row>
    <row r="25" spans="1:5" x14ac:dyDescent="0.4">
      <c r="A25" s="73" t="s">
        <v>63</v>
      </c>
      <c r="B25" s="73" t="s">
        <v>64</v>
      </c>
      <c r="C25" s="78">
        <v>64</v>
      </c>
      <c r="D25" s="78">
        <v>24672000</v>
      </c>
      <c r="E25" s="15">
        <v>2.1800000000000002</v>
      </c>
    </row>
    <row r="26" spans="1:5" x14ac:dyDescent="0.4">
      <c r="A26" s="73" t="s">
        <v>11</v>
      </c>
      <c r="B26" s="73" t="s">
        <v>12</v>
      </c>
      <c r="C26" s="78">
        <v>6</v>
      </c>
      <c r="D26" s="78">
        <v>23130000</v>
      </c>
      <c r="E26" s="15">
        <v>2.0499999999999998</v>
      </c>
    </row>
    <row r="27" spans="1:5" x14ac:dyDescent="0.4">
      <c r="A27" s="73" t="s">
        <v>347</v>
      </c>
      <c r="B27" s="73" t="s">
        <v>348</v>
      </c>
      <c r="C27" s="78">
        <v>183</v>
      </c>
      <c r="D27" s="78">
        <v>21063300</v>
      </c>
      <c r="E27" s="15">
        <v>1.86</v>
      </c>
    </row>
    <row r="28" spans="1:5" x14ac:dyDescent="0.4">
      <c r="A28" s="73" t="s">
        <v>299</v>
      </c>
      <c r="B28" s="73" t="s">
        <v>300</v>
      </c>
      <c r="C28" s="78">
        <v>37</v>
      </c>
      <c r="D28" s="78">
        <v>20535000</v>
      </c>
      <c r="E28" s="15">
        <v>1.82</v>
      </c>
    </row>
    <row r="29" spans="1:5" x14ac:dyDescent="0.4">
      <c r="A29" s="73" t="s">
        <v>15</v>
      </c>
      <c r="B29" s="73" t="s">
        <v>16</v>
      </c>
      <c r="C29" s="78">
        <v>18</v>
      </c>
      <c r="D29" s="78">
        <v>19404000</v>
      </c>
      <c r="E29" s="15">
        <v>1.72</v>
      </c>
    </row>
    <row r="30" spans="1:5" x14ac:dyDescent="0.4">
      <c r="A30" s="73" t="s">
        <v>326</v>
      </c>
      <c r="B30" s="73" t="s">
        <v>327</v>
      </c>
      <c r="C30" s="78">
        <v>147</v>
      </c>
      <c r="D30" s="78">
        <v>18904200</v>
      </c>
      <c r="E30" s="15">
        <v>1.67</v>
      </c>
    </row>
    <row r="31" spans="1:5" x14ac:dyDescent="0.4">
      <c r="A31" s="73" t="s">
        <v>351</v>
      </c>
      <c r="B31" s="73" t="s">
        <v>352</v>
      </c>
      <c r="C31" s="78">
        <v>85</v>
      </c>
      <c r="D31" s="78">
        <v>15810000</v>
      </c>
      <c r="E31" s="15">
        <v>1.4</v>
      </c>
    </row>
    <row r="32" spans="1:5" x14ac:dyDescent="0.4">
      <c r="A32" s="73" t="s">
        <v>550</v>
      </c>
      <c r="B32" s="73" t="s">
        <v>551</v>
      </c>
      <c r="C32" s="78">
        <v>104</v>
      </c>
      <c r="D32" s="78">
        <v>15236000</v>
      </c>
      <c r="E32" s="15">
        <v>1.35</v>
      </c>
    </row>
    <row r="33" spans="1:5" x14ac:dyDescent="0.4">
      <c r="A33" s="73" t="s">
        <v>172</v>
      </c>
      <c r="B33" s="73" t="s">
        <v>173</v>
      </c>
      <c r="C33" s="78">
        <v>21</v>
      </c>
      <c r="D33" s="78">
        <v>12852000</v>
      </c>
      <c r="E33" s="15">
        <v>1.1399999999999999</v>
      </c>
    </row>
    <row r="34" spans="1:5" x14ac:dyDescent="0.4">
      <c r="A34" s="73" t="s">
        <v>78</v>
      </c>
      <c r="B34" s="73" t="s">
        <v>79</v>
      </c>
      <c r="C34" s="78">
        <v>11</v>
      </c>
      <c r="D34" s="78">
        <v>12133000</v>
      </c>
      <c r="E34" s="15">
        <v>1.07</v>
      </c>
    </row>
    <row r="35" spans="1:5" x14ac:dyDescent="0.4">
      <c r="A35" s="73" t="s">
        <v>397</v>
      </c>
      <c r="B35" s="73" t="s">
        <v>398</v>
      </c>
      <c r="C35" s="78">
        <v>86</v>
      </c>
      <c r="D35" s="78">
        <v>9976000</v>
      </c>
      <c r="E35" s="15">
        <v>0.88</v>
      </c>
    </row>
    <row r="36" spans="1:5" x14ac:dyDescent="0.4">
      <c r="A36" s="73" t="s">
        <v>696</v>
      </c>
      <c r="B36" s="73" t="s">
        <v>697</v>
      </c>
      <c r="C36" s="78">
        <v>33</v>
      </c>
      <c r="D36" s="78">
        <v>9735000</v>
      </c>
      <c r="E36" s="15">
        <v>0.86</v>
      </c>
    </row>
    <row r="37" spans="1:5" x14ac:dyDescent="0.4">
      <c r="A37" s="73" t="s">
        <v>2239</v>
      </c>
      <c r="B37" s="73" t="s">
        <v>2240</v>
      </c>
      <c r="C37" s="78">
        <v>231</v>
      </c>
      <c r="D37" s="78">
        <v>8812650</v>
      </c>
      <c r="E37" s="15">
        <v>0.78</v>
      </c>
    </row>
    <row r="38" spans="1:5" x14ac:dyDescent="0.4">
      <c r="A38" s="73" t="s">
        <v>73</v>
      </c>
      <c r="B38" s="73" t="s">
        <v>74</v>
      </c>
      <c r="C38" s="78">
        <v>7</v>
      </c>
      <c r="D38" s="78">
        <v>7854000</v>
      </c>
      <c r="E38" s="15">
        <v>0.69</v>
      </c>
    </row>
    <row r="39" spans="1:5" x14ac:dyDescent="0.4">
      <c r="A39" s="73" t="s">
        <v>229</v>
      </c>
      <c r="B39" s="73" t="s">
        <v>230</v>
      </c>
      <c r="C39" s="73">
        <v>18</v>
      </c>
      <c r="D39" s="78">
        <v>4023000</v>
      </c>
      <c r="E39" s="15">
        <v>0.36</v>
      </c>
    </row>
    <row r="40" spans="1:5" x14ac:dyDescent="0.4">
      <c r="A40" s="73" t="s">
        <v>158</v>
      </c>
      <c r="B40" s="73" t="s">
        <v>159</v>
      </c>
      <c r="C40" s="73">
        <v>40</v>
      </c>
      <c r="D40" s="78">
        <v>3704000</v>
      </c>
      <c r="E40" s="15">
        <v>0.33</v>
      </c>
    </row>
    <row r="41" spans="1:5" x14ac:dyDescent="0.4">
      <c r="A41" s="73" t="s">
        <v>556</v>
      </c>
      <c r="B41" s="73" t="s">
        <v>557</v>
      </c>
      <c r="C41" s="78">
        <v>2</v>
      </c>
      <c r="D41" s="78">
        <v>2748000</v>
      </c>
      <c r="E41" s="15">
        <v>0.24</v>
      </c>
    </row>
    <row r="42" spans="1:5" x14ac:dyDescent="0.4">
      <c r="A42" s="73" t="s">
        <v>41</v>
      </c>
      <c r="B42" s="73" t="s">
        <v>42</v>
      </c>
      <c r="C42" s="78">
        <v>22</v>
      </c>
      <c r="D42" s="78">
        <v>2180200</v>
      </c>
      <c r="E42" s="15">
        <v>0.19</v>
      </c>
    </row>
    <row r="43" spans="1:5" x14ac:dyDescent="0.4">
      <c r="A43" s="73" t="s">
        <v>49</v>
      </c>
      <c r="B43" s="73" t="s">
        <v>50</v>
      </c>
      <c r="C43" s="78">
        <v>8</v>
      </c>
      <c r="D43" s="78">
        <v>974400</v>
      </c>
      <c r="E43" s="15">
        <v>0.09</v>
      </c>
    </row>
    <row r="44" spans="1:5" x14ac:dyDescent="0.4">
      <c r="A44" s="73" t="s">
        <v>232</v>
      </c>
      <c r="B44" s="73" t="s">
        <v>233</v>
      </c>
      <c r="C44" s="78">
        <v>3</v>
      </c>
      <c r="D44" s="78">
        <v>861000</v>
      </c>
      <c r="E44" s="15">
        <v>0.08</v>
      </c>
    </row>
    <row r="45" spans="1:5" x14ac:dyDescent="0.4">
      <c r="A45" s="73" t="s">
        <v>1612</v>
      </c>
      <c r="B45" s="73" t="s">
        <v>1613</v>
      </c>
      <c r="C45" s="78">
        <v>59</v>
      </c>
      <c r="D45" s="78">
        <v>401200</v>
      </c>
      <c r="E45" s="15">
        <v>0.04</v>
      </c>
    </row>
    <row r="46" spans="1:5" x14ac:dyDescent="0.4">
      <c r="A46" s="73"/>
      <c r="B46" s="73" t="s">
        <v>10</v>
      </c>
      <c r="C46" s="78">
        <v>4868496</v>
      </c>
      <c r="D46" s="78">
        <v>4868496</v>
      </c>
      <c r="E46" s="15">
        <v>0.43</v>
      </c>
    </row>
    <row r="47" spans="1:5" x14ac:dyDescent="0.4">
      <c r="C47" s="13"/>
      <c r="D47" s="13"/>
      <c r="E47" s="7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5" t="s">
        <v>529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612</v>
      </c>
      <c r="D11" s="76">
        <v>192474000</v>
      </c>
      <c r="E11" s="19">
        <v>11.3</v>
      </c>
      <c r="F11" s="17"/>
      <c r="G11" s="17"/>
    </row>
    <row r="12" spans="1:7" x14ac:dyDescent="0.4">
      <c r="A12" s="73" t="s">
        <v>232</v>
      </c>
      <c r="B12" s="74" t="s">
        <v>233</v>
      </c>
      <c r="C12" s="81">
        <v>563</v>
      </c>
      <c r="D12" s="76">
        <v>141594500</v>
      </c>
      <c r="E12" s="19">
        <v>8.31</v>
      </c>
      <c r="F12" s="17"/>
      <c r="G12" s="17"/>
    </row>
    <row r="13" spans="1:7" x14ac:dyDescent="0.4">
      <c r="A13" s="73" t="s">
        <v>172</v>
      </c>
      <c r="B13" s="73" t="s">
        <v>173</v>
      </c>
      <c r="C13" s="78">
        <v>248</v>
      </c>
      <c r="D13" s="78">
        <v>122512000</v>
      </c>
      <c r="E13" s="15">
        <v>7.19</v>
      </c>
    </row>
    <row r="14" spans="1:7" x14ac:dyDescent="0.4">
      <c r="A14" s="73" t="s">
        <v>13</v>
      </c>
      <c r="B14" s="73" t="s">
        <v>14</v>
      </c>
      <c r="C14" s="78">
        <v>45</v>
      </c>
      <c r="D14" s="78">
        <v>115200000</v>
      </c>
      <c r="E14" s="15">
        <v>6.76</v>
      </c>
    </row>
    <row r="15" spans="1:7" x14ac:dyDescent="0.4">
      <c r="A15" s="73" t="s">
        <v>242</v>
      </c>
      <c r="B15" s="73" t="s">
        <v>243</v>
      </c>
      <c r="C15" s="77">
        <v>592</v>
      </c>
      <c r="D15" s="78">
        <v>114433600</v>
      </c>
      <c r="E15" s="15">
        <v>6.72</v>
      </c>
    </row>
    <row r="16" spans="1:7" x14ac:dyDescent="0.4">
      <c r="A16" s="73" t="s">
        <v>244</v>
      </c>
      <c r="B16" s="73" t="s">
        <v>245</v>
      </c>
      <c r="C16" s="77">
        <v>210</v>
      </c>
      <c r="D16" s="78">
        <v>110040000</v>
      </c>
      <c r="E16" s="15">
        <v>6.46</v>
      </c>
    </row>
    <row r="17" spans="1:7" x14ac:dyDescent="0.4">
      <c r="A17" s="73" t="s">
        <v>236</v>
      </c>
      <c r="B17" s="74" t="s">
        <v>237</v>
      </c>
      <c r="C17" s="81">
        <v>207</v>
      </c>
      <c r="D17" s="76">
        <v>107433000</v>
      </c>
      <c r="E17" s="19">
        <v>6.31</v>
      </c>
      <c r="F17" s="17"/>
      <c r="G17" s="17"/>
    </row>
    <row r="18" spans="1:7" x14ac:dyDescent="0.4">
      <c r="A18" s="73" t="s">
        <v>240</v>
      </c>
      <c r="B18" s="73" t="s">
        <v>241</v>
      </c>
      <c r="C18" s="78">
        <v>1072</v>
      </c>
      <c r="D18" s="78">
        <v>95729600</v>
      </c>
      <c r="E18" s="15">
        <v>5.62</v>
      </c>
    </row>
    <row r="19" spans="1:7" x14ac:dyDescent="0.4">
      <c r="A19" s="73" t="s">
        <v>140</v>
      </c>
      <c r="B19" s="73" t="s">
        <v>141</v>
      </c>
      <c r="C19" s="78">
        <v>190</v>
      </c>
      <c r="D19" s="78">
        <v>92625000</v>
      </c>
      <c r="E19" s="15">
        <v>5.44</v>
      </c>
    </row>
    <row r="20" spans="1:7" x14ac:dyDescent="0.4">
      <c r="A20" s="73" t="s">
        <v>98</v>
      </c>
      <c r="B20" s="73" t="s">
        <v>99</v>
      </c>
      <c r="C20" s="78">
        <v>342</v>
      </c>
      <c r="D20" s="78">
        <v>67510800</v>
      </c>
      <c r="E20" s="15">
        <v>3.96</v>
      </c>
    </row>
    <row r="21" spans="1:7" x14ac:dyDescent="0.4">
      <c r="A21" s="73" t="s">
        <v>449</v>
      </c>
      <c r="B21" s="73" t="s">
        <v>450</v>
      </c>
      <c r="C21" s="78">
        <v>69</v>
      </c>
      <c r="D21" s="78">
        <v>62583000</v>
      </c>
      <c r="E21" s="15">
        <v>3.67</v>
      </c>
    </row>
    <row r="22" spans="1:7" x14ac:dyDescent="0.4">
      <c r="A22" s="73" t="s">
        <v>252</v>
      </c>
      <c r="B22" s="74" t="s">
        <v>253</v>
      </c>
      <c r="C22" s="76">
        <v>675</v>
      </c>
      <c r="D22" s="76">
        <v>54945000</v>
      </c>
      <c r="E22" s="19">
        <v>3.23</v>
      </c>
      <c r="F22" s="17"/>
      <c r="G22" s="17"/>
    </row>
    <row r="23" spans="1:7" x14ac:dyDescent="0.4">
      <c r="A23" s="73" t="s">
        <v>238</v>
      </c>
      <c r="B23" s="74" t="s">
        <v>239</v>
      </c>
      <c r="C23" s="81">
        <v>250</v>
      </c>
      <c r="D23" s="76">
        <v>49350000</v>
      </c>
      <c r="E23" s="19">
        <v>2.9</v>
      </c>
      <c r="F23" s="17"/>
      <c r="G23" s="17"/>
    </row>
    <row r="24" spans="1:7" x14ac:dyDescent="0.4">
      <c r="A24" s="73" t="s">
        <v>246</v>
      </c>
      <c r="B24" s="73" t="s">
        <v>247</v>
      </c>
      <c r="C24" s="77">
        <v>1262</v>
      </c>
      <c r="D24" s="78">
        <v>48587000</v>
      </c>
      <c r="E24" s="15">
        <v>2.85</v>
      </c>
    </row>
    <row r="25" spans="1:7" x14ac:dyDescent="0.4">
      <c r="A25" s="73" t="s">
        <v>166</v>
      </c>
      <c r="B25" s="73" t="s">
        <v>167</v>
      </c>
      <c r="C25" s="78">
        <v>192</v>
      </c>
      <c r="D25" s="78">
        <v>40320000</v>
      </c>
      <c r="E25" s="15">
        <v>2.37</v>
      </c>
    </row>
    <row r="26" spans="1:7" x14ac:dyDescent="0.4">
      <c r="A26" s="73" t="s">
        <v>90</v>
      </c>
      <c r="B26" s="73" t="s">
        <v>91</v>
      </c>
      <c r="C26" s="78">
        <v>539</v>
      </c>
      <c r="D26" s="78">
        <v>28944300</v>
      </c>
      <c r="E26" s="15">
        <v>1.7</v>
      </c>
    </row>
    <row r="27" spans="1:7" x14ac:dyDescent="0.4">
      <c r="A27" s="73" t="s">
        <v>254</v>
      </c>
      <c r="B27" s="73" t="s">
        <v>255</v>
      </c>
      <c r="C27" s="78">
        <v>1897</v>
      </c>
      <c r="D27" s="78">
        <v>28151480</v>
      </c>
      <c r="E27" s="15">
        <v>1.65</v>
      </c>
    </row>
    <row r="28" spans="1:7" x14ac:dyDescent="0.4">
      <c r="A28" s="73" t="s">
        <v>256</v>
      </c>
      <c r="B28" s="73" t="s">
        <v>257</v>
      </c>
      <c r="C28" s="78">
        <v>805</v>
      </c>
      <c r="D28" s="78">
        <v>24955000</v>
      </c>
      <c r="E28" s="15">
        <v>1.47</v>
      </c>
    </row>
    <row r="29" spans="1:7" x14ac:dyDescent="0.4">
      <c r="A29" s="73" t="s">
        <v>248</v>
      </c>
      <c r="B29" s="73" t="s">
        <v>249</v>
      </c>
      <c r="C29" s="78">
        <v>340</v>
      </c>
      <c r="D29" s="78">
        <v>24684000</v>
      </c>
      <c r="E29" s="15">
        <v>1.45</v>
      </c>
    </row>
    <row r="30" spans="1:7" x14ac:dyDescent="0.4">
      <c r="A30" s="73" t="s">
        <v>260</v>
      </c>
      <c r="B30" s="73" t="s">
        <v>261</v>
      </c>
      <c r="C30" s="78">
        <v>902</v>
      </c>
      <c r="D30" s="78">
        <v>18581200</v>
      </c>
      <c r="E30" s="15">
        <v>1.0900000000000001</v>
      </c>
    </row>
    <row r="31" spans="1:7" x14ac:dyDescent="0.4">
      <c r="A31" s="73" t="s">
        <v>88</v>
      </c>
      <c r="B31" s="73" t="s">
        <v>89</v>
      </c>
      <c r="C31" s="78">
        <v>94</v>
      </c>
      <c r="D31" s="78">
        <v>17841200</v>
      </c>
      <c r="E31" s="15">
        <v>1.05</v>
      </c>
    </row>
    <row r="32" spans="1:7" x14ac:dyDescent="0.4">
      <c r="A32" s="73" t="s">
        <v>47</v>
      </c>
      <c r="B32" s="73" t="s">
        <v>48</v>
      </c>
      <c r="C32" s="78">
        <v>513</v>
      </c>
      <c r="D32" s="78">
        <v>17262450</v>
      </c>
      <c r="E32" s="15">
        <v>1.01</v>
      </c>
    </row>
    <row r="33" spans="1:5" x14ac:dyDescent="0.4">
      <c r="A33" s="73" t="s">
        <v>610</v>
      </c>
      <c r="B33" s="73" t="s">
        <v>611</v>
      </c>
      <c r="C33" s="78">
        <v>467</v>
      </c>
      <c r="D33" s="78">
        <v>16975450</v>
      </c>
      <c r="E33" s="15">
        <v>1</v>
      </c>
    </row>
    <row r="34" spans="1:5" x14ac:dyDescent="0.4">
      <c r="A34" s="73" t="s">
        <v>250</v>
      </c>
      <c r="B34" s="73" t="s">
        <v>251</v>
      </c>
      <c r="C34" s="78">
        <v>1807</v>
      </c>
      <c r="D34" s="78">
        <v>16515980</v>
      </c>
      <c r="E34" s="15">
        <v>0.97</v>
      </c>
    </row>
    <row r="35" spans="1:5" x14ac:dyDescent="0.4">
      <c r="A35" s="73" t="s">
        <v>626</v>
      </c>
      <c r="B35" s="73" t="s">
        <v>627</v>
      </c>
      <c r="C35" s="73">
        <v>325</v>
      </c>
      <c r="D35" s="78">
        <v>14088750</v>
      </c>
      <c r="E35" s="15">
        <v>0.83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11370800</v>
      </c>
      <c r="E36" s="15">
        <v>0.67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8317200</v>
      </c>
      <c r="E37" s="15">
        <v>0.49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6065100</v>
      </c>
      <c r="E38" s="15">
        <v>0.36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5104500</v>
      </c>
      <c r="E39" s="15">
        <v>0.3</v>
      </c>
    </row>
    <row r="40" spans="1:5" x14ac:dyDescent="0.4">
      <c r="A40" s="73" t="s">
        <v>3042</v>
      </c>
      <c r="B40" s="73" t="s">
        <v>3043</v>
      </c>
      <c r="C40" s="73">
        <v>216</v>
      </c>
      <c r="D40" s="78">
        <v>4503600</v>
      </c>
      <c r="E40" s="15">
        <v>0.26</v>
      </c>
    </row>
    <row r="41" spans="1:5" x14ac:dyDescent="0.4">
      <c r="A41" s="73" t="s">
        <v>268</v>
      </c>
      <c r="B41" s="73" t="s">
        <v>269</v>
      </c>
      <c r="C41" s="73">
        <v>412</v>
      </c>
      <c r="D41" s="78">
        <v>4321880</v>
      </c>
      <c r="E41" s="15">
        <v>0.25</v>
      </c>
    </row>
    <row r="42" spans="1:5" x14ac:dyDescent="0.4">
      <c r="A42" s="73" t="s">
        <v>642</v>
      </c>
      <c r="B42" s="73" t="s">
        <v>643</v>
      </c>
      <c r="C42" s="78">
        <v>257</v>
      </c>
      <c r="D42" s="78">
        <v>3914110</v>
      </c>
      <c r="E42" s="15">
        <v>0.23</v>
      </c>
    </row>
    <row r="43" spans="1:5" x14ac:dyDescent="0.4">
      <c r="A43" s="73" t="s">
        <v>122</v>
      </c>
      <c r="B43" s="73" t="s">
        <v>5163</v>
      </c>
      <c r="C43" s="78">
        <v>5</v>
      </c>
      <c r="D43" s="78">
        <v>3850000</v>
      </c>
      <c r="E43" s="15">
        <v>0.23</v>
      </c>
    </row>
    <row r="44" spans="1:5" x14ac:dyDescent="0.4">
      <c r="A44" s="73"/>
      <c r="B44" s="73" t="s">
        <v>10</v>
      </c>
      <c r="C44" s="78">
        <v>32388115</v>
      </c>
      <c r="D44" s="78">
        <v>32388115</v>
      </c>
      <c r="E44" s="15">
        <v>1.9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5" t="s">
        <v>529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612</v>
      </c>
      <c r="D11" s="78">
        <v>216648000</v>
      </c>
      <c r="E11" s="15">
        <v>11.14</v>
      </c>
    </row>
    <row r="12" spans="1:5" x14ac:dyDescent="0.4">
      <c r="A12" s="73" t="s">
        <v>172</v>
      </c>
      <c r="B12" s="73" t="s">
        <v>173</v>
      </c>
      <c r="C12" s="77">
        <v>248</v>
      </c>
      <c r="D12" s="78">
        <v>151776000</v>
      </c>
      <c r="E12" s="15">
        <v>7.8</v>
      </c>
    </row>
    <row r="13" spans="1:5" x14ac:dyDescent="0.4">
      <c r="A13" s="73" t="s">
        <v>13</v>
      </c>
      <c r="B13" s="73" t="s">
        <v>14</v>
      </c>
      <c r="C13" s="78">
        <v>53</v>
      </c>
      <c r="D13" s="78">
        <v>146492000</v>
      </c>
      <c r="E13" s="15">
        <v>7.53</v>
      </c>
    </row>
    <row r="14" spans="1:5" x14ac:dyDescent="0.4">
      <c r="A14" s="73" t="s">
        <v>232</v>
      </c>
      <c r="B14" s="73" t="s">
        <v>233</v>
      </c>
      <c r="C14" s="78">
        <v>509</v>
      </c>
      <c r="D14" s="78">
        <v>146083000</v>
      </c>
      <c r="E14" s="15">
        <v>7.51</v>
      </c>
    </row>
    <row r="15" spans="1:5" x14ac:dyDescent="0.4">
      <c r="A15" s="73" t="s">
        <v>244</v>
      </c>
      <c r="B15" s="73" t="s">
        <v>245</v>
      </c>
      <c r="C15" s="77">
        <v>210</v>
      </c>
      <c r="D15" s="78">
        <v>139020000</v>
      </c>
      <c r="E15" s="15">
        <v>7.15</v>
      </c>
    </row>
    <row r="16" spans="1:5" x14ac:dyDescent="0.4">
      <c r="A16" s="73" t="s">
        <v>242</v>
      </c>
      <c r="B16" s="73" t="s">
        <v>243</v>
      </c>
      <c r="C16" s="77">
        <v>592</v>
      </c>
      <c r="D16" s="78">
        <v>125208000</v>
      </c>
      <c r="E16" s="15">
        <v>6.44</v>
      </c>
    </row>
    <row r="17" spans="1:5" x14ac:dyDescent="0.4">
      <c r="A17" s="73" t="s">
        <v>140</v>
      </c>
      <c r="B17" s="73" t="s">
        <v>141</v>
      </c>
      <c r="C17" s="77">
        <v>190</v>
      </c>
      <c r="D17" s="78">
        <v>116470000</v>
      </c>
      <c r="E17" s="15">
        <v>5.99</v>
      </c>
    </row>
    <row r="18" spans="1:5" x14ac:dyDescent="0.4">
      <c r="A18" s="73" t="s">
        <v>236</v>
      </c>
      <c r="B18" s="73" t="s">
        <v>237</v>
      </c>
      <c r="C18" s="78">
        <v>193</v>
      </c>
      <c r="D18" s="78">
        <v>113870000</v>
      </c>
      <c r="E18" s="15">
        <v>5.86</v>
      </c>
    </row>
    <row r="19" spans="1:5" x14ac:dyDescent="0.4">
      <c r="A19" s="73" t="s">
        <v>240</v>
      </c>
      <c r="B19" s="73" t="s">
        <v>241</v>
      </c>
      <c r="C19" s="78">
        <v>1072</v>
      </c>
      <c r="D19" s="78">
        <v>109129600</v>
      </c>
      <c r="E19" s="15">
        <v>5.61</v>
      </c>
    </row>
    <row r="20" spans="1:5" x14ac:dyDescent="0.4">
      <c r="A20" s="73" t="s">
        <v>449</v>
      </c>
      <c r="B20" s="73" t="s">
        <v>450</v>
      </c>
      <c r="C20" s="78">
        <v>69</v>
      </c>
      <c r="D20" s="78">
        <v>79005000</v>
      </c>
      <c r="E20" s="15">
        <v>4.0599999999999996</v>
      </c>
    </row>
    <row r="21" spans="1:5" x14ac:dyDescent="0.4">
      <c r="A21" s="73" t="s">
        <v>98</v>
      </c>
      <c r="B21" s="73" t="s">
        <v>99</v>
      </c>
      <c r="C21" s="78">
        <v>342</v>
      </c>
      <c r="D21" s="78">
        <v>78489000</v>
      </c>
      <c r="E21" s="15">
        <v>4.04</v>
      </c>
    </row>
    <row r="22" spans="1:5" x14ac:dyDescent="0.4">
      <c r="A22" s="73" t="s">
        <v>252</v>
      </c>
      <c r="B22" s="73" t="s">
        <v>253</v>
      </c>
      <c r="C22" s="78">
        <v>675</v>
      </c>
      <c r="D22" s="78">
        <v>59130000</v>
      </c>
      <c r="E22" s="15">
        <v>3.04</v>
      </c>
    </row>
    <row r="23" spans="1:5" x14ac:dyDescent="0.4">
      <c r="A23" s="73" t="s">
        <v>246</v>
      </c>
      <c r="B23" s="73" t="s">
        <v>247</v>
      </c>
      <c r="C23" s="77">
        <v>1262</v>
      </c>
      <c r="D23" s="78">
        <v>54581500</v>
      </c>
      <c r="E23" s="15">
        <v>2.81</v>
      </c>
    </row>
    <row r="24" spans="1:5" x14ac:dyDescent="0.4">
      <c r="A24" s="73" t="s">
        <v>238</v>
      </c>
      <c r="B24" s="73" t="s">
        <v>239</v>
      </c>
      <c r="C24" s="77">
        <v>250</v>
      </c>
      <c r="D24" s="78">
        <v>53000000</v>
      </c>
      <c r="E24" s="15">
        <v>2.73</v>
      </c>
    </row>
    <row r="25" spans="1:5" x14ac:dyDescent="0.4">
      <c r="A25" s="73" t="s">
        <v>166</v>
      </c>
      <c r="B25" s="73" t="s">
        <v>167</v>
      </c>
      <c r="C25" s="78">
        <v>192</v>
      </c>
      <c r="D25" s="78">
        <v>44256000</v>
      </c>
      <c r="E25" s="15">
        <v>2.2799999999999998</v>
      </c>
    </row>
    <row r="26" spans="1:5" x14ac:dyDescent="0.4">
      <c r="A26" s="73" t="s">
        <v>254</v>
      </c>
      <c r="B26" s="73" t="s">
        <v>255</v>
      </c>
      <c r="C26" s="78">
        <v>1897</v>
      </c>
      <c r="D26" s="78">
        <v>33064710</v>
      </c>
      <c r="E26" s="15">
        <v>1.7</v>
      </c>
    </row>
    <row r="27" spans="1:5" x14ac:dyDescent="0.4">
      <c r="A27" s="73" t="s">
        <v>90</v>
      </c>
      <c r="B27" s="73" t="s">
        <v>91</v>
      </c>
      <c r="C27" s="78">
        <v>539</v>
      </c>
      <c r="D27" s="78">
        <v>28728700</v>
      </c>
      <c r="E27" s="15">
        <v>1.48</v>
      </c>
    </row>
    <row r="28" spans="1:5" x14ac:dyDescent="0.4">
      <c r="A28" s="73" t="s">
        <v>256</v>
      </c>
      <c r="B28" s="73" t="s">
        <v>257</v>
      </c>
      <c r="C28" s="78">
        <v>805</v>
      </c>
      <c r="D28" s="78">
        <v>27007750</v>
      </c>
      <c r="E28" s="15">
        <v>1.39</v>
      </c>
    </row>
    <row r="29" spans="1:5" x14ac:dyDescent="0.4">
      <c r="A29" s="73" t="s">
        <v>248</v>
      </c>
      <c r="B29" s="73" t="s">
        <v>249</v>
      </c>
      <c r="C29" s="78">
        <v>340</v>
      </c>
      <c r="D29" s="78">
        <v>26622000</v>
      </c>
      <c r="E29" s="15">
        <v>1.37</v>
      </c>
    </row>
    <row r="30" spans="1:5" x14ac:dyDescent="0.4">
      <c r="A30" s="73" t="s">
        <v>260</v>
      </c>
      <c r="B30" s="73" t="s">
        <v>261</v>
      </c>
      <c r="C30" s="78">
        <v>902</v>
      </c>
      <c r="D30" s="78">
        <v>22459800</v>
      </c>
      <c r="E30" s="15">
        <v>1.1499999999999999</v>
      </c>
    </row>
    <row r="31" spans="1:5" x14ac:dyDescent="0.4">
      <c r="A31" s="73" t="s">
        <v>610</v>
      </c>
      <c r="B31" s="73" t="s">
        <v>611</v>
      </c>
      <c r="C31" s="78">
        <v>467</v>
      </c>
      <c r="D31" s="78">
        <v>20618050</v>
      </c>
      <c r="E31" s="15">
        <v>1.06</v>
      </c>
    </row>
    <row r="32" spans="1:5" x14ac:dyDescent="0.4">
      <c r="A32" s="73" t="s">
        <v>88</v>
      </c>
      <c r="B32" s="73" t="s">
        <v>89</v>
      </c>
      <c r="C32" s="78">
        <v>94</v>
      </c>
      <c r="D32" s="78">
        <v>19458000</v>
      </c>
      <c r="E32" s="15">
        <v>1</v>
      </c>
    </row>
    <row r="33" spans="1:5" x14ac:dyDescent="0.4">
      <c r="A33" s="73" t="s">
        <v>250</v>
      </c>
      <c r="B33" s="73" t="s">
        <v>251</v>
      </c>
      <c r="C33" s="78">
        <v>1807</v>
      </c>
      <c r="D33" s="78">
        <v>18015790</v>
      </c>
      <c r="E33" s="15">
        <v>0.93</v>
      </c>
    </row>
    <row r="34" spans="1:5" x14ac:dyDescent="0.4">
      <c r="A34" s="73" t="s">
        <v>47</v>
      </c>
      <c r="B34" s="73" t="s">
        <v>48</v>
      </c>
      <c r="C34" s="78">
        <v>513</v>
      </c>
      <c r="D34" s="78">
        <v>16954650</v>
      </c>
      <c r="E34" s="15">
        <v>0.87</v>
      </c>
    </row>
    <row r="35" spans="1:5" x14ac:dyDescent="0.4">
      <c r="A35" s="73" t="s">
        <v>626</v>
      </c>
      <c r="B35" s="73" t="s">
        <v>627</v>
      </c>
      <c r="C35" s="78">
        <v>325</v>
      </c>
      <c r="D35" s="78">
        <v>16201250</v>
      </c>
      <c r="E35" s="15">
        <v>0.83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11266000</v>
      </c>
      <c r="E36" s="15">
        <v>0.57999999999999996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9022250</v>
      </c>
      <c r="E37" s="15">
        <v>0.46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6519250</v>
      </c>
      <c r="E38" s="15">
        <v>0.34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6299700</v>
      </c>
      <c r="E39" s="15">
        <v>0.32</v>
      </c>
    </row>
    <row r="40" spans="1:5" x14ac:dyDescent="0.4">
      <c r="A40" s="73" t="s">
        <v>122</v>
      </c>
      <c r="B40" s="73" t="s">
        <v>5163</v>
      </c>
      <c r="C40" s="73">
        <v>7</v>
      </c>
      <c r="D40" s="78">
        <v>5964000</v>
      </c>
      <c r="E40" s="15">
        <v>0.31</v>
      </c>
    </row>
    <row r="41" spans="1:5" x14ac:dyDescent="0.4">
      <c r="A41" s="73" t="s">
        <v>3042</v>
      </c>
      <c r="B41" s="73" t="s">
        <v>3043</v>
      </c>
      <c r="C41" s="73">
        <v>216</v>
      </c>
      <c r="D41" s="78">
        <v>5410800</v>
      </c>
      <c r="E41" s="15">
        <v>0.28000000000000003</v>
      </c>
    </row>
    <row r="42" spans="1:5" x14ac:dyDescent="0.4">
      <c r="A42" s="73" t="s">
        <v>268</v>
      </c>
      <c r="B42" s="73" t="s">
        <v>269</v>
      </c>
      <c r="C42" s="78">
        <v>412</v>
      </c>
      <c r="D42" s="78">
        <v>4655600</v>
      </c>
      <c r="E42" s="15">
        <v>0.24</v>
      </c>
    </row>
    <row r="43" spans="1:5" x14ac:dyDescent="0.4">
      <c r="A43" s="73" t="s">
        <v>642</v>
      </c>
      <c r="B43" s="73" t="s">
        <v>643</v>
      </c>
      <c r="C43" s="78">
        <v>257</v>
      </c>
      <c r="D43" s="78">
        <v>4304750</v>
      </c>
      <c r="E43" s="15">
        <v>0.22</v>
      </c>
    </row>
    <row r="44" spans="1:5" x14ac:dyDescent="0.4">
      <c r="A44" s="73"/>
      <c r="B44" s="73" t="s">
        <v>10</v>
      </c>
      <c r="C44" s="78">
        <v>29061798</v>
      </c>
      <c r="D44" s="78">
        <v>29061798</v>
      </c>
      <c r="E44" s="15">
        <v>1.49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5" t="s">
        <v>658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78</v>
      </c>
      <c r="B11" s="74" t="s">
        <v>79</v>
      </c>
      <c r="C11" s="76">
        <v>60</v>
      </c>
      <c r="D11" s="76">
        <v>69720000</v>
      </c>
      <c r="E11" s="19">
        <v>6.33</v>
      </c>
      <c r="F11" s="17"/>
      <c r="G11" s="17"/>
    </row>
    <row r="12" spans="1:7" x14ac:dyDescent="0.4">
      <c r="A12" s="73" t="s">
        <v>55</v>
      </c>
      <c r="B12" s="74" t="s">
        <v>56</v>
      </c>
      <c r="C12" s="76">
        <v>250</v>
      </c>
      <c r="D12" s="76">
        <v>68625000</v>
      </c>
      <c r="E12" s="19">
        <v>6.23</v>
      </c>
      <c r="F12" s="17"/>
      <c r="G12" s="17"/>
    </row>
    <row r="13" spans="1:7" x14ac:dyDescent="0.4">
      <c r="A13" s="73" t="s">
        <v>63</v>
      </c>
      <c r="B13" s="74" t="s">
        <v>64</v>
      </c>
      <c r="C13" s="76">
        <v>150</v>
      </c>
      <c r="D13" s="76">
        <v>61200000</v>
      </c>
      <c r="E13" s="19">
        <v>5.56</v>
      </c>
      <c r="F13" s="17"/>
      <c r="G13" s="17"/>
    </row>
    <row r="14" spans="1:7" x14ac:dyDescent="0.4">
      <c r="A14" s="73" t="s">
        <v>670</v>
      </c>
      <c r="B14" s="74" t="s">
        <v>671</v>
      </c>
      <c r="C14" s="76">
        <v>1592</v>
      </c>
      <c r="D14" s="76">
        <v>60098000</v>
      </c>
      <c r="E14" s="19">
        <v>5.46</v>
      </c>
      <c r="F14" s="17"/>
      <c r="G14" s="17"/>
    </row>
    <row r="15" spans="1:7" x14ac:dyDescent="0.4">
      <c r="A15" s="73" t="s">
        <v>313</v>
      </c>
      <c r="B15" s="74" t="s">
        <v>5165</v>
      </c>
      <c r="C15" s="76">
        <v>230</v>
      </c>
      <c r="D15" s="76">
        <v>58765000</v>
      </c>
      <c r="E15" s="19">
        <v>5.34</v>
      </c>
      <c r="F15" s="17"/>
      <c r="G15" s="17"/>
    </row>
    <row r="16" spans="1:7" x14ac:dyDescent="0.4">
      <c r="A16" s="73" t="s">
        <v>453</v>
      </c>
      <c r="B16" s="74" t="s">
        <v>454</v>
      </c>
      <c r="C16" s="76">
        <v>300</v>
      </c>
      <c r="D16" s="76">
        <v>58200000</v>
      </c>
      <c r="E16" s="19">
        <v>5.28</v>
      </c>
      <c r="F16" s="17"/>
      <c r="G16" s="17"/>
    </row>
    <row r="17" spans="1:7" x14ac:dyDescent="0.4">
      <c r="A17" s="73" t="s">
        <v>328</v>
      </c>
      <c r="B17" s="73" t="s">
        <v>329</v>
      </c>
      <c r="C17" s="78">
        <v>300</v>
      </c>
      <c r="D17" s="78">
        <v>55500000</v>
      </c>
      <c r="E17" s="15">
        <v>5.04</v>
      </c>
    </row>
    <row r="18" spans="1:7" x14ac:dyDescent="0.4">
      <c r="A18" s="73" t="s">
        <v>61</v>
      </c>
      <c r="B18" s="74" t="s">
        <v>62</v>
      </c>
      <c r="C18" s="76">
        <v>150</v>
      </c>
      <c r="D18" s="76">
        <v>54975000</v>
      </c>
      <c r="E18" s="19">
        <v>4.99</v>
      </c>
      <c r="F18" s="17"/>
      <c r="G18" s="17"/>
    </row>
    <row r="19" spans="1:7" x14ac:dyDescent="0.4">
      <c r="A19" s="73" t="s">
        <v>45</v>
      </c>
      <c r="B19" s="73" t="s">
        <v>46</v>
      </c>
      <c r="C19" s="77">
        <v>301</v>
      </c>
      <c r="D19" s="78">
        <v>50267000</v>
      </c>
      <c r="E19" s="15">
        <v>4.5599999999999996</v>
      </c>
    </row>
    <row r="20" spans="1:7" x14ac:dyDescent="0.4">
      <c r="A20" s="73" t="s">
        <v>229</v>
      </c>
      <c r="B20" s="73" t="s">
        <v>230</v>
      </c>
      <c r="C20" s="77">
        <v>240</v>
      </c>
      <c r="D20" s="78">
        <v>48960000</v>
      </c>
      <c r="E20" s="15">
        <v>4.45</v>
      </c>
    </row>
    <row r="21" spans="1:7" x14ac:dyDescent="0.4">
      <c r="A21" s="73" t="s">
        <v>580</v>
      </c>
      <c r="B21" s="73" t="s">
        <v>581</v>
      </c>
      <c r="C21" s="78">
        <v>200</v>
      </c>
      <c r="D21" s="78">
        <v>48300000</v>
      </c>
      <c r="E21" s="15">
        <v>4.3899999999999997</v>
      </c>
    </row>
    <row r="22" spans="1:7" x14ac:dyDescent="0.4">
      <c r="A22" s="73" t="s">
        <v>142</v>
      </c>
      <c r="B22" s="73" t="s">
        <v>143</v>
      </c>
      <c r="C22" s="77">
        <v>300</v>
      </c>
      <c r="D22" s="78">
        <v>48000000</v>
      </c>
      <c r="E22" s="15">
        <v>4.3600000000000003</v>
      </c>
    </row>
    <row r="23" spans="1:7" x14ac:dyDescent="0.4">
      <c r="A23" s="73" t="s">
        <v>330</v>
      </c>
      <c r="B23" s="73" t="s">
        <v>331</v>
      </c>
      <c r="C23" s="77">
        <v>60</v>
      </c>
      <c r="D23" s="78">
        <v>46560000</v>
      </c>
      <c r="E23" s="15">
        <v>4.2300000000000004</v>
      </c>
    </row>
    <row r="24" spans="1:7" x14ac:dyDescent="0.4">
      <c r="A24" s="73" t="s">
        <v>532</v>
      </c>
      <c r="B24" s="73" t="s">
        <v>533</v>
      </c>
      <c r="C24" s="77">
        <v>500</v>
      </c>
      <c r="D24" s="78">
        <v>45350000</v>
      </c>
      <c r="E24" s="15">
        <v>4.12</v>
      </c>
    </row>
    <row r="25" spans="1:7" x14ac:dyDescent="0.4">
      <c r="A25" s="73" t="s">
        <v>273</v>
      </c>
      <c r="B25" s="73" t="s">
        <v>274</v>
      </c>
      <c r="C25" s="78">
        <v>600</v>
      </c>
      <c r="D25" s="78">
        <v>44040000</v>
      </c>
      <c r="E25" s="15">
        <v>4</v>
      </c>
    </row>
    <row r="26" spans="1:7" x14ac:dyDescent="0.4">
      <c r="A26" s="73" t="s">
        <v>215</v>
      </c>
      <c r="B26" s="73" t="s">
        <v>216</v>
      </c>
      <c r="C26" s="78">
        <v>801</v>
      </c>
      <c r="D26" s="78">
        <v>42613200</v>
      </c>
      <c r="E26" s="15">
        <v>3.87</v>
      </c>
    </row>
    <row r="27" spans="1:7" x14ac:dyDescent="0.4">
      <c r="A27" s="73" t="s">
        <v>221</v>
      </c>
      <c r="B27" s="73" t="s">
        <v>222</v>
      </c>
      <c r="C27" s="78">
        <v>899</v>
      </c>
      <c r="D27" s="78">
        <v>39556000</v>
      </c>
      <c r="E27" s="15">
        <v>3.59</v>
      </c>
    </row>
    <row r="28" spans="1:7" x14ac:dyDescent="0.4">
      <c r="A28" s="73" t="s">
        <v>548</v>
      </c>
      <c r="B28" s="73" t="s">
        <v>549</v>
      </c>
      <c r="C28" s="78">
        <v>1000</v>
      </c>
      <c r="D28" s="78">
        <v>35550000</v>
      </c>
      <c r="E28" s="15">
        <v>3.23</v>
      </c>
    </row>
    <row r="29" spans="1:7" x14ac:dyDescent="0.4">
      <c r="A29" s="73" t="s">
        <v>694</v>
      </c>
      <c r="B29" s="73" t="s">
        <v>695</v>
      </c>
      <c r="C29" s="78">
        <v>401</v>
      </c>
      <c r="D29" s="78">
        <v>32320600</v>
      </c>
      <c r="E29" s="15">
        <v>2.93</v>
      </c>
    </row>
    <row r="30" spans="1:7" x14ac:dyDescent="0.4">
      <c r="A30" s="73" t="s">
        <v>672</v>
      </c>
      <c r="B30" s="73" t="s">
        <v>673</v>
      </c>
      <c r="C30" s="77">
        <v>600</v>
      </c>
      <c r="D30" s="78">
        <v>28800000</v>
      </c>
      <c r="E30" s="15">
        <v>2.61</v>
      </c>
    </row>
    <row r="31" spans="1:7" x14ac:dyDescent="0.4">
      <c r="A31" s="73" t="s">
        <v>279</v>
      </c>
      <c r="B31" s="73" t="s">
        <v>280</v>
      </c>
      <c r="C31" s="78">
        <v>2001</v>
      </c>
      <c r="D31" s="78">
        <v>20590290</v>
      </c>
      <c r="E31" s="15">
        <v>1.87</v>
      </c>
    </row>
    <row r="32" spans="1:7" x14ac:dyDescent="0.4">
      <c r="A32" s="73" t="s">
        <v>5014</v>
      </c>
      <c r="B32" s="73" t="s">
        <v>5015</v>
      </c>
      <c r="C32" s="78">
        <v>500</v>
      </c>
      <c r="D32" s="78">
        <v>17425000</v>
      </c>
      <c r="E32" s="15">
        <v>1.58</v>
      </c>
    </row>
    <row r="33" spans="1:5" x14ac:dyDescent="0.4">
      <c r="A33" s="73" t="s">
        <v>510</v>
      </c>
      <c r="B33" s="73" t="s">
        <v>511</v>
      </c>
      <c r="C33" s="78">
        <v>701</v>
      </c>
      <c r="D33" s="78">
        <v>16403400</v>
      </c>
      <c r="E33" s="15">
        <v>1.49</v>
      </c>
    </row>
    <row r="34" spans="1:5" x14ac:dyDescent="0.4">
      <c r="A34" s="73" t="s">
        <v>277</v>
      </c>
      <c r="B34" s="73" t="s">
        <v>278</v>
      </c>
      <c r="C34" s="78">
        <v>500</v>
      </c>
      <c r="D34" s="78">
        <v>15775000</v>
      </c>
      <c r="E34" s="15">
        <v>1.43</v>
      </c>
    </row>
    <row r="35" spans="1:5" x14ac:dyDescent="0.4">
      <c r="A35" s="73" t="s">
        <v>275</v>
      </c>
      <c r="B35" s="73" t="s">
        <v>276</v>
      </c>
      <c r="C35" s="78">
        <v>504</v>
      </c>
      <c r="D35" s="78">
        <v>10760400</v>
      </c>
      <c r="E35" s="15">
        <v>0.98</v>
      </c>
    </row>
    <row r="36" spans="1:5" x14ac:dyDescent="0.4">
      <c r="A36" s="73"/>
      <c r="B36" s="73" t="s">
        <v>10</v>
      </c>
      <c r="C36" s="78">
        <v>23095353</v>
      </c>
      <c r="D36" s="78">
        <v>23095353</v>
      </c>
      <c r="E36" s="15">
        <v>2.1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5" t="s">
        <v>658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328</v>
      </c>
      <c r="B11" s="73" t="s">
        <v>329</v>
      </c>
      <c r="C11" s="78">
        <v>400</v>
      </c>
      <c r="D11" s="78">
        <v>71960000</v>
      </c>
      <c r="E11" s="15">
        <v>6.72</v>
      </c>
    </row>
    <row r="12" spans="1:5" x14ac:dyDescent="0.4">
      <c r="A12" s="73" t="s">
        <v>330</v>
      </c>
      <c r="B12" s="73" t="s">
        <v>331</v>
      </c>
      <c r="C12" s="77">
        <v>100</v>
      </c>
      <c r="D12" s="78">
        <v>71100000</v>
      </c>
      <c r="E12" s="15">
        <v>6.64</v>
      </c>
    </row>
    <row r="13" spans="1:5" x14ac:dyDescent="0.4">
      <c r="A13" s="73" t="s">
        <v>313</v>
      </c>
      <c r="B13" s="73" t="s">
        <v>5165</v>
      </c>
      <c r="C13" s="78">
        <v>250</v>
      </c>
      <c r="D13" s="78">
        <v>69250000</v>
      </c>
      <c r="E13" s="15">
        <v>6.47</v>
      </c>
    </row>
    <row r="14" spans="1:5" x14ac:dyDescent="0.4">
      <c r="A14" s="73" t="s">
        <v>78</v>
      </c>
      <c r="B14" s="73" t="s">
        <v>79</v>
      </c>
      <c r="C14" s="78">
        <v>60</v>
      </c>
      <c r="D14" s="78">
        <v>66180000</v>
      </c>
      <c r="E14" s="15">
        <v>6.18</v>
      </c>
    </row>
    <row r="15" spans="1:5" x14ac:dyDescent="0.4">
      <c r="A15" s="73" t="s">
        <v>580</v>
      </c>
      <c r="B15" s="73" t="s">
        <v>581</v>
      </c>
      <c r="C15" s="77">
        <v>301</v>
      </c>
      <c r="D15" s="78">
        <v>64414000</v>
      </c>
      <c r="E15" s="15">
        <v>6.02</v>
      </c>
    </row>
    <row r="16" spans="1:5" x14ac:dyDescent="0.4">
      <c r="A16" s="73" t="s">
        <v>670</v>
      </c>
      <c r="B16" s="73" t="s">
        <v>671</v>
      </c>
      <c r="C16" s="77">
        <v>1593</v>
      </c>
      <c r="D16" s="78">
        <v>62843850</v>
      </c>
      <c r="E16" s="15">
        <v>5.87</v>
      </c>
    </row>
    <row r="17" spans="1:5" x14ac:dyDescent="0.4">
      <c r="A17" s="73" t="s">
        <v>55</v>
      </c>
      <c r="B17" s="73" t="s">
        <v>56</v>
      </c>
      <c r="C17" s="77">
        <v>250</v>
      </c>
      <c r="D17" s="78">
        <v>60500000</v>
      </c>
      <c r="E17" s="15">
        <v>5.65</v>
      </c>
    </row>
    <row r="18" spans="1:5" x14ac:dyDescent="0.4">
      <c r="A18" s="73" t="s">
        <v>63</v>
      </c>
      <c r="B18" s="73" t="s">
        <v>64</v>
      </c>
      <c r="C18" s="78">
        <v>151</v>
      </c>
      <c r="D18" s="78">
        <v>58210500</v>
      </c>
      <c r="E18" s="15">
        <v>5.44</v>
      </c>
    </row>
    <row r="19" spans="1:5" x14ac:dyDescent="0.4">
      <c r="A19" s="73" t="s">
        <v>142</v>
      </c>
      <c r="B19" s="73" t="s">
        <v>143</v>
      </c>
      <c r="C19" s="78">
        <v>300</v>
      </c>
      <c r="D19" s="78">
        <v>53460000</v>
      </c>
      <c r="E19" s="15">
        <v>4.99</v>
      </c>
    </row>
    <row r="20" spans="1:5" x14ac:dyDescent="0.4">
      <c r="A20" s="73" t="s">
        <v>229</v>
      </c>
      <c r="B20" s="73" t="s">
        <v>230</v>
      </c>
      <c r="C20" s="78">
        <v>200</v>
      </c>
      <c r="D20" s="78">
        <v>44700000</v>
      </c>
      <c r="E20" s="15">
        <v>4.18</v>
      </c>
    </row>
    <row r="21" spans="1:5" x14ac:dyDescent="0.4">
      <c r="A21" s="73" t="s">
        <v>215</v>
      </c>
      <c r="B21" s="73" t="s">
        <v>216</v>
      </c>
      <c r="C21" s="78">
        <v>801</v>
      </c>
      <c r="D21" s="78">
        <v>43654500</v>
      </c>
      <c r="E21" s="15">
        <v>4.08</v>
      </c>
    </row>
    <row r="22" spans="1:5" x14ac:dyDescent="0.4">
      <c r="A22" s="73" t="s">
        <v>532</v>
      </c>
      <c r="B22" s="73" t="s">
        <v>533</v>
      </c>
      <c r="C22" s="78">
        <v>500</v>
      </c>
      <c r="D22" s="78">
        <v>42250000</v>
      </c>
      <c r="E22" s="15">
        <v>3.95</v>
      </c>
    </row>
    <row r="23" spans="1:5" x14ac:dyDescent="0.4">
      <c r="A23" s="73" t="s">
        <v>221</v>
      </c>
      <c r="B23" s="73" t="s">
        <v>222</v>
      </c>
      <c r="C23" s="77">
        <v>899</v>
      </c>
      <c r="D23" s="78">
        <v>40679750</v>
      </c>
      <c r="E23" s="15">
        <v>3.8</v>
      </c>
    </row>
    <row r="24" spans="1:5" x14ac:dyDescent="0.4">
      <c r="A24" s="73" t="s">
        <v>45</v>
      </c>
      <c r="B24" s="73" t="s">
        <v>46</v>
      </c>
      <c r="C24" s="77">
        <v>301</v>
      </c>
      <c r="D24" s="78">
        <v>39732000</v>
      </c>
      <c r="E24" s="15">
        <v>3.71</v>
      </c>
    </row>
    <row r="25" spans="1:5" x14ac:dyDescent="0.4">
      <c r="A25" s="73" t="s">
        <v>453</v>
      </c>
      <c r="B25" s="73" t="s">
        <v>454</v>
      </c>
      <c r="C25" s="78">
        <v>200</v>
      </c>
      <c r="D25" s="78">
        <v>38940000</v>
      </c>
      <c r="E25" s="15">
        <v>3.64</v>
      </c>
    </row>
    <row r="26" spans="1:5" x14ac:dyDescent="0.4">
      <c r="A26" s="73" t="s">
        <v>548</v>
      </c>
      <c r="B26" s="73" t="s">
        <v>549</v>
      </c>
      <c r="C26" s="78">
        <v>1000</v>
      </c>
      <c r="D26" s="78">
        <v>33200000</v>
      </c>
      <c r="E26" s="15">
        <v>3.1</v>
      </c>
    </row>
    <row r="27" spans="1:5" x14ac:dyDescent="0.4">
      <c r="A27" s="73" t="s">
        <v>273</v>
      </c>
      <c r="B27" s="73" t="s">
        <v>274</v>
      </c>
      <c r="C27" s="78">
        <v>400</v>
      </c>
      <c r="D27" s="78">
        <v>30560000</v>
      </c>
      <c r="E27" s="15">
        <v>2.85</v>
      </c>
    </row>
    <row r="28" spans="1:5" x14ac:dyDescent="0.4">
      <c r="A28" s="73" t="s">
        <v>61</v>
      </c>
      <c r="B28" s="73" t="s">
        <v>62</v>
      </c>
      <c r="C28" s="78">
        <v>97</v>
      </c>
      <c r="D28" s="78">
        <v>28518000</v>
      </c>
      <c r="E28" s="15">
        <v>2.66</v>
      </c>
    </row>
    <row r="29" spans="1:5" x14ac:dyDescent="0.4">
      <c r="A29" s="73" t="s">
        <v>694</v>
      </c>
      <c r="B29" s="73" t="s">
        <v>695</v>
      </c>
      <c r="C29" s="78">
        <v>401</v>
      </c>
      <c r="D29" s="78">
        <v>25944700</v>
      </c>
      <c r="E29" s="15">
        <v>2.42</v>
      </c>
    </row>
    <row r="30" spans="1:5" x14ac:dyDescent="0.4">
      <c r="A30" s="73" t="s">
        <v>732</v>
      </c>
      <c r="B30" s="73" t="s">
        <v>733</v>
      </c>
      <c r="C30" s="78">
        <v>1302</v>
      </c>
      <c r="D30" s="78">
        <v>24855180</v>
      </c>
      <c r="E30" s="15">
        <v>2.3199999999999998</v>
      </c>
    </row>
    <row r="31" spans="1:5" x14ac:dyDescent="0.4">
      <c r="A31" s="73" t="s">
        <v>510</v>
      </c>
      <c r="B31" s="73" t="s">
        <v>511</v>
      </c>
      <c r="C31" s="78">
        <v>701</v>
      </c>
      <c r="D31" s="78">
        <v>21871200</v>
      </c>
      <c r="E31" s="15">
        <v>2.04</v>
      </c>
    </row>
    <row r="32" spans="1:5" x14ac:dyDescent="0.4">
      <c r="A32" s="73" t="s">
        <v>279</v>
      </c>
      <c r="B32" s="73" t="s">
        <v>280</v>
      </c>
      <c r="C32" s="78">
        <v>2002</v>
      </c>
      <c r="D32" s="78">
        <v>20480460</v>
      </c>
      <c r="E32" s="15">
        <v>1.91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17875000</v>
      </c>
      <c r="E33" s="15">
        <v>1.67</v>
      </c>
    </row>
    <row r="34" spans="1:5" x14ac:dyDescent="0.4">
      <c r="A34" s="73" t="s">
        <v>275</v>
      </c>
      <c r="B34" s="73" t="s">
        <v>276</v>
      </c>
      <c r="C34" s="78">
        <v>504</v>
      </c>
      <c r="D34" s="78">
        <v>11793600</v>
      </c>
      <c r="E34" s="15">
        <v>1.1000000000000001</v>
      </c>
    </row>
    <row r="35" spans="1:5" x14ac:dyDescent="0.4">
      <c r="A35" s="73" t="s">
        <v>624</v>
      </c>
      <c r="B35" s="73" t="s">
        <v>625</v>
      </c>
      <c r="C35" s="78">
        <v>998</v>
      </c>
      <c r="D35" s="78">
        <v>11127700</v>
      </c>
      <c r="E35" s="15">
        <v>1.04</v>
      </c>
    </row>
    <row r="36" spans="1:5" x14ac:dyDescent="0.4">
      <c r="A36" s="73"/>
      <c r="B36" s="73" t="s">
        <v>10</v>
      </c>
      <c r="C36" s="78">
        <v>16348226</v>
      </c>
      <c r="D36" s="78">
        <v>16348226</v>
      </c>
      <c r="E36" s="15">
        <v>1.53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443</v>
      </c>
      <c r="B8" s="6"/>
      <c r="C8" s="6"/>
      <c r="D8" s="6"/>
      <c r="E8" s="14"/>
    </row>
    <row r="9" spans="1:7" x14ac:dyDescent="0.4">
      <c r="A9" s="75" t="s">
        <v>659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189</v>
      </c>
      <c r="D11" s="76">
        <v>483840000</v>
      </c>
      <c r="E11" s="19">
        <v>24.96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155</v>
      </c>
      <c r="D12" s="78">
        <v>272335000</v>
      </c>
      <c r="E12" s="15">
        <v>14.05</v>
      </c>
    </row>
    <row r="13" spans="1:7" x14ac:dyDescent="0.4">
      <c r="A13" s="73" t="s">
        <v>80</v>
      </c>
      <c r="B13" s="73" t="s">
        <v>81</v>
      </c>
      <c r="C13" s="78">
        <v>625</v>
      </c>
      <c r="D13" s="78">
        <v>196562500</v>
      </c>
      <c r="E13" s="15">
        <v>10.14</v>
      </c>
    </row>
    <row r="14" spans="1:7" x14ac:dyDescent="0.4">
      <c r="A14" s="73" t="s">
        <v>451</v>
      </c>
      <c r="B14" s="74" t="s">
        <v>452</v>
      </c>
      <c r="C14" s="76">
        <v>41</v>
      </c>
      <c r="D14" s="76">
        <v>90405000</v>
      </c>
      <c r="E14" s="19">
        <v>4.66</v>
      </c>
      <c r="F14" s="17"/>
      <c r="G14" s="17"/>
    </row>
    <row r="15" spans="1:7" x14ac:dyDescent="0.4">
      <c r="A15" s="73" t="s">
        <v>135</v>
      </c>
      <c r="B15" s="74" t="s">
        <v>136</v>
      </c>
      <c r="C15" s="77">
        <v>167</v>
      </c>
      <c r="D15" s="78">
        <v>72478000</v>
      </c>
      <c r="E15" s="15">
        <v>3.74</v>
      </c>
    </row>
    <row r="16" spans="1:7" x14ac:dyDescent="0.4">
      <c r="A16" s="73" t="s">
        <v>108</v>
      </c>
      <c r="B16" s="73" t="s">
        <v>109</v>
      </c>
      <c r="C16" s="77">
        <v>180</v>
      </c>
      <c r="D16" s="78">
        <v>69660000</v>
      </c>
      <c r="E16" s="15">
        <v>3.59</v>
      </c>
    </row>
    <row r="17" spans="1:7" x14ac:dyDescent="0.4">
      <c r="A17" s="73" t="s">
        <v>752</v>
      </c>
      <c r="B17" s="74" t="s">
        <v>753</v>
      </c>
      <c r="C17" s="77">
        <v>302</v>
      </c>
      <c r="D17" s="78">
        <v>64326000</v>
      </c>
      <c r="E17" s="15">
        <v>3.32</v>
      </c>
    </row>
    <row r="18" spans="1:7" x14ac:dyDescent="0.4">
      <c r="A18" s="73" t="s">
        <v>303</v>
      </c>
      <c r="B18" s="73" t="s">
        <v>304</v>
      </c>
      <c r="C18" s="78">
        <v>84</v>
      </c>
      <c r="D18" s="78">
        <v>64092000</v>
      </c>
      <c r="E18" s="15">
        <v>3.31</v>
      </c>
    </row>
    <row r="19" spans="1:7" x14ac:dyDescent="0.4">
      <c r="A19" s="73" t="s">
        <v>469</v>
      </c>
      <c r="B19" s="74" t="s">
        <v>470</v>
      </c>
      <c r="C19" s="76">
        <v>297</v>
      </c>
      <c r="D19" s="76">
        <v>62815500</v>
      </c>
      <c r="E19" s="19">
        <v>3.24</v>
      </c>
      <c r="F19" s="17"/>
      <c r="G19" s="17"/>
    </row>
    <row r="20" spans="1:7" x14ac:dyDescent="0.4">
      <c r="A20" s="73" t="s">
        <v>73</v>
      </c>
      <c r="B20" s="73" t="s">
        <v>74</v>
      </c>
      <c r="C20" s="78">
        <v>45</v>
      </c>
      <c r="D20" s="78">
        <v>49095000</v>
      </c>
      <c r="E20" s="15">
        <v>2.5299999999999998</v>
      </c>
    </row>
    <row r="21" spans="1:7" x14ac:dyDescent="0.4">
      <c r="A21" s="73" t="s">
        <v>392</v>
      </c>
      <c r="B21" s="73" t="s">
        <v>393</v>
      </c>
      <c r="C21" s="78">
        <v>160</v>
      </c>
      <c r="D21" s="78">
        <v>41840000</v>
      </c>
      <c r="E21" s="15">
        <v>2.16</v>
      </c>
    </row>
    <row r="22" spans="1:7" x14ac:dyDescent="0.4">
      <c r="A22" s="73" t="s">
        <v>114</v>
      </c>
      <c r="B22" s="73" t="s">
        <v>115</v>
      </c>
      <c r="C22" s="78">
        <v>433</v>
      </c>
      <c r="D22" s="78">
        <v>41741200</v>
      </c>
      <c r="E22" s="15">
        <v>2.15</v>
      </c>
    </row>
    <row r="23" spans="1:7" x14ac:dyDescent="0.4">
      <c r="A23" s="73" t="s">
        <v>140</v>
      </c>
      <c r="B23" s="73" t="s">
        <v>141</v>
      </c>
      <c r="C23" s="77">
        <v>82</v>
      </c>
      <c r="D23" s="78">
        <v>39975000</v>
      </c>
      <c r="E23" s="15">
        <v>2.06</v>
      </c>
    </row>
    <row r="24" spans="1:7" x14ac:dyDescent="0.4">
      <c r="A24" s="73" t="s">
        <v>118</v>
      </c>
      <c r="B24" s="73" t="s">
        <v>119</v>
      </c>
      <c r="C24" s="77">
        <v>175</v>
      </c>
      <c r="D24" s="78">
        <v>39900000</v>
      </c>
      <c r="E24" s="15">
        <v>2.06</v>
      </c>
    </row>
    <row r="25" spans="1:7" x14ac:dyDescent="0.4">
      <c r="A25" s="73" t="s">
        <v>92</v>
      </c>
      <c r="B25" s="73" t="s">
        <v>93</v>
      </c>
      <c r="C25" s="78">
        <v>18</v>
      </c>
      <c r="D25" s="78">
        <v>28620000</v>
      </c>
      <c r="E25" s="15">
        <v>1.48</v>
      </c>
    </row>
    <row r="26" spans="1:7" x14ac:dyDescent="0.4">
      <c r="A26" s="73" t="s">
        <v>63</v>
      </c>
      <c r="B26" s="73" t="s">
        <v>64</v>
      </c>
      <c r="C26" s="78">
        <v>70</v>
      </c>
      <c r="D26" s="78">
        <v>28560000</v>
      </c>
      <c r="E26" s="15">
        <v>1.47</v>
      </c>
    </row>
    <row r="27" spans="1:7" x14ac:dyDescent="0.4">
      <c r="A27" s="73" t="s">
        <v>102</v>
      </c>
      <c r="B27" s="73" t="s">
        <v>103</v>
      </c>
      <c r="C27" s="78">
        <v>179</v>
      </c>
      <c r="D27" s="78">
        <v>28371500</v>
      </c>
      <c r="E27" s="15">
        <v>1.46</v>
      </c>
    </row>
    <row r="28" spans="1:7" x14ac:dyDescent="0.4">
      <c r="A28" s="73" t="s">
        <v>330</v>
      </c>
      <c r="B28" s="74" t="s">
        <v>331</v>
      </c>
      <c r="C28" s="76">
        <v>36</v>
      </c>
      <c r="D28" s="76">
        <v>27936000</v>
      </c>
      <c r="E28" s="19">
        <v>1.44</v>
      </c>
      <c r="F28" s="17"/>
      <c r="G28" s="17"/>
    </row>
    <row r="29" spans="1:7" x14ac:dyDescent="0.4">
      <c r="A29" s="73" t="s">
        <v>112</v>
      </c>
      <c r="B29" s="73" t="s">
        <v>113</v>
      </c>
      <c r="C29" s="73">
        <v>207</v>
      </c>
      <c r="D29" s="78">
        <v>24094800</v>
      </c>
      <c r="E29" s="15">
        <v>1.24</v>
      </c>
    </row>
    <row r="30" spans="1:7" x14ac:dyDescent="0.4">
      <c r="A30" s="73" t="s">
        <v>172</v>
      </c>
      <c r="B30" s="73" t="s">
        <v>173</v>
      </c>
      <c r="C30" s="78">
        <v>45</v>
      </c>
      <c r="D30" s="78">
        <v>22230000</v>
      </c>
      <c r="E30" s="15">
        <v>1.1499999999999999</v>
      </c>
    </row>
    <row r="31" spans="1:7" x14ac:dyDescent="0.4">
      <c r="A31" s="73" t="s">
        <v>449</v>
      </c>
      <c r="B31" s="73" t="s">
        <v>450</v>
      </c>
      <c r="C31" s="78">
        <v>23</v>
      </c>
      <c r="D31" s="78">
        <v>20861000</v>
      </c>
      <c r="E31" s="15">
        <v>1.08</v>
      </c>
    </row>
    <row r="32" spans="1:7" x14ac:dyDescent="0.4">
      <c r="A32" s="73" t="s">
        <v>148</v>
      </c>
      <c r="B32" s="73" t="s">
        <v>149</v>
      </c>
      <c r="C32" s="78">
        <v>51</v>
      </c>
      <c r="D32" s="78">
        <v>20349000</v>
      </c>
      <c r="E32" s="15">
        <v>1.05</v>
      </c>
    </row>
    <row r="33" spans="1:7" x14ac:dyDescent="0.4">
      <c r="A33" s="73" t="s">
        <v>122</v>
      </c>
      <c r="B33" s="73" t="s">
        <v>5163</v>
      </c>
      <c r="C33" s="73">
        <v>26</v>
      </c>
      <c r="D33" s="78">
        <v>20020000</v>
      </c>
      <c r="E33" s="15">
        <v>1.03</v>
      </c>
    </row>
    <row r="34" spans="1:7" x14ac:dyDescent="0.4">
      <c r="A34" s="73" t="s">
        <v>444</v>
      </c>
      <c r="B34" s="73" t="s">
        <v>445</v>
      </c>
      <c r="C34" s="78">
        <v>212</v>
      </c>
      <c r="D34" s="78">
        <v>19398000</v>
      </c>
      <c r="E34" s="15">
        <v>1</v>
      </c>
    </row>
    <row r="35" spans="1:7" x14ac:dyDescent="0.4">
      <c r="A35" s="73" t="s">
        <v>15</v>
      </c>
      <c r="B35" s="74" t="s">
        <v>16</v>
      </c>
      <c r="C35" s="76">
        <v>16</v>
      </c>
      <c r="D35" s="76">
        <v>16192000</v>
      </c>
      <c r="E35" s="19">
        <v>0.84</v>
      </c>
      <c r="F35" s="17"/>
      <c r="G35" s="17"/>
    </row>
    <row r="36" spans="1:7" x14ac:dyDescent="0.4">
      <c r="A36" s="73" t="s">
        <v>532</v>
      </c>
      <c r="B36" s="73" t="s">
        <v>533</v>
      </c>
      <c r="C36" s="78">
        <v>168</v>
      </c>
      <c r="D36" s="78">
        <v>15237600</v>
      </c>
      <c r="E36" s="15">
        <v>0.79</v>
      </c>
    </row>
    <row r="37" spans="1:7" x14ac:dyDescent="0.4">
      <c r="A37" s="73" t="s">
        <v>78</v>
      </c>
      <c r="B37" s="73" t="s">
        <v>79</v>
      </c>
      <c r="C37" s="78">
        <v>12</v>
      </c>
      <c r="D37" s="78">
        <v>13944000</v>
      </c>
      <c r="E37" s="15">
        <v>0.72</v>
      </c>
    </row>
    <row r="38" spans="1:7" x14ac:dyDescent="0.4">
      <c r="A38" s="73" t="s">
        <v>96</v>
      </c>
      <c r="B38" s="73" t="s">
        <v>97</v>
      </c>
      <c r="C38" s="78">
        <v>114</v>
      </c>
      <c r="D38" s="78">
        <v>12847800</v>
      </c>
      <c r="E38" s="15">
        <v>0.66</v>
      </c>
    </row>
    <row r="39" spans="1:7" x14ac:dyDescent="0.4">
      <c r="A39" s="73" t="s">
        <v>477</v>
      </c>
      <c r="B39" s="73" t="s">
        <v>478</v>
      </c>
      <c r="C39" s="78">
        <v>71</v>
      </c>
      <c r="D39" s="78">
        <v>11821500</v>
      </c>
      <c r="E39" s="15">
        <v>0.61</v>
      </c>
    </row>
    <row r="40" spans="1:7" x14ac:dyDescent="0.4">
      <c r="A40" s="73" t="s">
        <v>61</v>
      </c>
      <c r="B40" s="73" t="s">
        <v>62</v>
      </c>
      <c r="C40" s="78">
        <v>27</v>
      </c>
      <c r="D40" s="78">
        <v>9895500</v>
      </c>
      <c r="E40" s="15">
        <v>0.51</v>
      </c>
    </row>
    <row r="41" spans="1:7" x14ac:dyDescent="0.4">
      <c r="A41" s="73" t="s">
        <v>82</v>
      </c>
      <c r="B41" s="73" t="s">
        <v>83</v>
      </c>
      <c r="C41" s="78">
        <v>23</v>
      </c>
      <c r="D41" s="78">
        <v>7992500</v>
      </c>
      <c r="E41" s="15">
        <v>0.41</v>
      </c>
    </row>
    <row r="42" spans="1:7" x14ac:dyDescent="0.4">
      <c r="A42" s="73"/>
      <c r="B42" s="74" t="s">
        <v>10</v>
      </c>
      <c r="C42" s="76">
        <v>21354645</v>
      </c>
      <c r="D42" s="76">
        <v>21354645</v>
      </c>
      <c r="E42" s="19">
        <v>1.1000000000000001</v>
      </c>
      <c r="F42" s="17"/>
      <c r="G42" s="17"/>
    </row>
    <row r="43" spans="1:7" x14ac:dyDescent="0.4">
      <c r="B43" s="17"/>
      <c r="C43" s="18"/>
      <c r="D43" s="18"/>
      <c r="E43" s="74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5152</v>
      </c>
      <c r="B8" s="6"/>
      <c r="C8" s="6"/>
      <c r="D8" s="6"/>
      <c r="E8" s="14"/>
    </row>
    <row r="9" spans="1:7" x14ac:dyDescent="0.4">
      <c r="A9" s="75" t="s">
        <v>5154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68</v>
      </c>
      <c r="D11" s="76">
        <v>174080000</v>
      </c>
      <c r="E11" s="19">
        <v>25.04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508</v>
      </c>
      <c r="D12" s="76">
        <v>159766000</v>
      </c>
      <c r="E12" s="19">
        <v>22.98</v>
      </c>
      <c r="F12" s="17"/>
      <c r="G12" s="17"/>
    </row>
    <row r="13" spans="1:7" x14ac:dyDescent="0.4">
      <c r="A13" s="73" t="s">
        <v>188</v>
      </c>
      <c r="B13" s="73" t="s">
        <v>189</v>
      </c>
      <c r="C13" s="78">
        <v>21</v>
      </c>
      <c r="D13" s="78">
        <v>36897000</v>
      </c>
      <c r="E13" s="15">
        <v>5.31</v>
      </c>
    </row>
    <row r="14" spans="1:7" x14ac:dyDescent="0.4">
      <c r="A14" s="73" t="s">
        <v>456</v>
      </c>
      <c r="B14" s="73" t="s">
        <v>457</v>
      </c>
      <c r="C14" s="78">
        <v>174</v>
      </c>
      <c r="D14" s="78">
        <v>35583000</v>
      </c>
      <c r="E14" s="15">
        <v>5.12</v>
      </c>
    </row>
    <row r="15" spans="1:7" x14ac:dyDescent="0.4">
      <c r="A15" s="73" t="s">
        <v>135</v>
      </c>
      <c r="B15" s="73" t="s">
        <v>136</v>
      </c>
      <c r="C15" s="77">
        <v>63</v>
      </c>
      <c r="D15" s="78">
        <v>27342000</v>
      </c>
      <c r="E15" s="15">
        <v>3.93</v>
      </c>
    </row>
    <row r="16" spans="1:7" x14ac:dyDescent="0.4">
      <c r="A16" s="73" t="s">
        <v>148</v>
      </c>
      <c r="B16" s="73" t="s">
        <v>149</v>
      </c>
      <c r="C16" s="77">
        <v>65</v>
      </c>
      <c r="D16" s="78">
        <v>25935000</v>
      </c>
      <c r="E16" s="15">
        <v>3.73</v>
      </c>
    </row>
    <row r="17" spans="1:7" x14ac:dyDescent="0.4">
      <c r="A17" s="73" t="s">
        <v>287</v>
      </c>
      <c r="B17" s="74" t="s">
        <v>288</v>
      </c>
      <c r="C17" s="81">
        <v>50</v>
      </c>
      <c r="D17" s="76">
        <v>17400000</v>
      </c>
      <c r="E17" s="19">
        <v>2.5</v>
      </c>
      <c r="F17" s="17"/>
      <c r="G17" s="17"/>
    </row>
    <row r="18" spans="1:7" x14ac:dyDescent="0.4">
      <c r="A18" s="73" t="s">
        <v>301</v>
      </c>
      <c r="B18" s="73" t="s">
        <v>302</v>
      </c>
      <c r="C18" s="78">
        <v>153</v>
      </c>
      <c r="D18" s="78">
        <v>15804900</v>
      </c>
      <c r="E18" s="15">
        <v>2.27</v>
      </c>
    </row>
    <row r="19" spans="1:7" x14ac:dyDescent="0.4">
      <c r="A19" s="73" t="s">
        <v>17</v>
      </c>
      <c r="B19" s="73" t="s">
        <v>18</v>
      </c>
      <c r="C19" s="78">
        <v>175</v>
      </c>
      <c r="D19" s="78">
        <v>15487500</v>
      </c>
      <c r="E19" s="15">
        <v>2.23</v>
      </c>
    </row>
    <row r="20" spans="1:7" x14ac:dyDescent="0.4">
      <c r="A20" s="73" t="s">
        <v>451</v>
      </c>
      <c r="B20" s="73" t="s">
        <v>452</v>
      </c>
      <c r="C20" s="73">
        <v>7</v>
      </c>
      <c r="D20" s="78">
        <v>15435000</v>
      </c>
      <c r="E20" s="15">
        <v>2.2200000000000002</v>
      </c>
    </row>
    <row r="21" spans="1:7" x14ac:dyDescent="0.4">
      <c r="A21" s="73" t="s">
        <v>73</v>
      </c>
      <c r="B21" s="73" t="s">
        <v>74</v>
      </c>
      <c r="C21" s="78">
        <v>13</v>
      </c>
      <c r="D21" s="78">
        <v>14183000</v>
      </c>
      <c r="E21" s="15">
        <v>2.04</v>
      </c>
    </row>
    <row r="22" spans="1:7" x14ac:dyDescent="0.4">
      <c r="A22" s="73" t="s">
        <v>299</v>
      </c>
      <c r="B22" s="74" t="s">
        <v>300</v>
      </c>
      <c r="C22" s="74">
        <v>25</v>
      </c>
      <c r="D22" s="76">
        <v>12275000</v>
      </c>
      <c r="E22" s="19">
        <v>1.77</v>
      </c>
      <c r="F22" s="17"/>
      <c r="G22" s="17"/>
    </row>
    <row r="23" spans="1:7" x14ac:dyDescent="0.4">
      <c r="A23" s="73" t="s">
        <v>19</v>
      </c>
      <c r="B23" s="74" t="s">
        <v>20</v>
      </c>
      <c r="C23" s="81">
        <v>44</v>
      </c>
      <c r="D23" s="76">
        <v>11594000</v>
      </c>
      <c r="E23" s="19">
        <v>1.67</v>
      </c>
      <c r="F23" s="17"/>
      <c r="G23" s="17"/>
    </row>
    <row r="24" spans="1:7" x14ac:dyDescent="0.4">
      <c r="A24" s="73" t="s">
        <v>122</v>
      </c>
      <c r="B24" s="73" t="s">
        <v>5163</v>
      </c>
      <c r="C24" s="77">
        <v>15</v>
      </c>
      <c r="D24" s="78">
        <v>11550000</v>
      </c>
      <c r="E24" s="15">
        <v>1.66</v>
      </c>
    </row>
    <row r="25" spans="1:7" x14ac:dyDescent="0.4">
      <c r="A25" s="73" t="s">
        <v>138</v>
      </c>
      <c r="B25" s="73" t="s">
        <v>139</v>
      </c>
      <c r="C25" s="78">
        <v>441</v>
      </c>
      <c r="D25" s="78">
        <v>10473750</v>
      </c>
      <c r="E25" s="15">
        <v>1.51</v>
      </c>
    </row>
    <row r="26" spans="1:7" x14ac:dyDescent="0.4">
      <c r="A26" s="73" t="s">
        <v>217</v>
      </c>
      <c r="B26" s="73" t="s">
        <v>218</v>
      </c>
      <c r="C26" s="73">
        <v>17</v>
      </c>
      <c r="D26" s="78">
        <v>10455000</v>
      </c>
      <c r="E26" s="15">
        <v>1.5</v>
      </c>
    </row>
    <row r="27" spans="1:7" x14ac:dyDescent="0.4">
      <c r="A27" s="73" t="s">
        <v>355</v>
      </c>
      <c r="B27" s="73" t="s">
        <v>356</v>
      </c>
      <c r="C27" s="78">
        <v>64</v>
      </c>
      <c r="D27" s="78">
        <v>9881600</v>
      </c>
      <c r="E27" s="15">
        <v>1.42</v>
      </c>
    </row>
    <row r="28" spans="1:7" x14ac:dyDescent="0.4">
      <c r="A28" s="73" t="s">
        <v>486</v>
      </c>
      <c r="B28" s="73" t="s">
        <v>487</v>
      </c>
      <c r="C28" s="78">
        <v>59</v>
      </c>
      <c r="D28" s="78">
        <v>9280700</v>
      </c>
      <c r="E28" s="15">
        <v>1.33</v>
      </c>
    </row>
    <row r="29" spans="1:7" x14ac:dyDescent="0.4">
      <c r="A29" s="73" t="s">
        <v>4695</v>
      </c>
      <c r="B29" s="73" t="s">
        <v>4696</v>
      </c>
      <c r="C29" s="73">
        <v>135</v>
      </c>
      <c r="D29" s="78">
        <v>9018000</v>
      </c>
      <c r="E29" s="15">
        <v>1.3</v>
      </c>
    </row>
    <row r="30" spans="1:7" x14ac:dyDescent="0.4">
      <c r="A30" s="73" t="s">
        <v>309</v>
      </c>
      <c r="B30" s="73" t="s">
        <v>310</v>
      </c>
      <c r="C30" s="78">
        <v>106</v>
      </c>
      <c r="D30" s="78">
        <v>8162000</v>
      </c>
      <c r="E30" s="15">
        <v>1.17</v>
      </c>
    </row>
    <row r="31" spans="1:7" x14ac:dyDescent="0.4">
      <c r="A31" s="73" t="s">
        <v>931</v>
      </c>
      <c r="B31" s="73" t="s">
        <v>932</v>
      </c>
      <c r="C31" s="78">
        <v>353</v>
      </c>
      <c r="D31" s="78">
        <v>8083700</v>
      </c>
      <c r="E31" s="15">
        <v>1.1599999999999999</v>
      </c>
    </row>
    <row r="32" spans="1:7" x14ac:dyDescent="0.4">
      <c r="A32" s="73" t="s">
        <v>347</v>
      </c>
      <c r="B32" s="73" t="s">
        <v>348</v>
      </c>
      <c r="C32" s="78">
        <v>53</v>
      </c>
      <c r="D32" s="78">
        <v>7043700</v>
      </c>
      <c r="E32" s="15">
        <v>1.01</v>
      </c>
    </row>
    <row r="33" spans="1:5" x14ac:dyDescent="0.4">
      <c r="A33" s="73" t="s">
        <v>4746</v>
      </c>
      <c r="B33" s="73" t="s">
        <v>4747</v>
      </c>
      <c r="C33" s="73">
        <v>229</v>
      </c>
      <c r="D33" s="78">
        <v>6950150</v>
      </c>
      <c r="E33" s="15">
        <v>1</v>
      </c>
    </row>
    <row r="34" spans="1:5" x14ac:dyDescent="0.4">
      <c r="A34" s="73" t="s">
        <v>392</v>
      </c>
      <c r="B34" s="73" t="s">
        <v>393</v>
      </c>
      <c r="C34" s="78">
        <v>25</v>
      </c>
      <c r="D34" s="78">
        <v>6537500</v>
      </c>
      <c r="E34" s="15">
        <v>0.94</v>
      </c>
    </row>
    <row r="35" spans="1:5" x14ac:dyDescent="0.4">
      <c r="A35" s="73" t="s">
        <v>88</v>
      </c>
      <c r="B35" s="73" t="s">
        <v>89</v>
      </c>
      <c r="C35" s="73">
        <v>33</v>
      </c>
      <c r="D35" s="78">
        <v>6263400</v>
      </c>
      <c r="E35" s="15">
        <v>0.9</v>
      </c>
    </row>
    <row r="36" spans="1:5" x14ac:dyDescent="0.4">
      <c r="A36" s="73" t="s">
        <v>1755</v>
      </c>
      <c r="B36" s="73" t="s">
        <v>1756</v>
      </c>
      <c r="C36" s="78">
        <v>232</v>
      </c>
      <c r="D36" s="78">
        <v>6217600</v>
      </c>
      <c r="E36" s="15">
        <v>0.89</v>
      </c>
    </row>
    <row r="37" spans="1:5" x14ac:dyDescent="0.4">
      <c r="A37" s="73" t="s">
        <v>21</v>
      </c>
      <c r="B37" s="73" t="s">
        <v>22</v>
      </c>
      <c r="C37" s="78">
        <v>51</v>
      </c>
      <c r="D37" s="78">
        <v>6069000</v>
      </c>
      <c r="E37" s="15">
        <v>0.87</v>
      </c>
    </row>
    <row r="38" spans="1:5" x14ac:dyDescent="0.4">
      <c r="A38" s="73" t="s">
        <v>734</v>
      </c>
      <c r="B38" s="73" t="s">
        <v>735</v>
      </c>
      <c r="C38" s="78">
        <v>60</v>
      </c>
      <c r="D38" s="78">
        <v>5742000</v>
      </c>
      <c r="E38" s="15">
        <v>0.83</v>
      </c>
    </row>
    <row r="39" spans="1:5" x14ac:dyDescent="0.4">
      <c r="A39" s="73" t="s">
        <v>4529</v>
      </c>
      <c r="B39" s="73" t="s">
        <v>4530</v>
      </c>
      <c r="C39" s="73">
        <v>641</v>
      </c>
      <c r="D39" s="78">
        <v>5672850</v>
      </c>
      <c r="E39" s="15">
        <v>0.82</v>
      </c>
    </row>
    <row r="40" spans="1:5" x14ac:dyDescent="0.4">
      <c r="A40" s="73" t="s">
        <v>353</v>
      </c>
      <c r="B40" s="73" t="s">
        <v>354</v>
      </c>
      <c r="C40" s="73">
        <v>32</v>
      </c>
      <c r="D40" s="78">
        <v>4246400</v>
      </c>
      <c r="E40" s="15">
        <v>0.61</v>
      </c>
    </row>
    <row r="41" spans="1:5" x14ac:dyDescent="0.4">
      <c r="A41" s="73" t="s">
        <v>291</v>
      </c>
      <c r="B41" s="73" t="s">
        <v>292</v>
      </c>
      <c r="C41" s="73">
        <v>45</v>
      </c>
      <c r="D41" s="78">
        <v>1624500</v>
      </c>
      <c r="E41" s="15">
        <v>0.23</v>
      </c>
    </row>
    <row r="42" spans="1:5" x14ac:dyDescent="0.4">
      <c r="A42" s="73"/>
      <c r="B42" s="73" t="s">
        <v>10</v>
      </c>
      <c r="C42" s="78">
        <v>153326</v>
      </c>
      <c r="D42" s="78">
        <v>153326</v>
      </c>
      <c r="E42" s="15">
        <v>0.02</v>
      </c>
    </row>
    <row r="43" spans="1:5" x14ac:dyDescent="0.4">
      <c r="D43" s="13"/>
      <c r="E43" s="7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C48" s="13"/>
      <c r="D48" s="13"/>
    </row>
    <row r="49" spans="3:4" x14ac:dyDescent="0.4">
      <c r="C49" s="13"/>
      <c r="D49" s="13"/>
    </row>
    <row r="50" spans="3:4" x14ac:dyDescent="0.4">
      <c r="C50" s="13"/>
      <c r="D50" s="13"/>
    </row>
    <row r="51" spans="3:4" x14ac:dyDescent="0.4">
      <c r="C51" s="13"/>
      <c r="D51" s="13"/>
    </row>
    <row r="52" spans="3:4" x14ac:dyDescent="0.4">
      <c r="C52" s="13"/>
      <c r="D52" s="13"/>
    </row>
    <row r="53" spans="3:4" x14ac:dyDescent="0.4">
      <c r="C53" s="13"/>
      <c r="D53" s="13"/>
    </row>
    <row r="54" spans="3:4" x14ac:dyDescent="0.4">
      <c r="D54" s="13"/>
    </row>
    <row r="55" spans="3:4" x14ac:dyDescent="0.4">
      <c r="D55" s="13"/>
    </row>
    <row r="56" spans="3:4" x14ac:dyDescent="0.4">
      <c r="D56" s="13"/>
    </row>
    <row r="57" spans="3:4" x14ac:dyDescent="0.4">
      <c r="D57" s="13"/>
    </row>
    <row r="58" spans="3:4" x14ac:dyDescent="0.4">
      <c r="D58" s="13"/>
    </row>
    <row r="59" spans="3:4" x14ac:dyDescent="0.4">
      <c r="D59" s="13"/>
    </row>
    <row r="60" spans="3:4" x14ac:dyDescent="0.4">
      <c r="C60" s="13"/>
      <c r="D60" s="13"/>
    </row>
    <row r="61" spans="3:4" x14ac:dyDescent="0.4">
      <c r="C61" s="13"/>
      <c r="D61" s="13"/>
    </row>
    <row r="62" spans="3:4" x14ac:dyDescent="0.4">
      <c r="D62" s="13"/>
    </row>
    <row r="63" spans="3:4" x14ac:dyDescent="0.4">
      <c r="C63" s="13"/>
      <c r="D63" s="13"/>
    </row>
    <row r="64" spans="3:4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5152</v>
      </c>
      <c r="B8" s="6"/>
      <c r="C8" s="6"/>
      <c r="D8" s="6"/>
      <c r="E8" s="14"/>
    </row>
    <row r="9" spans="1:5" x14ac:dyDescent="0.4">
      <c r="A9" s="75" t="s">
        <v>5154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68</v>
      </c>
      <c r="D11" s="78">
        <v>187952000</v>
      </c>
      <c r="E11" s="15">
        <v>24.49</v>
      </c>
    </row>
    <row r="12" spans="1:5" x14ac:dyDescent="0.4">
      <c r="A12" s="73" t="s">
        <v>80</v>
      </c>
      <c r="B12" s="73" t="s">
        <v>81</v>
      </c>
      <c r="C12" s="77">
        <v>509</v>
      </c>
      <c r="D12" s="78">
        <v>180186000</v>
      </c>
      <c r="E12" s="15">
        <v>23.48</v>
      </c>
    </row>
    <row r="13" spans="1:5" x14ac:dyDescent="0.4">
      <c r="A13" s="73" t="s">
        <v>456</v>
      </c>
      <c r="B13" s="73" t="s">
        <v>457</v>
      </c>
      <c r="C13" s="73">
        <v>130</v>
      </c>
      <c r="D13" s="78">
        <v>28860000</v>
      </c>
      <c r="E13" s="15">
        <v>3.76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3.71</v>
      </c>
    </row>
    <row r="15" spans="1:5" x14ac:dyDescent="0.4">
      <c r="A15" s="73" t="s">
        <v>287</v>
      </c>
      <c r="B15" s="73" t="s">
        <v>288</v>
      </c>
      <c r="C15" s="77">
        <v>50</v>
      </c>
      <c r="D15" s="78">
        <v>20225000</v>
      </c>
      <c r="E15" s="15">
        <v>2.64</v>
      </c>
    </row>
    <row r="16" spans="1:5" x14ac:dyDescent="0.4">
      <c r="A16" s="73" t="s">
        <v>301</v>
      </c>
      <c r="B16" s="73" t="s">
        <v>302</v>
      </c>
      <c r="C16" s="77">
        <v>153</v>
      </c>
      <c r="D16" s="78">
        <v>19645200</v>
      </c>
      <c r="E16" s="15">
        <v>2.56</v>
      </c>
    </row>
    <row r="17" spans="1:5" x14ac:dyDescent="0.4">
      <c r="A17" s="73" t="s">
        <v>172</v>
      </c>
      <c r="B17" s="73" t="s">
        <v>173</v>
      </c>
      <c r="C17" s="77">
        <v>31</v>
      </c>
      <c r="D17" s="78">
        <v>18972000</v>
      </c>
      <c r="E17" s="15">
        <v>2.4700000000000002</v>
      </c>
    </row>
    <row r="18" spans="1:5" x14ac:dyDescent="0.4">
      <c r="A18" s="73" t="s">
        <v>17</v>
      </c>
      <c r="B18" s="73" t="s">
        <v>18</v>
      </c>
      <c r="C18" s="78">
        <v>175</v>
      </c>
      <c r="D18" s="78">
        <v>17132500</v>
      </c>
      <c r="E18" s="15">
        <v>2.23</v>
      </c>
    </row>
    <row r="19" spans="1:5" x14ac:dyDescent="0.4">
      <c r="A19" s="73" t="s">
        <v>73</v>
      </c>
      <c r="B19" s="73" t="s">
        <v>74</v>
      </c>
      <c r="C19" s="78">
        <v>13</v>
      </c>
      <c r="D19" s="78">
        <v>14586000</v>
      </c>
      <c r="E19" s="15">
        <v>1.9</v>
      </c>
    </row>
    <row r="20" spans="1:5" x14ac:dyDescent="0.4">
      <c r="A20" s="73" t="s">
        <v>148</v>
      </c>
      <c r="B20" s="73" t="s">
        <v>149</v>
      </c>
      <c r="C20" s="73">
        <v>35</v>
      </c>
      <c r="D20" s="78">
        <v>14350000</v>
      </c>
      <c r="E20" s="15">
        <v>1.87</v>
      </c>
    </row>
    <row r="21" spans="1:5" x14ac:dyDescent="0.4">
      <c r="A21" s="73" t="s">
        <v>606</v>
      </c>
      <c r="B21" s="73" t="s">
        <v>607</v>
      </c>
      <c r="C21" s="78">
        <v>209</v>
      </c>
      <c r="D21" s="78">
        <v>14086600</v>
      </c>
      <c r="E21" s="15">
        <v>1.84</v>
      </c>
    </row>
    <row r="22" spans="1:5" x14ac:dyDescent="0.4">
      <c r="A22" s="73" t="s">
        <v>299</v>
      </c>
      <c r="B22" s="73" t="s">
        <v>300</v>
      </c>
      <c r="C22" s="73">
        <v>25</v>
      </c>
      <c r="D22" s="78">
        <v>13875000</v>
      </c>
      <c r="E22" s="15">
        <v>1.81</v>
      </c>
    </row>
    <row r="23" spans="1:5" x14ac:dyDescent="0.4">
      <c r="A23" s="73" t="s">
        <v>122</v>
      </c>
      <c r="B23" s="73" t="s">
        <v>5163</v>
      </c>
      <c r="C23" s="77">
        <v>15</v>
      </c>
      <c r="D23" s="78">
        <v>12780000</v>
      </c>
      <c r="E23" s="15">
        <v>1.67</v>
      </c>
    </row>
    <row r="24" spans="1:5" x14ac:dyDescent="0.4">
      <c r="A24" s="73" t="s">
        <v>138</v>
      </c>
      <c r="B24" s="73" t="s">
        <v>139</v>
      </c>
      <c r="C24" s="77">
        <v>441</v>
      </c>
      <c r="D24" s="78">
        <v>12149550</v>
      </c>
      <c r="E24" s="15">
        <v>1.58</v>
      </c>
    </row>
    <row r="25" spans="1:5" x14ac:dyDescent="0.4">
      <c r="A25" s="73" t="s">
        <v>217</v>
      </c>
      <c r="B25" s="73" t="s">
        <v>218</v>
      </c>
      <c r="C25" s="78">
        <v>18</v>
      </c>
      <c r="D25" s="78">
        <v>12006000</v>
      </c>
      <c r="E25" s="15">
        <v>1.56</v>
      </c>
    </row>
    <row r="26" spans="1:5" x14ac:dyDescent="0.4">
      <c r="A26" s="73" t="s">
        <v>19</v>
      </c>
      <c r="B26" s="73" t="s">
        <v>20</v>
      </c>
      <c r="C26" s="73">
        <v>44</v>
      </c>
      <c r="D26" s="78">
        <v>11396000</v>
      </c>
      <c r="E26" s="15">
        <v>1.48</v>
      </c>
    </row>
    <row r="27" spans="1:5" x14ac:dyDescent="0.4">
      <c r="A27" s="73" t="s">
        <v>355</v>
      </c>
      <c r="B27" s="73" t="s">
        <v>356</v>
      </c>
      <c r="C27" s="78">
        <v>64</v>
      </c>
      <c r="D27" s="78">
        <v>10003200</v>
      </c>
      <c r="E27" s="15">
        <v>1.3</v>
      </c>
    </row>
    <row r="28" spans="1:5" x14ac:dyDescent="0.4">
      <c r="A28" s="73" t="s">
        <v>4695</v>
      </c>
      <c r="B28" s="73" t="s">
        <v>4696</v>
      </c>
      <c r="C28" s="78">
        <v>135</v>
      </c>
      <c r="D28" s="78">
        <v>9976500</v>
      </c>
      <c r="E28" s="15">
        <v>1.3</v>
      </c>
    </row>
    <row r="29" spans="1:5" x14ac:dyDescent="0.4">
      <c r="A29" s="73" t="s">
        <v>309</v>
      </c>
      <c r="B29" s="73" t="s">
        <v>310</v>
      </c>
      <c r="C29" s="73">
        <v>106</v>
      </c>
      <c r="D29" s="78">
        <v>9656600</v>
      </c>
      <c r="E29" s="15">
        <v>1.26</v>
      </c>
    </row>
    <row r="30" spans="1:5" x14ac:dyDescent="0.4">
      <c r="A30" s="73" t="s">
        <v>324</v>
      </c>
      <c r="B30" s="73" t="s">
        <v>325</v>
      </c>
      <c r="C30" s="78">
        <v>36</v>
      </c>
      <c r="D30" s="78">
        <v>9234000</v>
      </c>
      <c r="E30" s="15">
        <v>1.2</v>
      </c>
    </row>
    <row r="31" spans="1:5" x14ac:dyDescent="0.4">
      <c r="A31" s="73" t="s">
        <v>291</v>
      </c>
      <c r="B31" s="73" t="s">
        <v>292</v>
      </c>
      <c r="C31" s="78">
        <v>222</v>
      </c>
      <c r="D31" s="78">
        <v>8447100</v>
      </c>
      <c r="E31" s="15">
        <v>1.1000000000000001</v>
      </c>
    </row>
    <row r="32" spans="1:5" x14ac:dyDescent="0.4">
      <c r="A32" s="73" t="s">
        <v>931</v>
      </c>
      <c r="B32" s="73" t="s">
        <v>932</v>
      </c>
      <c r="C32" s="78">
        <v>353</v>
      </c>
      <c r="D32" s="78">
        <v>7889550</v>
      </c>
      <c r="E32" s="15">
        <v>1.03</v>
      </c>
    </row>
    <row r="33" spans="1:5" x14ac:dyDescent="0.4">
      <c r="A33" s="73" t="s">
        <v>135</v>
      </c>
      <c r="B33" s="73" t="s">
        <v>136</v>
      </c>
      <c r="C33" s="73">
        <v>16</v>
      </c>
      <c r="D33" s="78">
        <v>7864000</v>
      </c>
      <c r="E33" s="15">
        <v>1.02</v>
      </c>
    </row>
    <row r="34" spans="1:5" x14ac:dyDescent="0.4">
      <c r="A34" s="73" t="s">
        <v>11</v>
      </c>
      <c r="B34" s="73" t="s">
        <v>12</v>
      </c>
      <c r="C34" s="78">
        <v>2</v>
      </c>
      <c r="D34" s="78">
        <v>7710000</v>
      </c>
      <c r="E34" s="15">
        <v>1</v>
      </c>
    </row>
    <row r="35" spans="1:5" x14ac:dyDescent="0.4">
      <c r="A35" s="73" t="s">
        <v>4746</v>
      </c>
      <c r="B35" s="73" t="s">
        <v>4747</v>
      </c>
      <c r="C35" s="73">
        <v>229</v>
      </c>
      <c r="D35" s="78">
        <v>7637150</v>
      </c>
      <c r="E35" s="15">
        <v>1</v>
      </c>
    </row>
    <row r="36" spans="1:5" x14ac:dyDescent="0.4">
      <c r="A36" s="73" t="s">
        <v>486</v>
      </c>
      <c r="B36" s="73" t="s">
        <v>487</v>
      </c>
      <c r="C36" s="78">
        <v>59</v>
      </c>
      <c r="D36" s="78">
        <v>7333700</v>
      </c>
      <c r="E36" s="15">
        <v>0.96</v>
      </c>
    </row>
    <row r="37" spans="1:5" x14ac:dyDescent="0.4">
      <c r="A37" s="73" t="s">
        <v>4529</v>
      </c>
      <c r="B37" s="73" t="s">
        <v>4530</v>
      </c>
      <c r="C37" s="78">
        <v>641</v>
      </c>
      <c r="D37" s="78">
        <v>7018950</v>
      </c>
      <c r="E37" s="15">
        <v>0.91</v>
      </c>
    </row>
    <row r="38" spans="1:5" x14ac:dyDescent="0.4">
      <c r="A38" s="73" t="s">
        <v>88</v>
      </c>
      <c r="B38" s="73" t="s">
        <v>89</v>
      </c>
      <c r="C38" s="78">
        <v>33</v>
      </c>
      <c r="D38" s="78">
        <v>6831000</v>
      </c>
      <c r="E38" s="15">
        <v>0.89</v>
      </c>
    </row>
    <row r="39" spans="1:5" x14ac:dyDescent="0.4">
      <c r="A39" s="73" t="s">
        <v>1755</v>
      </c>
      <c r="B39" s="73" t="s">
        <v>1756</v>
      </c>
      <c r="C39" s="73">
        <v>232</v>
      </c>
      <c r="D39" s="78">
        <v>6762800</v>
      </c>
      <c r="E39" s="15">
        <v>0.88</v>
      </c>
    </row>
    <row r="40" spans="1:5" x14ac:dyDescent="0.4">
      <c r="A40" s="73" t="s">
        <v>734</v>
      </c>
      <c r="B40" s="73" t="s">
        <v>735</v>
      </c>
      <c r="C40" s="73">
        <v>60</v>
      </c>
      <c r="D40" s="78">
        <v>6696000</v>
      </c>
      <c r="E40" s="15">
        <v>0.87</v>
      </c>
    </row>
    <row r="41" spans="1:5" x14ac:dyDescent="0.4">
      <c r="A41" s="73" t="s">
        <v>21</v>
      </c>
      <c r="B41" s="73" t="s">
        <v>22</v>
      </c>
      <c r="C41" s="73">
        <v>51</v>
      </c>
      <c r="D41" s="78">
        <v>6558600</v>
      </c>
      <c r="E41" s="15">
        <v>0.85</v>
      </c>
    </row>
    <row r="42" spans="1:5" x14ac:dyDescent="0.4">
      <c r="A42" s="73" t="s">
        <v>366</v>
      </c>
      <c r="B42" s="73" t="s">
        <v>367</v>
      </c>
      <c r="C42" s="73">
        <v>101</v>
      </c>
      <c r="D42" s="78">
        <v>6161000</v>
      </c>
      <c r="E42" s="15">
        <v>0.8</v>
      </c>
    </row>
    <row r="43" spans="1:5" x14ac:dyDescent="0.4">
      <c r="A43" s="73" t="s">
        <v>347</v>
      </c>
      <c r="B43" s="73" t="s">
        <v>348</v>
      </c>
      <c r="C43" s="78">
        <v>53</v>
      </c>
      <c r="D43" s="78">
        <v>6100300</v>
      </c>
      <c r="E43" s="15">
        <v>0.79</v>
      </c>
    </row>
    <row r="44" spans="1:5" x14ac:dyDescent="0.4">
      <c r="A44" s="73" t="s">
        <v>392</v>
      </c>
      <c r="B44" s="73" t="s">
        <v>393</v>
      </c>
      <c r="C44" s="73">
        <v>25</v>
      </c>
      <c r="D44" s="78">
        <v>5887500</v>
      </c>
      <c r="E44" s="15">
        <v>0.77</v>
      </c>
    </row>
    <row r="45" spans="1:5" x14ac:dyDescent="0.4">
      <c r="A45" s="73" t="s">
        <v>353</v>
      </c>
      <c r="B45" s="73" t="s">
        <v>354</v>
      </c>
      <c r="C45" s="78">
        <v>33</v>
      </c>
      <c r="D45" s="78">
        <v>5590200</v>
      </c>
      <c r="E45" s="15">
        <v>0.73</v>
      </c>
    </row>
    <row r="46" spans="1:5" x14ac:dyDescent="0.4">
      <c r="A46" s="73" t="s">
        <v>326</v>
      </c>
      <c r="B46" s="73" t="s">
        <v>327</v>
      </c>
      <c r="C46" s="78">
        <v>42</v>
      </c>
      <c r="D46" s="78">
        <v>5401200</v>
      </c>
      <c r="E46" s="15">
        <v>0.7</v>
      </c>
    </row>
    <row r="47" spans="1:5" x14ac:dyDescent="0.4">
      <c r="A47" s="73" t="s">
        <v>236</v>
      </c>
      <c r="B47" s="73" t="s">
        <v>237</v>
      </c>
      <c r="C47" s="78">
        <v>7</v>
      </c>
      <c r="D47" s="78">
        <v>4130000</v>
      </c>
      <c r="E47" s="15">
        <v>0.54</v>
      </c>
    </row>
    <row r="48" spans="1:5" x14ac:dyDescent="0.4">
      <c r="A48" s="73" t="s">
        <v>232</v>
      </c>
      <c r="B48" s="73" t="s">
        <v>233</v>
      </c>
      <c r="C48" s="78">
        <v>14</v>
      </c>
      <c r="D48" s="78">
        <v>4018000</v>
      </c>
      <c r="E48" s="15">
        <v>0.52</v>
      </c>
    </row>
    <row r="49" spans="1:5" x14ac:dyDescent="0.4">
      <c r="A49" s="73" t="s">
        <v>3386</v>
      </c>
      <c r="B49" s="73" t="s">
        <v>3387</v>
      </c>
      <c r="C49" s="73">
        <v>69</v>
      </c>
      <c r="D49" s="78">
        <v>3857100</v>
      </c>
      <c r="E49" s="15">
        <v>0.5</v>
      </c>
    </row>
    <row r="50" spans="1:5" x14ac:dyDescent="0.4">
      <c r="A50" s="73"/>
      <c r="B50" s="73" t="s">
        <v>10</v>
      </c>
      <c r="C50" s="78">
        <v>-3177119</v>
      </c>
      <c r="D50" s="78">
        <v>-3177119</v>
      </c>
      <c r="E50" s="15"/>
    </row>
    <row r="51" spans="1:5" x14ac:dyDescent="0.4">
      <c r="C51" s="13"/>
      <c r="D51" s="13"/>
      <c r="E51" s="73"/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5149</v>
      </c>
      <c r="B8" s="6"/>
      <c r="C8" s="6"/>
      <c r="D8" s="6"/>
      <c r="E8" s="14"/>
    </row>
    <row r="9" spans="1:7" x14ac:dyDescent="0.4">
      <c r="A9" s="75" t="s">
        <v>5151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71</v>
      </c>
      <c r="D11" s="76">
        <v>11857000</v>
      </c>
      <c r="E11" s="19">
        <v>15.61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59</v>
      </c>
      <c r="D12" s="76">
        <v>8850000</v>
      </c>
      <c r="E12" s="19">
        <v>11.65</v>
      </c>
      <c r="F12" s="17"/>
      <c r="G12" s="17"/>
    </row>
    <row r="13" spans="1:7" x14ac:dyDescent="0.4">
      <c r="A13" s="73" t="s">
        <v>31</v>
      </c>
      <c r="B13" s="74" t="s">
        <v>32</v>
      </c>
      <c r="C13" s="74">
        <v>18</v>
      </c>
      <c r="D13" s="76">
        <v>6444000</v>
      </c>
      <c r="E13" s="19">
        <v>8.48</v>
      </c>
      <c r="F13" s="17"/>
      <c r="G13" s="17"/>
    </row>
    <row r="14" spans="1:7" x14ac:dyDescent="0.4">
      <c r="A14" s="73" t="s">
        <v>37</v>
      </c>
      <c r="B14" s="74" t="s">
        <v>38</v>
      </c>
      <c r="C14" s="76">
        <v>49</v>
      </c>
      <c r="D14" s="76">
        <v>4527600</v>
      </c>
      <c r="E14" s="19">
        <v>5.96</v>
      </c>
      <c r="F14" s="17"/>
      <c r="G14" s="17"/>
    </row>
    <row r="15" spans="1:7" x14ac:dyDescent="0.4">
      <c r="A15" s="73" t="s">
        <v>41</v>
      </c>
      <c r="B15" s="74" t="s">
        <v>42</v>
      </c>
      <c r="C15" s="74">
        <v>35</v>
      </c>
      <c r="D15" s="76">
        <v>3552500</v>
      </c>
      <c r="E15" s="19">
        <v>4.68</v>
      </c>
      <c r="F15" s="17"/>
      <c r="G15" s="17"/>
    </row>
    <row r="16" spans="1:7" x14ac:dyDescent="0.4">
      <c r="A16" s="73" t="s">
        <v>49</v>
      </c>
      <c r="B16" s="74" t="s">
        <v>50</v>
      </c>
      <c r="C16" s="76">
        <v>26</v>
      </c>
      <c r="D16" s="76">
        <v>3421600</v>
      </c>
      <c r="E16" s="19">
        <v>4.5</v>
      </c>
      <c r="F16" s="17"/>
      <c r="G16" s="17"/>
    </row>
    <row r="17" spans="1:7" x14ac:dyDescent="0.4">
      <c r="A17" s="73" t="s">
        <v>53</v>
      </c>
      <c r="B17" s="73" t="s">
        <v>54</v>
      </c>
      <c r="C17" s="78">
        <v>8</v>
      </c>
      <c r="D17" s="78">
        <v>3376000</v>
      </c>
      <c r="E17" s="15">
        <v>4.4400000000000004</v>
      </c>
    </row>
    <row r="18" spans="1:7" x14ac:dyDescent="0.4">
      <c r="A18" s="73" t="s">
        <v>644</v>
      </c>
      <c r="B18" s="74" t="s">
        <v>645</v>
      </c>
      <c r="C18" s="76">
        <v>54</v>
      </c>
      <c r="D18" s="76">
        <v>3326400</v>
      </c>
      <c r="E18" s="19">
        <v>4.38</v>
      </c>
      <c r="F18" s="17"/>
      <c r="G18" s="17"/>
    </row>
    <row r="19" spans="1:7" x14ac:dyDescent="0.4">
      <c r="A19" s="73" t="s">
        <v>33</v>
      </c>
      <c r="B19" s="73" t="s">
        <v>34</v>
      </c>
      <c r="C19" s="77">
        <v>19</v>
      </c>
      <c r="D19" s="78">
        <v>3315500</v>
      </c>
      <c r="E19" s="15">
        <v>4.3600000000000003</v>
      </c>
    </row>
    <row r="20" spans="1:7" x14ac:dyDescent="0.4">
      <c r="A20" s="73" t="s">
        <v>51</v>
      </c>
      <c r="B20" s="73" t="s">
        <v>52</v>
      </c>
      <c r="C20" s="77">
        <v>78</v>
      </c>
      <c r="D20" s="78">
        <v>3014700</v>
      </c>
      <c r="E20" s="15">
        <v>3.97</v>
      </c>
    </row>
    <row r="21" spans="1:7" x14ac:dyDescent="0.4">
      <c r="A21" s="73" t="s">
        <v>604</v>
      </c>
      <c r="B21" s="73" t="s">
        <v>605</v>
      </c>
      <c r="C21" s="78">
        <v>67</v>
      </c>
      <c r="D21" s="78">
        <v>2948000</v>
      </c>
      <c r="E21" s="15">
        <v>3.88</v>
      </c>
    </row>
    <row r="22" spans="1:7" x14ac:dyDescent="0.4">
      <c r="A22" s="73" t="s">
        <v>556</v>
      </c>
      <c r="B22" s="73" t="s">
        <v>557</v>
      </c>
      <c r="C22" s="77">
        <v>2</v>
      </c>
      <c r="D22" s="78">
        <v>2792000</v>
      </c>
      <c r="E22" s="15">
        <v>3.67</v>
      </c>
    </row>
    <row r="23" spans="1:7" x14ac:dyDescent="0.4">
      <c r="A23" s="73" t="s">
        <v>39</v>
      </c>
      <c r="B23" s="73" t="s">
        <v>40</v>
      </c>
      <c r="C23" s="77">
        <v>11</v>
      </c>
      <c r="D23" s="78">
        <v>2085600</v>
      </c>
      <c r="E23" s="15">
        <v>2.75</v>
      </c>
    </row>
    <row r="24" spans="1:7" x14ac:dyDescent="0.4">
      <c r="A24" s="73" t="s">
        <v>57</v>
      </c>
      <c r="B24" s="73" t="s">
        <v>58</v>
      </c>
      <c r="C24" s="77">
        <v>50</v>
      </c>
      <c r="D24" s="78">
        <v>1837500</v>
      </c>
      <c r="E24" s="15">
        <v>2.42</v>
      </c>
    </row>
    <row r="25" spans="1:7" x14ac:dyDescent="0.4">
      <c r="A25" s="73" t="s">
        <v>534</v>
      </c>
      <c r="B25" s="73" t="s">
        <v>535</v>
      </c>
      <c r="C25" s="78">
        <v>30</v>
      </c>
      <c r="D25" s="78">
        <v>1734000</v>
      </c>
      <c r="E25" s="15">
        <v>2.2799999999999998</v>
      </c>
    </row>
    <row r="26" spans="1:7" x14ac:dyDescent="0.4">
      <c r="A26" s="73" t="s">
        <v>560</v>
      </c>
      <c r="B26" s="73" t="s">
        <v>561</v>
      </c>
      <c r="C26" s="78">
        <v>54</v>
      </c>
      <c r="D26" s="78">
        <v>1525500</v>
      </c>
      <c r="E26" s="15">
        <v>2.0099999999999998</v>
      </c>
    </row>
    <row r="27" spans="1:7" x14ac:dyDescent="0.4">
      <c r="A27" s="73" t="s">
        <v>1057</v>
      </c>
      <c r="B27" s="73" t="s">
        <v>1058</v>
      </c>
      <c r="C27" s="78">
        <v>331</v>
      </c>
      <c r="D27" s="78">
        <v>1411715</v>
      </c>
      <c r="E27" s="15">
        <v>1.86</v>
      </c>
    </row>
    <row r="28" spans="1:7" x14ac:dyDescent="0.4">
      <c r="A28" s="73" t="s">
        <v>634</v>
      </c>
      <c r="B28" s="73" t="s">
        <v>635</v>
      </c>
      <c r="C28" s="78">
        <v>27</v>
      </c>
      <c r="D28" s="78">
        <v>1143450</v>
      </c>
      <c r="E28" s="15">
        <v>1.5</v>
      </c>
    </row>
    <row r="29" spans="1:7" x14ac:dyDescent="0.4">
      <c r="A29" s="73" t="s">
        <v>5067</v>
      </c>
      <c r="B29" s="73" t="s">
        <v>5068</v>
      </c>
      <c r="C29" s="78">
        <v>83</v>
      </c>
      <c r="D29" s="78">
        <v>1136270</v>
      </c>
      <c r="E29" s="15">
        <v>1.5</v>
      </c>
    </row>
    <row r="30" spans="1:7" x14ac:dyDescent="0.4">
      <c r="A30" s="73" t="s">
        <v>4275</v>
      </c>
      <c r="B30" s="73" t="s">
        <v>4276</v>
      </c>
      <c r="C30" s="77">
        <v>44</v>
      </c>
      <c r="D30" s="78">
        <v>1049400</v>
      </c>
      <c r="E30" s="15">
        <v>1.38</v>
      </c>
    </row>
    <row r="31" spans="1:7" x14ac:dyDescent="0.4">
      <c r="A31" s="73" t="s">
        <v>43</v>
      </c>
      <c r="B31" s="73" t="s">
        <v>44</v>
      </c>
      <c r="C31" s="73">
        <v>12</v>
      </c>
      <c r="D31" s="78">
        <v>1040400</v>
      </c>
      <c r="E31" s="15">
        <v>1.37</v>
      </c>
    </row>
    <row r="32" spans="1:7" x14ac:dyDescent="0.4">
      <c r="A32" s="73" t="s">
        <v>67</v>
      </c>
      <c r="B32" s="73" t="s">
        <v>68</v>
      </c>
      <c r="C32" s="78">
        <v>22</v>
      </c>
      <c r="D32" s="78">
        <v>920700</v>
      </c>
      <c r="E32" s="15">
        <v>1.21</v>
      </c>
    </row>
    <row r="33" spans="1:5" x14ac:dyDescent="0.4">
      <c r="A33" s="73" t="s">
        <v>4784</v>
      </c>
      <c r="B33" s="73" t="s">
        <v>4785</v>
      </c>
      <c r="C33" s="78">
        <v>98</v>
      </c>
      <c r="D33" s="78">
        <v>619360</v>
      </c>
      <c r="E33" s="15">
        <v>0.82</v>
      </c>
    </row>
    <row r="34" spans="1:5" x14ac:dyDescent="0.4">
      <c r="A34" s="73" t="s">
        <v>4626</v>
      </c>
      <c r="B34" s="73" t="s">
        <v>4627</v>
      </c>
      <c r="C34" s="73">
        <v>42</v>
      </c>
      <c r="D34" s="78">
        <v>419160</v>
      </c>
      <c r="E34" s="15">
        <v>0.55000000000000004</v>
      </c>
    </row>
    <row r="35" spans="1:5" x14ac:dyDescent="0.4">
      <c r="A35" s="73" t="s">
        <v>4537</v>
      </c>
      <c r="B35" s="73" t="s">
        <v>4538</v>
      </c>
      <c r="C35" s="78">
        <v>32</v>
      </c>
      <c r="D35" s="78">
        <v>401600</v>
      </c>
      <c r="E35" s="15">
        <v>0.53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307890</v>
      </c>
      <c r="E36" s="15">
        <v>0.41</v>
      </c>
    </row>
    <row r="37" spans="1:5" x14ac:dyDescent="0.4">
      <c r="A37" s="73" t="s">
        <v>562</v>
      </c>
      <c r="B37" s="73" t="s">
        <v>563</v>
      </c>
      <c r="C37" s="78">
        <v>4</v>
      </c>
      <c r="D37" s="78">
        <v>196000</v>
      </c>
      <c r="E37" s="15">
        <v>0.26</v>
      </c>
    </row>
    <row r="38" spans="1:5" x14ac:dyDescent="0.4">
      <c r="A38" s="73" t="s">
        <v>4766</v>
      </c>
      <c r="B38" s="73" t="s">
        <v>4767</v>
      </c>
      <c r="C38" s="78">
        <v>56</v>
      </c>
      <c r="D38" s="78">
        <v>131320</v>
      </c>
      <c r="E38" s="15">
        <v>0.17</v>
      </c>
    </row>
    <row r="39" spans="1:5" x14ac:dyDescent="0.4">
      <c r="A39" s="73" t="s">
        <v>4472</v>
      </c>
      <c r="B39" s="73" t="s">
        <v>4473</v>
      </c>
      <c r="C39" s="78">
        <v>24</v>
      </c>
      <c r="D39" s="78">
        <v>100440</v>
      </c>
      <c r="E39" s="15">
        <v>0.13</v>
      </c>
    </row>
    <row r="40" spans="1:5" x14ac:dyDescent="0.4">
      <c r="A40" s="73"/>
      <c r="B40" s="73" t="s">
        <v>10</v>
      </c>
      <c r="C40" s="78">
        <v>2492143</v>
      </c>
      <c r="D40" s="78">
        <v>2492143</v>
      </c>
      <c r="E40" s="15">
        <v>3.28</v>
      </c>
    </row>
    <row r="41" spans="1:5" x14ac:dyDescent="0.4">
      <c r="C41" s="13"/>
      <c r="D41" s="13"/>
      <c r="E41" s="73"/>
    </row>
    <row r="42" spans="1:5" x14ac:dyDescent="0.4">
      <c r="C42" s="13"/>
      <c r="D42" s="1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5149</v>
      </c>
      <c r="B8" s="6"/>
      <c r="C8" s="6"/>
      <c r="D8" s="6"/>
      <c r="E8" s="14"/>
    </row>
    <row r="9" spans="1:5" x14ac:dyDescent="0.4">
      <c r="A9" s="75" t="s">
        <v>5151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45</v>
      </c>
      <c r="B11" s="73" t="s">
        <v>46</v>
      </c>
      <c r="C11" s="78">
        <v>72</v>
      </c>
      <c r="D11" s="78">
        <v>9504000</v>
      </c>
      <c r="E11" s="15">
        <v>13.01</v>
      </c>
    </row>
    <row r="12" spans="1:5" x14ac:dyDescent="0.4">
      <c r="A12" s="73" t="s">
        <v>35</v>
      </c>
      <c r="B12" s="73" t="s">
        <v>36</v>
      </c>
      <c r="C12" s="77">
        <v>60</v>
      </c>
      <c r="D12" s="78">
        <v>8076000</v>
      </c>
      <c r="E12" s="15">
        <v>11.06</v>
      </c>
    </row>
    <row r="13" spans="1:5" x14ac:dyDescent="0.4">
      <c r="A13" s="73" t="s">
        <v>37</v>
      </c>
      <c r="B13" s="73" t="s">
        <v>38</v>
      </c>
      <c r="C13" s="73">
        <v>51</v>
      </c>
      <c r="D13" s="78">
        <v>5671200</v>
      </c>
      <c r="E13" s="15">
        <v>7.77</v>
      </c>
    </row>
    <row r="14" spans="1:5" x14ac:dyDescent="0.4">
      <c r="A14" s="73" t="s">
        <v>31</v>
      </c>
      <c r="B14" s="73" t="s">
        <v>32</v>
      </c>
      <c r="C14" s="73">
        <v>16</v>
      </c>
      <c r="D14" s="78">
        <v>5656000</v>
      </c>
      <c r="E14" s="15">
        <v>7.74</v>
      </c>
    </row>
    <row r="15" spans="1:5" x14ac:dyDescent="0.4">
      <c r="A15" s="73" t="s">
        <v>41</v>
      </c>
      <c r="B15" s="73" t="s">
        <v>42</v>
      </c>
      <c r="C15" s="77">
        <v>43</v>
      </c>
      <c r="D15" s="78">
        <v>4261300</v>
      </c>
      <c r="E15" s="15">
        <v>5.84</v>
      </c>
    </row>
    <row r="16" spans="1:5" x14ac:dyDescent="0.4">
      <c r="A16" s="73" t="s">
        <v>53</v>
      </c>
      <c r="B16" s="73" t="s">
        <v>54</v>
      </c>
      <c r="C16" s="77">
        <v>8</v>
      </c>
      <c r="D16" s="78">
        <v>3288000</v>
      </c>
      <c r="E16" s="15">
        <v>4.5</v>
      </c>
    </row>
    <row r="17" spans="1:5" x14ac:dyDescent="0.4">
      <c r="A17" s="73" t="s">
        <v>33</v>
      </c>
      <c r="B17" s="73" t="s">
        <v>34</v>
      </c>
      <c r="C17" s="77">
        <v>19</v>
      </c>
      <c r="D17" s="78">
        <v>3235700</v>
      </c>
      <c r="E17" s="15">
        <v>4.43</v>
      </c>
    </row>
    <row r="18" spans="1:5" x14ac:dyDescent="0.4">
      <c r="A18" s="73" t="s">
        <v>644</v>
      </c>
      <c r="B18" s="73" t="s">
        <v>645</v>
      </c>
      <c r="C18" s="78">
        <v>63</v>
      </c>
      <c r="D18" s="78">
        <v>3200400</v>
      </c>
      <c r="E18" s="15">
        <v>4.38</v>
      </c>
    </row>
    <row r="19" spans="1:5" x14ac:dyDescent="0.4">
      <c r="A19" s="73" t="s">
        <v>49</v>
      </c>
      <c r="B19" s="73" t="s">
        <v>50</v>
      </c>
      <c r="C19" s="78">
        <v>26</v>
      </c>
      <c r="D19" s="78">
        <v>3166800</v>
      </c>
      <c r="E19" s="15">
        <v>4.34</v>
      </c>
    </row>
    <row r="20" spans="1:5" x14ac:dyDescent="0.4">
      <c r="A20" s="73" t="s">
        <v>51</v>
      </c>
      <c r="B20" s="73" t="s">
        <v>52</v>
      </c>
      <c r="C20" s="73">
        <v>73</v>
      </c>
      <c r="D20" s="78">
        <v>2759400</v>
      </c>
      <c r="E20" s="15">
        <v>3.78</v>
      </c>
    </row>
    <row r="21" spans="1:5" x14ac:dyDescent="0.4">
      <c r="A21" s="73" t="s">
        <v>556</v>
      </c>
      <c r="B21" s="73" t="s">
        <v>557</v>
      </c>
      <c r="C21" s="78">
        <v>2</v>
      </c>
      <c r="D21" s="78">
        <v>2748000</v>
      </c>
      <c r="E21" s="15">
        <v>3.76</v>
      </c>
    </row>
    <row r="22" spans="1:5" x14ac:dyDescent="0.4">
      <c r="A22" s="73" t="s">
        <v>604</v>
      </c>
      <c r="B22" s="73" t="s">
        <v>605</v>
      </c>
      <c r="C22" s="73">
        <v>30</v>
      </c>
      <c r="D22" s="78">
        <v>2739000</v>
      </c>
      <c r="E22" s="15">
        <v>3.75</v>
      </c>
    </row>
    <row r="23" spans="1:5" x14ac:dyDescent="0.4">
      <c r="A23" s="73" t="s">
        <v>39</v>
      </c>
      <c r="B23" s="73" t="s">
        <v>40</v>
      </c>
      <c r="C23" s="77">
        <v>11</v>
      </c>
      <c r="D23" s="78">
        <v>2143900</v>
      </c>
      <c r="E23" s="15">
        <v>2.94</v>
      </c>
    </row>
    <row r="24" spans="1:5" x14ac:dyDescent="0.4">
      <c r="A24" s="73" t="s">
        <v>534</v>
      </c>
      <c r="B24" s="73" t="s">
        <v>535</v>
      </c>
      <c r="C24" s="77">
        <v>28</v>
      </c>
      <c r="D24" s="78">
        <v>1736000</v>
      </c>
      <c r="E24" s="15">
        <v>2.38</v>
      </c>
    </row>
    <row r="25" spans="1:5" x14ac:dyDescent="0.4">
      <c r="A25" s="73" t="s">
        <v>57</v>
      </c>
      <c r="B25" s="73" t="s">
        <v>58</v>
      </c>
      <c r="C25" s="78">
        <v>46</v>
      </c>
      <c r="D25" s="78">
        <v>1708900</v>
      </c>
      <c r="E25" s="15">
        <v>2.34</v>
      </c>
    </row>
    <row r="26" spans="1:5" x14ac:dyDescent="0.4">
      <c r="A26" s="73" t="s">
        <v>1057</v>
      </c>
      <c r="B26" s="73" t="s">
        <v>1058</v>
      </c>
      <c r="C26" s="73">
        <v>331</v>
      </c>
      <c r="D26" s="78">
        <v>1444815</v>
      </c>
      <c r="E26" s="15">
        <v>1.98</v>
      </c>
    </row>
    <row r="27" spans="1:5" x14ac:dyDescent="0.4">
      <c r="A27" s="73" t="s">
        <v>560</v>
      </c>
      <c r="B27" s="73" t="s">
        <v>561</v>
      </c>
      <c r="C27" s="78">
        <v>47</v>
      </c>
      <c r="D27" s="78">
        <v>1400600</v>
      </c>
      <c r="E27" s="15">
        <v>1.92</v>
      </c>
    </row>
    <row r="28" spans="1:5" x14ac:dyDescent="0.4">
      <c r="A28" s="73" t="s">
        <v>5067</v>
      </c>
      <c r="B28" s="73" t="s">
        <v>5068</v>
      </c>
      <c r="C28" s="73">
        <v>83</v>
      </c>
      <c r="D28" s="78">
        <v>1306420</v>
      </c>
      <c r="E28" s="15">
        <v>1.79</v>
      </c>
    </row>
    <row r="29" spans="1:5" x14ac:dyDescent="0.4">
      <c r="A29" s="73" t="s">
        <v>634</v>
      </c>
      <c r="B29" s="73" t="s">
        <v>635</v>
      </c>
      <c r="C29" s="78">
        <v>27</v>
      </c>
      <c r="D29" s="78">
        <v>1142100</v>
      </c>
      <c r="E29" s="15">
        <v>1.56</v>
      </c>
    </row>
    <row r="30" spans="1:5" x14ac:dyDescent="0.4">
      <c r="A30" s="73" t="s">
        <v>4275</v>
      </c>
      <c r="B30" s="73" t="s">
        <v>4276</v>
      </c>
      <c r="C30" s="78">
        <v>44</v>
      </c>
      <c r="D30" s="78">
        <v>1049400</v>
      </c>
      <c r="E30" s="15">
        <v>1.44</v>
      </c>
    </row>
    <row r="31" spans="1:5" x14ac:dyDescent="0.4">
      <c r="A31" s="73" t="s">
        <v>43</v>
      </c>
      <c r="B31" s="73" t="s">
        <v>44</v>
      </c>
      <c r="C31" s="78">
        <v>11</v>
      </c>
      <c r="D31" s="78">
        <v>957000</v>
      </c>
      <c r="E31" s="15">
        <v>1.31</v>
      </c>
    </row>
    <row r="32" spans="1:5" x14ac:dyDescent="0.4">
      <c r="A32" s="73" t="s">
        <v>67</v>
      </c>
      <c r="B32" s="73" t="s">
        <v>68</v>
      </c>
      <c r="C32" s="78">
        <v>21</v>
      </c>
      <c r="D32" s="78">
        <v>846300</v>
      </c>
      <c r="E32" s="15">
        <v>1.1599999999999999</v>
      </c>
    </row>
    <row r="33" spans="1:5" x14ac:dyDescent="0.4">
      <c r="A33" s="73" t="s">
        <v>4784</v>
      </c>
      <c r="B33" s="73" t="s">
        <v>4785</v>
      </c>
      <c r="C33" s="73">
        <v>98</v>
      </c>
      <c r="D33" s="78">
        <v>658560</v>
      </c>
      <c r="E33" s="15">
        <v>0.9</v>
      </c>
    </row>
    <row r="34" spans="1:5" x14ac:dyDescent="0.4">
      <c r="A34" s="73" t="s">
        <v>4626</v>
      </c>
      <c r="B34" s="73" t="s">
        <v>4627</v>
      </c>
      <c r="C34" s="78">
        <v>42</v>
      </c>
      <c r="D34" s="78">
        <v>485100</v>
      </c>
      <c r="E34" s="15">
        <v>0.66</v>
      </c>
    </row>
    <row r="35" spans="1:5" x14ac:dyDescent="0.4">
      <c r="A35" s="73" t="s">
        <v>4537</v>
      </c>
      <c r="B35" s="73" t="s">
        <v>4538</v>
      </c>
      <c r="C35" s="73">
        <v>32</v>
      </c>
      <c r="D35" s="78">
        <v>424640</v>
      </c>
      <c r="E35" s="15">
        <v>0.57999999999999996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314160</v>
      </c>
      <c r="E36" s="15">
        <v>0.43</v>
      </c>
    </row>
    <row r="37" spans="1:5" x14ac:dyDescent="0.4">
      <c r="A37" s="73" t="s">
        <v>4472</v>
      </c>
      <c r="B37" s="73" t="s">
        <v>4473</v>
      </c>
      <c r="C37" s="78">
        <v>52</v>
      </c>
      <c r="D37" s="78">
        <v>212680</v>
      </c>
      <c r="E37" s="15">
        <v>0.28999999999999998</v>
      </c>
    </row>
    <row r="38" spans="1:5" x14ac:dyDescent="0.4">
      <c r="A38" s="73" t="s">
        <v>678</v>
      </c>
      <c r="B38" s="73" t="s">
        <v>679</v>
      </c>
      <c r="C38" s="78">
        <v>1</v>
      </c>
      <c r="D38" s="78">
        <v>204500</v>
      </c>
      <c r="E38" s="15">
        <v>0.28000000000000003</v>
      </c>
    </row>
    <row r="39" spans="1:5" x14ac:dyDescent="0.4">
      <c r="A39" s="73" t="s">
        <v>562</v>
      </c>
      <c r="B39" s="73" t="s">
        <v>563</v>
      </c>
      <c r="C39" s="73">
        <v>4</v>
      </c>
      <c r="D39" s="78">
        <v>190400</v>
      </c>
      <c r="E39" s="15">
        <v>0.26</v>
      </c>
    </row>
    <row r="40" spans="1:5" x14ac:dyDescent="0.4">
      <c r="A40" s="73" t="s">
        <v>4766</v>
      </c>
      <c r="B40" s="73" t="s">
        <v>4767</v>
      </c>
      <c r="C40" s="78">
        <v>56</v>
      </c>
      <c r="D40" s="78">
        <v>139720</v>
      </c>
      <c r="E40" s="15">
        <v>0.19</v>
      </c>
    </row>
    <row r="41" spans="1:5" x14ac:dyDescent="0.4">
      <c r="A41" s="73"/>
      <c r="B41" s="73" t="s">
        <v>10</v>
      </c>
      <c r="C41" s="78">
        <v>2357356</v>
      </c>
      <c r="D41" s="78">
        <v>2357356</v>
      </c>
      <c r="E41" s="15">
        <v>3.23</v>
      </c>
    </row>
    <row r="42" spans="1:5" x14ac:dyDescent="0.4">
      <c r="D42" s="13"/>
      <c r="E42" s="7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5" t="s">
        <v>660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33</v>
      </c>
      <c r="B11" s="74" t="s">
        <v>34</v>
      </c>
      <c r="C11" s="76">
        <v>495</v>
      </c>
      <c r="D11" s="76">
        <v>86377500</v>
      </c>
      <c r="E11" s="19">
        <v>11.86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219</v>
      </c>
      <c r="D12" s="78">
        <v>78402000</v>
      </c>
      <c r="E12" s="15">
        <v>10.77</v>
      </c>
    </row>
    <row r="13" spans="1:7" x14ac:dyDescent="0.4">
      <c r="A13" s="73" t="s">
        <v>45</v>
      </c>
      <c r="B13" s="73" t="s">
        <v>46</v>
      </c>
      <c r="C13" s="73">
        <v>348</v>
      </c>
      <c r="D13" s="78">
        <v>58116000</v>
      </c>
      <c r="E13" s="15">
        <v>7.98</v>
      </c>
    </row>
    <row r="14" spans="1:7" x14ac:dyDescent="0.4">
      <c r="A14" s="73" t="s">
        <v>556</v>
      </c>
      <c r="B14" s="74" t="s">
        <v>557</v>
      </c>
      <c r="C14" s="74">
        <v>40</v>
      </c>
      <c r="D14" s="76">
        <v>55840000</v>
      </c>
      <c r="E14" s="19">
        <v>7.67</v>
      </c>
      <c r="F14" s="17"/>
      <c r="G14" s="17"/>
    </row>
    <row r="15" spans="1:7" x14ac:dyDescent="0.4">
      <c r="A15" s="73" t="s">
        <v>53</v>
      </c>
      <c r="B15" s="74" t="s">
        <v>54</v>
      </c>
      <c r="C15" s="77">
        <v>120</v>
      </c>
      <c r="D15" s="78">
        <v>50640000</v>
      </c>
      <c r="E15" s="15">
        <v>6.95</v>
      </c>
    </row>
    <row r="16" spans="1:7" x14ac:dyDescent="0.4">
      <c r="A16" s="73" t="s">
        <v>35</v>
      </c>
      <c r="B16" s="73" t="s">
        <v>36</v>
      </c>
      <c r="C16" s="77">
        <v>299</v>
      </c>
      <c r="D16" s="78">
        <v>44850000</v>
      </c>
      <c r="E16" s="15">
        <v>6.16</v>
      </c>
    </row>
    <row r="17" spans="1:7" x14ac:dyDescent="0.4">
      <c r="A17" s="73" t="s">
        <v>49</v>
      </c>
      <c r="B17" s="74" t="s">
        <v>50</v>
      </c>
      <c r="C17" s="77">
        <v>250</v>
      </c>
      <c r="D17" s="78">
        <v>32900000</v>
      </c>
      <c r="E17" s="15">
        <v>4.5199999999999996</v>
      </c>
    </row>
    <row r="18" spans="1:7" x14ac:dyDescent="0.4">
      <c r="A18" s="73" t="s">
        <v>37</v>
      </c>
      <c r="B18" s="73" t="s">
        <v>38</v>
      </c>
      <c r="C18" s="78">
        <v>296</v>
      </c>
      <c r="D18" s="78">
        <v>27350400</v>
      </c>
      <c r="E18" s="15">
        <v>3.76</v>
      </c>
    </row>
    <row r="19" spans="1:7" x14ac:dyDescent="0.4">
      <c r="A19" s="73" t="s">
        <v>41</v>
      </c>
      <c r="B19" s="74" t="s">
        <v>42</v>
      </c>
      <c r="C19" s="76">
        <v>250</v>
      </c>
      <c r="D19" s="76">
        <v>25375000</v>
      </c>
      <c r="E19" s="19">
        <v>3.48</v>
      </c>
      <c r="F19" s="17"/>
      <c r="G19" s="17"/>
    </row>
    <row r="20" spans="1:7" x14ac:dyDescent="0.4">
      <c r="A20" s="73" t="s">
        <v>51</v>
      </c>
      <c r="B20" s="73" t="s">
        <v>52</v>
      </c>
      <c r="C20" s="73">
        <v>476</v>
      </c>
      <c r="D20" s="78">
        <v>18397400</v>
      </c>
      <c r="E20" s="15">
        <v>2.5299999999999998</v>
      </c>
    </row>
    <row r="21" spans="1:7" x14ac:dyDescent="0.4">
      <c r="A21" s="73" t="s">
        <v>558</v>
      </c>
      <c r="B21" s="73" t="s">
        <v>559</v>
      </c>
      <c r="C21" s="78">
        <v>40</v>
      </c>
      <c r="D21" s="78">
        <v>16680000</v>
      </c>
      <c r="E21" s="15">
        <v>2.29</v>
      </c>
    </row>
    <row r="22" spans="1:7" x14ac:dyDescent="0.4">
      <c r="A22" s="73" t="s">
        <v>612</v>
      </c>
      <c r="B22" s="73" t="s">
        <v>613</v>
      </c>
      <c r="C22" s="73">
        <v>399</v>
      </c>
      <c r="D22" s="78">
        <v>16478700</v>
      </c>
      <c r="E22" s="15">
        <v>2.2599999999999998</v>
      </c>
    </row>
    <row r="23" spans="1:7" x14ac:dyDescent="0.4">
      <c r="A23" s="73" t="s">
        <v>468</v>
      </c>
      <c r="B23" s="73" t="s">
        <v>5169</v>
      </c>
      <c r="C23" s="77">
        <v>401</v>
      </c>
      <c r="D23" s="78">
        <v>15979850</v>
      </c>
      <c r="E23" s="15">
        <v>2.19</v>
      </c>
    </row>
    <row r="24" spans="1:7" x14ac:dyDescent="0.4">
      <c r="A24" s="73" t="s">
        <v>661</v>
      </c>
      <c r="B24" s="73" t="s">
        <v>662</v>
      </c>
      <c r="C24" s="77">
        <v>300</v>
      </c>
      <c r="D24" s="78">
        <v>15060000</v>
      </c>
      <c r="E24" s="15">
        <v>2.0699999999999998</v>
      </c>
    </row>
    <row r="25" spans="1:7" x14ac:dyDescent="0.4">
      <c r="A25" s="73" t="s">
        <v>604</v>
      </c>
      <c r="B25" s="73" t="s">
        <v>605</v>
      </c>
      <c r="C25" s="73">
        <v>340</v>
      </c>
      <c r="D25" s="78">
        <v>14960000</v>
      </c>
      <c r="E25" s="15">
        <v>2.0499999999999998</v>
      </c>
    </row>
    <row r="26" spans="1:7" x14ac:dyDescent="0.4">
      <c r="A26" s="73" t="s">
        <v>746</v>
      </c>
      <c r="B26" s="73" t="s">
        <v>747</v>
      </c>
      <c r="C26" s="73">
        <v>201</v>
      </c>
      <c r="D26" s="78">
        <v>14170500</v>
      </c>
      <c r="E26" s="15">
        <v>1.95</v>
      </c>
    </row>
    <row r="27" spans="1:7" x14ac:dyDescent="0.4">
      <c r="A27" s="73" t="s">
        <v>55</v>
      </c>
      <c r="B27" s="73" t="s">
        <v>56</v>
      </c>
      <c r="C27" s="78">
        <v>50</v>
      </c>
      <c r="D27" s="78">
        <v>13725000</v>
      </c>
      <c r="E27" s="15">
        <v>1.88</v>
      </c>
    </row>
    <row r="28" spans="1:7" x14ac:dyDescent="0.4">
      <c r="A28" s="73" t="s">
        <v>634</v>
      </c>
      <c r="B28" s="74" t="s">
        <v>635</v>
      </c>
      <c r="C28" s="74">
        <v>300</v>
      </c>
      <c r="D28" s="76">
        <v>12705000</v>
      </c>
      <c r="E28" s="19">
        <v>1.74</v>
      </c>
      <c r="F28" s="17"/>
      <c r="G28" s="17"/>
    </row>
    <row r="29" spans="1:7" x14ac:dyDescent="0.4">
      <c r="A29" s="73" t="s">
        <v>644</v>
      </c>
      <c r="B29" s="73" t="s">
        <v>645</v>
      </c>
      <c r="C29" s="73">
        <v>200</v>
      </c>
      <c r="D29" s="78">
        <v>12320000</v>
      </c>
      <c r="E29" s="15">
        <v>1.69</v>
      </c>
    </row>
    <row r="30" spans="1:7" x14ac:dyDescent="0.4">
      <c r="A30" s="73" t="s">
        <v>544</v>
      </c>
      <c r="B30" s="73" t="s">
        <v>545</v>
      </c>
      <c r="C30" s="78">
        <v>275</v>
      </c>
      <c r="D30" s="78">
        <v>11838750</v>
      </c>
      <c r="E30" s="15">
        <v>1.63</v>
      </c>
    </row>
    <row r="31" spans="1:7" x14ac:dyDescent="0.4">
      <c r="A31" s="73" t="s">
        <v>39</v>
      </c>
      <c r="B31" s="73" t="s">
        <v>40</v>
      </c>
      <c r="C31" s="78">
        <v>60</v>
      </c>
      <c r="D31" s="78">
        <v>11376000</v>
      </c>
      <c r="E31" s="15">
        <v>1.56</v>
      </c>
    </row>
    <row r="32" spans="1:7" x14ac:dyDescent="0.4">
      <c r="A32" s="73" t="s">
        <v>57</v>
      </c>
      <c r="B32" s="73" t="s">
        <v>58</v>
      </c>
      <c r="C32" s="78">
        <v>301</v>
      </c>
      <c r="D32" s="78">
        <v>11061750</v>
      </c>
      <c r="E32" s="15">
        <v>1.52</v>
      </c>
    </row>
    <row r="33" spans="1:7" x14ac:dyDescent="0.4">
      <c r="A33" s="73" t="s">
        <v>61</v>
      </c>
      <c r="B33" s="73" t="s">
        <v>62</v>
      </c>
      <c r="C33" s="73">
        <v>30</v>
      </c>
      <c r="D33" s="78">
        <v>10995000</v>
      </c>
      <c r="E33" s="15">
        <v>1.51</v>
      </c>
    </row>
    <row r="34" spans="1:7" x14ac:dyDescent="0.4">
      <c r="A34" s="73" t="s">
        <v>684</v>
      </c>
      <c r="B34" s="73" t="s">
        <v>685</v>
      </c>
      <c r="C34" s="78">
        <v>102</v>
      </c>
      <c r="D34" s="78">
        <v>7772400</v>
      </c>
      <c r="E34" s="15">
        <v>1.07</v>
      </c>
    </row>
    <row r="35" spans="1:7" x14ac:dyDescent="0.4">
      <c r="A35" s="73" t="s">
        <v>616</v>
      </c>
      <c r="B35" s="74" t="s">
        <v>617</v>
      </c>
      <c r="C35" s="74">
        <v>201</v>
      </c>
      <c r="D35" s="76">
        <v>7406850</v>
      </c>
      <c r="E35" s="19">
        <v>1.02</v>
      </c>
      <c r="F35" s="17"/>
      <c r="G35" s="17"/>
    </row>
    <row r="36" spans="1:7" x14ac:dyDescent="0.4">
      <c r="A36" s="73" t="s">
        <v>678</v>
      </c>
      <c r="B36" s="73" t="s">
        <v>679</v>
      </c>
      <c r="C36" s="78">
        <v>40</v>
      </c>
      <c r="D36" s="78">
        <v>7268000</v>
      </c>
      <c r="E36" s="15">
        <v>1</v>
      </c>
    </row>
    <row r="37" spans="1:7" x14ac:dyDescent="0.4">
      <c r="A37" s="73" t="s">
        <v>59</v>
      </c>
      <c r="B37" s="73" t="s">
        <v>60</v>
      </c>
      <c r="C37" s="78">
        <v>399</v>
      </c>
      <c r="D37" s="78">
        <v>6719160</v>
      </c>
      <c r="E37" s="15">
        <v>0.92</v>
      </c>
    </row>
    <row r="38" spans="1:7" x14ac:dyDescent="0.4">
      <c r="A38" s="73" t="s">
        <v>47</v>
      </c>
      <c r="B38" s="73" t="s">
        <v>48</v>
      </c>
      <c r="C38" s="78">
        <v>194</v>
      </c>
      <c r="D38" s="78">
        <v>6528100</v>
      </c>
      <c r="E38" s="15">
        <v>0.9</v>
      </c>
    </row>
    <row r="39" spans="1:7" x14ac:dyDescent="0.4">
      <c r="A39" s="73" t="s">
        <v>534</v>
      </c>
      <c r="B39" s="73" t="s">
        <v>535</v>
      </c>
      <c r="C39" s="78">
        <v>99</v>
      </c>
      <c r="D39" s="78">
        <v>5722200</v>
      </c>
      <c r="E39" s="15">
        <v>0.79</v>
      </c>
    </row>
    <row r="40" spans="1:7" x14ac:dyDescent="0.4">
      <c r="A40" s="73" t="s">
        <v>686</v>
      </c>
      <c r="B40" s="73" t="s">
        <v>687</v>
      </c>
      <c r="C40" s="78">
        <v>203</v>
      </c>
      <c r="D40" s="78">
        <v>5460700</v>
      </c>
      <c r="E40" s="15">
        <v>0.75</v>
      </c>
    </row>
    <row r="41" spans="1:7" x14ac:dyDescent="0.4">
      <c r="A41" s="73" t="s">
        <v>708</v>
      </c>
      <c r="B41" s="73" t="s">
        <v>709</v>
      </c>
      <c r="C41" s="78">
        <v>201</v>
      </c>
      <c r="D41" s="78">
        <v>4653150</v>
      </c>
      <c r="E41" s="15">
        <v>0.64</v>
      </c>
    </row>
    <row r="42" spans="1:7" x14ac:dyDescent="0.4">
      <c r="A42" s="73" t="s">
        <v>706</v>
      </c>
      <c r="B42" s="74" t="s">
        <v>707</v>
      </c>
      <c r="C42" s="76">
        <v>102</v>
      </c>
      <c r="D42" s="76">
        <v>4238100</v>
      </c>
      <c r="E42" s="19">
        <v>0.57999999999999996</v>
      </c>
      <c r="F42" s="17"/>
      <c r="G42" s="17"/>
    </row>
    <row r="43" spans="1:7" x14ac:dyDescent="0.4">
      <c r="A43" s="73" t="s">
        <v>560</v>
      </c>
      <c r="B43" s="74" t="s">
        <v>561</v>
      </c>
      <c r="C43" s="76">
        <v>150</v>
      </c>
      <c r="D43" s="76">
        <v>4237500</v>
      </c>
      <c r="E43" s="19">
        <v>0.57999999999999996</v>
      </c>
      <c r="F43" s="17"/>
      <c r="G43" s="17"/>
    </row>
    <row r="44" spans="1:7" x14ac:dyDescent="0.4">
      <c r="A44" s="73" t="s">
        <v>740</v>
      </c>
      <c r="B44" s="73" t="s">
        <v>741</v>
      </c>
      <c r="C44" s="73">
        <v>100</v>
      </c>
      <c r="D44" s="78">
        <v>3535000</v>
      </c>
      <c r="E44" s="15">
        <v>0.49</v>
      </c>
    </row>
    <row r="45" spans="1:7" x14ac:dyDescent="0.4">
      <c r="A45" s="73" t="s">
        <v>4626</v>
      </c>
      <c r="B45" s="73" t="s">
        <v>4627</v>
      </c>
      <c r="C45" s="78">
        <v>200</v>
      </c>
      <c r="D45" s="78">
        <v>1996000</v>
      </c>
      <c r="E45" s="15">
        <v>0.27</v>
      </c>
    </row>
    <row r="46" spans="1:7" x14ac:dyDescent="0.4">
      <c r="A46" s="73"/>
      <c r="B46" s="73" t="s">
        <v>10</v>
      </c>
      <c r="C46" s="78">
        <v>7019469</v>
      </c>
      <c r="D46" s="78">
        <v>7019469</v>
      </c>
      <c r="E46" s="15">
        <v>0.96</v>
      </c>
    </row>
    <row r="47" spans="1:7" x14ac:dyDescent="0.4">
      <c r="C47" s="13"/>
      <c r="D47" s="13"/>
      <c r="E47" s="7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5" t="s">
        <v>660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220</v>
      </c>
      <c r="D11" s="78">
        <v>77770000</v>
      </c>
      <c r="E11" s="15">
        <v>11.03</v>
      </c>
    </row>
    <row r="12" spans="1:5" x14ac:dyDescent="0.4">
      <c r="A12" s="73" t="s">
        <v>33</v>
      </c>
      <c r="B12" s="73" t="s">
        <v>34</v>
      </c>
      <c r="C12" s="77">
        <v>420</v>
      </c>
      <c r="D12" s="78">
        <v>71526000</v>
      </c>
      <c r="E12" s="15">
        <v>10.14</v>
      </c>
    </row>
    <row r="13" spans="1:5" x14ac:dyDescent="0.4">
      <c r="A13" s="73" t="s">
        <v>556</v>
      </c>
      <c r="B13" s="73" t="s">
        <v>557</v>
      </c>
      <c r="C13" s="73">
        <v>40</v>
      </c>
      <c r="D13" s="78">
        <v>54960000</v>
      </c>
      <c r="E13" s="15">
        <v>7.79</v>
      </c>
    </row>
    <row r="14" spans="1:5" x14ac:dyDescent="0.4">
      <c r="A14" s="73" t="s">
        <v>53</v>
      </c>
      <c r="B14" s="73" t="s">
        <v>54</v>
      </c>
      <c r="C14" s="73">
        <v>120</v>
      </c>
      <c r="D14" s="78">
        <v>49320000</v>
      </c>
      <c r="E14" s="15">
        <v>6.99</v>
      </c>
    </row>
    <row r="15" spans="1:5" x14ac:dyDescent="0.4">
      <c r="A15" s="73" t="s">
        <v>45</v>
      </c>
      <c r="B15" s="73" t="s">
        <v>46</v>
      </c>
      <c r="C15" s="77">
        <v>348</v>
      </c>
      <c r="D15" s="78">
        <v>45936000</v>
      </c>
      <c r="E15" s="15">
        <v>6.51</v>
      </c>
    </row>
    <row r="16" spans="1:5" x14ac:dyDescent="0.4">
      <c r="A16" s="73" t="s">
        <v>35</v>
      </c>
      <c r="B16" s="73" t="s">
        <v>36</v>
      </c>
      <c r="C16" s="77">
        <v>300</v>
      </c>
      <c r="D16" s="78">
        <v>40380000</v>
      </c>
      <c r="E16" s="15">
        <v>5.73</v>
      </c>
    </row>
    <row r="17" spans="1:5" x14ac:dyDescent="0.4">
      <c r="A17" s="73" t="s">
        <v>37</v>
      </c>
      <c r="B17" s="73" t="s">
        <v>38</v>
      </c>
      <c r="C17" s="77">
        <v>300</v>
      </c>
      <c r="D17" s="78">
        <v>33360000</v>
      </c>
      <c r="E17" s="15">
        <v>4.7300000000000004</v>
      </c>
    </row>
    <row r="18" spans="1:5" x14ac:dyDescent="0.4">
      <c r="A18" s="73" t="s">
        <v>49</v>
      </c>
      <c r="B18" s="73" t="s">
        <v>50</v>
      </c>
      <c r="C18" s="78">
        <v>250</v>
      </c>
      <c r="D18" s="78">
        <v>30450000</v>
      </c>
      <c r="E18" s="15">
        <v>4.32</v>
      </c>
    </row>
    <row r="19" spans="1:5" x14ac:dyDescent="0.4">
      <c r="A19" s="73" t="s">
        <v>41</v>
      </c>
      <c r="B19" s="73" t="s">
        <v>42</v>
      </c>
      <c r="C19" s="78">
        <v>250</v>
      </c>
      <c r="D19" s="78">
        <v>24775000</v>
      </c>
      <c r="E19" s="15">
        <v>3.51</v>
      </c>
    </row>
    <row r="20" spans="1:5" x14ac:dyDescent="0.4">
      <c r="A20" s="73" t="s">
        <v>51</v>
      </c>
      <c r="B20" s="73" t="s">
        <v>52</v>
      </c>
      <c r="C20" s="73">
        <v>476</v>
      </c>
      <c r="D20" s="78">
        <v>17992800</v>
      </c>
      <c r="E20" s="15">
        <v>2.5499999999999998</v>
      </c>
    </row>
    <row r="21" spans="1:5" x14ac:dyDescent="0.4">
      <c r="A21" s="73" t="s">
        <v>558</v>
      </c>
      <c r="B21" s="73" t="s">
        <v>559</v>
      </c>
      <c r="C21" s="78">
        <v>40</v>
      </c>
      <c r="D21" s="78">
        <v>17160000</v>
      </c>
      <c r="E21" s="15">
        <v>2.4300000000000002</v>
      </c>
    </row>
    <row r="22" spans="1:5" x14ac:dyDescent="0.4">
      <c r="A22" s="73" t="s">
        <v>612</v>
      </c>
      <c r="B22" s="73" t="s">
        <v>613</v>
      </c>
      <c r="C22" s="73">
        <v>400</v>
      </c>
      <c r="D22" s="78">
        <v>16760000</v>
      </c>
      <c r="E22" s="15">
        <v>2.38</v>
      </c>
    </row>
    <row r="23" spans="1:5" x14ac:dyDescent="0.4">
      <c r="A23" s="73" t="s">
        <v>604</v>
      </c>
      <c r="B23" s="73" t="s">
        <v>605</v>
      </c>
      <c r="C23" s="77">
        <v>170</v>
      </c>
      <c r="D23" s="78">
        <v>15521000</v>
      </c>
      <c r="E23" s="15">
        <v>2.2000000000000002</v>
      </c>
    </row>
    <row r="24" spans="1:5" x14ac:dyDescent="0.4">
      <c r="A24" s="73" t="s">
        <v>746</v>
      </c>
      <c r="B24" s="73" t="s">
        <v>747</v>
      </c>
      <c r="C24" s="77">
        <v>200</v>
      </c>
      <c r="D24" s="78">
        <v>15220000</v>
      </c>
      <c r="E24" s="15">
        <v>2.16</v>
      </c>
    </row>
    <row r="25" spans="1:5" x14ac:dyDescent="0.4">
      <c r="A25" s="73" t="s">
        <v>661</v>
      </c>
      <c r="B25" s="73" t="s">
        <v>662</v>
      </c>
      <c r="C25" s="73">
        <v>300</v>
      </c>
      <c r="D25" s="78">
        <v>14430000</v>
      </c>
      <c r="E25" s="15">
        <v>2.0499999999999998</v>
      </c>
    </row>
    <row r="26" spans="1:5" x14ac:dyDescent="0.4">
      <c r="A26" s="73" t="s">
        <v>468</v>
      </c>
      <c r="B26" s="73" t="s">
        <v>5169</v>
      </c>
      <c r="C26" s="73">
        <v>401</v>
      </c>
      <c r="D26" s="78">
        <v>12992400</v>
      </c>
      <c r="E26" s="15">
        <v>1.84</v>
      </c>
    </row>
    <row r="27" spans="1:5" x14ac:dyDescent="0.4">
      <c r="A27" s="73" t="s">
        <v>634</v>
      </c>
      <c r="B27" s="73" t="s">
        <v>635</v>
      </c>
      <c r="C27" s="78">
        <v>300</v>
      </c>
      <c r="D27" s="78">
        <v>12690000</v>
      </c>
      <c r="E27" s="15">
        <v>1.8</v>
      </c>
    </row>
    <row r="28" spans="1:5" x14ac:dyDescent="0.4">
      <c r="A28" s="73" t="s">
        <v>534</v>
      </c>
      <c r="B28" s="73" t="s">
        <v>535</v>
      </c>
      <c r="C28" s="73">
        <v>200</v>
      </c>
      <c r="D28" s="78">
        <v>12400000</v>
      </c>
      <c r="E28" s="15">
        <v>1.76</v>
      </c>
    </row>
    <row r="29" spans="1:5" x14ac:dyDescent="0.4">
      <c r="A29" s="73" t="s">
        <v>55</v>
      </c>
      <c r="B29" s="73" t="s">
        <v>56</v>
      </c>
      <c r="C29" s="73">
        <v>50</v>
      </c>
      <c r="D29" s="78">
        <v>12100000</v>
      </c>
      <c r="E29" s="15">
        <v>1.72</v>
      </c>
    </row>
    <row r="30" spans="1:5" x14ac:dyDescent="0.4">
      <c r="A30" s="73" t="s">
        <v>39</v>
      </c>
      <c r="B30" s="73" t="s">
        <v>40</v>
      </c>
      <c r="C30" s="78">
        <v>60</v>
      </c>
      <c r="D30" s="78">
        <v>11694000</v>
      </c>
      <c r="E30" s="15">
        <v>1.66</v>
      </c>
    </row>
    <row r="31" spans="1:5" x14ac:dyDescent="0.4">
      <c r="A31" s="73" t="s">
        <v>544</v>
      </c>
      <c r="B31" s="73" t="s">
        <v>545</v>
      </c>
      <c r="C31" s="78">
        <v>276</v>
      </c>
      <c r="D31" s="78">
        <v>11674800</v>
      </c>
      <c r="E31" s="15">
        <v>1.66</v>
      </c>
    </row>
    <row r="32" spans="1:5" x14ac:dyDescent="0.4">
      <c r="A32" s="73" t="s">
        <v>57</v>
      </c>
      <c r="B32" s="73" t="s">
        <v>58</v>
      </c>
      <c r="C32" s="78">
        <v>301</v>
      </c>
      <c r="D32" s="78">
        <v>11182150</v>
      </c>
      <c r="E32" s="15">
        <v>1.59</v>
      </c>
    </row>
    <row r="33" spans="1:5" x14ac:dyDescent="0.4">
      <c r="A33" s="73" t="s">
        <v>678</v>
      </c>
      <c r="B33" s="73" t="s">
        <v>679</v>
      </c>
      <c r="C33" s="73">
        <v>50</v>
      </c>
      <c r="D33" s="78">
        <v>10225000</v>
      </c>
      <c r="E33" s="15">
        <v>1.45</v>
      </c>
    </row>
    <row r="34" spans="1:5" x14ac:dyDescent="0.4">
      <c r="A34" s="73" t="s">
        <v>644</v>
      </c>
      <c r="B34" s="73" t="s">
        <v>645</v>
      </c>
      <c r="C34" s="78">
        <v>200</v>
      </c>
      <c r="D34" s="78">
        <v>10160000</v>
      </c>
      <c r="E34" s="15">
        <v>1.44</v>
      </c>
    </row>
    <row r="35" spans="1:5" x14ac:dyDescent="0.4">
      <c r="A35" s="73" t="s">
        <v>61</v>
      </c>
      <c r="B35" s="73" t="s">
        <v>62</v>
      </c>
      <c r="C35" s="73">
        <v>30</v>
      </c>
      <c r="D35" s="78">
        <v>8820000</v>
      </c>
      <c r="E35" s="15">
        <v>1.25</v>
      </c>
    </row>
    <row r="36" spans="1:5" x14ac:dyDescent="0.4">
      <c r="A36" s="73" t="s">
        <v>616</v>
      </c>
      <c r="B36" s="73" t="s">
        <v>617</v>
      </c>
      <c r="C36" s="78">
        <v>201</v>
      </c>
      <c r="D36" s="78">
        <v>7979700</v>
      </c>
      <c r="E36" s="15">
        <v>1.1299999999999999</v>
      </c>
    </row>
    <row r="37" spans="1:5" x14ac:dyDescent="0.4">
      <c r="A37" s="73" t="s">
        <v>59</v>
      </c>
      <c r="B37" s="73" t="s">
        <v>60</v>
      </c>
      <c r="C37" s="78">
        <v>400</v>
      </c>
      <c r="D37" s="78">
        <v>7324000</v>
      </c>
      <c r="E37" s="15">
        <v>1.04</v>
      </c>
    </row>
    <row r="38" spans="1:5" x14ac:dyDescent="0.4">
      <c r="A38" s="73" t="s">
        <v>684</v>
      </c>
      <c r="B38" s="73" t="s">
        <v>685</v>
      </c>
      <c r="C38" s="78">
        <v>102</v>
      </c>
      <c r="D38" s="78">
        <v>7262400</v>
      </c>
      <c r="E38" s="15">
        <v>1.03</v>
      </c>
    </row>
    <row r="39" spans="1:5" x14ac:dyDescent="0.4">
      <c r="A39" s="73" t="s">
        <v>47</v>
      </c>
      <c r="B39" s="73" t="s">
        <v>48</v>
      </c>
      <c r="C39" s="73">
        <v>194</v>
      </c>
      <c r="D39" s="78">
        <v>6411700</v>
      </c>
      <c r="E39" s="15">
        <v>0.91</v>
      </c>
    </row>
    <row r="40" spans="1:5" x14ac:dyDescent="0.4">
      <c r="A40" s="73" t="s">
        <v>708</v>
      </c>
      <c r="B40" s="73" t="s">
        <v>709</v>
      </c>
      <c r="C40" s="78">
        <v>200</v>
      </c>
      <c r="D40" s="78">
        <v>5810000</v>
      </c>
      <c r="E40" s="15">
        <v>0.82</v>
      </c>
    </row>
    <row r="41" spans="1:5" x14ac:dyDescent="0.4">
      <c r="A41" s="73" t="s">
        <v>686</v>
      </c>
      <c r="B41" s="73" t="s">
        <v>687</v>
      </c>
      <c r="C41" s="73">
        <v>203</v>
      </c>
      <c r="D41" s="78">
        <v>5186650</v>
      </c>
      <c r="E41" s="15">
        <v>0.74</v>
      </c>
    </row>
    <row r="42" spans="1:5" x14ac:dyDescent="0.4">
      <c r="A42" s="73" t="s">
        <v>560</v>
      </c>
      <c r="B42" s="73" t="s">
        <v>561</v>
      </c>
      <c r="C42" s="78">
        <v>150</v>
      </c>
      <c r="D42" s="78">
        <v>4470000</v>
      </c>
      <c r="E42" s="15">
        <v>0.63</v>
      </c>
    </row>
    <row r="43" spans="1:5" x14ac:dyDescent="0.4">
      <c r="A43" s="73" t="s">
        <v>706</v>
      </c>
      <c r="B43" s="73" t="s">
        <v>707</v>
      </c>
      <c r="C43" s="78">
        <v>102</v>
      </c>
      <c r="D43" s="78">
        <v>4110600</v>
      </c>
      <c r="E43" s="15">
        <v>0.57999999999999996</v>
      </c>
    </row>
    <row r="44" spans="1:5" x14ac:dyDescent="0.4">
      <c r="A44" s="73" t="s">
        <v>740</v>
      </c>
      <c r="B44" s="73" t="s">
        <v>741</v>
      </c>
      <c r="C44" s="73">
        <v>101</v>
      </c>
      <c r="D44" s="78">
        <v>3706700</v>
      </c>
      <c r="E44" s="15">
        <v>0.53</v>
      </c>
    </row>
    <row r="45" spans="1:5" x14ac:dyDescent="0.4">
      <c r="A45" s="73" t="s">
        <v>5160</v>
      </c>
      <c r="B45" s="73" t="s">
        <v>5161</v>
      </c>
      <c r="C45" s="78">
        <v>201</v>
      </c>
      <c r="D45" s="78">
        <v>3624030</v>
      </c>
      <c r="E45" s="15">
        <v>0.51</v>
      </c>
    </row>
    <row r="46" spans="1:5" x14ac:dyDescent="0.4">
      <c r="A46" s="73" t="s">
        <v>4626</v>
      </c>
      <c r="B46" s="73" t="s">
        <v>4627</v>
      </c>
      <c r="C46" s="78">
        <v>199</v>
      </c>
      <c r="D46" s="78">
        <v>2298450</v>
      </c>
      <c r="E46" s="15">
        <v>0.33</v>
      </c>
    </row>
    <row r="47" spans="1:5" x14ac:dyDescent="0.4">
      <c r="A47" s="73"/>
      <c r="B47" s="73" t="s">
        <v>10</v>
      </c>
      <c r="C47" s="78">
        <v>7526314</v>
      </c>
      <c r="D47" s="78">
        <v>7526314</v>
      </c>
      <c r="E47" s="15">
        <v>1.07</v>
      </c>
    </row>
    <row r="48" spans="1:5" x14ac:dyDescent="0.4">
      <c r="C48" s="13"/>
      <c r="D48" s="13"/>
      <c r="E48" s="7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5" t="s">
        <v>530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514</v>
      </c>
      <c r="D11" s="76">
        <v>85838000</v>
      </c>
      <c r="E11" s="19">
        <v>10</v>
      </c>
      <c r="F11" s="17"/>
      <c r="G11" s="17"/>
    </row>
    <row r="12" spans="1:7" x14ac:dyDescent="0.4">
      <c r="A12" s="73" t="s">
        <v>35</v>
      </c>
      <c r="B12" s="74" t="s">
        <v>36</v>
      </c>
      <c r="C12" s="81">
        <v>501</v>
      </c>
      <c r="D12" s="76">
        <v>75150000</v>
      </c>
      <c r="E12" s="19">
        <v>8.75</v>
      </c>
      <c r="F12" s="17"/>
      <c r="G12" s="17"/>
    </row>
    <row r="13" spans="1:7" x14ac:dyDescent="0.4">
      <c r="A13" s="73" t="s">
        <v>41</v>
      </c>
      <c r="B13" s="73" t="s">
        <v>42</v>
      </c>
      <c r="C13" s="78">
        <v>682</v>
      </c>
      <c r="D13" s="78">
        <v>69223000</v>
      </c>
      <c r="E13" s="15">
        <v>8.06</v>
      </c>
    </row>
    <row r="14" spans="1:7" x14ac:dyDescent="0.4">
      <c r="A14" s="73" t="s">
        <v>49</v>
      </c>
      <c r="B14" s="73" t="s">
        <v>50</v>
      </c>
      <c r="C14" s="78">
        <v>514</v>
      </c>
      <c r="D14" s="78">
        <v>67642400</v>
      </c>
      <c r="E14" s="15">
        <v>7.88</v>
      </c>
    </row>
    <row r="15" spans="1:7" x14ac:dyDescent="0.4">
      <c r="A15" s="73" t="s">
        <v>31</v>
      </c>
      <c r="B15" s="73" t="s">
        <v>32</v>
      </c>
      <c r="C15" s="77">
        <v>186</v>
      </c>
      <c r="D15" s="78">
        <v>66588000</v>
      </c>
      <c r="E15" s="15">
        <v>7.76</v>
      </c>
    </row>
    <row r="16" spans="1:7" x14ac:dyDescent="0.4">
      <c r="A16" s="73" t="s">
        <v>37</v>
      </c>
      <c r="B16" s="73" t="s">
        <v>38</v>
      </c>
      <c r="C16" s="77">
        <v>625</v>
      </c>
      <c r="D16" s="78">
        <v>57750000</v>
      </c>
      <c r="E16" s="15">
        <v>6.73</v>
      </c>
    </row>
    <row r="17" spans="1:7" x14ac:dyDescent="0.4">
      <c r="A17" s="73" t="s">
        <v>33</v>
      </c>
      <c r="B17" s="74" t="s">
        <v>34</v>
      </c>
      <c r="C17" s="81">
        <v>318</v>
      </c>
      <c r="D17" s="76">
        <v>55491000</v>
      </c>
      <c r="E17" s="19">
        <v>6.46</v>
      </c>
      <c r="F17" s="17"/>
      <c r="G17" s="17"/>
    </row>
    <row r="18" spans="1:7" x14ac:dyDescent="0.4">
      <c r="A18" s="73" t="s">
        <v>604</v>
      </c>
      <c r="B18" s="73" t="s">
        <v>605</v>
      </c>
      <c r="C18" s="78">
        <v>986</v>
      </c>
      <c r="D18" s="78">
        <v>43384000</v>
      </c>
      <c r="E18" s="15">
        <v>5.05</v>
      </c>
    </row>
    <row r="19" spans="1:7" x14ac:dyDescent="0.4">
      <c r="A19" s="73" t="s">
        <v>53</v>
      </c>
      <c r="B19" s="73" t="s">
        <v>54</v>
      </c>
      <c r="C19" s="78">
        <v>100</v>
      </c>
      <c r="D19" s="78">
        <v>42200000</v>
      </c>
      <c r="E19" s="15">
        <v>4.91</v>
      </c>
    </row>
    <row r="20" spans="1:7" x14ac:dyDescent="0.4">
      <c r="A20" s="73" t="s">
        <v>51</v>
      </c>
      <c r="B20" s="73" t="s">
        <v>52</v>
      </c>
      <c r="C20" s="78">
        <v>999</v>
      </c>
      <c r="D20" s="78">
        <v>38611350</v>
      </c>
      <c r="E20" s="15">
        <v>4.5</v>
      </c>
    </row>
    <row r="21" spans="1:7" x14ac:dyDescent="0.4">
      <c r="A21" s="73" t="s">
        <v>644</v>
      </c>
      <c r="B21" s="73" t="s">
        <v>645</v>
      </c>
      <c r="C21" s="78">
        <v>619</v>
      </c>
      <c r="D21" s="78">
        <v>38130400</v>
      </c>
      <c r="E21" s="15">
        <v>4.4400000000000004</v>
      </c>
    </row>
    <row r="22" spans="1:7" x14ac:dyDescent="0.4">
      <c r="A22" s="73" t="s">
        <v>61</v>
      </c>
      <c r="B22" s="74" t="s">
        <v>62</v>
      </c>
      <c r="C22" s="76">
        <v>90</v>
      </c>
      <c r="D22" s="76">
        <v>32985000</v>
      </c>
      <c r="E22" s="19">
        <v>3.84</v>
      </c>
      <c r="F22" s="17"/>
      <c r="G22" s="17"/>
    </row>
    <row r="23" spans="1:7" x14ac:dyDescent="0.4">
      <c r="A23" s="73" t="s">
        <v>55</v>
      </c>
      <c r="B23" s="74" t="s">
        <v>56</v>
      </c>
      <c r="C23" s="81">
        <v>98</v>
      </c>
      <c r="D23" s="76">
        <v>26901000</v>
      </c>
      <c r="E23" s="19">
        <v>3.13</v>
      </c>
      <c r="F23" s="17"/>
      <c r="G23" s="17"/>
    </row>
    <row r="24" spans="1:7" x14ac:dyDescent="0.4">
      <c r="A24" s="73" t="s">
        <v>57</v>
      </c>
      <c r="B24" s="73" t="s">
        <v>58</v>
      </c>
      <c r="C24" s="77">
        <v>701</v>
      </c>
      <c r="D24" s="78">
        <v>25761750</v>
      </c>
      <c r="E24" s="15">
        <v>3</v>
      </c>
    </row>
    <row r="25" spans="1:7" x14ac:dyDescent="0.4">
      <c r="A25" s="73" t="s">
        <v>594</v>
      </c>
      <c r="B25" s="73" t="s">
        <v>595</v>
      </c>
      <c r="C25" s="78">
        <v>195</v>
      </c>
      <c r="D25" s="78">
        <v>24180000</v>
      </c>
      <c r="E25" s="15">
        <v>2.82</v>
      </c>
    </row>
    <row r="26" spans="1:7" x14ac:dyDescent="0.4">
      <c r="A26" s="73" t="s">
        <v>39</v>
      </c>
      <c r="B26" s="73" t="s">
        <v>40</v>
      </c>
      <c r="C26" s="78">
        <v>107</v>
      </c>
      <c r="D26" s="78">
        <v>20287200</v>
      </c>
      <c r="E26" s="15">
        <v>2.36</v>
      </c>
    </row>
    <row r="27" spans="1:7" x14ac:dyDescent="0.4">
      <c r="A27" s="73" t="s">
        <v>67</v>
      </c>
      <c r="B27" s="73" t="s">
        <v>68</v>
      </c>
      <c r="C27" s="78">
        <v>369</v>
      </c>
      <c r="D27" s="78">
        <v>15442650</v>
      </c>
      <c r="E27" s="15">
        <v>1.8</v>
      </c>
    </row>
    <row r="28" spans="1:7" x14ac:dyDescent="0.4">
      <c r="A28" s="73" t="s">
        <v>560</v>
      </c>
      <c r="B28" s="73" t="s">
        <v>561</v>
      </c>
      <c r="C28" s="78">
        <v>542</v>
      </c>
      <c r="D28" s="78">
        <v>15311500</v>
      </c>
      <c r="E28" s="15">
        <v>1.78</v>
      </c>
    </row>
    <row r="29" spans="1:7" x14ac:dyDescent="0.4">
      <c r="A29" s="73" t="s">
        <v>468</v>
      </c>
      <c r="B29" s="73" t="s">
        <v>5169</v>
      </c>
      <c r="C29" s="78">
        <v>366</v>
      </c>
      <c r="D29" s="78">
        <v>14585100</v>
      </c>
      <c r="E29" s="15">
        <v>1.7</v>
      </c>
    </row>
    <row r="30" spans="1:7" x14ac:dyDescent="0.4">
      <c r="A30" s="73" t="s">
        <v>688</v>
      </c>
      <c r="B30" s="73" t="s">
        <v>689</v>
      </c>
      <c r="C30" s="78">
        <v>983</v>
      </c>
      <c r="D30" s="78">
        <v>12149880</v>
      </c>
      <c r="E30" s="15">
        <v>1.42</v>
      </c>
    </row>
    <row r="31" spans="1:7" x14ac:dyDescent="0.4">
      <c r="A31" s="73" t="s">
        <v>4654</v>
      </c>
      <c r="B31" s="73" t="s">
        <v>4655</v>
      </c>
      <c r="C31" s="78">
        <v>918</v>
      </c>
      <c r="D31" s="78">
        <v>11263860</v>
      </c>
      <c r="E31" s="15">
        <v>1.31</v>
      </c>
    </row>
    <row r="32" spans="1:7" x14ac:dyDescent="0.4">
      <c r="A32" s="73" t="s">
        <v>506</v>
      </c>
      <c r="B32" s="73" t="s">
        <v>507</v>
      </c>
      <c r="C32" s="78">
        <v>527</v>
      </c>
      <c r="D32" s="78">
        <v>9011700</v>
      </c>
      <c r="E32" s="15">
        <v>1.05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5979300</v>
      </c>
      <c r="E33" s="15">
        <v>0.7</v>
      </c>
    </row>
    <row r="34" spans="1:5" x14ac:dyDescent="0.4">
      <c r="A34" s="73" t="s">
        <v>556</v>
      </c>
      <c r="B34" s="73" t="s">
        <v>557</v>
      </c>
      <c r="C34" s="78">
        <v>1</v>
      </c>
      <c r="D34" s="78">
        <v>1396000</v>
      </c>
      <c r="E34" s="15">
        <v>0.16</v>
      </c>
    </row>
    <row r="35" spans="1:5" x14ac:dyDescent="0.4">
      <c r="A35" s="73"/>
      <c r="B35" s="73" t="s">
        <v>10</v>
      </c>
      <c r="C35" s="78">
        <v>3364334</v>
      </c>
      <c r="D35" s="78">
        <v>3364334</v>
      </c>
      <c r="E35" s="15">
        <v>0.39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5" t="s">
        <v>530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37</v>
      </c>
      <c r="B11" s="73" t="s">
        <v>38</v>
      </c>
      <c r="C11" s="78">
        <v>625</v>
      </c>
      <c r="D11" s="78">
        <v>69500000</v>
      </c>
      <c r="E11" s="15">
        <v>8.4600000000000009</v>
      </c>
    </row>
    <row r="12" spans="1:5" x14ac:dyDescent="0.4">
      <c r="A12" s="73" t="s">
        <v>31</v>
      </c>
      <c r="B12" s="73" t="s">
        <v>32</v>
      </c>
      <c r="C12" s="77">
        <v>193</v>
      </c>
      <c r="D12" s="78">
        <v>68225500</v>
      </c>
      <c r="E12" s="15">
        <v>8.31</v>
      </c>
    </row>
    <row r="13" spans="1:5" x14ac:dyDescent="0.4">
      <c r="A13" s="73" t="s">
        <v>45</v>
      </c>
      <c r="B13" s="73" t="s">
        <v>46</v>
      </c>
      <c r="C13" s="78">
        <v>514</v>
      </c>
      <c r="D13" s="78">
        <v>67848000</v>
      </c>
      <c r="E13" s="15">
        <v>8.26</v>
      </c>
    </row>
    <row r="14" spans="1:5" x14ac:dyDescent="0.4">
      <c r="A14" s="73" t="s">
        <v>35</v>
      </c>
      <c r="B14" s="73" t="s">
        <v>36</v>
      </c>
      <c r="C14" s="78">
        <v>501</v>
      </c>
      <c r="D14" s="78">
        <v>67434600</v>
      </c>
      <c r="E14" s="15">
        <v>8.2100000000000009</v>
      </c>
    </row>
    <row r="15" spans="1:5" x14ac:dyDescent="0.4">
      <c r="A15" s="73" t="s">
        <v>41</v>
      </c>
      <c r="B15" s="73" t="s">
        <v>42</v>
      </c>
      <c r="C15" s="77">
        <v>657</v>
      </c>
      <c r="D15" s="78">
        <v>65108700</v>
      </c>
      <c r="E15" s="15">
        <v>7.93</v>
      </c>
    </row>
    <row r="16" spans="1:5" x14ac:dyDescent="0.4">
      <c r="A16" s="73" t="s">
        <v>49</v>
      </c>
      <c r="B16" s="73" t="s">
        <v>50</v>
      </c>
      <c r="C16" s="77">
        <v>514</v>
      </c>
      <c r="D16" s="78">
        <v>62605200</v>
      </c>
      <c r="E16" s="15">
        <v>7.62</v>
      </c>
    </row>
    <row r="17" spans="1:5" x14ac:dyDescent="0.4">
      <c r="A17" s="73" t="s">
        <v>33</v>
      </c>
      <c r="B17" s="73" t="s">
        <v>34</v>
      </c>
      <c r="C17" s="77">
        <v>318</v>
      </c>
      <c r="D17" s="78">
        <v>54155400</v>
      </c>
      <c r="E17" s="15">
        <v>6.59</v>
      </c>
    </row>
    <row r="18" spans="1:5" x14ac:dyDescent="0.4">
      <c r="A18" s="73" t="s">
        <v>604</v>
      </c>
      <c r="B18" s="73" t="s">
        <v>605</v>
      </c>
      <c r="C18" s="78">
        <v>465</v>
      </c>
      <c r="D18" s="78">
        <v>42454500</v>
      </c>
      <c r="E18" s="15">
        <v>5.17</v>
      </c>
    </row>
    <row r="19" spans="1:5" x14ac:dyDescent="0.4">
      <c r="A19" s="73" t="s">
        <v>51</v>
      </c>
      <c r="B19" s="73" t="s">
        <v>52</v>
      </c>
      <c r="C19" s="78">
        <v>999</v>
      </c>
      <c r="D19" s="78">
        <v>37762200</v>
      </c>
      <c r="E19" s="15">
        <v>4.5999999999999996</v>
      </c>
    </row>
    <row r="20" spans="1:5" x14ac:dyDescent="0.4">
      <c r="A20" s="73" t="s">
        <v>53</v>
      </c>
      <c r="B20" s="73" t="s">
        <v>54</v>
      </c>
      <c r="C20" s="73">
        <v>90</v>
      </c>
      <c r="D20" s="78">
        <v>36990000</v>
      </c>
      <c r="E20" s="15">
        <v>4.5</v>
      </c>
    </row>
    <row r="21" spans="1:5" x14ac:dyDescent="0.4">
      <c r="A21" s="73" t="s">
        <v>644</v>
      </c>
      <c r="B21" s="73" t="s">
        <v>645</v>
      </c>
      <c r="C21" s="78">
        <v>619</v>
      </c>
      <c r="D21" s="78">
        <v>31445200</v>
      </c>
      <c r="E21" s="15">
        <v>3.83</v>
      </c>
    </row>
    <row r="22" spans="1:5" x14ac:dyDescent="0.4">
      <c r="A22" s="73" t="s">
        <v>61</v>
      </c>
      <c r="B22" s="73" t="s">
        <v>62</v>
      </c>
      <c r="C22" s="73">
        <v>90</v>
      </c>
      <c r="D22" s="78">
        <v>26460000</v>
      </c>
      <c r="E22" s="15">
        <v>3.22</v>
      </c>
    </row>
    <row r="23" spans="1:5" x14ac:dyDescent="0.4">
      <c r="A23" s="73" t="s">
        <v>57</v>
      </c>
      <c r="B23" s="73" t="s">
        <v>58</v>
      </c>
      <c r="C23" s="77">
        <v>701</v>
      </c>
      <c r="D23" s="78">
        <v>26042150</v>
      </c>
      <c r="E23" s="15">
        <v>3.17</v>
      </c>
    </row>
    <row r="24" spans="1:5" x14ac:dyDescent="0.4">
      <c r="A24" s="73" t="s">
        <v>39</v>
      </c>
      <c r="B24" s="73" t="s">
        <v>40</v>
      </c>
      <c r="C24" s="77">
        <v>127</v>
      </c>
      <c r="D24" s="78">
        <v>24752300</v>
      </c>
      <c r="E24" s="15">
        <v>3.01</v>
      </c>
    </row>
    <row r="25" spans="1:5" x14ac:dyDescent="0.4">
      <c r="A25" s="73" t="s">
        <v>594</v>
      </c>
      <c r="B25" s="73" t="s">
        <v>595</v>
      </c>
      <c r="C25" s="78">
        <v>195</v>
      </c>
      <c r="D25" s="78">
        <v>24316500</v>
      </c>
      <c r="E25" s="15">
        <v>2.96</v>
      </c>
    </row>
    <row r="26" spans="1:5" x14ac:dyDescent="0.4">
      <c r="A26" s="73" t="s">
        <v>55</v>
      </c>
      <c r="B26" s="73" t="s">
        <v>56</v>
      </c>
      <c r="C26" s="78">
        <v>98</v>
      </c>
      <c r="D26" s="78">
        <v>23716000</v>
      </c>
      <c r="E26" s="15">
        <v>2.89</v>
      </c>
    </row>
    <row r="27" spans="1:5" x14ac:dyDescent="0.4">
      <c r="A27" s="73" t="s">
        <v>560</v>
      </c>
      <c r="B27" s="73" t="s">
        <v>561</v>
      </c>
      <c r="C27" s="78">
        <v>542</v>
      </c>
      <c r="D27" s="78">
        <v>16151600</v>
      </c>
      <c r="E27" s="15">
        <v>1.97</v>
      </c>
    </row>
    <row r="28" spans="1:5" x14ac:dyDescent="0.4">
      <c r="A28" s="73" t="s">
        <v>67</v>
      </c>
      <c r="B28" s="73" t="s">
        <v>68</v>
      </c>
      <c r="C28" s="78">
        <v>369</v>
      </c>
      <c r="D28" s="78">
        <v>14870700</v>
      </c>
      <c r="E28" s="15">
        <v>1.81</v>
      </c>
    </row>
    <row r="29" spans="1:5" x14ac:dyDescent="0.4">
      <c r="A29" s="73" t="s">
        <v>688</v>
      </c>
      <c r="B29" s="73" t="s">
        <v>689</v>
      </c>
      <c r="C29" s="78">
        <v>916</v>
      </c>
      <c r="D29" s="78">
        <v>12054560</v>
      </c>
      <c r="E29" s="15">
        <v>1.47</v>
      </c>
    </row>
    <row r="30" spans="1:5" x14ac:dyDescent="0.4">
      <c r="A30" s="73" t="s">
        <v>468</v>
      </c>
      <c r="B30" s="73" t="s">
        <v>5169</v>
      </c>
      <c r="C30" s="78">
        <v>366</v>
      </c>
      <c r="D30" s="78">
        <v>11858400</v>
      </c>
      <c r="E30" s="15">
        <v>1.44</v>
      </c>
    </row>
    <row r="31" spans="1:5" x14ac:dyDescent="0.4">
      <c r="A31" s="73" t="s">
        <v>506</v>
      </c>
      <c r="B31" s="73" t="s">
        <v>507</v>
      </c>
      <c r="C31" s="78">
        <v>527</v>
      </c>
      <c r="D31" s="78">
        <v>9354250</v>
      </c>
      <c r="E31" s="15">
        <v>1.1399999999999999</v>
      </c>
    </row>
    <row r="32" spans="1:5" x14ac:dyDescent="0.4">
      <c r="A32" s="73" t="s">
        <v>4654</v>
      </c>
      <c r="B32" s="73" t="s">
        <v>4655</v>
      </c>
      <c r="C32" s="78">
        <v>615</v>
      </c>
      <c r="D32" s="78">
        <v>8788350</v>
      </c>
      <c r="E32" s="15">
        <v>1.07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6549300</v>
      </c>
      <c r="E33" s="15">
        <v>0.8</v>
      </c>
    </row>
    <row r="34" spans="1:5" x14ac:dyDescent="0.4">
      <c r="A34" s="73" t="s">
        <v>544</v>
      </c>
      <c r="B34" s="73" t="s">
        <v>545</v>
      </c>
      <c r="C34" s="78">
        <v>97</v>
      </c>
      <c r="D34" s="78">
        <v>4103100</v>
      </c>
      <c r="E34" s="15">
        <v>0.5</v>
      </c>
    </row>
    <row r="35" spans="1:5" x14ac:dyDescent="0.4">
      <c r="A35" s="73" t="s">
        <v>508</v>
      </c>
      <c r="B35" s="73" t="s">
        <v>509</v>
      </c>
      <c r="C35" s="73">
        <v>121</v>
      </c>
      <c r="D35" s="78">
        <v>2964500</v>
      </c>
      <c r="E35" s="15">
        <v>0.36</v>
      </c>
    </row>
    <row r="36" spans="1:5" x14ac:dyDescent="0.4">
      <c r="A36" s="73" t="s">
        <v>556</v>
      </c>
      <c r="B36" s="73" t="s">
        <v>557</v>
      </c>
      <c r="C36" s="78">
        <v>1</v>
      </c>
      <c r="D36" s="78">
        <v>1374000</v>
      </c>
      <c r="E36" s="15">
        <v>0.17</v>
      </c>
    </row>
    <row r="37" spans="1:5" x14ac:dyDescent="0.4">
      <c r="A37" s="73" t="s">
        <v>498</v>
      </c>
      <c r="B37" s="73" t="s">
        <v>499</v>
      </c>
      <c r="C37" s="78">
        <v>31</v>
      </c>
      <c r="D37" s="78">
        <v>1292700</v>
      </c>
      <c r="E37" s="15">
        <v>0.16</v>
      </c>
    </row>
    <row r="38" spans="1:5" x14ac:dyDescent="0.4">
      <c r="A38" s="73"/>
      <c r="B38" s="73" t="s">
        <v>10</v>
      </c>
      <c r="C38" s="78">
        <v>3140624</v>
      </c>
      <c r="D38" s="78">
        <v>3140624</v>
      </c>
      <c r="E38" s="15">
        <v>0.38</v>
      </c>
    </row>
    <row r="39" spans="1:5" x14ac:dyDescent="0.4">
      <c r="C39" s="13"/>
      <c r="D39" s="13"/>
      <c r="E39" s="7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5220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5" t="s">
        <v>531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462</v>
      </c>
      <c r="D11" s="76">
        <v>77154000</v>
      </c>
      <c r="E11" s="19">
        <v>13.66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395</v>
      </c>
      <c r="D12" s="76">
        <v>59250000</v>
      </c>
      <c r="E12" s="19">
        <v>10.49</v>
      </c>
      <c r="F12" s="17"/>
      <c r="G12" s="17"/>
    </row>
    <row r="13" spans="1:7" x14ac:dyDescent="0.4">
      <c r="A13" s="73" t="s">
        <v>31</v>
      </c>
      <c r="B13" s="74" t="s">
        <v>32</v>
      </c>
      <c r="C13" s="76">
        <v>157</v>
      </c>
      <c r="D13" s="76">
        <v>56206000</v>
      </c>
      <c r="E13" s="19">
        <v>9.9499999999999993</v>
      </c>
      <c r="F13" s="17"/>
      <c r="G13" s="17"/>
    </row>
    <row r="14" spans="1:7" x14ac:dyDescent="0.4">
      <c r="A14" s="73" t="s">
        <v>41</v>
      </c>
      <c r="B14" s="74" t="s">
        <v>42</v>
      </c>
      <c r="C14" s="76">
        <v>409</v>
      </c>
      <c r="D14" s="76">
        <v>41513500</v>
      </c>
      <c r="E14" s="19">
        <v>7.35</v>
      </c>
      <c r="F14" s="17"/>
      <c r="G14" s="17"/>
    </row>
    <row r="15" spans="1:7" x14ac:dyDescent="0.4">
      <c r="A15" s="73" t="s">
        <v>37</v>
      </c>
      <c r="B15" s="74" t="s">
        <v>38</v>
      </c>
      <c r="C15" s="74">
        <v>398</v>
      </c>
      <c r="D15" s="76">
        <v>36775200</v>
      </c>
      <c r="E15" s="19">
        <v>6.51</v>
      </c>
      <c r="F15" s="17"/>
      <c r="G15" s="17"/>
    </row>
    <row r="16" spans="1:7" x14ac:dyDescent="0.4">
      <c r="A16" s="73" t="s">
        <v>33</v>
      </c>
      <c r="B16" s="74" t="s">
        <v>34</v>
      </c>
      <c r="C16" s="76">
        <v>152</v>
      </c>
      <c r="D16" s="76">
        <v>26524000</v>
      </c>
      <c r="E16" s="19">
        <v>4.7</v>
      </c>
      <c r="F16" s="17"/>
      <c r="G16" s="17"/>
    </row>
    <row r="17" spans="1:7" x14ac:dyDescent="0.4">
      <c r="A17" s="73" t="s">
        <v>644</v>
      </c>
      <c r="B17" s="73" t="s">
        <v>645</v>
      </c>
      <c r="C17" s="78">
        <v>409</v>
      </c>
      <c r="D17" s="78">
        <v>25194400</v>
      </c>
      <c r="E17" s="15">
        <v>4.46</v>
      </c>
    </row>
    <row r="18" spans="1:7" x14ac:dyDescent="0.4">
      <c r="A18" s="73" t="s">
        <v>53</v>
      </c>
      <c r="B18" s="74" t="s">
        <v>54</v>
      </c>
      <c r="C18" s="76">
        <v>59</v>
      </c>
      <c r="D18" s="76">
        <v>24898000</v>
      </c>
      <c r="E18" s="19">
        <v>4.41</v>
      </c>
      <c r="F18" s="17"/>
      <c r="G18" s="17"/>
    </row>
    <row r="19" spans="1:7" x14ac:dyDescent="0.4">
      <c r="A19" s="73" t="s">
        <v>49</v>
      </c>
      <c r="B19" s="73" t="s">
        <v>50</v>
      </c>
      <c r="C19" s="77">
        <v>184</v>
      </c>
      <c r="D19" s="78">
        <v>24214400</v>
      </c>
      <c r="E19" s="15">
        <v>4.29</v>
      </c>
    </row>
    <row r="20" spans="1:7" x14ac:dyDescent="0.4">
      <c r="A20" s="73" t="s">
        <v>55</v>
      </c>
      <c r="B20" s="73" t="s">
        <v>56</v>
      </c>
      <c r="C20" s="77">
        <v>80</v>
      </c>
      <c r="D20" s="78">
        <v>21960000</v>
      </c>
      <c r="E20" s="15">
        <v>3.89</v>
      </c>
    </row>
    <row r="21" spans="1:7" x14ac:dyDescent="0.4">
      <c r="A21" s="73" t="s">
        <v>680</v>
      </c>
      <c r="B21" s="73" t="s">
        <v>681</v>
      </c>
      <c r="C21" s="78">
        <v>197</v>
      </c>
      <c r="D21" s="78">
        <v>18321000</v>
      </c>
      <c r="E21" s="15">
        <v>3.24</v>
      </c>
    </row>
    <row r="22" spans="1:7" x14ac:dyDescent="0.4">
      <c r="A22" s="73" t="s">
        <v>51</v>
      </c>
      <c r="B22" s="73" t="s">
        <v>52</v>
      </c>
      <c r="C22" s="77">
        <v>464</v>
      </c>
      <c r="D22" s="78">
        <v>17933600</v>
      </c>
      <c r="E22" s="15">
        <v>3.17</v>
      </c>
    </row>
    <row r="23" spans="1:7" x14ac:dyDescent="0.4">
      <c r="A23" s="73" t="s">
        <v>57</v>
      </c>
      <c r="B23" s="73" t="s">
        <v>58</v>
      </c>
      <c r="C23" s="77">
        <v>475</v>
      </c>
      <c r="D23" s="78">
        <v>17456250</v>
      </c>
      <c r="E23" s="15">
        <v>3.09</v>
      </c>
    </row>
    <row r="24" spans="1:7" x14ac:dyDescent="0.4">
      <c r="A24" s="73" t="s">
        <v>604</v>
      </c>
      <c r="B24" s="73" t="s">
        <v>605</v>
      </c>
      <c r="C24" s="77">
        <v>368</v>
      </c>
      <c r="D24" s="78">
        <v>16192000</v>
      </c>
      <c r="E24" s="15">
        <v>2.87</v>
      </c>
    </row>
    <row r="25" spans="1:7" x14ac:dyDescent="0.4">
      <c r="A25" s="73" t="s">
        <v>508</v>
      </c>
      <c r="B25" s="73" t="s">
        <v>509</v>
      </c>
      <c r="C25" s="78">
        <v>612</v>
      </c>
      <c r="D25" s="78">
        <v>15300000</v>
      </c>
      <c r="E25" s="15">
        <v>2.71</v>
      </c>
    </row>
    <row r="26" spans="1:7" x14ac:dyDescent="0.4">
      <c r="A26" s="73" t="s">
        <v>616</v>
      </c>
      <c r="B26" s="73" t="s">
        <v>617</v>
      </c>
      <c r="C26" s="78">
        <v>349</v>
      </c>
      <c r="D26" s="78">
        <v>12860650</v>
      </c>
      <c r="E26" s="15">
        <v>2.2799999999999998</v>
      </c>
    </row>
    <row r="27" spans="1:7" x14ac:dyDescent="0.4">
      <c r="A27" s="73" t="s">
        <v>560</v>
      </c>
      <c r="B27" s="73" t="s">
        <v>561</v>
      </c>
      <c r="C27" s="78">
        <v>446</v>
      </c>
      <c r="D27" s="78">
        <v>12599500</v>
      </c>
      <c r="E27" s="15">
        <v>2.23</v>
      </c>
    </row>
    <row r="28" spans="1:7" x14ac:dyDescent="0.4">
      <c r="A28" s="73" t="s">
        <v>39</v>
      </c>
      <c r="B28" s="73" t="s">
        <v>40</v>
      </c>
      <c r="C28" s="78">
        <v>62</v>
      </c>
      <c r="D28" s="78">
        <v>11755200</v>
      </c>
      <c r="E28" s="15">
        <v>2.08</v>
      </c>
    </row>
    <row r="29" spans="1:7" x14ac:dyDescent="0.4">
      <c r="A29" s="73" t="s">
        <v>61</v>
      </c>
      <c r="B29" s="73" t="s">
        <v>62</v>
      </c>
      <c r="C29" s="78">
        <v>32</v>
      </c>
      <c r="D29" s="78">
        <v>11728000</v>
      </c>
      <c r="E29" s="15">
        <v>2.08</v>
      </c>
    </row>
    <row r="30" spans="1:7" x14ac:dyDescent="0.4">
      <c r="A30" s="73" t="s">
        <v>678</v>
      </c>
      <c r="B30" s="73" t="s">
        <v>679</v>
      </c>
      <c r="C30" s="77">
        <v>62</v>
      </c>
      <c r="D30" s="78">
        <v>11265400</v>
      </c>
      <c r="E30" s="15">
        <v>1.99</v>
      </c>
    </row>
    <row r="31" spans="1:7" x14ac:dyDescent="0.4">
      <c r="A31" s="73" t="s">
        <v>5157</v>
      </c>
      <c r="B31" s="73" t="s">
        <v>5158</v>
      </c>
      <c r="C31" s="78">
        <v>530</v>
      </c>
      <c r="D31" s="78">
        <v>9487000</v>
      </c>
      <c r="E31" s="15">
        <v>1.68</v>
      </c>
    </row>
    <row r="32" spans="1:7" x14ac:dyDescent="0.4">
      <c r="A32" s="73" t="s">
        <v>4654</v>
      </c>
      <c r="B32" s="73" t="s">
        <v>4655</v>
      </c>
      <c r="C32" s="78">
        <v>617</v>
      </c>
      <c r="D32" s="78">
        <v>7570590</v>
      </c>
      <c r="E32" s="15">
        <v>1.34</v>
      </c>
    </row>
    <row r="33" spans="1:5" x14ac:dyDescent="0.4">
      <c r="A33" s="73" t="s">
        <v>4626</v>
      </c>
      <c r="B33" s="73" t="s">
        <v>4627</v>
      </c>
      <c r="C33" s="78">
        <v>685</v>
      </c>
      <c r="D33" s="78">
        <v>6836300</v>
      </c>
      <c r="E33" s="15">
        <v>1.21</v>
      </c>
    </row>
    <row r="34" spans="1:5" x14ac:dyDescent="0.4">
      <c r="A34" s="73"/>
      <c r="B34" s="73" t="s">
        <v>10</v>
      </c>
      <c r="C34" s="78">
        <v>1943893</v>
      </c>
      <c r="D34" s="78">
        <v>1943893</v>
      </c>
      <c r="E34" s="15">
        <v>0.34</v>
      </c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5213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5" t="s">
        <v>531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174</v>
      </c>
      <c r="D11" s="78">
        <v>61509000</v>
      </c>
      <c r="E11" s="15">
        <v>11.17</v>
      </c>
    </row>
    <row r="12" spans="1:5" x14ac:dyDescent="0.4">
      <c r="A12" s="73" t="s">
        <v>45</v>
      </c>
      <c r="B12" s="73" t="s">
        <v>46</v>
      </c>
      <c r="C12" s="77">
        <v>462</v>
      </c>
      <c r="D12" s="78">
        <v>60984000</v>
      </c>
      <c r="E12" s="15">
        <v>11.07</v>
      </c>
    </row>
    <row r="13" spans="1:5" x14ac:dyDescent="0.4">
      <c r="A13" s="73" t="s">
        <v>35</v>
      </c>
      <c r="B13" s="73" t="s">
        <v>36</v>
      </c>
      <c r="C13" s="78">
        <v>395</v>
      </c>
      <c r="D13" s="78">
        <v>53167000</v>
      </c>
      <c r="E13" s="15">
        <v>9.65</v>
      </c>
    </row>
    <row r="14" spans="1:5" x14ac:dyDescent="0.4">
      <c r="A14" s="73" t="s">
        <v>41</v>
      </c>
      <c r="B14" s="73" t="s">
        <v>42</v>
      </c>
      <c r="C14" s="73">
        <v>409</v>
      </c>
      <c r="D14" s="78">
        <v>40531900</v>
      </c>
      <c r="E14" s="15">
        <v>7.36</v>
      </c>
    </row>
    <row r="15" spans="1:5" x14ac:dyDescent="0.4">
      <c r="A15" s="73" t="s">
        <v>37</v>
      </c>
      <c r="B15" s="73" t="s">
        <v>38</v>
      </c>
      <c r="C15" s="77">
        <v>354</v>
      </c>
      <c r="D15" s="78">
        <v>39364800</v>
      </c>
      <c r="E15" s="15">
        <v>7.15</v>
      </c>
    </row>
    <row r="16" spans="1:5" x14ac:dyDescent="0.4">
      <c r="A16" s="73" t="s">
        <v>33</v>
      </c>
      <c r="B16" s="73" t="s">
        <v>34</v>
      </c>
      <c r="C16" s="77">
        <v>152</v>
      </c>
      <c r="D16" s="78">
        <v>25885600</v>
      </c>
      <c r="E16" s="15">
        <v>4.7</v>
      </c>
    </row>
    <row r="17" spans="1:5" x14ac:dyDescent="0.4">
      <c r="A17" s="73" t="s">
        <v>49</v>
      </c>
      <c r="B17" s="73" t="s">
        <v>50</v>
      </c>
      <c r="C17" s="77">
        <v>184</v>
      </c>
      <c r="D17" s="78">
        <v>22411200</v>
      </c>
      <c r="E17" s="15">
        <v>4.07</v>
      </c>
    </row>
    <row r="18" spans="1:5" x14ac:dyDescent="0.4">
      <c r="A18" s="73" t="s">
        <v>644</v>
      </c>
      <c r="B18" s="73" t="s">
        <v>645</v>
      </c>
      <c r="C18" s="78">
        <v>409</v>
      </c>
      <c r="D18" s="78">
        <v>20777200</v>
      </c>
      <c r="E18" s="15">
        <v>3.77</v>
      </c>
    </row>
    <row r="19" spans="1:5" x14ac:dyDescent="0.4">
      <c r="A19" s="73" t="s">
        <v>680</v>
      </c>
      <c r="B19" s="73" t="s">
        <v>681</v>
      </c>
      <c r="C19" s="78">
        <v>197</v>
      </c>
      <c r="D19" s="78">
        <v>20113700</v>
      </c>
      <c r="E19" s="15">
        <v>3.65</v>
      </c>
    </row>
    <row r="20" spans="1:5" x14ac:dyDescent="0.4">
      <c r="A20" s="73" t="s">
        <v>55</v>
      </c>
      <c r="B20" s="73" t="s">
        <v>56</v>
      </c>
      <c r="C20" s="78">
        <v>80</v>
      </c>
      <c r="D20" s="78">
        <v>19360000</v>
      </c>
      <c r="E20" s="15">
        <v>3.52</v>
      </c>
    </row>
    <row r="21" spans="1:5" x14ac:dyDescent="0.4">
      <c r="A21" s="73" t="s">
        <v>53</v>
      </c>
      <c r="B21" s="73" t="s">
        <v>54</v>
      </c>
      <c r="C21" s="78">
        <v>46</v>
      </c>
      <c r="D21" s="78">
        <v>18906000</v>
      </c>
      <c r="E21" s="15">
        <v>3.43</v>
      </c>
    </row>
    <row r="22" spans="1:5" x14ac:dyDescent="0.4">
      <c r="A22" s="73" t="s">
        <v>57</v>
      </c>
      <c r="B22" s="73" t="s">
        <v>58</v>
      </c>
      <c r="C22" s="78">
        <v>475</v>
      </c>
      <c r="D22" s="78">
        <v>17646250</v>
      </c>
      <c r="E22" s="15">
        <v>3.2</v>
      </c>
    </row>
    <row r="23" spans="1:5" x14ac:dyDescent="0.4">
      <c r="A23" s="73" t="s">
        <v>51</v>
      </c>
      <c r="B23" s="73" t="s">
        <v>52</v>
      </c>
      <c r="C23" s="77">
        <v>464</v>
      </c>
      <c r="D23" s="78">
        <v>17539200</v>
      </c>
      <c r="E23" s="15">
        <v>3.18</v>
      </c>
    </row>
    <row r="24" spans="1:5" x14ac:dyDescent="0.4">
      <c r="A24" s="73" t="s">
        <v>604</v>
      </c>
      <c r="B24" s="73" t="s">
        <v>605</v>
      </c>
      <c r="C24" s="77">
        <v>184</v>
      </c>
      <c r="D24" s="78">
        <v>16799200</v>
      </c>
      <c r="E24" s="15">
        <v>3.05</v>
      </c>
    </row>
    <row r="25" spans="1:5" x14ac:dyDescent="0.4">
      <c r="A25" s="73" t="s">
        <v>508</v>
      </c>
      <c r="B25" s="73" t="s">
        <v>509</v>
      </c>
      <c r="C25" s="78">
        <v>612</v>
      </c>
      <c r="D25" s="78">
        <v>14994000</v>
      </c>
      <c r="E25" s="15">
        <v>2.72</v>
      </c>
    </row>
    <row r="26" spans="1:5" x14ac:dyDescent="0.4">
      <c r="A26" s="73" t="s">
        <v>616</v>
      </c>
      <c r="B26" s="73" t="s">
        <v>617</v>
      </c>
      <c r="C26" s="78">
        <v>349</v>
      </c>
      <c r="D26" s="78">
        <v>13855300</v>
      </c>
      <c r="E26" s="15">
        <v>2.52</v>
      </c>
    </row>
    <row r="27" spans="1:5" x14ac:dyDescent="0.4">
      <c r="A27" s="73" t="s">
        <v>560</v>
      </c>
      <c r="B27" s="73" t="s">
        <v>561</v>
      </c>
      <c r="C27" s="78">
        <v>446</v>
      </c>
      <c r="D27" s="78">
        <v>13290800</v>
      </c>
      <c r="E27" s="15">
        <v>2.41</v>
      </c>
    </row>
    <row r="28" spans="1:5" x14ac:dyDescent="0.4">
      <c r="A28" s="73" t="s">
        <v>39</v>
      </c>
      <c r="B28" s="73" t="s">
        <v>40</v>
      </c>
      <c r="C28" s="78">
        <v>62</v>
      </c>
      <c r="D28" s="78">
        <v>12083800</v>
      </c>
      <c r="E28" s="15">
        <v>2.19</v>
      </c>
    </row>
    <row r="29" spans="1:5" x14ac:dyDescent="0.4">
      <c r="A29" s="73" t="s">
        <v>5157</v>
      </c>
      <c r="B29" s="73" t="s">
        <v>5158</v>
      </c>
      <c r="C29" s="78">
        <v>530</v>
      </c>
      <c r="D29" s="78">
        <v>11819000</v>
      </c>
      <c r="E29" s="15">
        <v>2.15</v>
      </c>
    </row>
    <row r="30" spans="1:5" x14ac:dyDescent="0.4">
      <c r="A30" s="73" t="s">
        <v>678</v>
      </c>
      <c r="B30" s="73" t="s">
        <v>679</v>
      </c>
      <c r="C30" s="78">
        <v>53</v>
      </c>
      <c r="D30" s="78">
        <v>10838500</v>
      </c>
      <c r="E30" s="15">
        <v>1.97</v>
      </c>
    </row>
    <row r="31" spans="1:5" x14ac:dyDescent="0.4">
      <c r="A31" s="73" t="s">
        <v>4654</v>
      </c>
      <c r="B31" s="73" t="s">
        <v>4655</v>
      </c>
      <c r="C31" s="78">
        <v>617</v>
      </c>
      <c r="D31" s="78">
        <v>8816930</v>
      </c>
      <c r="E31" s="15">
        <v>1.6</v>
      </c>
    </row>
    <row r="32" spans="1:5" x14ac:dyDescent="0.4">
      <c r="A32" s="73" t="s">
        <v>688</v>
      </c>
      <c r="B32" s="73" t="s">
        <v>689</v>
      </c>
      <c r="C32" s="78">
        <v>622</v>
      </c>
      <c r="D32" s="78">
        <v>8185520</v>
      </c>
      <c r="E32" s="15">
        <v>1.49</v>
      </c>
    </row>
    <row r="33" spans="1:5" x14ac:dyDescent="0.4">
      <c r="A33" s="73" t="s">
        <v>4626</v>
      </c>
      <c r="B33" s="73" t="s">
        <v>4627</v>
      </c>
      <c r="C33" s="78">
        <v>685</v>
      </c>
      <c r="D33" s="78">
        <v>7911750</v>
      </c>
      <c r="E33" s="15">
        <v>1.44</v>
      </c>
    </row>
    <row r="34" spans="1:5" x14ac:dyDescent="0.4">
      <c r="A34" s="73" t="s">
        <v>634</v>
      </c>
      <c r="B34" s="73" t="s">
        <v>635</v>
      </c>
      <c r="C34" s="78">
        <v>136</v>
      </c>
      <c r="D34" s="78">
        <v>5752800</v>
      </c>
      <c r="E34" s="15">
        <v>1.04</v>
      </c>
    </row>
    <row r="35" spans="1:5" x14ac:dyDescent="0.4">
      <c r="A35" s="73" t="s">
        <v>692</v>
      </c>
      <c r="B35" s="73" t="s">
        <v>693</v>
      </c>
      <c r="C35" s="78">
        <v>214</v>
      </c>
      <c r="D35" s="78">
        <v>4686600</v>
      </c>
      <c r="E35" s="15">
        <v>0.85</v>
      </c>
    </row>
    <row r="36" spans="1:5" x14ac:dyDescent="0.4">
      <c r="A36" s="73"/>
      <c r="B36" s="73" t="s">
        <v>10</v>
      </c>
      <c r="C36" s="78">
        <v>3550875</v>
      </c>
      <c r="D36" s="78">
        <v>3550875</v>
      </c>
      <c r="E36" s="15">
        <v>0.64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코엑트 코스닥액티브</vt:lpstr>
      <vt:lpstr>밸류업, 제조업, 바이오</vt:lpstr>
      <vt:lpstr>바이오</vt:lpstr>
      <vt:lpstr>유니버스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IBK 코스피액티브</vt:lpstr>
      <vt:lpstr>IBK 코스피액티브(과거)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2026-07-01T08:05:28Z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20260701170450</vt:lpwstr>
  </property>
</Properties>
</file>