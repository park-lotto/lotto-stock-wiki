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Users\bjkim\OneDrive\바탕 화면\주식투자\눈꽃빙수 관리용 파일 포함\"/>
    </mc:Choice>
  </mc:AlternateContent>
  <xr:revisionPtr revIDLastSave="0" documentId="13_ncr:1_{18AE545F-F3CF-4059-8B9A-EFBD3D30040D}" xr6:coauthVersionLast="47" xr6:coauthVersionMax="47" xr10:uidLastSave="{00000000-0000-0000-0000-000000000000}"/>
  <bookViews>
    <workbookView xWindow="28680" yWindow="-120" windowWidth="29040" windowHeight="15720" tabRatio="790" activeTab="1" xr2:uid="{00000000-000D-0000-FFFF-FFFF00000000}"/>
  </bookViews>
  <sheets>
    <sheet name="정기변경" sheetId="15" r:id="rId1"/>
    <sheet name="반도체소부장" sheetId="27" r:id="rId2"/>
    <sheet name="바이오" sheetId="42" r:id="rId3"/>
    <sheet name="원전" sheetId="36" r:id="rId4"/>
    <sheet name="로봇" sheetId="41" r:id="rId5"/>
    <sheet name="인바운드" sheetId="43" r:id="rId6"/>
    <sheet name="고배당(지주, 금융 등)" sheetId="44" r:id="rId7"/>
    <sheet name="전력기기" sheetId="17" r:id="rId8"/>
    <sheet name="중소바이오" sheetId="40" r:id="rId9"/>
    <sheet name="방산" sheetId="1" r:id="rId10"/>
    <sheet name="화장품" sheetId="19" r:id="rId11"/>
    <sheet name="조선" sheetId="23" r:id="rId12"/>
    <sheet name="클래시스, 원텍, 바이오다인, 동방메디컬, 휴메딕스" sheetId="7" r:id="rId13"/>
    <sheet name="메디톡스, 휴젤, 파마리서치" sheetId="30" r:id="rId14"/>
    <sheet name="한국전력" sheetId="16" r:id="rId15"/>
    <sheet name="삼양식품" sheetId="38" r:id="rId16"/>
    <sheet name="두산, 파미셀" sheetId="6" r:id="rId17"/>
    <sheet name="리노공업, 이오테크닉스" sheetId="35" r:id="rId18"/>
    <sheet name="sbs, 롯데관광개발, 감성코퍼레이션, 호텔신라, gkl" sheetId="31" r:id="rId19"/>
    <sheet name="동성화인텍, 한국카본, 현대엘리베이터, 한화시스템" sheetId="3" r:id="rId20"/>
    <sheet name="신재생" sheetId="8" r:id="rId21"/>
    <sheet name="비에이치아이, 삼양식품, 에스피지" sheetId="14" r:id="rId22"/>
    <sheet name="한미약품, 리가켐바이오" sheetId="29" r:id="rId23"/>
    <sheet name="지아이이노베이션, 제이브이엠" sheetId="4" r:id="rId24"/>
    <sheet name="KB금융, 삼성증권" sheetId="18" r:id="rId25"/>
    <sheet name="와이지, 하이브, 에스엠, samg엔터, 디어유" sheetId="20" r:id="rId26"/>
    <sheet name="SNT에너지" sheetId="5" r:id="rId27"/>
    <sheet name="로보티즈, 고영, 현대오토에버" sheetId="32" r:id="rId28"/>
    <sheet name="Sheet1" sheetId="39" r:id="rId29"/>
    <sheet name="삼성물산, 삼성E&amp;A" sheetId="22" r:id="rId30"/>
    <sheet name="손해보험" sheetId="34" r:id="rId31"/>
    <sheet name="LS마린솔루션, LS" sheetId="9" r:id="rId32"/>
    <sheet name="DL, 한화, HD현대, CJ" sheetId="33" r:id="rId33"/>
    <sheet name="바이넥스, 에스티팜" sheetId="21" r:id="rId34"/>
    <sheet name="정책" sheetId="24" r:id="rId35"/>
    <sheet name="증권" sheetId="25" r:id="rId36"/>
    <sheet name="삼성sds, 카카오페이" sheetId="37" r:id="rId37"/>
    <sheet name="해외주식" sheetId="10" r:id="rId3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5" l="1"/>
</calcChain>
</file>

<file path=xl/sharedStrings.xml><?xml version="1.0" encoding="utf-8"?>
<sst xmlns="http://schemas.openxmlformats.org/spreadsheetml/2006/main" count="6544" uniqueCount="4684">
  <si>
    <t>종목명</t>
    <phoneticPr fontId="1" type="noConversion"/>
  </si>
  <si>
    <t>시점</t>
  </si>
  <si>
    <t>시점</t>
    <phoneticPr fontId="1" type="noConversion"/>
  </si>
  <si>
    <t>현대건설</t>
    <phoneticPr fontId="1" type="noConversion"/>
  </si>
  <si>
    <t>포인트</t>
    <phoneticPr fontId="1" type="noConversion"/>
  </si>
  <si>
    <t>요약</t>
    <phoneticPr fontId="1" type="noConversion"/>
  </si>
  <si>
    <t>프로젝트명</t>
  </si>
  <si>
    <t>미국</t>
  </si>
  <si>
    <t>국가</t>
  </si>
  <si>
    <t>25년 10월</t>
    <phoneticPr fontId="1" type="noConversion"/>
  </si>
  <si>
    <t>HD현대마린솔루션</t>
    <phoneticPr fontId="1" type="noConversion"/>
  </si>
  <si>
    <r>
      <t xml:space="preserve">국제해사기구(IMO)가 제83차 해양환경보호위원회(MEPC 이하 위원회)'에서 선박 온실가스 감축을 위한 중기조치(Mid-Term Measure)를 승인
</t>
    </r>
    <r>
      <rPr>
        <b/>
        <sz val="11"/>
        <color theme="1"/>
        <rFont val="맑은 고딕"/>
        <family val="3"/>
        <charset val="129"/>
        <scheme val="minor"/>
      </rPr>
      <t>이번 규제는 국제해사기구의 해양오염방지협약(MARPOL) 개정안에 포함돼 오는 10월 국제해사기구에서 채택된 후, 2027년 상반기부터 본격 시행될 예정</t>
    </r>
    <phoneticPr fontId="1" type="noConversion"/>
  </si>
  <si>
    <t>10월 규제 본격화</t>
    <phoneticPr fontId="1" type="noConversion"/>
  </si>
  <si>
    <t>사업부문</t>
  </si>
  <si>
    <t>사업 내용</t>
  </si>
  <si>
    <t>구조적 성장성</t>
  </si>
  <si>
    <t>발주사이클 민감도</t>
  </si>
  <si>
    <t>실적 기여 시점</t>
  </si>
  <si>
    <t>투자 포인트</t>
  </si>
  <si>
    <t>① AM 솔루션</t>
  </si>
  <si>
    <t>(After Market)</t>
  </si>
  <si>
    <t>- DF 및 HiMSEN 엔진 정비</t>
  </si>
  <si>
    <t>- 예비부품 공급</t>
  </si>
  <si>
    <t>- 정기 점검 서비스</t>
  </si>
  <si>
    <r>
      <t xml:space="preserve">🔺 </t>
    </r>
    <r>
      <rPr>
        <b/>
        <sz val="11"/>
        <color theme="1"/>
        <rFont val="맑은 고딕"/>
        <family val="3"/>
        <charset val="129"/>
        <scheme val="minor"/>
      </rPr>
      <t>매우 높음</t>
    </r>
  </si>
  <si>
    <t>독점적 라이선스 구조</t>
  </si>
  <si>
    <r>
      <t xml:space="preserve">🔻 </t>
    </r>
    <r>
      <rPr>
        <b/>
        <sz val="11"/>
        <color theme="1"/>
        <rFont val="맑은 고딕"/>
        <family val="3"/>
        <charset val="129"/>
        <scheme val="minor"/>
      </rPr>
      <t>낮음</t>
    </r>
  </si>
  <si>
    <t>기존 인도 선박 기반</t>
  </si>
  <si>
    <t>2027~2028년 본격화</t>
  </si>
  <si>
    <t>(DF 엔진 정기점검 시작)</t>
  </si>
  <si>
    <t>✔️ HiMSEN 엔진 정비 독점</t>
  </si>
  <si>
    <t>✔️ 안정적 Cash Flow 확보 가능</t>
  </si>
  <si>
    <t>✔️ 가격 협상력 보유</t>
  </si>
  <si>
    <t>② 친환경 솔루션</t>
  </si>
  <si>
    <t>(EPLO·FSU 등 Retrofit)</t>
  </si>
  <si>
    <t>- 2세대 친환경 규제 대응 개조</t>
  </si>
  <si>
    <t>- LNG선 재액화/FSRU/FSU 개조</t>
  </si>
  <si>
    <t>- EPLO 최적화 솔루션</t>
  </si>
  <si>
    <t>IMO 강화 규제 수혜</t>
  </si>
  <si>
    <t>환경규제 중심 수요</t>
  </si>
  <si>
    <t>2024~2025년 수주 확대 중</t>
  </si>
  <si>
    <t>(개조 수요 증가)</t>
  </si>
  <si>
    <t>✔️ IMO 중기조치 직접 수혜</t>
  </si>
  <si>
    <t>✔️ 고수익성 개조 매출 본격화</t>
  </si>
  <si>
    <t>✔️ FSU 등 고부가장비 경쟁력 보유</t>
  </si>
  <si>
    <t>③ 스마트 솔루션</t>
  </si>
  <si>
    <t>(Hi-EMS 등)</t>
  </si>
  <si>
    <t>- 운항 최적화 SW</t>
  </si>
  <si>
    <t>- 데이터 기반 성능 분석</t>
  </si>
  <si>
    <t>- 유료 구독 전환 (SaaS)</t>
  </si>
  <si>
    <r>
      <t xml:space="preserve">🔺 </t>
    </r>
    <r>
      <rPr>
        <b/>
        <sz val="11"/>
        <color theme="1"/>
        <rFont val="맑은 고딕"/>
        <family val="3"/>
        <charset val="129"/>
        <scheme val="minor"/>
      </rPr>
      <t>장기 고성장 가능</t>
    </r>
  </si>
  <si>
    <t>초기 단계</t>
  </si>
  <si>
    <r>
      <t xml:space="preserve">🔻 </t>
    </r>
    <r>
      <rPr>
        <b/>
        <sz val="11"/>
        <color theme="1"/>
        <rFont val="맑은 고딕"/>
        <family val="3"/>
        <charset val="129"/>
        <scheme val="minor"/>
      </rPr>
      <t>무관</t>
    </r>
  </si>
  <si>
    <t>2024년부터 구독화 시작</t>
  </si>
  <si>
    <t>✔️ SaaS 기반 반복 수익 구조</t>
  </si>
  <si>
    <t>✔️ 데이터 기반 고부가 서비스</t>
  </si>
  <si>
    <t>✔️ 기술 내재화 + M&amp;A 통한 확장 기대</t>
  </si>
  <si>
    <t>IMO 규제와의 연관성</t>
  </si>
  <si>
    <t>수혜 방식</t>
  </si>
  <si>
    <t>효과</t>
  </si>
  <si>
    <t>(정비·유지보수)</t>
  </si>
  <si>
    <r>
      <t xml:space="preserve">◼ </t>
    </r>
    <r>
      <rPr>
        <b/>
        <sz val="11"/>
        <color theme="1"/>
        <rFont val="맑은 고딕"/>
        <family val="3"/>
        <charset val="129"/>
        <scheme val="minor"/>
      </rPr>
      <t>간접 수혜</t>
    </r>
  </si>
  <si>
    <t>(규제를 충족하기 위한 유지보수 확대)</t>
  </si>
  <si>
    <t>- 규제 대응을 위한 DF 엔진 정비 증가</t>
  </si>
  <si>
    <t>- HiMSEN 엔진 전용 부품 및 정비 수요 확대</t>
  </si>
  <si>
    <t>✔️ 정비 주기 단축</t>
  </si>
  <si>
    <t>✔️ 정기점검 강화</t>
  </si>
  <si>
    <t>✔️ AM ASP 상승</t>
  </si>
  <si>
    <t>(EPLO, FSU 등 개조)</t>
  </si>
  <si>
    <r>
      <t xml:space="preserve">◼ </t>
    </r>
    <r>
      <rPr>
        <b/>
        <sz val="11"/>
        <color theme="1"/>
        <rFont val="맑은 고딕"/>
        <family val="3"/>
        <charset val="129"/>
        <scheme val="minor"/>
      </rPr>
      <t>직접 수혜</t>
    </r>
  </si>
  <si>
    <t>(MARPOL 개정안, CII/EEXI 기준 등)</t>
  </si>
  <si>
    <t>- 노후 선박 개조 수요 급증</t>
  </si>
  <si>
    <t>- 속도저감 대신 성능개선 수요 확대</t>
  </si>
  <si>
    <t>✔️ 수주 증가</t>
  </si>
  <si>
    <t>✔️ 마진 우수</t>
  </si>
  <si>
    <t>✔️ 2세대 개조 시장 주도</t>
  </si>
  <si>
    <t>(Hi-EMS 등 최적화 솔루션)</t>
  </si>
  <si>
    <t>(탄소 집약도 정량 모니터링 요구 증가)</t>
  </si>
  <si>
    <t>- CII·EEXI 등 탄소지표 실시간 관리 필요</t>
  </si>
  <si>
    <t>- 연비 최적화 시스템 탑재 수요 확대</t>
  </si>
  <si>
    <t>기업명</t>
  </si>
  <si>
    <t>비고</t>
  </si>
  <si>
    <t>내용</t>
  </si>
  <si>
    <t>구분</t>
  </si>
  <si>
    <t>독일</t>
  </si>
  <si>
    <t>항목</t>
  </si>
  <si>
    <t>파이프라인</t>
  </si>
  <si>
    <t>주요 내용</t>
  </si>
  <si>
    <t>2025년 하반기</t>
  </si>
  <si>
    <t>2025년 이후</t>
  </si>
  <si>
    <t>알테오젠</t>
    <phoneticPr fontId="1" type="noConversion"/>
  </si>
  <si>
    <t>2026년 상반기</t>
  </si>
  <si>
    <t>미정</t>
  </si>
  <si>
    <t>생산능력 증설 효과</t>
  </si>
  <si>
    <t>2024년 하반기 증설 완료, 2025년부터 본격적인 실적 반영 예상</t>
  </si>
  <si>
    <t>2025년 상반기</t>
  </si>
  <si>
    <t>판매단가 인상 효과</t>
  </si>
  <si>
    <t>2023~2024년 수주분의 단가 인상 효과가 2025년부터 매출에 반영될 것으로 예상</t>
  </si>
  <si>
    <t>2025년 상반기 이후</t>
  </si>
  <si>
    <t>LNG선 수요 증가</t>
  </si>
  <si>
    <t>LNG선 수요 증가로 인한 수주 확대 및 실적 개선 기대</t>
  </si>
  <si>
    <t>고부가 수주 납품 본격화</t>
  </si>
  <si>
    <t>2022년 하반기~2023년 수주한 고부가가치 제품의 납품 시작으로 이익률 개선 기대</t>
  </si>
  <si>
    <t>동성화인텍</t>
    <phoneticPr fontId="1" type="noConversion"/>
  </si>
  <si>
    <t>지금부터 미래</t>
    <phoneticPr fontId="1" type="noConversion"/>
  </si>
  <si>
    <t>*증설효과 25년 2분기 시작, 5% 가격인상효과 2025년 시작</t>
    <phoneticPr fontId="1" type="noConversion"/>
  </si>
  <si>
    <t>현대엘리베이터</t>
    <phoneticPr fontId="1" type="noConversion"/>
  </si>
  <si>
    <t>수익성 개선</t>
  </si>
  <si>
    <t>원재료 가격 하락 및 판가 상승으로 수익성 개선 기대</t>
  </si>
  <si>
    <t>고배당 정책 유지</t>
  </si>
  <si>
    <t>유지보수 사업 성장</t>
  </si>
  <si>
    <t>2025년 진행중</t>
    <phoneticPr fontId="1" type="noConversion"/>
  </si>
  <si>
    <t>2023년부터 2027년까지 당기순이익의 50% 이상을 현금배당 또는 자사주 취득·소각에 사용 계획
 현대홀딩스의 자금 상환을 위한 고배당 정책 지속 예상</t>
    <phoneticPr fontId="1" type="noConversion"/>
  </si>
  <si>
    <t>노후 승강기 교체 수요 증가로 유지보수 매출 확대</t>
    <phoneticPr fontId="1" type="noConversion"/>
  </si>
  <si>
    <t>법제도 변화</t>
  </si>
  <si>
    <t>잠재 수요</t>
  </si>
  <si>
    <t>기술적 한계</t>
  </si>
  <si>
    <t>정책적 지원</t>
  </si>
  <si>
    <t>시장 구조 변화</t>
  </si>
  <si>
    <t>현대엘리베이터 수혜 구조</t>
  </si>
  <si>
    <t>내용</t>
    <phoneticPr fontId="1" type="noConversion"/>
  </si>
  <si>
    <r>
      <t>승강기안전관리법</t>
    </r>
    <r>
      <rPr>
        <sz val="11"/>
        <color theme="1"/>
        <rFont val="맑은 고딕"/>
        <family val="2"/>
        <charset val="129"/>
        <scheme val="minor"/>
      </rPr>
      <t xml:space="preserve"> 개정으로 15년 이상 된 승강기에 대해 </t>
    </r>
    <r>
      <rPr>
        <b/>
        <sz val="11"/>
        <color theme="1"/>
        <rFont val="맑은 고딕"/>
        <family val="3"/>
        <charset val="129"/>
        <scheme val="minor"/>
      </rPr>
      <t>3년마다 정밀검사 의무화</t>
    </r>
    <r>
      <rPr>
        <sz val="11"/>
        <color theme="1"/>
        <rFont val="맑은 고딕"/>
        <family val="2"/>
        <charset val="129"/>
        <scheme val="minor"/>
      </rPr>
      <t xml:space="preserve">, 특히 </t>
    </r>
    <r>
      <rPr>
        <b/>
        <sz val="11"/>
        <color theme="1"/>
        <rFont val="맑은 고딕"/>
        <family val="3"/>
        <charset val="129"/>
        <scheme val="minor"/>
      </rPr>
      <t>3차 정밀검사 시 7대 안전부품 교체 의무화</t>
    </r>
    <r>
      <rPr>
        <sz val="11"/>
        <color theme="1"/>
        <rFont val="맑은 고딕"/>
        <family val="2"/>
        <charset val="129"/>
        <scheme val="minor"/>
      </rPr>
      <t xml:space="preserve">로 인해 교체 불가 시 </t>
    </r>
    <r>
      <rPr>
        <b/>
        <sz val="11"/>
        <color theme="1"/>
        <rFont val="맑은 고딕"/>
        <family val="3"/>
        <charset val="129"/>
        <scheme val="minor"/>
      </rPr>
      <t>사실상 전면 교체 수요로 전환</t>
    </r>
    <r>
      <rPr>
        <sz val="11"/>
        <color theme="1"/>
        <rFont val="맑은 고딕"/>
        <family val="2"/>
        <charset val="129"/>
        <scheme val="minor"/>
      </rPr>
      <t>됨</t>
    </r>
    <phoneticPr fontId="1" type="noConversion"/>
  </si>
  <si>
    <r>
      <t xml:space="preserve">2025년부터 3차 정밀검사 대상 승강기(설치 21년 이상 경과, 즉 2004년 이전 설치)는 </t>
    </r>
    <r>
      <rPr>
        <b/>
        <sz val="11"/>
        <color theme="1"/>
        <rFont val="맑은 고딕"/>
        <family val="3"/>
        <charset val="129"/>
        <scheme val="minor"/>
      </rPr>
      <t>약 15만 대</t>
    </r>
    <r>
      <rPr>
        <sz val="11"/>
        <color theme="1"/>
        <rFont val="맑은 고딕"/>
        <family val="2"/>
        <charset val="129"/>
        <scheme val="minor"/>
      </rPr>
      <t>로 추산됨</t>
    </r>
    <phoneticPr fontId="1" type="noConversion"/>
  </si>
  <si>
    <r>
      <t xml:space="preserve">21년 이상 경과된 승강기의 경우, 7대 안전 부품 교체가 어려워 </t>
    </r>
    <r>
      <rPr>
        <b/>
        <sz val="11"/>
        <color theme="1"/>
        <rFont val="맑은 고딕"/>
        <family val="3"/>
        <charset val="129"/>
        <scheme val="minor"/>
      </rPr>
      <t>기술적으로 리모델링(전면 교체)</t>
    </r>
    <r>
      <rPr>
        <sz val="11"/>
        <color theme="1"/>
        <rFont val="맑은 고딕"/>
        <family val="2"/>
        <charset val="129"/>
        <scheme val="minor"/>
      </rPr>
      <t xml:space="preserve"> 필요</t>
    </r>
    <phoneticPr fontId="1" type="noConversion"/>
  </si>
  <si>
    <t>정부의 승강기 안전 강화를 위한 정책 방향에 부합</t>
    <phoneticPr fontId="1" type="noConversion"/>
  </si>
  <si>
    <r>
      <t xml:space="preserve">유지보수 품질 문제로 중소 유지보수 업체에 대한 행정제재 증가 → </t>
    </r>
    <r>
      <rPr>
        <b/>
        <sz val="11"/>
        <color theme="1"/>
        <rFont val="맑은 고딕"/>
        <family val="3"/>
        <charset val="129"/>
        <scheme val="minor"/>
      </rPr>
      <t>신뢰도 높은 제조사 중심 교체 유도</t>
    </r>
    <phoneticPr fontId="1" type="noConversion"/>
  </si>
  <si>
    <r>
      <t xml:space="preserve">국내 리모델링 시장 점유율 </t>
    </r>
    <r>
      <rPr>
        <b/>
        <sz val="11"/>
        <color theme="1"/>
        <rFont val="맑은 고딕"/>
        <family val="3"/>
        <charset val="129"/>
        <scheme val="minor"/>
      </rPr>
      <t>38%</t>
    </r>
    <r>
      <rPr>
        <sz val="11"/>
        <color theme="1"/>
        <rFont val="맑은 고딕"/>
        <family val="2"/>
        <charset val="129"/>
        <scheme val="minor"/>
      </rPr>
      <t xml:space="preserve"> 보유. 15만대 중 약 </t>
    </r>
    <r>
      <rPr>
        <b/>
        <sz val="11"/>
        <color theme="1"/>
        <rFont val="맑은 고딕"/>
        <family val="3"/>
        <charset val="129"/>
        <scheme val="minor"/>
      </rPr>
      <t>5.7만 대</t>
    </r>
    <r>
      <rPr>
        <sz val="11"/>
        <color theme="1"/>
        <rFont val="맑은 고딕"/>
        <family val="2"/>
        <charset val="129"/>
        <scheme val="minor"/>
      </rPr>
      <t xml:space="preserve">가 현대엘리베이터의 수혜 대상. 대당 5천만 원 기준 시 매출 기회 </t>
    </r>
    <r>
      <rPr>
        <b/>
        <sz val="11"/>
        <color theme="1"/>
        <rFont val="맑은 고딕"/>
        <family val="3"/>
        <charset val="129"/>
        <scheme val="minor"/>
      </rPr>
      <t>약 2.85조 원</t>
    </r>
    <r>
      <rPr>
        <sz val="11"/>
        <color theme="1"/>
        <rFont val="맑은 고딕"/>
        <family val="2"/>
        <charset val="129"/>
        <scheme val="minor"/>
      </rPr>
      <t xml:space="preserve"> 수준</t>
    </r>
    <phoneticPr fontId="1" type="noConversion"/>
  </si>
  <si>
    <t>[일부개정]
◇ 개정이유 및 주요내용
  행정안전부장관이 승강기 안전관리 기본계획을 수립ㆍ시행하도록 하는 등의 내용으로 「승강기 안전관리법」이 개정(법률 제20159호, 2024. 1. 30. 공포, 2025. 1. 31. 시행)됨에 따라, 승강기 안전관리 기본계획의 수립 절차 등을 정하는 한편,
  한국승강기안전공단이 설치검사 및 안전검사 업무를 수행하기 위하여 갖추어야 하는 검사설비 중 분동 3톤 이상을 보유하도록 하던 것을, 임차하는 분동도 포함하는 것으로 설비기준을 정비하는 등 현행 제도의 운영상 나타난 일부 미비점을 개선ㆍ보완하려는 것임.
&lt;법제처 제공&gt;</t>
    <phoneticPr fontId="1" type="noConversion"/>
  </si>
  <si>
    <t>https://www.law.go.kr/LSW/lsInfoP.do?lsiSeq=268319#</t>
    <phoneticPr fontId="1" type="noConversion"/>
  </si>
  <si>
    <t xml:space="preserve"> HD현대마린엔진</t>
    <phoneticPr fontId="1" type="noConversion"/>
  </si>
  <si>
    <t>수주 실적</t>
  </si>
  <si>
    <t>2025년 1분기 누적 수주액 1,702억 원, 4월 중순까지 추가 수주 1,161억 원 달성</t>
  </si>
  <si>
    <t>2025년 1분기~4월 중순</t>
  </si>
  <si>
    <t>친환경 엔진 수요 증가</t>
  </si>
  <si>
    <t>IMO의 탄소세 도입으로 메탄슬립 저감 엔진 등 친환경 엔진 수요 확대 예상</t>
  </si>
  <si>
    <t>그룹 내 협업 강화</t>
  </si>
  <si>
    <t>HD현대미포조선 및 HD한국조선해양과의 협력을 통한 캡티브 물량 확보</t>
  </si>
  <si>
    <t>애프터마켓 부문 확대</t>
  </si>
  <si>
    <t>HD현대마린솔루션과의 협업으로 부품 공급 및 유지보수 시장 확대 기대</t>
  </si>
  <si>
    <t>AM 부품 공급 확대</t>
  </si>
  <si>
    <t>HD현대마린엔진은 HD현대마린솔루션과의 협업을 통해 선박용 엔진 부품 공급을 확대하고 있습니다. 특히, 친환경 이중연료 엔진의 보급 증가로 인한 유지·보수 수요 증가에 대응하고 있습니다.</t>
  </si>
  <si>
    <t>2024년 이후</t>
  </si>
  <si>
    <t>LTSA 계약 체결</t>
  </si>
  <si>
    <t>HD현대마린솔루션은 2024년 유럽 선사와 6000만 달러 규모의 장기 유지보수 계약(LTSA)을 체결하였으며, 이에 따라 HD현대마린엔진의 부품 공급이 증가하고 있습니다.</t>
  </si>
  <si>
    <t>생산능력 확대 투자</t>
  </si>
  <si>
    <t>HD현대마린엔진은 생산성 향상을 위해 2025년까지 105억 원을 투자하여 생산설비를 개선하고 있으며, 이를 통해 AM 부품 공급 능력을 강화하고 있습니다.</t>
  </si>
  <si>
    <t>2024년~2025년</t>
  </si>
  <si>
    <t>기전</t>
  </si>
  <si>
    <t>이유</t>
  </si>
  <si>
    <t>설명</t>
  </si>
  <si>
    <t>세부 내용</t>
  </si>
  <si>
    <t>시기</t>
  </si>
  <si>
    <t>기대 효과</t>
  </si>
  <si>
    <t>방산 사업 수출 확대</t>
  </si>
  <si>
    <t>폴란드 K2 전차 수출분에 포함된 레이더 체계 공급, 중동향 MFR 수출 가시화</t>
  </si>
  <si>
    <t>2025년~</t>
  </si>
  <si>
    <t>고마진 수출 확대로 방산 매출 및 이익률 증가</t>
  </si>
  <si>
    <t>한화시스템</t>
    <phoneticPr fontId="1" type="noConversion"/>
  </si>
  <si>
    <t>미국 조선업 재건 행정명령 (트럼프)</t>
  </si>
  <si>
    <t>2025년 4월 9일 트럼프 대통령 서명.</t>
  </si>
  <si>
    <t>① 미국 내 조선소 확대</t>
  </si>
  <si>
    <t>② 미 상선·해군력 재건</t>
  </si>
  <si>
    <t>③ 중국 조선·물류 견제</t>
  </si>
  <si>
    <t>④ 국방부·국토안보부의 선박 조달 효율화 추진</t>
  </si>
  <si>
    <t>2025년 4월 발효</t>
  </si>
  <si>
    <t>조선 발주 확대를 통한 미국 내 생산기지(필리조선소) 직접 수혜 기대</t>
  </si>
  <si>
    <t>① 미 상선 80척 → 250척으로 10년 내 확대</t>
  </si>
  <si>
    <t>② U.S.-built/flagged/crewed 조건 부여</t>
  </si>
  <si>
    <t>③ 외국산 선박은 2029년 이후 전략상선 제외</t>
  </si>
  <si>
    <t>④ 조선소 투자시 세액 공제 25% 부여</t>
  </si>
  <si>
    <t>⑤ MRO 외주 세금: 미국 외 50%, 중국 200%</t>
  </si>
  <si>
    <t>2025년 입법 예상</t>
  </si>
  <si>
    <t>10년간 시행 계획</t>
  </si>
  <si>
    <r>
      <t xml:space="preserve">필리조선소 보유 기업에 </t>
    </r>
    <r>
      <rPr>
        <b/>
        <sz val="11"/>
        <color theme="1"/>
        <rFont val="맑은 고딕"/>
        <family val="3"/>
        <charset val="129"/>
        <scheme val="minor"/>
      </rPr>
      <t>건조 + 유지보수(MRO)</t>
    </r>
    <r>
      <rPr>
        <sz val="11"/>
        <color theme="1"/>
        <rFont val="맑은 고딕"/>
        <family val="2"/>
        <charset val="129"/>
        <scheme val="minor"/>
      </rPr>
      <t xml:space="preserve"> 양면 수혜 제공</t>
    </r>
  </si>
  <si>
    <t>한국 조선 기술력 활용 가능성 ↑</t>
  </si>
  <si>
    <t>필리조선소 생산 능력</t>
  </si>
  <si>
    <t>현재 연간 약 1.5척, 최대 4척 수준 (2도크 보유)</t>
  </si>
  <si>
    <t>한화오션/한화시스템 지분구조: 4:6 인수 완료</t>
  </si>
  <si>
    <t>현재 기준</t>
  </si>
  <si>
    <t>미국 내 최대급 상선 건조능력 확보</t>
  </si>
  <si>
    <t>향후 정책에 따라 자동화/확장 투자 가능</t>
  </si>
  <si>
    <t>SHIPS Act 법안 (입법 진행 중)</t>
    <phoneticPr fontId="1" type="noConversion"/>
  </si>
  <si>
    <t>법안 통과시점은 현재 미정</t>
    <phoneticPr fontId="1" type="noConversion"/>
  </si>
  <si>
    <t>시점 및 세부사항</t>
  </si>
  <si>
    <t>착공식</t>
  </si>
  <si>
    <t>밀양 제2공장 착공</t>
  </si>
  <si>
    <t>생산라인 계획 변경</t>
  </si>
  <si>
    <t>당초 5개 → 6개로 증설</t>
  </si>
  <si>
    <t>준공 예정</t>
  </si>
  <si>
    <t>밀양 제2공장 완공</t>
  </si>
  <si>
    <t>2025년 5월 말 예정</t>
  </si>
  <si>
    <t>가동 시작</t>
  </si>
  <si>
    <t>2025년 7월 예정</t>
  </si>
  <si>
    <t>생산능력 증가</t>
  </si>
  <si>
    <t>연간 생산량 증가</t>
  </si>
  <si>
    <t>기존 18억 개 → 25억 개로 확대</t>
  </si>
  <si>
    <t>수출 전략</t>
  </si>
  <si>
    <t>밀양 제2공장 활용</t>
  </si>
  <si>
    <t>미국 수출 전진기지로 활용 예정</t>
  </si>
  <si>
    <t>삼양식품</t>
    <phoneticPr fontId="1" type="noConversion"/>
  </si>
  <si>
    <t>투자금액: 1,643억 원 → 1,838억 원 증가</t>
  </si>
  <si>
    <t>밀양 제2공장 상업 생산 개시</t>
  </si>
  <si>
    <t>중국 현지 공장 설립</t>
  </si>
  <si>
    <t>첫 해외 생산거점 확보</t>
  </si>
  <si>
    <r>
      <t>2027년 1월 가동 예정</t>
    </r>
    <r>
      <rPr>
        <sz val="11"/>
        <color theme="1"/>
        <rFont val="맑은 고딕"/>
        <family val="2"/>
        <charset val="129"/>
        <scheme val="minor"/>
      </rPr>
      <t>, 연산 약 8.2억 개</t>
    </r>
  </si>
  <si>
    <t>물류비 절감 및 현지 수요 대응 목적</t>
  </si>
  <si>
    <t>한국전력</t>
    <phoneticPr fontId="1" type="noConversion"/>
  </si>
  <si>
    <t>원/달러 환율 하락</t>
  </si>
  <si>
    <t>국제 유가 하락</t>
  </si>
  <si>
    <t>전기요금 인상</t>
  </si>
  <si>
    <t>원전 비중 확대</t>
  </si>
  <si>
    <t>송전망 확충</t>
  </si>
  <si>
    <t>배당 확대 기대</t>
  </si>
  <si>
    <t>연료 및 발전 원자재 수입 대금이 원화 기준으로 감소 (달러결제)</t>
  </si>
  <si>
    <t>연료비 절감, 외화부채 이자 부담 완화</t>
  </si>
  <si>
    <t>LNG 등 발전용 연료 가격 하락 → 발전단가 하락</t>
  </si>
  <si>
    <t>수익성 개선, 한전의 적자 축소 가능성</t>
  </si>
  <si>
    <t>2024년 하반기 산업용 기준 평균 9.7% 인상</t>
  </si>
  <si>
    <t>수익 정상화, 매출 증대, EPS(주당순이익) 개선</t>
  </si>
  <si>
    <t>저유가·친환경 발전소인 원전 가동률 확대 정책 기조</t>
  </si>
  <si>
    <t>노후 원전 재가동 및 신규 건설 본격화</t>
  </si>
  <si>
    <t>연료비 절감, 안정적인 전력공급 구조 강화</t>
  </si>
  <si>
    <t>대규모 송배전선로(예: 북당진~신탕정) 신설 및 교체 → 송전손실 감소</t>
  </si>
  <si>
    <t>약 3,500억 원 연간 비용 절감, 전력 공급 안정성 제고</t>
  </si>
  <si>
    <t>흑자 전환시 배당정책 정상화 가능성↑</t>
  </si>
  <si>
    <t>2025년 추정 배당: 1,500원 / 배당수익률 약 6% 전후 예상</t>
  </si>
  <si>
    <t>주주환원 정책 강화, 기관·외국인 수급 유입 가능성</t>
  </si>
  <si>
    <t>2025년 대선 이후 추가 인상 가능성 존재</t>
    <phoneticPr fontId="1" type="noConversion"/>
  </si>
  <si>
    <t>본사</t>
  </si>
  <si>
    <t>주요 제품</t>
  </si>
  <si>
    <t>SNT에너지와의 차이</t>
  </si>
  <si>
    <t>Chart Industries</t>
  </si>
  <si>
    <t>에어쿨러, 열교환기, 저장탱크 등 (LNG 기자재 풀라인)</t>
  </si>
  <si>
    <t>대형 종합기자재 업체, Hudson Products 인수 후 에어쿨러 강화</t>
  </si>
  <si>
    <t>Kelvion</t>
  </si>
  <si>
    <t>공랭/수랭 열교환기</t>
  </si>
  <si>
    <t>산업용 전반으로 분산, LNG 특화는 아님</t>
  </si>
  <si>
    <t>Linde Engineering</t>
  </si>
  <si>
    <t>공정 설계 + 기자재</t>
  </si>
  <si>
    <t>자체 사용 위주, 외부 판매 제한적</t>
  </si>
  <si>
    <t>Air-X-Changers (AXC)</t>
  </si>
  <si>
    <t>미국 (National Heat Exchange)</t>
  </si>
  <si>
    <t>공랭식 열교환기</t>
  </si>
  <si>
    <t>소규모 운영, 북미 로컬 중심</t>
  </si>
  <si>
    <t>S&amp;T Heat Transfer (중국)</t>
  </si>
  <si>
    <t>중국</t>
  </si>
  <si>
    <t>저가형 에어쿨러</t>
  </si>
  <si>
    <t>기술력과 납기 안정성은 떨어짐</t>
  </si>
  <si>
    <t>① 제품 경쟁력</t>
  </si>
  <si>
    <t>국내 유일의 공랭식 열교환기 업체 + 글로벌 공급 레퍼런스 확보 (Bechtel, Aramco 등)</t>
  </si>
  <si>
    <t>② 수주 모멘텀</t>
  </si>
  <si>
    <t>2025~2026년 미국·중동 LNG 액화플랜트용 기자재 발주 집중기 → 수주잔고 역대 최고</t>
  </si>
  <si>
    <t>③ 실적 성장</t>
  </si>
  <si>
    <t>2025년 매출 +67.5%, 영업이익 +127.9%, 영업이익률 10% 상회</t>
  </si>
  <si>
    <t>④ 고정비 레버리지 효과</t>
  </si>
  <si>
    <t>높은 매출 증가 시 설비 확장 없이 수익성 급등 구조</t>
  </si>
  <si>
    <t>⑤ 경쟁사 희소성</t>
  </si>
  <si>
    <t>Chart Industries 외 글로벌 상장 유사기업 거의 없음 → 밸류에이션 재평가 여지</t>
  </si>
  <si>
    <t>⑥ 지역 분산</t>
  </si>
  <si>
    <t>미국(수출 비중 78%), 중동, 멕시코/아시아 등으로 고객 기반 다변화</t>
  </si>
  <si>
    <t>⑦ HRSG 성장 축</t>
  </si>
  <si>
    <t>Aramco가 HRSG 메인벤더로 지정 → 보일러 부문도 추가 성장 기대</t>
  </si>
  <si>
    <t>발주 가능성</t>
  </si>
  <si>
    <t>관련 프로젝트 / 지역</t>
  </si>
  <si>
    <r>
      <t xml:space="preserve">▶ </t>
    </r>
    <r>
      <rPr>
        <b/>
        <sz val="11"/>
        <color theme="1"/>
        <rFont val="맑은 고딕"/>
        <family val="3"/>
        <charset val="129"/>
        <scheme val="minor"/>
      </rPr>
      <t>추가 발주 기대</t>
    </r>
  </si>
  <si>
    <t>미국 Driftwood LNG, Rio Grande LNG</t>
  </si>
  <si>
    <t>Bechtel 주관 EPC 진행 중이며, 기자재 발주 라운드 진입 가능성</t>
  </si>
  <si>
    <t>2025년 중반</t>
  </si>
  <si>
    <r>
      <t xml:space="preserve">▶ </t>
    </r>
    <r>
      <rPr>
        <b/>
        <sz val="11"/>
        <color theme="1"/>
        <rFont val="맑은 고딕"/>
        <family val="3"/>
        <charset val="129"/>
        <scheme val="minor"/>
      </rPr>
      <t>알래스카 LNG 관련 논의</t>
    </r>
  </si>
  <si>
    <t>Alaska LNG Project (Anchorage 서밋 6/2)</t>
  </si>
  <si>
    <t>정치적 드라이브 및 인프라 투자 유치에 따른 기자재 발주 논의 가능성</t>
  </si>
  <si>
    <r>
      <t xml:space="preserve">▶ </t>
    </r>
    <r>
      <rPr>
        <b/>
        <sz val="11"/>
        <color theme="1"/>
        <rFont val="맑은 고딕"/>
        <family val="3"/>
        <charset val="129"/>
        <scheme val="minor"/>
      </rPr>
      <t>멕시코/중남미 수주 가능성</t>
    </r>
  </si>
  <si>
    <t>Puerto Libertad LNG, Vista Pacifico LNG</t>
  </si>
  <si>
    <t>미국산 가스를 아시아로 재수출하는 LNG 재액화 플랜트로, Air Cooler 수요 예상</t>
  </si>
  <si>
    <r>
      <t xml:space="preserve">▶ </t>
    </r>
    <r>
      <rPr>
        <b/>
        <sz val="11"/>
        <color theme="1"/>
        <rFont val="맑은 고딕"/>
        <family val="3"/>
        <charset val="129"/>
        <scheme val="minor"/>
      </rPr>
      <t>중동 대형 프로젝트 기자재 발주</t>
    </r>
  </si>
  <si>
    <t>사우디 Aramco, UAE ADNOC</t>
  </si>
  <si>
    <t>사우디 iktva 정책에 따른 현지화 및 벤더 등록 효과로 수주 가속화 예상</t>
  </si>
  <si>
    <t>2026년 하반기~2027년</t>
  </si>
  <si>
    <r>
      <t xml:space="preserve">▶ </t>
    </r>
    <r>
      <rPr>
        <b/>
        <sz val="11"/>
        <color theme="1"/>
        <rFont val="맑은 고딕"/>
        <family val="3"/>
        <charset val="129"/>
        <scheme val="minor"/>
      </rPr>
      <t>기존 프로젝트 리오더 또는 유지보수 발주</t>
    </r>
  </si>
  <si>
    <t>미국·중동 지역</t>
  </si>
  <si>
    <t>초기 납품된 Air Cooler 장비의 리오더 또는 신규 모듈 확대 가능성</t>
  </si>
  <si>
    <t>SNT에너지</t>
    <phoneticPr fontId="1" type="noConversion"/>
  </si>
  <si>
    <t>매출액</t>
  </si>
  <si>
    <t>영업이익</t>
  </si>
  <si>
    <t>① 독점적 제품군</t>
  </si>
  <si>
    <r>
      <t xml:space="preserve">국내 유일한 </t>
    </r>
    <r>
      <rPr>
        <b/>
        <sz val="11"/>
        <color theme="1"/>
        <rFont val="맑은 고딕"/>
        <family val="3"/>
        <charset val="129"/>
        <scheme val="minor"/>
      </rPr>
      <t>공랭식 열교환기(Air Cooler)</t>
    </r>
    <r>
      <rPr>
        <sz val="11"/>
        <color theme="1"/>
        <rFont val="맑은 고딕"/>
        <family val="2"/>
        <charset val="129"/>
        <scheme val="minor"/>
      </rPr>
      <t xml:space="preserve"> 전문 제조사</t>
    </r>
  </si>
  <si>
    <t>경쟁사 없음 → 높은 마진 + 진입장벽</t>
  </si>
  <si>
    <t>② 글로벌 수주처 확보</t>
  </si>
  <si>
    <r>
      <t xml:space="preserve">Bechtel, Aramco, Technip 등 </t>
    </r>
    <r>
      <rPr>
        <b/>
        <sz val="11"/>
        <color theme="1"/>
        <rFont val="맑은 고딕"/>
        <family val="3"/>
        <charset val="129"/>
        <scheme val="minor"/>
      </rPr>
      <t>글로벌 EPC 대상 직수주 가능</t>
    </r>
  </si>
  <si>
    <t>EPC사가 선호하는 납기·품질 신뢰도 확보</t>
  </si>
  <si>
    <t>③ LNG 사이클 수혜</t>
  </si>
  <si>
    <r>
      <t xml:space="preserve">미국·중동 중심의 </t>
    </r>
    <r>
      <rPr>
        <b/>
        <sz val="11"/>
        <color theme="1"/>
        <rFont val="맑은 고딕"/>
        <family val="3"/>
        <charset val="129"/>
        <scheme val="minor"/>
      </rPr>
      <t>LNG 인프라 확대 수요 증가</t>
    </r>
  </si>
  <si>
    <t>탄소중립 + 에너지 안보 이슈로 LNG 수출 증가 전망</t>
  </si>
  <si>
    <t>④ 수출 비중 78%</t>
  </si>
  <si>
    <t>환율 수혜, 국내 경기 둔감</t>
  </si>
  <si>
    <t>달러 매출 기반의 안정적인 실적</t>
  </si>
  <si>
    <t>⑤ 중동 현지 법인 보유 (SNT Gulf)</t>
  </si>
  <si>
    <t>사우디 iktva 정책 대응 가능</t>
  </si>
  <si>
    <t>현지 벤더 등록 → Aramco 장기 계약 수혜 가능</t>
  </si>
  <si>
    <t>⑥ 수주잔고 지속 증가</t>
  </si>
  <si>
    <r>
      <t xml:space="preserve">9,000억 원 돌파로 </t>
    </r>
    <r>
      <rPr>
        <b/>
        <sz val="11"/>
        <color theme="1"/>
        <rFont val="맑은 고딕"/>
        <family val="3"/>
        <charset val="129"/>
        <scheme val="minor"/>
      </rPr>
      <t>역대 최대</t>
    </r>
  </si>
  <si>
    <t>2025~26년 고성장 기반 확보 (고정비 레버리지 효과)</t>
  </si>
  <si>
    <t>분기</t>
  </si>
  <si>
    <t>주요 매출 증가 원인</t>
  </si>
  <si>
    <t>1Q25</t>
  </si>
  <si>
    <t>- 브라질 라비앙, 올리지오X 수출 재개</t>
  </si>
  <si>
    <t>- 태국 수출 확대</t>
  </si>
  <si>
    <t>- 국내 올리지오 시술 회복</t>
  </si>
  <si>
    <t>- 전년도 낮은 기저효과</t>
  </si>
  <si>
    <t>- 브라질 미수채권 환입</t>
  </si>
  <si>
    <t>2Q25</t>
  </si>
  <si>
    <t>- 태국 성수기 효과로 올리지오 수출 증가</t>
  </si>
  <si>
    <t>- 브라질 유통사 선적 정상화</t>
  </si>
  <si>
    <t>- 국내 의료관광 수혜(외국인 환자 증가)</t>
  </si>
  <si>
    <t>3Q25</t>
  </si>
  <si>
    <t>- 피코케어/라비앙 등 수출 유지</t>
  </si>
  <si>
    <t>- 일본·미국 등 주요국 수요 지속</t>
  </si>
  <si>
    <t>4Q25</t>
  </si>
  <si>
    <t>- 브라질 라비앙·소모품 집중 매출</t>
  </si>
  <si>
    <t>- 연말 수출 성수기 효과</t>
  </si>
  <si>
    <t>지역</t>
  </si>
  <si>
    <t>변화 내용</t>
  </si>
  <si>
    <t>브라질</t>
  </si>
  <si>
    <t>- 8개월 만에 수출 최대치 경신</t>
  </si>
  <si>
    <t>- 올리지오X·라비앙 수출 재개로 분기별 기여도 확대</t>
  </si>
  <si>
    <t>태국</t>
  </si>
  <si>
    <t>- 3월 수출 역대 최대치 기록</t>
  </si>
  <si>
    <t>- 연중 고성장 유지 전망</t>
  </si>
  <si>
    <t>- Google Trends 관심도 증가</t>
  </si>
  <si>
    <t>- 라비앙 중심으로 수출 증가세</t>
  </si>
  <si>
    <t>- YoY +12% 이상 회복세 진입</t>
  </si>
  <si>
    <t>일본</t>
  </si>
  <si>
    <t>- 안정적인 수출 증가 추세 유지</t>
  </si>
  <si>
    <t>기타 지역</t>
  </si>
  <si>
    <t>- 중동, 아시아, 유럽 등에서 고른 회복세</t>
  </si>
  <si>
    <t>제품군</t>
  </si>
  <si>
    <t>올리지오 장비</t>
  </si>
  <si>
    <t>- 태국/브라질 중심 수출 급증</t>
  </si>
  <si>
    <t>- 성수기 효과 반영 예상</t>
  </si>
  <si>
    <t>올리지오 소모품</t>
  </si>
  <si>
    <t>- 외국인 의료관광 증가로 국내 시술 수 확대</t>
  </si>
  <si>
    <t>- 소모품 재구매 수요 증가</t>
  </si>
  <si>
    <t>라비앙</t>
  </si>
  <si>
    <t>- 브라질 및 미국 중심 수출 정상화</t>
  </si>
  <si>
    <t>- 하반기 집중 매출 기대</t>
  </si>
  <si>
    <t>피코케어</t>
  </si>
  <si>
    <t>- 미국 중심으로 유지 또는 완만한 증가</t>
  </si>
  <si>
    <t>기타</t>
  </si>
  <si>
    <t>- 서지컬, 홈케어 제품은 안정적 흐름 지속</t>
  </si>
  <si>
    <t>상세 설명</t>
  </si>
  <si>
    <t>1. 핵심 신사업</t>
  </si>
  <si>
    <r>
      <t xml:space="preserve">뇌수술용 의료로봇 </t>
    </r>
    <r>
      <rPr>
        <b/>
        <sz val="11"/>
        <color theme="1"/>
        <rFont val="맑은 고딕"/>
        <family val="3"/>
        <charset val="129"/>
        <scheme val="minor"/>
      </rPr>
      <t>KYMERO</t>
    </r>
  </si>
  <si>
    <t>- 세계 최초 침대 부착형 뇌수술 로봇</t>
  </si>
  <si>
    <r>
      <t xml:space="preserve">- 미국 FDA 승인(2025.1) 획득 → </t>
    </r>
    <r>
      <rPr>
        <b/>
        <sz val="11"/>
        <color theme="1"/>
        <rFont val="맑은 고딕"/>
        <family val="3"/>
        <charset val="129"/>
        <scheme val="minor"/>
      </rPr>
      <t>5월부터 美 병원 설치 시작</t>
    </r>
  </si>
  <si>
    <r>
      <t xml:space="preserve">의료용 엑스레이 ‘Geniant ez-X’ 등 </t>
    </r>
    <r>
      <rPr>
        <b/>
        <sz val="11"/>
        <color theme="1"/>
        <rFont val="맑은 고딕"/>
        <family val="3"/>
        <charset val="129"/>
        <scheme val="minor"/>
      </rPr>
      <t>포트폴리오 확대</t>
    </r>
  </si>
  <si>
    <t>- 영상 기반 수술 가이드 플랫폼 개발</t>
  </si>
  <si>
    <t>- 의료사업 다각화 본격화</t>
  </si>
  <si>
    <t>2. 경쟁력</t>
  </si>
  <si>
    <t>정밀성·안정성 입증</t>
  </si>
  <si>
    <t>- 실시간 3D 내비게이션 기능</t>
  </si>
  <si>
    <t>- 환자와 로봇 간 상대 움직임 최소화, 경로 자동 가이드</t>
  </si>
  <si>
    <t>국내 500례 이상 수술 경험 축적</t>
  </si>
  <si>
    <t>- 세브란스 포함 대형 병원 10곳 납품 완료</t>
  </si>
  <si>
    <t>3. 글로벌 확장</t>
  </si>
  <si>
    <t>- FDA 승인 완료, 5월 납품 개시</t>
  </si>
  <si>
    <t>- 미국 신경외과 병원 약 1,437개 대상 시장</t>
  </si>
  <si>
    <r>
      <t xml:space="preserve">- PMDA 승인 신청, </t>
    </r>
    <r>
      <rPr>
        <b/>
        <sz val="11"/>
        <color theme="1"/>
        <rFont val="맑은 고딕"/>
        <family val="3"/>
        <charset val="129"/>
        <scheme val="minor"/>
      </rPr>
      <t>2025년 7월 승인 목표</t>
    </r>
  </si>
  <si>
    <t>- 2025년 10월 NMPA 신청 예정</t>
  </si>
  <si>
    <t>유럽</t>
  </si>
  <si>
    <t>- CE 인증 준비 중, 전시회 참가 및 파트너 확대 진행</t>
  </si>
  <si>
    <t>의료로봇 TAM 확대</t>
  </si>
  <si>
    <t>- 글로벌 신경외과 병원 수 6,000여 곳 이상</t>
  </si>
  <si>
    <t>- 정밀 외과용 로봇 시장 빠른 성장 기대</t>
  </si>
  <si>
    <t>4. 중장기 포텐셜</t>
    <phoneticPr fontId="1" type="noConversion"/>
  </si>
  <si>
    <t>2. 원텍</t>
    <phoneticPr fontId="1" type="noConversion"/>
  </si>
  <si>
    <t>1. 수출 성장 회복</t>
  </si>
  <si>
    <t>브라질향 톡신 수출 급증</t>
  </si>
  <si>
    <r>
      <t xml:space="preserve">브라질 파트너사가 경쟁사 인수 후, 자사 제품(뉴로녹스)으로 대체 → 1Q25 브라질향 수출 </t>
    </r>
    <r>
      <rPr>
        <b/>
        <sz val="11"/>
        <color theme="1"/>
        <rFont val="맑은 고딕"/>
        <family val="3"/>
        <charset val="129"/>
        <scheme val="minor"/>
      </rPr>
      <t>+186% YoY</t>
    </r>
    <r>
      <rPr>
        <sz val="11"/>
        <color theme="1"/>
        <rFont val="맑은 고딕"/>
        <family val="2"/>
        <charset val="129"/>
        <scheme val="minor"/>
      </rPr>
      <t>로 역대 최대</t>
    </r>
  </si>
  <si>
    <t>‘뉴럭스’ 본격 수출 개시</t>
  </si>
  <si>
    <t>태국·페루에서 시판허가 확보, 기존 수출국 30여 곳에 순차 인허가 신청 중. CAPA 제약으로 못 했던 수출 본격화</t>
  </si>
  <si>
    <t>1공장 GMP 재인증 완료 → 수출 정상화</t>
  </si>
  <si>
    <t>기존 지연되었던 물량 1Q25부터 순차 반영 / 2Q25에는 완전 정상화로 확대 전망</t>
  </si>
  <si>
    <t>글로벌 인젝터블 수요 증가</t>
  </si>
  <si>
    <t>글로벌 미용 수요 회복 + 저가 브라질 의료관광 증가 = 중남미·아시아 수출 확대 가능성</t>
  </si>
  <si>
    <t>2. 수출 제품별 변화</t>
  </si>
  <si>
    <t>톡신</t>
  </si>
  <si>
    <t>전체 수출 중 100% ‘뉴로녹스’ 중심 / ‘뉴럭스’로 전환 시 제품 믹스 개선 기대</t>
  </si>
  <si>
    <t>필러</t>
  </si>
  <si>
    <t>2024년 수출 +4% 성장, 2025년 +9% 전망 / 브라질, 태국 등 인허가 확대 예정</t>
  </si>
  <si>
    <t>3. 가동률과 생산능력(CAPA)</t>
  </si>
  <si>
    <t>오창 1공장 (기존 CAPA)</t>
  </si>
  <si>
    <r>
      <t xml:space="preserve">연간 약 600억 원 CAPA → 2024년 기준 톡신 매출 557억 원 → 사실상 </t>
    </r>
    <r>
      <rPr>
        <b/>
        <sz val="11"/>
        <color theme="1"/>
        <rFont val="맑은 고딕"/>
        <family val="3"/>
        <charset val="129"/>
        <scheme val="minor"/>
      </rPr>
      <t>풀가동 상태</t>
    </r>
  </si>
  <si>
    <t>오송 3공장 (확장 CAPA)</t>
  </si>
  <si>
    <r>
      <t xml:space="preserve">연간 톡신 CAPA 6,000억 원 규모 / 2024년 KGMP 승인 → </t>
    </r>
    <r>
      <rPr>
        <b/>
        <sz val="11"/>
        <color theme="1"/>
        <rFont val="맑은 고딕"/>
        <family val="3"/>
        <charset val="129"/>
        <scheme val="minor"/>
      </rPr>
      <t>2025년부터 ‘뉴럭스’ 생산 확대</t>
    </r>
  </si>
  <si>
    <t>공장 셧다운 해소</t>
  </si>
  <si>
    <r>
      <t xml:space="preserve">2H24 GMP 심사로 인한 이연 물량, </t>
    </r>
    <r>
      <rPr>
        <b/>
        <sz val="11"/>
        <color theme="1"/>
        <rFont val="맑은 고딕"/>
        <family val="3"/>
        <charset val="129"/>
        <scheme val="minor"/>
      </rPr>
      <t>1H25부터 정상 출하</t>
    </r>
    <r>
      <rPr>
        <sz val="11"/>
        <color theme="1"/>
        <rFont val="맑은 고딕"/>
        <family val="2"/>
        <charset val="129"/>
        <scheme val="minor"/>
      </rPr>
      <t xml:space="preserve"> 시작</t>
    </r>
  </si>
  <si>
    <t>4. 수익성 개선 요인</t>
  </si>
  <si>
    <t>지급수수료 축소</t>
  </si>
  <si>
    <r>
      <t xml:space="preserve">2023년 504억 → 2024년 417억 → </t>
    </r>
    <r>
      <rPr>
        <b/>
        <sz val="11"/>
        <color theme="1"/>
        <rFont val="맑은 고딕"/>
        <family val="3"/>
        <charset val="129"/>
        <scheme val="minor"/>
      </rPr>
      <t>2025년 289억</t>
    </r>
    <r>
      <rPr>
        <sz val="11"/>
        <color theme="1"/>
        <rFont val="맑은 고딕"/>
        <family val="2"/>
        <charset val="129"/>
        <scheme val="minor"/>
      </rPr>
      <t>으로 비용구조 개선</t>
    </r>
  </si>
  <si>
    <t>영업레버리지 효과</t>
  </si>
  <si>
    <t>수출 증가 + 고정비 비중 감소로 **영업이익률 2025년 19% → 2026년 22%**로 상승 전망</t>
  </si>
  <si>
    <t>주요 모멘텀 요약</t>
  </si>
  <si>
    <r>
      <t xml:space="preserve">- </t>
    </r>
    <r>
      <rPr>
        <b/>
        <sz val="11"/>
        <color theme="1"/>
        <rFont val="맑은 고딕"/>
        <family val="3"/>
        <charset val="129"/>
        <scheme val="minor"/>
      </rPr>
      <t>3공장 가동률 상승</t>
    </r>
    <r>
      <rPr>
        <sz val="11"/>
        <color theme="1"/>
        <rFont val="맑은 고딕"/>
        <family val="2"/>
        <charset val="129"/>
        <scheme val="minor"/>
      </rPr>
      <t>: 뉴럭스 수출 확대에 따른 생산 증가.</t>
    </r>
  </si>
  <si>
    <r>
      <t xml:space="preserve">- </t>
    </r>
    <r>
      <rPr>
        <b/>
        <sz val="11"/>
        <color theme="1"/>
        <rFont val="맑은 고딕"/>
        <family val="3"/>
        <charset val="129"/>
        <scheme val="minor"/>
      </rPr>
      <t>수출국 다변화</t>
    </r>
    <r>
      <rPr>
        <sz val="11"/>
        <color theme="1"/>
        <rFont val="맑은 고딕"/>
        <family val="2"/>
        <charset val="129"/>
        <scheme val="minor"/>
      </rPr>
      <t>: 20여 개국에서 뉴럭스 허가 진행 중.</t>
    </r>
  </si>
  <si>
    <r>
      <t xml:space="preserve">- </t>
    </r>
    <r>
      <rPr>
        <b/>
        <sz val="11"/>
        <color theme="1"/>
        <rFont val="맑은 고딕"/>
        <family val="3"/>
        <charset val="129"/>
        <scheme val="minor"/>
      </rPr>
      <t>국내 수요 회복</t>
    </r>
    <r>
      <rPr>
        <sz val="11"/>
        <color theme="1"/>
        <rFont val="맑은 고딕"/>
        <family val="2"/>
        <charset val="129"/>
        <scheme val="minor"/>
      </rPr>
      <t>: 대리상 추가 및 인바운드 수요 증가로 내수 매출 성장.</t>
    </r>
  </si>
  <si>
    <r>
      <t xml:space="preserve">- </t>
    </r>
    <r>
      <rPr>
        <b/>
        <sz val="11"/>
        <color theme="1"/>
        <rFont val="맑은 고딕"/>
        <family val="3"/>
        <charset val="129"/>
        <scheme val="minor"/>
      </rPr>
      <t>수출 지속 성장</t>
    </r>
    <r>
      <rPr>
        <sz val="11"/>
        <color theme="1"/>
        <rFont val="맑은 고딕"/>
        <family val="2"/>
        <charset val="129"/>
        <scheme val="minor"/>
      </rPr>
      <t>: 브라질 및 기타 국가로의 수출 확대 지속.</t>
    </r>
  </si>
  <si>
    <r>
      <t xml:space="preserve">- </t>
    </r>
    <r>
      <rPr>
        <b/>
        <sz val="11"/>
        <color theme="1"/>
        <rFont val="맑은 고딕"/>
        <family val="3"/>
        <charset val="129"/>
        <scheme val="minor"/>
      </rPr>
      <t>공장 안정화</t>
    </r>
    <r>
      <rPr>
        <sz val="11"/>
        <color theme="1"/>
        <rFont val="맑은 고딕"/>
        <family val="2"/>
        <charset val="129"/>
        <scheme val="minor"/>
      </rPr>
      <t>: 1공장과 3공장 모두 안정적인 가동률 유지.</t>
    </r>
  </si>
  <si>
    <r>
      <t xml:space="preserve">- </t>
    </r>
    <r>
      <rPr>
        <b/>
        <sz val="11"/>
        <color theme="1"/>
        <rFont val="맑은 고딕"/>
        <family val="3"/>
        <charset val="129"/>
        <scheme val="minor"/>
      </rPr>
      <t>제품 믹스 개선</t>
    </r>
    <r>
      <rPr>
        <sz val="11"/>
        <color theme="1"/>
        <rFont val="맑은 고딕"/>
        <family val="2"/>
        <charset val="129"/>
        <scheme val="minor"/>
      </rPr>
      <t>: 고부가가치 제품 비중 증가로 수익성 향상.</t>
    </r>
  </si>
  <si>
    <r>
      <t xml:space="preserve">- </t>
    </r>
    <r>
      <rPr>
        <b/>
        <sz val="11"/>
        <color theme="1"/>
        <rFont val="맑은 고딕"/>
        <family val="3"/>
        <charset val="129"/>
        <scheme val="minor"/>
      </rPr>
      <t>연말 수출 성수기 진입</t>
    </r>
    <r>
      <rPr>
        <sz val="11"/>
        <color theme="1"/>
        <rFont val="맑은 고딕"/>
        <family val="2"/>
        <charset val="129"/>
        <scheme val="minor"/>
      </rPr>
      <t>: 브라질 등 주요 시장의 수요 증가 예상.</t>
    </r>
  </si>
  <si>
    <r>
      <t xml:space="preserve">- </t>
    </r>
    <r>
      <rPr>
        <b/>
        <sz val="11"/>
        <color theme="1"/>
        <rFont val="맑은 고딕"/>
        <family val="3"/>
        <charset val="129"/>
        <scheme val="minor"/>
      </rPr>
      <t>신제품 출시 효과</t>
    </r>
    <r>
      <rPr>
        <sz val="11"/>
        <color theme="1"/>
        <rFont val="맑은 고딕"/>
        <family val="2"/>
        <charset val="129"/>
        <scheme val="minor"/>
      </rPr>
      <t>: 뉴럭스 및 기타 신제품의 글로벌 시장 진출 확대.</t>
    </r>
  </si>
  <si>
    <r>
      <t xml:space="preserve">- </t>
    </r>
    <r>
      <rPr>
        <b/>
        <sz val="11"/>
        <color theme="1"/>
        <rFont val="맑은 고딕"/>
        <family val="3"/>
        <charset val="129"/>
        <scheme val="minor"/>
      </rPr>
      <t>지급수수료 추가 감소</t>
    </r>
    <r>
      <rPr>
        <sz val="11"/>
        <color theme="1"/>
        <rFont val="맑은 고딕"/>
        <family val="2"/>
        <charset val="129"/>
        <scheme val="minor"/>
      </rPr>
      <t>: 비용 구조 개선 지속으로 영업이익률 상승.</t>
    </r>
  </si>
  <si>
    <t>1. 메디톡스</t>
    <phoneticPr fontId="1" type="noConversion"/>
  </si>
  <si>
    <r>
      <t xml:space="preserve">- K2 전차 4차 양산용 </t>
    </r>
    <r>
      <rPr>
        <b/>
        <sz val="11"/>
        <color theme="1"/>
        <rFont val="맑은 고딕"/>
        <family val="3"/>
        <charset val="129"/>
        <scheme val="minor"/>
      </rPr>
      <t>국산 변속기 납품 개시</t>
    </r>
  </si>
  <si>
    <t>- 알타이 전차 수출 물량 일부 반영</t>
  </si>
  <si>
    <r>
      <t xml:space="preserve">- </t>
    </r>
    <r>
      <rPr>
        <b/>
        <sz val="11"/>
        <color theme="1"/>
        <rFont val="맑은 고딕"/>
        <family val="3"/>
        <charset val="129"/>
        <scheme val="minor"/>
      </rPr>
      <t>K9 자주포용 부품 출하 증가</t>
    </r>
    <r>
      <rPr>
        <sz val="11"/>
        <color theme="1"/>
        <rFont val="맑은 고딕"/>
        <family val="2"/>
        <charset val="129"/>
        <scheme val="minor"/>
      </rPr>
      <t xml:space="preserve"> 시작</t>
    </r>
  </si>
  <si>
    <t>- 중동 방산전시회 효과 반영 (IDEX 2025 등)</t>
  </si>
  <si>
    <r>
      <t xml:space="preserve">- </t>
    </r>
    <r>
      <rPr>
        <b/>
        <sz val="11"/>
        <color theme="1"/>
        <rFont val="맑은 고딕"/>
        <family val="3"/>
        <charset val="129"/>
        <scheme val="minor"/>
      </rPr>
      <t>K2ME 수출 레퍼런스 기반 수주협상 본격화</t>
    </r>
    <r>
      <rPr>
        <sz val="11"/>
        <color theme="1"/>
        <rFont val="맑은 고딕"/>
        <family val="2"/>
        <charset val="129"/>
        <scheme val="minor"/>
      </rPr>
      <t xml:space="preserve"> 기대</t>
    </r>
  </si>
  <si>
    <t>- 변속기·파워팩 관련 수주 지속 확대</t>
  </si>
  <si>
    <r>
      <t xml:space="preserve">- </t>
    </r>
    <r>
      <rPr>
        <b/>
        <sz val="11"/>
        <color theme="1"/>
        <rFont val="맑은 고딕"/>
        <family val="3"/>
        <charset val="129"/>
        <scheme val="minor"/>
      </rPr>
      <t>중동향 K2 전차 시범 운영/시험 평가</t>
    </r>
    <r>
      <rPr>
        <sz val="11"/>
        <color theme="1"/>
        <rFont val="맑은 고딕"/>
        <family val="2"/>
        <charset val="129"/>
        <scheme val="minor"/>
      </rPr>
      <t xml:space="preserve"> 가능성</t>
    </r>
  </si>
  <si>
    <t>- 알타이 및 BMC 납품 일정 지속</t>
  </si>
  <si>
    <r>
      <t xml:space="preserve">- </t>
    </r>
    <r>
      <rPr>
        <b/>
        <sz val="11"/>
        <color theme="1"/>
        <rFont val="맑은 고딕"/>
        <family val="3"/>
        <charset val="129"/>
        <scheme val="minor"/>
      </rPr>
      <t>방산 외 친환경차 부품 부문 매출 증가</t>
    </r>
  </si>
  <si>
    <t>- K2 4차 양산 물량 매출 본격 반영</t>
  </si>
  <si>
    <r>
      <t xml:space="preserve">- </t>
    </r>
    <r>
      <rPr>
        <b/>
        <sz val="11"/>
        <color theme="1"/>
        <rFont val="맑은 고딕"/>
        <family val="3"/>
        <charset val="129"/>
        <scheme val="minor"/>
      </rPr>
      <t>연말 수출 성수기 진입 및 이연 매출 반영</t>
    </r>
    <r>
      <rPr>
        <sz val="11"/>
        <color theme="1"/>
        <rFont val="맑은 고딕"/>
        <family val="2"/>
        <charset val="129"/>
        <scheme val="minor"/>
      </rPr>
      <t xml:space="preserve"> 기대</t>
    </r>
  </si>
  <si>
    <t>- 중동국가 수주 가시화 가능성 (사우디·UAE)</t>
  </si>
  <si>
    <t>1. K2 전차 4차 양산 수혜</t>
  </si>
  <si>
    <r>
      <t xml:space="preserve">- K2 전차에 </t>
    </r>
    <r>
      <rPr>
        <b/>
        <sz val="11"/>
        <color theme="1"/>
        <rFont val="맑은 고딕"/>
        <family val="3"/>
        <charset val="129"/>
        <scheme val="minor"/>
      </rPr>
      <t>국산 파워팩(동사 변속기 + 엔진)</t>
    </r>
    <r>
      <rPr>
        <sz val="11"/>
        <color theme="1"/>
        <rFont val="맑은 고딕"/>
        <family val="2"/>
        <charset val="129"/>
        <scheme val="minor"/>
      </rPr>
      <t xml:space="preserve"> 전면 적용 확정</t>
    </r>
  </si>
  <si>
    <r>
      <t xml:space="preserve">- 방위사업청과 </t>
    </r>
    <r>
      <rPr>
        <b/>
        <sz val="11"/>
        <color theme="1"/>
        <rFont val="맑은 고딕"/>
        <family val="3"/>
        <charset val="129"/>
        <scheme val="minor"/>
      </rPr>
      <t>1,337억 원 규모 계약 체결 (2028년까지)</t>
    </r>
  </si>
  <si>
    <r>
      <t xml:space="preserve">- 향후 </t>
    </r>
    <r>
      <rPr>
        <b/>
        <sz val="11"/>
        <color theme="1"/>
        <rFont val="맑은 고딕"/>
        <family val="3"/>
        <charset val="129"/>
        <scheme val="minor"/>
      </rPr>
      <t>K2ME(중동형), 폴란드·루마니아향 수출</t>
    </r>
    <r>
      <rPr>
        <sz val="11"/>
        <color theme="1"/>
        <rFont val="맑은 고딕"/>
        <family val="2"/>
        <charset val="129"/>
        <scheme val="minor"/>
      </rPr>
      <t>에도 적용 확대 기대</t>
    </r>
  </si>
  <si>
    <t>2. 터키 알타이 전차 수출 실적</t>
  </si>
  <si>
    <r>
      <t xml:space="preserve">- </t>
    </r>
    <r>
      <rPr>
        <b/>
        <sz val="11"/>
        <color theme="1"/>
        <rFont val="맑은 고딕"/>
        <family val="3"/>
        <charset val="129"/>
        <scheme val="minor"/>
      </rPr>
      <t>2022년 알타이 전차용 변속기 납품 후 혹서지 환경 시험 통과</t>
    </r>
  </si>
  <si>
    <r>
      <t xml:space="preserve">- 2023년 BMC와 </t>
    </r>
    <r>
      <rPr>
        <b/>
        <sz val="11"/>
        <color theme="1"/>
        <rFont val="맑은 고딕"/>
        <family val="3"/>
        <charset val="129"/>
        <scheme val="minor"/>
      </rPr>
      <t>총 2,671억 원 규모 수출 계약 체결</t>
    </r>
    <r>
      <rPr>
        <sz val="11"/>
        <color theme="1"/>
        <rFont val="맑은 고딕"/>
        <family val="2"/>
        <charset val="129"/>
        <scheme val="minor"/>
      </rPr>
      <t xml:space="preserve"> (2027~2030년까지 옵션 포함)</t>
    </r>
  </si>
  <si>
    <t>3. 중동시장 전차 교체 수요 급증</t>
  </si>
  <si>
    <r>
      <t xml:space="preserve">- </t>
    </r>
    <r>
      <rPr>
        <b/>
        <sz val="11"/>
        <color theme="1"/>
        <rFont val="맑은 고딕"/>
        <family val="3"/>
        <charset val="129"/>
        <scheme val="minor"/>
      </rPr>
      <t>사우디·UAE만 약 18조 원 시장 형성</t>
    </r>
    <r>
      <rPr>
        <sz val="11"/>
        <color theme="1"/>
        <rFont val="맑은 고딕"/>
        <family val="2"/>
        <charset val="129"/>
        <scheme val="minor"/>
      </rPr>
      <t xml:space="preserve"> 전망</t>
    </r>
  </si>
  <si>
    <r>
      <t xml:space="preserve">- 독일산 전차 수출 통제 → </t>
    </r>
    <r>
      <rPr>
        <b/>
        <sz val="11"/>
        <color theme="1"/>
        <rFont val="맑은 고딕"/>
        <family val="3"/>
        <charset val="129"/>
        <scheme val="minor"/>
      </rPr>
      <t>국산 파워팩 탑재 K2ME 수출 경쟁력 상승</t>
    </r>
  </si>
  <si>
    <t>4. 기타 방산사업 기여</t>
  </si>
  <si>
    <r>
      <t xml:space="preserve">- </t>
    </r>
    <r>
      <rPr>
        <b/>
        <sz val="11"/>
        <color theme="1"/>
        <rFont val="맑은 고딕"/>
        <family val="3"/>
        <charset val="129"/>
        <scheme val="minor"/>
      </rPr>
      <t>K9 자주포</t>
    </r>
    <r>
      <rPr>
        <sz val="11"/>
        <color theme="1"/>
        <rFont val="맑은 고딕"/>
        <family val="2"/>
        <charset val="129"/>
        <scheme val="minor"/>
      </rPr>
      <t xml:space="preserve">, </t>
    </r>
    <r>
      <rPr>
        <b/>
        <sz val="11"/>
        <color theme="1"/>
        <rFont val="맑은 고딕"/>
        <family val="3"/>
        <charset val="129"/>
        <scheme val="minor"/>
      </rPr>
      <t>박격포</t>
    </r>
    <r>
      <rPr>
        <sz val="11"/>
        <color theme="1"/>
        <rFont val="맑은 고딕"/>
        <family val="2"/>
        <charset val="129"/>
        <scheme val="minor"/>
      </rPr>
      <t xml:space="preserve">, </t>
    </r>
    <r>
      <rPr>
        <b/>
        <sz val="11"/>
        <color theme="1"/>
        <rFont val="맑은 고딕"/>
        <family val="3"/>
        <charset val="129"/>
        <scheme val="minor"/>
      </rPr>
      <t>LAH 기관총 시스템 등 다양한 부품 공급</t>
    </r>
  </si>
  <si>
    <r>
      <t xml:space="preserve">- 한화에어로스페이스 수출 확대에 따른 </t>
    </r>
    <r>
      <rPr>
        <b/>
        <sz val="11"/>
        <color theme="1"/>
        <rFont val="맑은 고딕"/>
        <family val="3"/>
        <charset val="129"/>
        <scheme val="minor"/>
      </rPr>
      <t>낙수효과 기대</t>
    </r>
  </si>
  <si>
    <t>1. 수출 주도 성장</t>
  </si>
  <si>
    <t>브라질·태국향 장비 및 소모품 수출 호조</t>
  </si>
  <si>
    <t>슈링크·볼뉴머 수출 증가, 특히 태국은 대형 프랜차이즈 기반 유통 확대. 브라질은 RF 시장 개척 성공</t>
  </si>
  <si>
    <t>볼뉴머 고성장</t>
  </si>
  <si>
    <t>2024년 800대 → 2025년 1,500대 이상 예상. 고판가 제품으로 장비 매출 성장 주도</t>
  </si>
  <si>
    <t>미국 시장 진출 본격화</t>
  </si>
  <si>
    <r>
      <t xml:space="preserve">2025년 Cartessa와 협업 통한 진입, RF 수요 높은 시장 구조로 </t>
    </r>
    <r>
      <rPr>
        <b/>
        <sz val="11"/>
        <color theme="1"/>
        <rFont val="맑은 고딕"/>
        <family val="3"/>
        <charset val="129"/>
        <scheme val="minor"/>
      </rPr>
      <t>빠른 확산 기대</t>
    </r>
  </si>
  <si>
    <t>2. 소모품 판매 모멘텀</t>
  </si>
  <si>
    <t>고마진 소모품 판매 확대</t>
  </si>
  <si>
    <t>장비 설치 후 1~2분기 후 본격 소모품 수요 발생, 하반기부터 반영 가속화</t>
  </si>
  <si>
    <t>소모품 성장률 &gt; 장비 성장률 (2024 기준)</t>
  </si>
  <si>
    <r>
      <t xml:space="preserve">2025년에는 장비 성장률이 더 높지만, </t>
    </r>
    <r>
      <rPr>
        <b/>
        <sz val="11"/>
        <color theme="1"/>
        <rFont val="맑은 고딕"/>
        <family val="3"/>
        <charset val="129"/>
        <scheme val="minor"/>
      </rPr>
      <t>이후 후행 소모품 수익성 반영</t>
    </r>
  </si>
  <si>
    <t>3. 이루다 인수 효과</t>
  </si>
  <si>
    <t>신제품 ‘시크릿 맥스’ 출시</t>
  </si>
  <si>
    <t>마이크로니들+모노폴라 RF 융합형 신제품 출시, 국내 프랜차이즈 중심 확산 기대</t>
  </si>
  <si>
    <t>‘리팟’ 판매 지속 확대</t>
  </si>
  <si>
    <t>이익 기여 제품, 수익성 유지 및 시술 확대 기반</t>
  </si>
  <si>
    <t>주요 모멘텀</t>
  </si>
  <si>
    <t>- 비수기임에도 브라질·태국 수출 견조</t>
  </si>
  <si>
    <t>- 볼뉴머 장비 수출 273억 / 소모품 319억</t>
  </si>
  <si>
    <t>- 이루다 ‘리팟’·신제품 시크릿 Max 일부 반영 시작</t>
  </si>
  <si>
    <t>- 성수기 진입 + 유럽 CE MDR 획득 기대</t>
  </si>
  <si>
    <t>- 미국 진출 데모 장비·키닥터 마케팅 본격화</t>
  </si>
  <si>
    <t>- 유럽향 매출 본격 반영</t>
  </si>
  <si>
    <t>- 이루다 신제품 확산, 소모품 수요 상승</t>
  </si>
  <si>
    <t>- 브라질·태국 시술 확대 기반 소모품 매출 반등</t>
  </si>
  <si>
    <t>- 소모품 매출 최고 분기 예상</t>
  </si>
  <si>
    <t>- 전 지역 장비 설치 → 소모품 후행 효과 극대화</t>
  </si>
  <si>
    <t>- 이루다 포함 연결 실적 본격화 / 연간 실적 최대</t>
  </si>
  <si>
    <t>매출 포인트</t>
  </si>
  <si>
    <t>상세 내용</t>
  </si>
  <si>
    <t>- RF 장비(볼뉴머) 수요 미충족 상태였던 브라질 시장에 빠르게 침투</t>
  </si>
  <si>
    <t>- 2024년 800대 수출 → 2025년 1,500대 이상 기대</t>
  </si>
  <si>
    <t>- 초기 교육 및 B2C 마케팅(한류스타 모델) 동시 진행</t>
  </si>
  <si>
    <r>
      <t xml:space="preserve">- RF 장비 경쟁 심한 국가이나 </t>
    </r>
    <r>
      <rPr>
        <b/>
        <sz val="11"/>
        <color theme="1"/>
        <rFont val="맑은 고딕"/>
        <family val="3"/>
        <charset val="129"/>
        <scheme val="minor"/>
      </rPr>
      <t>대형 프랜차이즈와 협업 체계 구축</t>
    </r>
  </si>
  <si>
    <t>- 초기 대량 수주 가능 + 시술 인지도 빠르게 확보</t>
  </si>
  <si>
    <t>- 성수기 효과 + B2C 마케팅 병행</t>
  </si>
  <si>
    <t>- Cartessa Aesthetic과 파트너십 체결, 미국 본격 진출</t>
  </si>
  <si>
    <t>- 비침습 RF보다 마이크로니들 RF 선호 → 볼뉴머에 기회</t>
  </si>
  <si>
    <t>- FDA 승인 확보 후 데모 장비 시연, 키닥터 마케팅 진행 중</t>
  </si>
  <si>
    <t>- 2Q25 내 CE MDR 인증 기대</t>
  </si>
  <si>
    <r>
      <t xml:space="preserve">- 3Q25부터 유럽향 매출 </t>
    </r>
    <r>
      <rPr>
        <b/>
        <sz val="11"/>
        <color theme="1"/>
        <rFont val="맑은 고딕"/>
        <family val="3"/>
        <charset val="129"/>
        <scheme val="minor"/>
      </rPr>
      <t>가시적 증가</t>
    </r>
    <r>
      <rPr>
        <sz val="11"/>
        <color theme="1"/>
        <rFont val="맑은 고딕"/>
        <family val="2"/>
        <charset val="129"/>
        <scheme val="minor"/>
      </rPr>
      <t xml:space="preserve"> 예상</t>
    </r>
  </si>
  <si>
    <t>- 울트라포머 MPT 등 제품군 다양화</t>
  </si>
  <si>
    <t>- 하반기 현지 법인 중심으로 공급 계약 본격화</t>
  </si>
  <si>
    <t>- 울트라포머 + 소모품 패키지 형태로 침투</t>
  </si>
  <si>
    <t>국내</t>
  </si>
  <si>
    <t>- 리팟 사용자 확대, 시크릿 Max 신제품 출시에 따른 매출 기대</t>
  </si>
  <si>
    <t>- 고마진 소모품 비중 유지, 내수도 영업 레버리지 기여</t>
  </si>
  <si>
    <t>이루다 신제품 + 소모품 반복 수요</t>
    <phoneticPr fontId="1" type="noConversion"/>
  </si>
  <si>
    <t>체인 클리닉 계약 확대</t>
    <phoneticPr fontId="1" type="noConversion"/>
  </si>
  <si>
    <t>CE MDR 인증 → 매출 본격화</t>
    <phoneticPr fontId="1" type="noConversion"/>
  </si>
  <si>
    <t>신규 시장 진입</t>
    <phoneticPr fontId="1" type="noConversion"/>
  </si>
  <si>
    <t>프랜차이즈 기반 확대</t>
    <phoneticPr fontId="1" type="noConversion"/>
  </si>
  <si>
    <t>RF 시장 개척 성공</t>
    <phoneticPr fontId="1" type="noConversion"/>
  </si>
  <si>
    <t>1. 클래시스</t>
    <phoneticPr fontId="1" type="noConversion"/>
  </si>
  <si>
    <t>올리지오X는 원텍의 프리미엄 RF 장비로, 브라질 유통 이슈로 중단됐던 수출이 2025년부터 재개되며 장비 + 소모품 매출이 동시에 회복되는 구간</t>
    <phoneticPr fontId="1" type="noConversion"/>
  </si>
  <si>
    <t>한국카본</t>
    <phoneticPr fontId="1" type="noConversion"/>
  </si>
  <si>
    <t>1. 실적 턴어라운드</t>
  </si>
  <si>
    <t>- 밀양공장 화재 복구 완료 후 설비 효율 개선</t>
  </si>
  <si>
    <t>- 2024년 OPM 6.1% → 2025년 11.2%, 2026년 13.0%</t>
  </si>
  <si>
    <t>2. 신규 설비 투자</t>
  </si>
  <si>
    <t>34척 → 40척 수준 SB 생산 설비 확장</t>
  </si>
  <si>
    <t>- 교환사채+전환사채 400억 조달</t>
  </si>
  <si>
    <t>- 발포 라인 교체 → 생산성 향상 및 불량률 개선</t>
  </si>
  <si>
    <t>3. 중국 조선소 수주 확대</t>
  </si>
  <si>
    <t>Mark-III 타입 SB 납품 본격화</t>
  </si>
  <si>
    <t>- 中 조선사 납품 확대 중</t>
  </si>
  <si>
    <t>- 경쟁사 대비 빠른 ‘27년 슬롯 확보 가시화</t>
  </si>
  <si>
    <t>4. 원가 안정화</t>
  </si>
  <si>
    <t>MDI 가격 안정 + 환율 우호</t>
  </si>
  <si>
    <t>- 원재료 가격 부담 완화 → 수익성 방어 효과</t>
  </si>
  <si>
    <t>2025년 실적증가</t>
    <phoneticPr fontId="1" type="noConversion"/>
  </si>
  <si>
    <r>
      <t xml:space="preserve">다음은 한화솔루션의 </t>
    </r>
    <r>
      <rPr>
        <b/>
        <sz val="11"/>
        <color theme="1"/>
        <rFont val="맑은 고딕"/>
        <family val="3"/>
        <charset val="129"/>
        <scheme val="minor"/>
      </rPr>
      <t>2025년 분기별 투자 모멘텀</t>
    </r>
    <r>
      <rPr>
        <sz val="11"/>
        <color theme="1"/>
        <rFont val="맑은 고딕"/>
        <family val="2"/>
        <charset val="129"/>
        <scheme val="minor"/>
      </rPr>
      <t>을 표로 요약한 것입니다:</t>
    </r>
  </si>
  <si>
    <t>핵심 모멘텀</t>
  </si>
  <si>
    <t>특이사항 요약</t>
  </si>
  <si>
    <t>TPO 수익 본격 반영, AMPC 수익 지속, 모듈 판가 소폭 상승, 케미칼 정기보수로 부진</t>
  </si>
  <si>
    <t>TPO 수익 첫 대규모 인식 (1,292억 원), AMPC 1,839억 원 수취</t>
  </si>
  <si>
    <t>TPO 반복 수익 안정화, AMPC 증가, 모듈 출하량 증가, 케미칼 정기보수 종료로 적자폭 축소</t>
  </si>
  <si>
    <t>미국 TPO 수요 회복, AMPC 2,000억 원대 수취 예상, 케미칼 실적 회복 시작</t>
  </si>
  <si>
    <t>태양광 성수기 진입, 재고 축소에 따른 모듈 가격 반등 본격화, TPO 누적 수익 확대</t>
  </si>
  <si>
    <t>출하량 급증 + 판가 반등, TPO/ABS 수익 누적 확대</t>
  </si>
  <si>
    <t>미국 잉곳/셀/웨이퍼 공장 가동 시작, 구조적 성장 본격화, 플랫폼 사업 확장</t>
  </si>
  <si>
    <t>IRA/DCA 요건 충족 본격화, 수직계열화 완성, 장기 수익구조 가시화</t>
  </si>
  <si>
    <t>기업</t>
  </si>
  <si>
    <t>TPO 비중</t>
  </si>
  <si>
    <t>수익원 구성</t>
  </si>
  <si>
    <t>특징</t>
  </si>
  <si>
    <t>Sunrun</t>
  </si>
  <si>
    <r>
      <t xml:space="preserve">🔴 </t>
    </r>
    <r>
      <rPr>
        <b/>
        <sz val="11"/>
        <color theme="1"/>
        <rFont val="맑은 고딕"/>
        <family val="3"/>
        <charset val="129"/>
        <scheme val="minor"/>
      </rPr>
      <t>매출의 70~80%</t>
    </r>
    <r>
      <rPr>
        <sz val="11"/>
        <color theme="1"/>
        <rFont val="맑은 고딕"/>
        <family val="2"/>
        <charset val="129"/>
        <scheme val="minor"/>
      </rPr>
      <t xml:space="preserve"> 이상</t>
    </r>
  </si>
  <si>
    <t>월 전기요금 수익 + 세액공제(ITC) + ABS 유동화</t>
  </si>
  <si>
    <t>미국 최대 TPO 사업자. 대부분 설치고객이 TPO 방식</t>
  </si>
  <si>
    <t>Sunnova</t>
  </si>
  <si>
    <r>
      <t xml:space="preserve">🔴 </t>
    </r>
    <r>
      <rPr>
        <b/>
        <sz val="11"/>
        <color theme="1"/>
        <rFont val="맑은 고딕"/>
        <family val="3"/>
        <charset val="129"/>
        <scheme val="minor"/>
      </rPr>
      <t>매출의 약 60~70%</t>
    </r>
  </si>
  <si>
    <t>PPA(전력판매계약) + 리스 + 금융 상품 수익</t>
  </si>
  <si>
    <t>금융사적 색채 강함. 자체 설치보다 제휴망 중심</t>
  </si>
  <si>
    <t>Tesla (SolarCity)</t>
  </si>
  <si>
    <t>설치 + 리스 일부 남아 있음</t>
  </si>
  <si>
    <t>TPO 축소, 직접 설치 및 Powerwall 판매로 전환 중</t>
  </si>
  <si>
    <t>SunPower</t>
  </si>
  <si>
    <t>자회사 Greenlight Financial을 통한 금융 서비스 확대 중</t>
  </si>
  <si>
    <t>현재 상황 (2024~2025)</t>
  </si>
  <si>
    <t>향후 전망 (2026~)</t>
  </si>
  <si>
    <r>
      <t xml:space="preserve">2025년 1Q 기준 첫 분기 </t>
    </r>
    <r>
      <rPr>
        <b/>
        <sz val="11"/>
        <color theme="1"/>
        <rFont val="맑은 고딕"/>
        <family val="3"/>
        <charset val="129"/>
        <scheme val="minor"/>
      </rPr>
      <t>1,292억 원 인식</t>
    </r>
  </si>
  <si>
    <r>
      <t>설치 누적됨에 따라 매 분기 증가</t>
    </r>
    <r>
      <rPr>
        <sz val="11"/>
        <color theme="1"/>
        <rFont val="맑은 고딕"/>
        <family val="2"/>
        <charset val="129"/>
        <scheme val="minor"/>
      </rPr>
      <t>, 반복 수익 자산화</t>
    </r>
  </si>
  <si>
    <t>초기 계약 기반 유동화 중심</t>
  </si>
  <si>
    <t>전력판매 장기수익 + ABS 유동화 이중 수익</t>
  </si>
  <si>
    <t>현지 제조+금융+설치 일체화는 한화가 유일</t>
  </si>
  <si>
    <r>
      <t xml:space="preserve">스케일 커질수록 </t>
    </r>
    <r>
      <rPr>
        <b/>
        <sz val="11"/>
        <color theme="1"/>
        <rFont val="맑은 고딕"/>
        <family val="3"/>
        <charset val="129"/>
        <scheme val="minor"/>
      </rPr>
      <t>수익성·마진 경쟁력 강화</t>
    </r>
  </si>
  <si>
    <t>TPO 수익</t>
    <phoneticPr fontId="1" type="noConversion"/>
  </si>
  <si>
    <t>전기판매 기반 현금흐름</t>
    <phoneticPr fontId="1" type="noConversion"/>
  </si>
  <si>
    <t>경쟁사 대비 구조 우위</t>
    <phoneticPr fontId="1" type="noConversion"/>
  </si>
  <si>
    <t>1. 전기요금이 계속 오르고 있다</t>
  </si>
  <si>
    <r>
      <t xml:space="preserve">미국은 </t>
    </r>
    <r>
      <rPr>
        <b/>
        <sz val="11"/>
        <color theme="1"/>
        <rFont val="맑은 고딕"/>
        <family val="3"/>
        <charset val="129"/>
        <scheme val="minor"/>
      </rPr>
      <t>인플레이션과 노후 인프라</t>
    </r>
    <r>
      <rPr>
        <sz val="11"/>
        <color theme="1"/>
        <rFont val="맑은 고딕"/>
        <family val="2"/>
        <charset val="129"/>
        <scheme val="minor"/>
      </rPr>
      <t xml:space="preserve">, 그리고 </t>
    </r>
    <r>
      <rPr>
        <b/>
        <sz val="11"/>
        <color theme="1"/>
        <rFont val="맑은 고딕"/>
        <family val="3"/>
        <charset val="129"/>
        <scheme val="minor"/>
      </rPr>
      <t>탄소 감축 설비 투자 비용</t>
    </r>
    <r>
      <rPr>
        <sz val="11"/>
        <color theme="1"/>
        <rFont val="맑은 고딕"/>
        <family val="2"/>
        <charset val="129"/>
        <scheme val="minor"/>
      </rPr>
      <t>이 전기요금에 전가되고 있음</t>
    </r>
  </si>
  <si>
    <r>
      <t xml:space="preserve">특히 </t>
    </r>
    <r>
      <rPr>
        <b/>
        <sz val="11"/>
        <color theme="1"/>
        <rFont val="맑은 고딕"/>
        <family val="3"/>
        <charset val="129"/>
        <scheme val="minor"/>
      </rPr>
      <t>여름 피크 시즌</t>
    </r>
    <r>
      <rPr>
        <sz val="11"/>
        <color theme="1"/>
        <rFont val="맑은 고딕"/>
        <family val="2"/>
        <charset val="129"/>
        <scheme val="minor"/>
      </rPr>
      <t xml:space="preserve">엔 전기요금이 크게 오르며, </t>
    </r>
    <r>
      <rPr>
        <b/>
        <sz val="11"/>
        <color theme="1"/>
        <rFont val="맑은 고딕"/>
        <family val="3"/>
        <charset val="129"/>
        <scheme val="minor"/>
      </rPr>
      <t>가정용 kWh당 평균 단가가 2000년대 중반 대비 50~70% 상승</t>
    </r>
  </si>
  <si>
    <r>
      <t xml:space="preserve">예: 2023년 캘리포니아 가정용 평균 전기요금은 </t>
    </r>
    <r>
      <rPr>
        <b/>
        <sz val="11"/>
        <color theme="1"/>
        <rFont val="맑은 고딕"/>
        <family val="3"/>
        <charset val="129"/>
        <scheme val="minor"/>
      </rPr>
      <t>kWh당 28~30센트</t>
    </r>
    <r>
      <rPr>
        <sz val="11"/>
        <color theme="1"/>
        <rFont val="맑은 고딕"/>
        <family val="2"/>
        <charset val="129"/>
        <scheme val="minor"/>
      </rPr>
      <t>까지 도달</t>
    </r>
  </si>
  <si>
    <t>2. 가정의 전기 수요도 증가 중</t>
  </si>
  <si>
    <r>
      <t>전기차(EV)</t>
    </r>
    <r>
      <rPr>
        <sz val="11"/>
        <color theme="1"/>
        <rFont val="맑은 고딕"/>
        <family val="2"/>
        <charset val="129"/>
        <scheme val="minor"/>
      </rPr>
      <t xml:space="preserve"> 보급 → </t>
    </r>
    <r>
      <rPr>
        <b/>
        <sz val="11"/>
        <color theme="1"/>
        <rFont val="맑은 고딕"/>
        <family val="3"/>
        <charset val="129"/>
        <scheme val="minor"/>
      </rPr>
      <t>가정용 충전</t>
    </r>
    <r>
      <rPr>
        <sz val="11"/>
        <color theme="1"/>
        <rFont val="맑은 고딕"/>
        <family val="2"/>
        <charset val="129"/>
        <scheme val="minor"/>
      </rPr>
      <t xml:space="preserve"> 필수 → 야간에도 전기 소모 큼</t>
    </r>
  </si>
  <si>
    <r>
      <t>히트펌프(전기 기반 냉난방), 전기오븐, 전기보일러</t>
    </r>
    <r>
      <rPr>
        <sz val="11"/>
        <color theme="1"/>
        <rFont val="맑은 고딕"/>
        <family val="2"/>
        <charset val="129"/>
        <scheme val="minor"/>
      </rPr>
      <t xml:space="preserve"> 등 보급 확대</t>
    </r>
  </si>
  <si>
    <r>
      <t xml:space="preserve">특히 중산층 이상은 </t>
    </r>
    <r>
      <rPr>
        <b/>
        <sz val="11"/>
        <color theme="1"/>
        <rFont val="맑은 고딕"/>
        <family val="3"/>
        <charset val="129"/>
        <scheme val="minor"/>
      </rPr>
      <t>ESG 인식 + 에너지 자립</t>
    </r>
    <r>
      <rPr>
        <sz val="11"/>
        <color theme="1"/>
        <rFont val="맑은 고딕"/>
        <family val="2"/>
        <charset val="129"/>
        <scheme val="minor"/>
      </rPr>
      <t xml:space="preserve"> 욕구로 전기 소비 늘리는 추세</t>
    </r>
  </si>
  <si>
    <t>3. TPO 모델은 이런 상황에 최적</t>
  </si>
  <si>
    <t>기존 전기요금</t>
  </si>
  <si>
    <t>TPO 기반 태양광</t>
  </si>
  <si>
    <t>점점 오름</t>
  </si>
  <si>
    <r>
      <t xml:space="preserve">보통 </t>
    </r>
    <r>
      <rPr>
        <b/>
        <sz val="11"/>
        <color theme="1"/>
        <rFont val="맑은 고딕"/>
        <family val="3"/>
        <charset val="129"/>
        <scheme val="minor"/>
      </rPr>
      <t>지역 전력 대비 10~20% 저렴</t>
    </r>
  </si>
  <si>
    <t>변동 요금제</t>
  </si>
  <si>
    <t>고정 요금제 or 낮은 변동성</t>
  </si>
  <si>
    <t>전력망 의존</t>
  </si>
  <si>
    <t>일부 자가발전으로 비용 절감</t>
  </si>
  <si>
    <t>없음</t>
  </si>
  <si>
    <t>없음 (설치비는 TPO 제공자가 부담)</t>
  </si>
  <si>
    <t>월 요금</t>
    <phoneticPr fontId="1" type="noConversion"/>
  </si>
  <si>
    <t xml:space="preserve"> 계약 방식</t>
    <phoneticPr fontId="1" type="noConversion"/>
  </si>
  <si>
    <t>수요 대응</t>
    <phoneticPr fontId="1" type="noConversion"/>
  </si>
  <si>
    <t>설치 비용</t>
    <phoneticPr fontId="1" type="noConversion"/>
  </si>
  <si>
    <t>한화(Enfin 포함)</t>
  </si>
  <si>
    <t>경쟁사(Sunrun, Sunnova 등)</t>
  </si>
  <si>
    <t>미국 현지에서 자체 생산 (IRA 보조금 직접 수혜)</t>
  </si>
  <si>
    <t>대부분 외부 조달, 보조금 적용 어려움</t>
  </si>
  <si>
    <t>자체 금융 플랫폼(ABS, 리스) 보유</t>
  </si>
  <si>
    <t>금융 전문성은 있으나 생산력 없음</t>
  </si>
  <si>
    <t>현지 네트워크 기반의 시공 체계</t>
  </si>
  <si>
    <t>외주 또는 제휴 계약 기반</t>
  </si>
  <si>
    <t>직접 수령 가능 → 고수익</t>
  </si>
  <si>
    <t>간접 수혜 혹은 적용 불가</t>
  </si>
  <si>
    <t>한화는 제조-시공-운영-금융까지 일괄</t>
  </si>
  <si>
    <t>경쟁사들은 제조·보급·운영 분리되어 효율 낮음</t>
  </si>
  <si>
    <t>모듈 제조</t>
    <phoneticPr fontId="1" type="noConversion"/>
  </si>
  <si>
    <t>금융 서비스</t>
    <phoneticPr fontId="1" type="noConversion"/>
  </si>
  <si>
    <t>시공 능력</t>
    <phoneticPr fontId="1" type="noConversion"/>
  </si>
  <si>
    <t>세액공제(AMPC/ITC)</t>
    <phoneticPr fontId="1" type="noConversion"/>
  </si>
  <si>
    <t>TPO 수직계열화</t>
    <phoneticPr fontId="1" type="noConversion"/>
  </si>
  <si>
    <r>
      <rPr>
        <b/>
        <sz val="11"/>
        <color theme="1"/>
        <rFont val="맑은 고딕"/>
        <family val="3"/>
        <charset val="129"/>
        <scheme val="minor"/>
      </rPr>
      <t>제조 → 금융 → 시공까지 모두 자체 수행 가능</t>
    </r>
    <r>
      <rPr>
        <sz val="11"/>
        <color theme="1"/>
        <rFont val="맑은 고딕"/>
        <family val="2"/>
        <charset val="129"/>
        <scheme val="minor"/>
      </rPr>
      <t>한 구조 덕분에 다음과 같은 차별점이 있습니다:</t>
    </r>
    <phoneticPr fontId="1" type="noConversion"/>
  </si>
  <si>
    <t>"고객이 태양광 설비를 소유하지 않고, 설치 및 유지보수를 제3자(한화큐셀의 자회사 ‘Enfin’)가 담당하며 전기를 사용하는 계약 구조"</t>
  </si>
  <si>
    <t>구성요소:</t>
  </si>
  <si>
    <t>설치비용은 고객이 부담하지 않음</t>
  </si>
  <si>
    <r>
      <t xml:space="preserve">한화큐셀 미국 자회사 </t>
    </r>
    <r>
      <rPr>
        <b/>
        <sz val="10"/>
        <color theme="1"/>
        <rFont val="Arial Unicode MS"/>
        <family val="2"/>
      </rPr>
      <t>Enfin</t>
    </r>
    <r>
      <rPr>
        <b/>
        <sz val="11"/>
        <color theme="1"/>
        <rFont val="맑은 고딕"/>
        <family val="3"/>
        <charset val="129"/>
        <scheme val="minor"/>
      </rPr>
      <t>이 설비 소유자</t>
    </r>
  </si>
  <si>
    <r>
      <t xml:space="preserve">고객은 일정 기간 </t>
    </r>
    <r>
      <rPr>
        <b/>
        <sz val="11"/>
        <color theme="1"/>
        <rFont val="맑은 고딕"/>
        <family val="3"/>
        <charset val="129"/>
        <scheme val="minor"/>
      </rPr>
      <t>매달 전기요금을 지불</t>
    </r>
  </si>
  <si>
    <r>
      <t xml:space="preserve">해당 전기요금은 </t>
    </r>
    <r>
      <rPr>
        <b/>
        <sz val="11"/>
        <color theme="1"/>
        <rFont val="맑은 고딕"/>
        <family val="3"/>
        <charset val="129"/>
        <scheme val="minor"/>
      </rPr>
      <t>장기계약 기반 현금흐름</t>
    </r>
    <r>
      <rPr>
        <sz val="11"/>
        <color theme="1"/>
        <rFont val="맑은 고딕"/>
        <family val="2"/>
        <charset val="129"/>
        <scheme val="minor"/>
      </rPr>
      <t xml:space="preserve"> → 자산화 가능</t>
    </r>
  </si>
  <si>
    <r>
      <t xml:space="preserve">이 계약을 바탕으로 </t>
    </r>
    <r>
      <rPr>
        <b/>
        <sz val="11"/>
        <color theme="1"/>
        <rFont val="맑은 고딕"/>
        <family val="3"/>
        <charset val="129"/>
        <scheme val="minor"/>
      </rPr>
      <t>ABS(자산유동화증권) 발행</t>
    </r>
    <r>
      <rPr>
        <sz val="11"/>
        <color theme="1"/>
        <rFont val="맑은 고딕"/>
        <family val="2"/>
        <charset val="129"/>
        <scheme val="minor"/>
      </rPr>
      <t xml:space="preserve"> → 유동성 확보</t>
    </r>
  </si>
  <si>
    <t>TPO</t>
    <phoneticPr fontId="1" type="noConversion"/>
  </si>
  <si>
    <t>구조</t>
  </si>
  <si>
    <r>
      <t xml:space="preserve">고객은 일반 전기요금처럼 </t>
    </r>
    <r>
      <rPr>
        <b/>
        <sz val="11"/>
        <color theme="1"/>
        <rFont val="맑은 고딕"/>
        <family val="3"/>
        <charset val="129"/>
        <scheme val="minor"/>
      </rPr>
      <t>매월 요금을 납부</t>
    </r>
    <r>
      <rPr>
        <sz val="11"/>
        <color theme="1"/>
        <rFont val="맑은 고딕"/>
        <family val="2"/>
        <charset val="129"/>
        <scheme val="minor"/>
      </rPr>
      <t>, 계약기간은 10~25년</t>
    </r>
  </si>
  <si>
    <r>
      <t xml:space="preserve">미래 전기요금을 기반으로 </t>
    </r>
    <r>
      <rPr>
        <b/>
        <sz val="11"/>
        <color theme="1"/>
        <rFont val="맑은 고딕"/>
        <family val="3"/>
        <charset val="129"/>
        <scheme val="minor"/>
      </rPr>
      <t>분기별 반복적으로 ABS 발행</t>
    </r>
    <r>
      <rPr>
        <sz val="11"/>
        <color theme="1"/>
        <rFont val="맑은 고딕"/>
        <family val="2"/>
        <charset val="129"/>
        <scheme val="minor"/>
      </rPr>
      <t xml:space="preserve"> → 수익 실현</t>
    </r>
  </si>
  <si>
    <r>
      <t xml:space="preserve">설치가 누적될수록 </t>
    </r>
    <r>
      <rPr>
        <b/>
        <sz val="11"/>
        <color theme="1"/>
        <rFont val="맑은 고딕"/>
        <family val="3"/>
        <charset val="129"/>
        <scheme val="minor"/>
      </rPr>
      <t>전기요금 기반 수익 자산</t>
    </r>
    <r>
      <rPr>
        <sz val="11"/>
        <color theme="1"/>
        <rFont val="맑은 고딕"/>
        <family val="2"/>
        <charset val="129"/>
        <scheme val="minor"/>
      </rPr>
      <t xml:space="preserve">이 계속 쌓임 → </t>
    </r>
    <r>
      <rPr>
        <b/>
        <sz val="11"/>
        <color theme="1"/>
        <rFont val="맑은 고딕"/>
        <family val="3"/>
        <charset val="129"/>
        <scheme val="minor"/>
      </rPr>
      <t>수익 구조가 선형 증가</t>
    </r>
  </si>
  <si>
    <r>
      <t xml:space="preserve">단순 제조/판매가 아니라 금융사업 + 플랫폼 수익으로 </t>
    </r>
    <r>
      <rPr>
        <b/>
        <sz val="11"/>
        <color theme="1"/>
        <rFont val="맑은 고딕"/>
        <family val="3"/>
        <charset val="129"/>
        <scheme val="minor"/>
      </rPr>
      <t>지속적이고 예측 가능한 반복 수익</t>
    </r>
    <r>
      <rPr>
        <sz val="11"/>
        <color theme="1"/>
        <rFont val="맑은 고딕"/>
        <family val="2"/>
        <charset val="129"/>
        <scheme val="minor"/>
      </rPr>
      <t xml:space="preserve"> 구조 확보</t>
    </r>
  </si>
  <si>
    <t>TPO 수익은 정기적으로 반복</t>
    <phoneticPr fontId="1" type="noConversion"/>
  </si>
  <si>
    <r>
      <t xml:space="preserve"> </t>
    </r>
    <r>
      <rPr>
        <b/>
        <sz val="11"/>
        <color theme="1"/>
        <rFont val="맑은 고딕"/>
        <family val="3"/>
        <charset val="129"/>
        <scheme val="minor"/>
      </rPr>
      <t>장기 계약 기반 전력판매</t>
    </r>
    <phoneticPr fontId="1" type="noConversion"/>
  </si>
  <si>
    <t>ABS 유동화 수익</t>
    <phoneticPr fontId="1" type="noConversion"/>
  </si>
  <si>
    <t>TPO 설치 확대</t>
    <phoneticPr fontId="1" type="noConversion"/>
  </si>
  <si>
    <t>금융 + 설치 + 운영 통합 모델</t>
    <phoneticPr fontId="1" type="noConversion"/>
  </si>
  <si>
    <t>1. TPO (Third Party Ownership)</t>
  </si>
  <si>
    <r>
      <t>개념</t>
    </r>
    <r>
      <rPr>
        <sz val="11"/>
        <color theme="1"/>
        <rFont val="맑은 고딕"/>
        <family val="2"/>
        <charset val="129"/>
        <scheme val="minor"/>
      </rPr>
      <t>: 고객이 태양광 설비를 소유하지 않고, 한화가 설치 및 유지보수를 담당하며 전기를 사용하는 계약 구조입니다.</t>
    </r>
  </si>
  <si>
    <r>
      <t>수익 구조</t>
    </r>
    <r>
      <rPr>
        <sz val="11"/>
        <color theme="1"/>
        <rFont val="맑은 고딕"/>
        <family val="2"/>
        <charset val="129"/>
        <scheme val="minor"/>
      </rPr>
      <t>: 고객은 초기 비용 없이 태양광을 설치하고, 한화는 매월 전기요금을 수취합니다. 이러한 장기 계약을 통해 안정적인 반복 수익을 창출하며, 자산유동화(ABS)를 통해 자금을 조달할 수 있습니다.</t>
    </r>
  </si>
  <si>
    <t>2. Loan 서비스</t>
  </si>
  <si>
    <r>
      <t>개념</t>
    </r>
    <r>
      <rPr>
        <sz val="11"/>
        <color theme="1"/>
        <rFont val="맑은 고딕"/>
        <family val="2"/>
        <charset val="129"/>
        <scheme val="minor"/>
      </rPr>
      <t>: 고객이 태양광 설비 설치를 위해 자금을 빌릴 수 있도록 금융 서비스를 제공합니다.</t>
    </r>
  </si>
  <si>
    <r>
      <t>수익 구조</t>
    </r>
    <r>
      <rPr>
        <sz val="11"/>
        <color theme="1"/>
        <rFont val="맑은 고딕"/>
        <family val="2"/>
        <charset val="129"/>
        <scheme val="minor"/>
      </rPr>
      <t>: 한화는 금융 수수료 및 이자 수익을 확보하며, 고객은 초기 투자 부담을 줄일 수 있습니다.</t>
    </r>
  </si>
  <si>
    <t>3. ESS (Energy Storage System) 결합 상품</t>
  </si>
  <si>
    <r>
      <t>개념</t>
    </r>
    <r>
      <rPr>
        <sz val="11"/>
        <color theme="1"/>
        <rFont val="맑은 고딕"/>
        <family val="2"/>
        <charset val="129"/>
        <scheme val="minor"/>
      </rPr>
      <t>: 태양광 모듈과 에너지 저장 시스템을 결합한 통합 솔루션을 제공합니다.</t>
    </r>
  </si>
  <si>
    <r>
      <t>수익 구조</t>
    </r>
    <r>
      <rPr>
        <sz val="11"/>
        <color theme="1"/>
        <rFont val="맑은 고딕"/>
        <family val="2"/>
        <charset val="129"/>
        <scheme val="minor"/>
      </rPr>
      <t>: 에너지 저장을 통해 전력 사용의 효율성을 높이고, 피크 시간대 전력 사용을 줄여 전기요금을 절감할 수 있습니다.</t>
    </r>
  </si>
  <si>
    <t>4. EMS (Energy Management System)</t>
  </si>
  <si>
    <r>
      <t>개념</t>
    </r>
    <r>
      <rPr>
        <sz val="11"/>
        <color theme="1"/>
        <rFont val="맑은 고딕"/>
        <family val="2"/>
        <charset val="129"/>
        <scheme val="minor"/>
      </rPr>
      <t>: 에너지 사용을 실시간으로 모니터링하고 제어할 수 있는 소프트웨어 서비스를 제공합니다.</t>
    </r>
  </si>
  <si>
    <r>
      <t>수익 구조</t>
    </r>
    <r>
      <rPr>
        <sz val="11"/>
        <color theme="1"/>
        <rFont val="맑은 고딕"/>
        <family val="2"/>
        <charset val="129"/>
        <scheme val="minor"/>
      </rPr>
      <t>: 고객은 에너지 소비를 최적화하여 비용을 절감하고, 한화는 소프트웨어 사용료를 수취합니다.</t>
    </r>
  </si>
  <si>
    <t>5. ABS (Asset-Backed Securities) 유동화</t>
  </si>
  <si>
    <r>
      <t>개념</t>
    </r>
    <r>
      <rPr>
        <sz val="11"/>
        <color theme="1"/>
        <rFont val="맑은 고딕"/>
        <family val="2"/>
        <charset val="129"/>
        <scheme val="minor"/>
      </rPr>
      <t>: TPO 및 Loan 계약에서 발생하는 미래 현금 흐름을 기반으로 자산유동화증권을 발행하여 자금을 조달합니다.</t>
    </r>
  </si>
  <si>
    <r>
      <t>수익 구조</t>
    </r>
    <r>
      <rPr>
        <sz val="11"/>
        <color theme="1"/>
        <rFont val="맑은 고딕"/>
        <family val="2"/>
        <charset val="129"/>
        <scheme val="minor"/>
      </rPr>
      <t>: 한화는 초기 설치 비용을 회수하고, 투자자에게는 안정적인 수익을 제공합니다.</t>
    </r>
  </si>
  <si>
    <t xml:space="preserve"> 과거에는 높았으나 현재 비중 축소</t>
    <phoneticPr fontId="1" type="noConversion"/>
  </si>
  <si>
    <t>일부 채택 (리스/PPA 병행)</t>
    <phoneticPr fontId="1" type="noConversion"/>
  </si>
  <si>
    <t xml:space="preserve">한화큐셀 주택용 모듈 점유율 1위 </t>
    <phoneticPr fontId="1" type="noConversion"/>
  </si>
  <si>
    <t>1분기</t>
  </si>
  <si>
    <t>실적 반영</t>
  </si>
  <si>
    <t>- 전남 해상풍력 1단지 시공 완료</t>
  </si>
  <si>
    <t>- 자회사 LS빌드윈 연결 반영으로 외형 성장</t>
  </si>
  <si>
    <t>2분기</t>
  </si>
  <si>
    <t>수주 가시화</t>
  </si>
  <si>
    <t>- 안마 해상풍력(532MW) 본계약 체결 가능성</t>
  </si>
  <si>
    <t>- 서해안 HVDC 프로젝트 입찰 기대</t>
  </si>
  <si>
    <t>3분기</t>
  </si>
  <si>
    <t>설비 투자</t>
  </si>
  <si>
    <t>- 태안 해상풍력(500MW) 수주 기대</t>
  </si>
  <si>
    <t>4분기</t>
  </si>
  <si>
    <t>공사 준비</t>
  </si>
  <si>
    <t>- 해상풍력 대형 프로젝트 시공 준비 본격화</t>
  </si>
  <si>
    <t>- 2026년 실적에 반영될 수주 확보 가능성</t>
  </si>
  <si>
    <t>LS마린솔루션</t>
    <phoneticPr fontId="1" type="noConversion"/>
  </si>
  <si>
    <t>GL2030의 주요 특징</t>
  </si>
  <si>
    <r>
      <t>선박 유형</t>
    </r>
    <r>
      <rPr>
        <sz val="11"/>
        <color theme="1"/>
        <rFont val="맑은 고딕"/>
        <family val="2"/>
        <charset val="129"/>
        <scheme val="minor"/>
      </rPr>
      <t>: 자체 추진 기능이 없는 바지선 형태의 해저 케이블 포설선</t>
    </r>
  </si>
  <si>
    <r>
      <t>적재 용량</t>
    </r>
    <r>
      <rPr>
        <sz val="11"/>
        <color theme="1"/>
        <rFont val="맑은 고딕"/>
        <family val="2"/>
        <charset val="129"/>
        <scheme val="minor"/>
      </rPr>
      <t>: 기존 4,000톤에서 7,000톤으로 확대 개조 중</t>
    </r>
  </si>
  <si>
    <r>
      <t>주요 장비</t>
    </r>
    <r>
      <rPr>
        <sz val="11"/>
        <color theme="1"/>
        <rFont val="맑은 고딕"/>
        <family val="2"/>
        <charset val="129"/>
        <scheme val="minor"/>
      </rPr>
      <t>: 케이블 저장 및 관리 장비인 캐러셀(Carousel)</t>
    </r>
  </si>
  <si>
    <r>
      <t>적용 분야</t>
    </r>
    <r>
      <rPr>
        <sz val="11"/>
        <color theme="1"/>
        <rFont val="맑은 고딕"/>
        <family val="2"/>
        <charset val="129"/>
        <scheme val="minor"/>
      </rPr>
      <t>: 해상풍력 발전단지 및 해저 전력망 구축을 위한 해저 케이블 포설</t>
    </r>
  </si>
  <si>
    <r>
      <t xml:space="preserve">안마(532MW), 태안(500MW) 해상풍력 프로젝트의 </t>
    </r>
    <r>
      <rPr>
        <b/>
        <sz val="11"/>
        <color theme="1"/>
        <rFont val="맑은 고딕"/>
        <family val="3"/>
        <charset val="129"/>
        <scheme val="minor"/>
      </rPr>
      <t>본계약 또는 수주 시점</t>
    </r>
    <r>
      <rPr>
        <sz val="11"/>
        <color theme="1"/>
        <rFont val="맑은 고딕"/>
        <family val="2"/>
        <charset val="129"/>
        <scheme val="minor"/>
      </rPr>
      <t xml:space="preserve">은 다음 기준들을 통해 </t>
    </r>
    <r>
      <rPr>
        <b/>
        <sz val="11"/>
        <color theme="1"/>
        <rFont val="맑은 고딕"/>
        <family val="3"/>
        <charset val="129"/>
        <scheme val="minor"/>
      </rPr>
      <t>예측</t>
    </r>
    <r>
      <rPr>
        <sz val="11"/>
        <color theme="1"/>
        <rFont val="맑은 고딕"/>
        <family val="2"/>
        <charset val="129"/>
        <scheme val="minor"/>
      </rPr>
      <t>할 수 있습니다:</t>
    </r>
  </si>
  <si>
    <t>✅ 1. 공식 발표 기준 — “우선협상대상자 선정 시점”</t>
  </si>
  <si>
    <t>안마 해상풍력</t>
  </si>
  <si>
    <r>
      <t xml:space="preserve">: 2023~2024년 중 LS마린솔루션은 </t>
    </r>
    <r>
      <rPr>
        <b/>
        <sz val="11"/>
        <color theme="1"/>
        <rFont val="맑은 고딕"/>
        <family val="3"/>
        <charset val="129"/>
        <scheme val="minor"/>
      </rPr>
      <t>우선협상대상자</t>
    </r>
    <r>
      <rPr>
        <sz val="11"/>
        <color theme="1"/>
        <rFont val="맑은 고딕"/>
        <family val="2"/>
        <charset val="129"/>
        <scheme val="minor"/>
      </rPr>
      <t>로 선정</t>
    </r>
  </si>
  <si>
    <r>
      <t xml:space="preserve">: 통상적으로 </t>
    </r>
    <r>
      <rPr>
        <b/>
        <sz val="11"/>
        <color theme="1"/>
        <rFont val="맑은 고딕"/>
        <family val="3"/>
        <charset val="129"/>
        <scheme val="minor"/>
      </rPr>
      <t>우선협상 → 계약 체결까지 1~2년</t>
    </r>
    <r>
      <rPr>
        <sz val="11"/>
        <color theme="1"/>
        <rFont val="맑은 고딕"/>
        <family val="2"/>
        <charset val="129"/>
        <scheme val="minor"/>
      </rPr>
      <t xml:space="preserve"> 소요됨</t>
    </r>
  </si>
  <si>
    <r>
      <t xml:space="preserve">→ ▶ </t>
    </r>
    <r>
      <rPr>
        <b/>
        <sz val="11"/>
        <color theme="1"/>
        <rFont val="맑은 고딕"/>
        <family val="3"/>
        <charset val="129"/>
        <scheme val="minor"/>
      </rPr>
      <t>2025년 상반기 본계약 체결 예상</t>
    </r>
    <r>
      <rPr>
        <sz val="11"/>
        <color theme="1"/>
        <rFont val="맑은 고딕"/>
        <family val="2"/>
        <charset val="129"/>
        <scheme val="minor"/>
      </rPr>
      <t xml:space="preserve"> (SK증권, 하나증권 등 리포트 공통)</t>
    </r>
  </si>
  <si>
    <t>태안 해상풍력</t>
  </si>
  <si>
    <r>
      <t xml:space="preserve">: 안마보다 </t>
    </r>
    <r>
      <rPr>
        <b/>
        <sz val="11"/>
        <color theme="1"/>
        <rFont val="맑은 고딕"/>
        <family val="3"/>
        <charset val="129"/>
        <scheme val="minor"/>
      </rPr>
      <t>후순위 사업</t>
    </r>
    <r>
      <rPr>
        <sz val="11"/>
        <color theme="1"/>
        <rFont val="맑은 고딕"/>
        <family val="2"/>
        <charset val="129"/>
        <scheme val="minor"/>
      </rPr>
      <t>으로 진행</t>
    </r>
  </si>
  <si>
    <r>
      <t xml:space="preserve">: ▶ </t>
    </r>
    <r>
      <rPr>
        <b/>
        <sz val="11"/>
        <color theme="1"/>
        <rFont val="맑은 고딕"/>
        <family val="3"/>
        <charset val="129"/>
        <scheme val="minor"/>
      </rPr>
      <t>2025년 하반기 본계약 체결 전망</t>
    </r>
  </si>
  <si>
    <t>✅ 2. 정책 드라이브</t>
  </si>
  <si>
    <r>
      <t>해상풍력 특별법(2024년 말 통과)</t>
    </r>
    <r>
      <rPr>
        <sz val="11"/>
        <color theme="1"/>
        <rFont val="맑은 고딕"/>
        <family val="2"/>
        <charset val="129"/>
        <scheme val="minor"/>
      </rPr>
      <t xml:space="preserve"> 이후,</t>
    </r>
  </si>
  <si>
    <t>프로젝트 인허가, 입찰, 계약 프로세스가 단축되는 구조로 개편됨</t>
  </si>
  <si>
    <t>특히 산업부/해수부 공동 TF가 대형 프로젝트 조기 착공을 **'2025년부터 본격화'**로 공표함</t>
  </si>
  <si>
    <t>✅ 3. 비교 가능한 과거 사례</t>
  </si>
  <si>
    <t>우선협상 ~ 계약 소요기간</t>
  </si>
  <si>
    <t>전남 해상풍력 1단지(96MW)</t>
  </si>
  <si>
    <t>약 1.5년</t>
  </si>
  <si>
    <t>2022 협상 개시 → 2023 착공</t>
  </si>
  <si>
    <t>제주 해상풍력(약 100MW)</t>
  </si>
  <si>
    <t>약 2년</t>
  </si>
  <si>
    <t>인허가 지연 반영</t>
  </si>
  <si>
    <r>
      <t xml:space="preserve">안마·태안은 모두 </t>
    </r>
    <r>
      <rPr>
        <b/>
        <sz val="11"/>
        <color theme="1"/>
        <rFont val="맑은 고딕"/>
        <family val="3"/>
        <charset val="129"/>
        <scheme val="minor"/>
      </rPr>
      <t>중앙정부가 지정한 전략 사업지구</t>
    </r>
    <r>
      <rPr>
        <sz val="11"/>
        <color theme="1"/>
        <rFont val="맑은 고딕"/>
        <family val="2"/>
        <charset val="129"/>
        <scheme val="minor"/>
      </rPr>
      <t>이므로 과거보다 더 빠른 일정이 적용될 수 있음</t>
    </r>
  </si>
  <si>
    <t>📌 결론</t>
  </si>
  <si>
    <t>프로젝트</t>
  </si>
  <si>
    <t>계약 시점 전망</t>
  </si>
  <si>
    <t>착공 시점 예상</t>
  </si>
  <si>
    <t>안마 (532MW)</t>
  </si>
  <si>
    <t>실적 정체 속 구조적 성장 기반</t>
  </si>
  <si>
    <t>- 정기보수 영향으로 실적은 전년 대비 정체</t>
  </si>
  <si>
    <t>- 구리 가격 상승 반영</t>
  </si>
  <si>
    <t>- LS전선·LS일렉트릭 수익성 개선 시작</t>
  </si>
  <si>
    <t>- 북미향 매출 비중 증가 본격화</t>
  </si>
  <si>
    <t>북미 투자 본격화</t>
  </si>
  <si>
    <t>- LS전선 美 버지니아 해저케이블 공장 착공</t>
  </si>
  <si>
    <t>- LS일렉트릭: 북미 빅테크 데이터센터향 배전반 납품 본격화</t>
  </si>
  <si>
    <t>- LS MnM: 정기보수 종료 후 정상화</t>
  </si>
  <si>
    <t>수익성 개선 및 투자성과 반영</t>
  </si>
  <si>
    <t>- 북미 전력케이블 및 부스덕트 매출 증가</t>
  </si>
  <si>
    <t>- LS MnM 수익성 일시적 반등</t>
  </si>
  <si>
    <t>- LS아이앤디 미국 전력권선(Copper Transmission Coil) 수요 증가</t>
  </si>
  <si>
    <t>실적 회복 마무리 및 2026년 도약 준비</t>
  </si>
  <si>
    <t>- LS전선, LS일렉트릭 수익성 정점 예상</t>
  </si>
  <si>
    <t>- LS MnM 추가 수주 가능성</t>
  </si>
  <si>
    <t>- 그룹 차원 배당 확대와 ROE 목표(8%) 정책 반영 기대</t>
  </si>
  <si>
    <t>수익성 회복 개시</t>
  </si>
  <si>
    <t>- 유럽 인증비용 부담 해소</t>
  </si>
  <si>
    <t>- 해저케이블/배전케이블 수익성 정상화</t>
  </si>
  <si>
    <t>- 북미향 매출 점진적 증가 시작</t>
  </si>
  <si>
    <t>미국 해저케이블 공장 착공</t>
  </si>
  <si>
    <t>- 美 버지니아 해저케이블 공장 본격 착공</t>
  </si>
  <si>
    <t>- IRA 보조금 승인 완료 (1,400억 규모)</t>
  </si>
  <si>
    <t>- 가온전선 포함 북미 전력망용 제품 수주 증가</t>
  </si>
  <si>
    <t>수주잔고 반영 본격화</t>
  </si>
  <si>
    <t>- 북미 부스덕트(데이터센터용 전력라인) 수주 본격 반영</t>
  </si>
  <si>
    <t>- 배전망/변전소용 케이블 납품 증가</t>
  </si>
  <si>
    <t>- 유럽·동남아 등 해외 대형 수주 논의 확대</t>
  </si>
  <si>
    <t>실적 피크아웃 대비 고도화</t>
  </si>
  <si>
    <t>- 고수익성 사업 비중 확대 (해저+배전 중심)</t>
  </si>
  <si>
    <t>- 동해 공장 수출 재개 준비 (2026년 실적 연결 목표)</t>
  </si>
  <si>
    <t>- 전선가 상승 가능성에 따른 판가전가율 점검</t>
  </si>
  <si>
    <t>생산은 2026년 부터</t>
    <phoneticPr fontId="1" type="noConversion"/>
  </si>
  <si>
    <t>LS</t>
    <phoneticPr fontId="1" type="noConversion"/>
  </si>
  <si>
    <r>
      <t xml:space="preserve">부스덕트 = </t>
    </r>
    <r>
      <rPr>
        <b/>
        <sz val="11"/>
        <color theme="1"/>
        <rFont val="맑은 고딕"/>
        <family val="3"/>
        <charset val="129"/>
        <scheme val="minor"/>
      </rPr>
      <t>전기를 안정적·효율적으로 분배하는 전력라인</t>
    </r>
  </si>
  <si>
    <r>
      <t xml:space="preserve">북미 부스덕트 시장 = </t>
    </r>
    <r>
      <rPr>
        <b/>
        <sz val="11"/>
        <color theme="1"/>
        <rFont val="맑은 고딕"/>
        <family val="3"/>
        <charset val="129"/>
        <scheme val="minor"/>
      </rPr>
      <t>데이터센터·첨단공장 기반 고성장 인프라 투자 수혜처</t>
    </r>
  </si>
  <si>
    <t>LS전선</t>
    <phoneticPr fontId="1" type="noConversion"/>
  </si>
  <si>
    <r>
      <rPr>
        <sz val="11"/>
        <color theme="1"/>
        <rFont val="맑은 고딕"/>
        <family val="3"/>
        <charset val="129"/>
        <scheme val="minor"/>
      </rPr>
      <t xml:space="preserve"> </t>
    </r>
    <r>
      <rPr>
        <sz val="11"/>
        <color theme="1"/>
        <rFont val="맑은 고딕"/>
        <family val="2"/>
        <charset val="129"/>
        <scheme val="minor"/>
      </rPr>
      <t>- GL2030 적재 중량 업그레이드 착수 (7,000톤급으로 확장, 기존</t>
    </r>
    <r>
      <rPr>
        <sz val="11"/>
        <color theme="1"/>
        <rFont val="맑은 고딕"/>
        <family val="3"/>
        <charset val="129"/>
        <scheme val="minor"/>
      </rPr>
      <t xml:space="preserve"> 4천톤</t>
    </r>
    <phoneticPr fontId="1" type="noConversion"/>
  </si>
  <si>
    <t>- HRSG 약 3,600억 + 원전 BOP 약 1,000억 포함, 총 4,600억 이상 수주</t>
  </si>
  <si>
    <t>- 필리핀 석탄 보일러 수주 5,177억 포함 시, 1분기 누적 1.2조원</t>
  </si>
  <si>
    <t>- 사우디 HRSG(루마2·나이리야2) 수주 인식 일부 시작</t>
  </si>
  <si>
    <t>- 신한울 3·4호기 BOP 매출 2Q~3Q부터 연간 300억 수준 인식 시작</t>
  </si>
  <si>
    <t>- 일본·동남아 등 추가 HRSG 계약 협상 중</t>
  </si>
  <si>
    <t>- 사우디 '루마2 &amp; 나이리야2', '라빅2' HRSG 매출 본격 반영</t>
  </si>
  <si>
    <t>- 원전 BOP 매출과 함께 전사 실적 성장 본격화</t>
  </si>
  <si>
    <t>- HRSG·BOP 모두 생산 정상화, 원가율 개선</t>
  </si>
  <si>
    <t>- 사우디·동남아 중심 추가 수주 가능성 보유</t>
  </si>
  <si>
    <t>- 스마트 SMR·CASK 등 신사업 BOP 다변화 기대</t>
  </si>
  <si>
    <t>대규모 신규 수주 달성</t>
    <phoneticPr fontId="1" type="noConversion"/>
  </si>
  <si>
    <t>해외 프로젝트 매출 본격 반영</t>
    <phoneticPr fontId="1" type="noConversion"/>
  </si>
  <si>
    <t>수익성 고점 형성 및 추가 수주 기대</t>
    <phoneticPr fontId="1" type="noConversion"/>
  </si>
  <si>
    <t>비에이치아이</t>
    <phoneticPr fontId="1" type="noConversion"/>
  </si>
  <si>
    <t>특성</t>
  </si>
  <si>
    <t>1Q</t>
  </si>
  <si>
    <t>HRSG 중심</t>
  </si>
  <si>
    <t>원가율 높고 물량 중심 성장</t>
  </si>
  <si>
    <t>2Q</t>
  </si>
  <si>
    <t>HRSG + BOP 소량</t>
  </si>
  <si>
    <t>마진이 개선되기 시작</t>
  </si>
  <si>
    <t>3Q</t>
  </si>
  <si>
    <t>HRSG + BOP 본격화</t>
  </si>
  <si>
    <t>수익성 분기 고점 형성 가능</t>
  </si>
  <si>
    <t>4Q</t>
  </si>
  <si>
    <t>HRSG + 추가 원전 공급</t>
  </si>
  <si>
    <t>전년 대비 강한 YoY 성장</t>
  </si>
  <si>
    <r>
      <t>HRSG + BOP</t>
    </r>
    <r>
      <rPr>
        <sz val="11"/>
        <color theme="1"/>
        <rFont val="맑은 고딕"/>
        <family val="2"/>
        <charset val="129"/>
        <scheme val="minor"/>
      </rPr>
      <t xml:space="preserve"> 투트랙으로 실적 구조가 단단해지는 것이 2025년</t>
    </r>
  </si>
  <si>
    <t>기</t>
  </si>
  <si>
    <t>신규 수주 확대 및 수주잔고 증가</t>
  </si>
  <si>
    <t>북미 LNG 프로젝트 본격화</t>
  </si>
  <si>
    <t>중동 지역 수주 확대 및 생산능력 증대</t>
  </si>
  <si>
    <t>실적 반영 및 수익성 개선</t>
  </si>
  <si>
    <t>베크텔 에너지와 약 719억 원 규모의 에어쿨러 공급계약 체결
미국 내 LNG 프로젝트 재개에 따른 수주 확대 기대감 증가</t>
    <phoneticPr fontId="1" type="noConversion"/>
  </si>
  <si>
    <t>미국 Driftwood LNG, Rio Grande LNG 등 주요 프로젝트의 기자재 발주 시작
AI 데이터 센터 건설로 인한 전력 수요 증가에 따른 LNG 수요 확대</t>
    <phoneticPr fontId="1" type="noConversion"/>
  </si>
  <si>
    <t>사우디 아람코와의 전략적 장기조달 구매협약을 통한 안정적인 수주 확보
사우디 담맘 공장 2차 증설 완료로 생산능력 3배 증가</t>
    <phoneticPr fontId="1" type="noConversion"/>
  </si>
  <si>
    <t>상반기 수주분의 매출 인식 시작으로 실적 본격 반영, 고정비 레버리지 효과로 수익성 급등 구조 형성</t>
    <phoneticPr fontId="1" type="noConversion"/>
  </si>
  <si>
    <t>확정된 주요 모멘텀</t>
  </si>
  <si>
    <t>- 2025년 3월, 미국 AAAAI 학회(알레르기 천식 면역학회) 발표 완료</t>
  </si>
  <si>
    <t>- 만성 특발성 두드러기 환자 대상 완전반응률(UAS7=0) 50% 기록</t>
  </si>
  <si>
    <t>- 기존 약물 졸레어 대비 3배 이상의 유효성 입증</t>
  </si>
  <si>
    <t>기타 상시</t>
  </si>
  <si>
    <t>- 유한양행: GI-301 글로벌 권리 (일본 제외) 보유</t>
  </si>
  <si>
    <t>- 마루호(일본): 일본 내 상업화 전용 실시권 확보</t>
  </si>
  <si>
    <t>→ 현재 모두 유효 계약 상태, 단계적 개발 진행 중</t>
  </si>
  <si>
    <t>GI-301 임상 1b상 데이터 발표</t>
    <phoneticPr fontId="1" type="noConversion"/>
  </si>
  <si>
    <t>기술이전 계약 2건 유효 진행 중</t>
    <phoneticPr fontId="1" type="noConversion"/>
  </si>
  <si>
    <t>지아이이노베이션</t>
    <phoneticPr fontId="1" type="noConversion"/>
  </si>
  <si>
    <t>기대 요인</t>
  </si>
  <si>
    <t>① GI-301 추가 기술이전(LO)</t>
  </si>
  <si>
    <t>- 1b상 데이터 발표 후 글로벌 제약사 대상 협의 중</t>
  </si>
  <si>
    <r>
      <t xml:space="preserve">- 기존 유한양행·마루호 외, </t>
    </r>
    <r>
      <rPr>
        <b/>
        <sz val="11"/>
        <color theme="1"/>
        <rFont val="맑은 고딕"/>
        <family val="3"/>
        <charset val="129"/>
        <scheme val="minor"/>
      </rPr>
      <t>북미/유럽 지역 대상 2차 LO 기대감</t>
    </r>
    <r>
      <rPr>
        <sz val="11"/>
        <color theme="1"/>
        <rFont val="맑은 고딕"/>
        <family val="2"/>
        <charset val="129"/>
        <scheme val="minor"/>
      </rPr>
      <t xml:space="preserve"> 높음</t>
    </r>
  </si>
  <si>
    <t>② GI-301 2상 진입 및 중간 데이터 발표</t>
  </si>
  <si>
    <t>- 유한양행 주도 하에 글로벌 임상 2상 설계 중</t>
  </si>
  <si>
    <r>
      <t xml:space="preserve">- </t>
    </r>
    <r>
      <rPr>
        <b/>
        <sz val="11"/>
        <color theme="1"/>
        <rFont val="맑은 고딕"/>
        <family val="3"/>
        <charset val="129"/>
        <scheme val="minor"/>
      </rPr>
      <t>2025년 하반기 중간 결과 도출 가능성</t>
    </r>
    <r>
      <rPr>
        <sz val="11"/>
        <color theme="1"/>
        <rFont val="맑은 고딕"/>
        <family val="2"/>
        <charset val="129"/>
        <scheme val="minor"/>
      </rPr>
      <t>, LO 판단 근거로 작용할 수 있음</t>
    </r>
  </si>
  <si>
    <t>③ GI-101/102 병용 임상 설계 및 개시</t>
  </si>
  <si>
    <r>
      <t xml:space="preserve">- GI-101: 면역항암제 단독 효능에 더해 </t>
    </r>
    <r>
      <rPr>
        <b/>
        <sz val="11"/>
        <color theme="1"/>
        <rFont val="맑은 고딕"/>
        <family val="3"/>
        <charset val="129"/>
        <scheme val="minor"/>
      </rPr>
      <t>ADC(항체약물접합체)와 병용투여 전략 부각</t>
    </r>
  </si>
  <si>
    <t>- GI-102: 2025년 중 병용임상 설계 완료 및 임상 진입 기대</t>
  </si>
  <si>
    <t>지아이이노베이션은 GI-101A와 키트루다 병용요법 1/2상 최종 결과를 6월 열리는 미국 임상종양학회(ASCO 2025)에서 발표할 계획</t>
  </si>
  <si>
    <t>https://www.thebell.co.kr/free/content/ArticleView.asp?key=202501101127555640103766</t>
  </si>
  <si>
    <t>정밀감속기 수주 확대 기반 마련</t>
  </si>
  <si>
    <t>- SH/SR 감속기 전용 라인 가동 안정화</t>
  </si>
  <si>
    <t>- 레인보우로보틱스, 삼성전자향 공급 지속</t>
  </si>
  <si>
    <t>- 고객사 주문형 커스터마이징 수요 증가</t>
  </si>
  <si>
    <t>로봇용 액추에이터 모듈 매출 반영 개시</t>
  </si>
  <si>
    <r>
      <t xml:space="preserve">- 감속기 + 모터 + 엔코더 통합형 </t>
    </r>
    <r>
      <rPr>
        <b/>
        <sz val="11"/>
        <color theme="1"/>
        <rFont val="맑은 고딕"/>
        <family val="3"/>
        <charset val="129"/>
        <scheme val="minor"/>
      </rPr>
      <t>모듈형 제품 매출화 시작</t>
    </r>
  </si>
  <si>
    <t>- 휴머노이드/보행로봇에 적용 사례 구체화</t>
  </si>
  <si>
    <t>정밀감속기 본격 수익 반영</t>
  </si>
  <si>
    <t>로봇 부품 다변화 &amp; 글로벌 고객 확장</t>
  </si>
  <si>
    <t>- 국내 로봇기업 외 해외 신규 고객사 공급 추진</t>
  </si>
  <si>
    <t>- 교체 수요(overhaul) 및 수리시장 수요 진입 확대</t>
  </si>
  <si>
    <t>로봇에서 원가는 감속기가 높음 약 34%</t>
    <phoneticPr fontId="1" type="noConversion"/>
  </si>
  <si>
    <t>에스피지는 감속기 3종(SH, SR, 유성)을 모두 생산 가능한 국내 유일 업체</t>
    <phoneticPr fontId="1" type="noConversion"/>
  </si>
  <si>
    <t>① 사업 구조</t>
  </si>
  <si>
    <r>
      <t xml:space="preserve">AC/DC/BLDC 모터 + 정밀감속기 + 액추에이터 모듈을 모두 생산하는 </t>
    </r>
    <r>
      <rPr>
        <b/>
        <sz val="11"/>
        <color theme="1"/>
        <rFont val="맑은 고딕"/>
        <family val="3"/>
        <charset val="129"/>
        <scheme val="minor"/>
      </rPr>
      <t>기어드 모터 기반 종합 부품사</t>
    </r>
  </si>
  <si>
    <t>② 모멘텀 중심</t>
  </si>
  <si>
    <r>
      <t xml:space="preserve">기존 안정적 모터 매출 외에, </t>
    </r>
    <r>
      <rPr>
        <b/>
        <sz val="11"/>
        <color theme="1"/>
        <rFont val="맑은 고딕"/>
        <family val="3"/>
        <charset val="129"/>
        <scheme val="minor"/>
      </rPr>
      <t>정밀감속기·액추에이터</t>
    </r>
    <r>
      <rPr>
        <sz val="11"/>
        <color theme="1"/>
        <rFont val="맑은 고딕"/>
        <family val="2"/>
        <charset val="129"/>
        <scheme val="minor"/>
      </rPr>
      <t xml:space="preserve"> 등 로봇 핵심부품 매출 본격 확대 중</t>
    </r>
  </si>
  <si>
    <t>③ 로봇 부품 확대</t>
  </si>
  <si>
    <t>레인보우로보틱스 협동로봇, 삼성 보행로봇 등에 적용</t>
  </si>
  <si>
    <r>
      <t xml:space="preserve">→ </t>
    </r>
    <r>
      <rPr>
        <b/>
        <sz val="11"/>
        <color theme="1"/>
        <rFont val="맑은 고딕"/>
        <family val="3"/>
        <charset val="129"/>
        <scheme val="minor"/>
      </rPr>
      <t>SH/SR/유성 감속기 전 제품군 생산 가능</t>
    </r>
  </si>
  <si>
    <t>④ 수익성 전환</t>
  </si>
  <si>
    <r>
      <t xml:space="preserve">정밀감속기 부문이 2025년부터 </t>
    </r>
    <r>
      <rPr>
        <b/>
        <sz val="11"/>
        <color theme="1"/>
        <rFont val="맑은 고딕"/>
        <family val="3"/>
        <charset val="129"/>
        <scheme val="minor"/>
      </rPr>
      <t>BE(P손익분기점) 돌파 → 수익에 기여</t>
    </r>
    <r>
      <rPr>
        <sz val="11"/>
        <color theme="1"/>
        <rFont val="맑은 고딕"/>
        <family val="2"/>
        <charset val="129"/>
        <scheme val="minor"/>
      </rPr>
      <t xml:space="preserve"> 시작</t>
    </r>
  </si>
  <si>
    <t>⑤ 구조적 성장성</t>
  </si>
  <si>
    <t>로봇·물류자동화·의료·2차전지 장비·디스플레이 등 적용 산업 확장 중</t>
  </si>
  <si>
    <r>
      <t xml:space="preserve">→ </t>
    </r>
    <r>
      <rPr>
        <b/>
        <sz val="11"/>
        <color theme="1"/>
        <rFont val="맑은 고딕"/>
        <family val="3"/>
        <charset val="129"/>
        <scheme val="minor"/>
      </rPr>
      <t>중장기 매출 확대 여지 큼</t>
    </r>
  </si>
  <si>
    <t>⑥ 해외 매출 비중</t>
  </si>
  <si>
    <t>약 77%로 글로벌 공급 역량 보유 (미국·중국 중심)</t>
  </si>
  <si>
    <t>유형</t>
  </si>
  <si>
    <t>적용 예시</t>
  </si>
  <si>
    <t>하모닉(Harmonic Drive)</t>
  </si>
  <si>
    <t>정밀도 최고, 크기 작고 무게 가벼움</t>
  </si>
  <si>
    <t>협동로봇, 정밀작업 로봇</t>
  </si>
  <si>
    <t>사이클로이드(Cycloid)</t>
  </si>
  <si>
    <t>고토크, 내구성 우수</t>
  </si>
  <si>
    <t>산업용 대형 로봇, AGV</t>
  </si>
  <si>
    <t>유성(Planetary)</t>
  </si>
  <si>
    <t>범용성 좋고 가격 낮음</t>
  </si>
  <si>
    <t>의료 로봇, 물류 로봇 등 보급형</t>
  </si>
  <si>
    <t>감속기 부문 실직적 분기 이익 기여 시작 예상</t>
    <phoneticPr fontId="1" type="noConversion"/>
  </si>
  <si>
    <t>아티스트 활동 공백기 → 기저 효과</t>
  </si>
  <si>
    <t>- BTS 및 주요 아티스트 활동 부재로 영업이익률 4.3%에 그침</t>
  </si>
  <si>
    <t>- 엔하이픈·보이넥스트도어 중심의 소규모 공연만 진행</t>
  </si>
  <si>
    <t>- 위버스 MAU 정체 구간</t>
  </si>
  <si>
    <t>제이홉 월드투어, 진 앨범 발매</t>
  </si>
  <si>
    <t>- BTS 멤버 중 제이홉 활동 본격화</t>
  </si>
  <si>
    <t>- 진의 솔로 앨범 발매 예정</t>
  </si>
  <si>
    <t>신인 아티스트 데뷔 + 글로벌 오디션</t>
  </si>
  <si>
    <t>- HYBE America 신인 보이그룹 데뷔</t>
  </si>
  <si>
    <t>- 저연차 아티스트(보넥도, 르세라핌) 월드투어 본격화</t>
  </si>
  <si>
    <t>BTS 완전체 활동 예고 + 위버스 수익화</t>
  </si>
  <si>
    <t>- BTS 완전체 앨범 발매 및 2026 투어 예고 시점</t>
  </si>
  <si>
    <t>- 콘텐츠 매출 및 MD 판매 성수기 진입</t>
  </si>
  <si>
    <t>- 위버스 신규 서비스 수익화 반영, MAU 반등</t>
  </si>
  <si>
    <t>- 세븐틴·엔하이픈 북미 스타디움 투어 확대 가능성</t>
  </si>
  <si>
    <t>- 라틴아메리카 오디션 방송(6월~) 진행 성과 반영</t>
  </si>
  <si>
    <t>하이브</t>
    <phoneticPr fontId="1" type="noConversion"/>
  </si>
  <si>
    <t>제이브이엠</t>
    <phoneticPr fontId="1" type="noConversion"/>
  </si>
  <si>
    <t>① 북미 시장 진출 본격화</t>
  </si>
  <si>
    <t>북미 약국 시장의 주류인 Vial(병 포장) 방식 조제 시장에 진출. 기존 파우치형 위주에서 신제품 '카운트메이트' 출시로 북미 매출 확대 기반 확보.</t>
  </si>
  <si>
    <t>② 글로벌 약국 자동화 시장 확대</t>
  </si>
  <si>
    <t>고령화, 인건비 상승, 정확성 요구 증가로 약국 자동화 수요 구조적 증가. 북미는 전 세계 시장의 50% 이상을 차지.</t>
  </si>
  <si>
    <t>③ 메니스(MENITH) 고성장</t>
  </si>
  <si>
    <t>로봇팔 기반의 차세대 조제기 '메니스', 북미, 유럽, 호주로 수출 확장 중. 단가가 높아 수익성 기여도 큼.</t>
  </si>
  <si>
    <t>④ 글로벌 유통망 확장</t>
  </si>
  <si>
    <t>북미: 맥케슨 오토메이션과 파트너십. 유럽, 호주: 조제공장형 약국 증가에 따른 장비 수요 확대.</t>
  </si>
  <si>
    <t>⑤ 제품 포트폴리오 확장</t>
  </si>
  <si>
    <t>ATDPS(파우치형), 카운트메이트(Vial형), 메니스(로봇형), DOB(블리스터형), 인티팜(병원용 약품 캐비닛)까지 다양한 조제 환경 대응 가능.</t>
  </si>
  <si>
    <t>에스피지</t>
    <phoneticPr fontId="1" type="noConversion"/>
  </si>
  <si>
    <t>비에이치아이</t>
    <phoneticPr fontId="1" type="noConversion"/>
  </si>
  <si>
    <t>방산 수출 비중 급증, 흑자 기반 확보</t>
  </si>
  <si>
    <t>- 천궁-II MFR, 폴란드 K2 포함 레이더 수출 본격화</t>
  </si>
  <si>
    <t>- 연결 기준 영업이익률 두 자릿수 접근</t>
  </si>
  <si>
    <t>- 필리조선소 실적도 전년 대비 대폭 개선</t>
  </si>
  <si>
    <t>미국 조선업 정책 모멘텀 + 신규 수주 기대</t>
  </si>
  <si>
    <t>- 4월 트럼프 ‘미국 조선업 재건 행정명령’ 서명</t>
  </si>
  <si>
    <t>- SHIPS Act 법안 2025년 내 통과 가능성 부각</t>
  </si>
  <si>
    <t>- 중동향 추가 방산 수출 계약 기대</t>
  </si>
  <si>
    <t>수주잔고 확대, 실적 레버리지 강화</t>
  </si>
  <si>
    <t>- L-SAM·천궁·MFR 등 국내외 양산 프로젝트 진행</t>
  </si>
  <si>
    <r>
      <t xml:space="preserve">- 수주잔고 1조 원 이상 유지하며 </t>
    </r>
    <r>
      <rPr>
        <b/>
        <sz val="11"/>
        <color theme="1"/>
        <rFont val="맑은 고딕"/>
        <family val="3"/>
        <charset val="129"/>
        <scheme val="minor"/>
      </rPr>
      <t>분기 매출 탄력 확대</t>
    </r>
  </si>
  <si>
    <t>완전한 수익성 전환 + 선박 MRO/건조 수주</t>
  </si>
  <si>
    <t>- 필리조선소의 건조·MRO 수주 가시화 가능성</t>
  </si>
  <si>
    <t>- SHIPS Act 통과 시 미국 해운조달 정책에 따른 직접 수혜</t>
  </si>
  <si>
    <t>- 해외 방산/해양 복합기업으로의 실질적 전환기</t>
  </si>
  <si>
    <t>발표일 (한국시간)</t>
  </si>
  <si>
    <t>리밸런싱일</t>
  </si>
  <si>
    <t>지수 반영일</t>
  </si>
  <si>
    <t>2월</t>
  </si>
  <si>
    <t>2월 12일 (수)</t>
  </si>
  <si>
    <t>2월 28일 (금)</t>
  </si>
  <si>
    <t>3월 3일 (월)</t>
  </si>
  <si>
    <t>5월 14일 (수)</t>
  </si>
  <si>
    <t>5월 30일 (금)</t>
  </si>
  <si>
    <t>6월 2일 (월)</t>
  </si>
  <si>
    <t>8월</t>
  </si>
  <si>
    <t>8월 13일 (수)</t>
  </si>
  <si>
    <t>8월 29일 (금)</t>
  </si>
  <si>
    <t>9월 1일 (월)</t>
  </si>
  <si>
    <t>11월</t>
  </si>
  <si>
    <t>11월 6일 (목)</t>
  </si>
  <si>
    <t>11월 24일 (월)</t>
  </si>
  <si>
    <t>11월 25일 (화)</t>
  </si>
  <si>
    <t>수급이 계속 발생할 수 있으면 리밸런싱이후도 좋다</t>
    <phoneticPr fontId="1" type="noConversion"/>
  </si>
  <si>
    <t>보통을 차기 변경일전에 매수를 하고 발표 한달전이 젤 수익률 평균적으로 좋더라</t>
    <phoneticPr fontId="1" type="noConversion"/>
  </si>
  <si>
    <t>6월 정기변경</t>
  </si>
  <si>
    <t>12월 정기변경</t>
  </si>
  <si>
    <t>심사기간</t>
  </si>
  <si>
    <t>전년도 11월 1일 ~ 당해 4월 30일</t>
  </si>
  <si>
    <t>당해 5월 1일 ~ 10월 31일</t>
  </si>
  <si>
    <t>5월 말 ~ 6월 초</t>
  </si>
  <si>
    <t>11월 말 ~ 12월 초</t>
  </si>
  <si>
    <t>변경 기준일</t>
  </si>
  <si>
    <t>6월 선물옵션 동시만기일 (6월 둘째 목요일)</t>
  </si>
  <si>
    <t>12월 선물옵션 동시만기일 (12월 둘째 목요일)</t>
  </si>
  <si>
    <t>변경 기준일 다음 거래일 (금요일)</t>
  </si>
  <si>
    <t>어닝 서프라이즈, 수주 이연 반영</t>
  </si>
  <si>
    <t>- 영업이익 전년비 10배 이상 증가</t>
  </si>
  <si>
    <t>- 작년 4Q에서 이연된 국내 조선사향 보냉재 + 경쟁사 스왑 계약 물량 반영</t>
  </si>
  <si>
    <t>- LNGC 약 2척 물량 효과 추정</t>
  </si>
  <si>
    <t>LNG 보냉재 본수주 지속 확대</t>
  </si>
  <si>
    <t>- 북미 LNG 프로젝트 증가에 따른 LNGC 발주 확대</t>
  </si>
  <si>
    <t>- 환율 안정 및 원재료(MDI 등) 가격 하락 → 원가율 개선 전망</t>
  </si>
  <si>
    <t>- 2Q 영업이익률 12%대 전망</t>
  </si>
  <si>
    <t>정규 수주 매출화 + 중국 대응 경쟁 심화</t>
  </si>
  <si>
    <t>- LNGC 수주 본격 반영으로 매출 증가</t>
  </si>
  <si>
    <t>- 중국 Jiangsu Yoke가 소화 못하는 물량 일부 수주 가능성 부각</t>
  </si>
  <si>
    <t>- 영업이익률 12% 중반대 유지 예상</t>
  </si>
  <si>
    <t>고마진 프로젝트 본격 반영 + 연간 고점</t>
  </si>
  <si>
    <t>- 연간 6천억 원 이상 수주 예상 → 수주잔고 1조 원 돌파 가능성</t>
  </si>
  <si>
    <t>- 영업이익률 13% 근접하며 연간 실적 고점 분기 될 전망</t>
  </si>
  <si>
    <t>- 2026년 물량까지 연계 수주 가시화</t>
  </si>
  <si>
    <t>MSCI</t>
    <phoneticPr fontId="1" type="noConversion"/>
  </si>
  <si>
    <t>코스피 200</t>
    <phoneticPr fontId="1" type="noConversion"/>
  </si>
  <si>
    <t>lig넥스원</t>
    <phoneticPr fontId="1" type="noConversion"/>
  </si>
  <si>
    <t>3달전 매수 1달전 매도</t>
    <phoneticPr fontId="1" type="noConversion"/>
  </si>
  <si>
    <t>✅ 한국전력 주가와 변수 간 주간 기준 상관관계</t>
  </si>
  <si>
    <t>변수 간 관계</t>
  </si>
  <si>
    <t>상관계수 (주간 수익률 기준)</t>
  </si>
  <si>
    <t>해석</t>
  </si>
  <si>
    <t>KEPCO vs 원/달러 환율</t>
  </si>
  <si>
    <t>약한 음의 상관관계 (미미한 수준)</t>
  </si>
  <si>
    <t>KEPCO vs 국제유가(WTI)</t>
  </si>
  <si>
    <t>사실상 무관 (영향 거의 없음)</t>
  </si>
  <si>
    <t>📌 비교 요약 (일간 vs 주간)</t>
  </si>
  <si>
    <t>변수</t>
  </si>
  <si>
    <t>일간 상관관계</t>
  </si>
  <si>
    <t>주간 상관관계</t>
  </si>
  <si>
    <t>차이점</t>
  </si>
  <si>
    <t>원/달러 ↔ KEPCO</t>
  </si>
  <si>
    <t>일간에서는 더 뚜렷한 음의 관계, 주간에선 약해짐</t>
  </si>
  <si>
    <t>유가 ↔ KEPCO</t>
  </si>
  <si>
    <t>둘 다 사실상 무관</t>
  </si>
  <si>
    <r>
      <t>일간 기준</t>
    </r>
    <r>
      <rPr>
        <sz val="11"/>
        <color theme="1"/>
        <rFont val="맑은 고딕"/>
        <family val="2"/>
        <charset val="129"/>
        <scheme val="minor"/>
      </rPr>
      <t xml:space="preserve">: 원/달러 환율이 하락할 때 </t>
    </r>
    <r>
      <rPr>
        <b/>
        <sz val="11"/>
        <color theme="1"/>
        <rFont val="맑은 고딕"/>
        <family val="3"/>
        <charset val="129"/>
        <scheme val="minor"/>
      </rPr>
      <t>즉각적으로 KEPCO 주가에 긍정적인 반응</t>
    </r>
    <r>
      <rPr>
        <sz val="11"/>
        <color theme="1"/>
        <rFont val="맑은 고딕"/>
        <family val="2"/>
        <charset val="129"/>
        <scheme val="minor"/>
      </rPr>
      <t>을 보이는 경향</t>
    </r>
  </si>
  <si>
    <r>
      <t>주간 기준</t>
    </r>
    <r>
      <rPr>
        <sz val="11"/>
        <color theme="1"/>
        <rFont val="맑은 고딕"/>
        <family val="2"/>
        <charset val="129"/>
        <scheme val="minor"/>
      </rPr>
      <t xml:space="preserve">: 이런 관계는 </t>
    </r>
    <r>
      <rPr>
        <b/>
        <sz val="11"/>
        <color theme="1"/>
        <rFont val="맑은 고딕"/>
        <family val="3"/>
        <charset val="129"/>
        <scheme val="minor"/>
      </rPr>
      <t>희석되며 통계적으로 뚜렷하지 않음</t>
    </r>
  </si>
  <si>
    <r>
      <t xml:space="preserve">즉, </t>
    </r>
    <r>
      <rPr>
        <b/>
        <sz val="11"/>
        <color theme="1"/>
        <rFont val="맑은 고딕"/>
        <family val="3"/>
        <charset val="129"/>
        <scheme val="minor"/>
      </rPr>
      <t>한전은 단기적으로 환율 민감하지만, 중장기 흐름은 전력요금 정책, 실적, 정부 조치 등 구조적 요인이 더 크게 작용</t>
    </r>
    <r>
      <rPr>
        <sz val="11"/>
        <color theme="1"/>
        <rFont val="맑은 고딕"/>
        <family val="2"/>
        <charset val="129"/>
        <scheme val="minor"/>
      </rPr>
      <t>함</t>
    </r>
  </si>
  <si>
    <t>✅ 원/달러와 유가가 동시에 하락할 때 vs 원/달러만 하락할 때</t>
  </si>
  <si>
    <t>한국전력 주가 주간 수익률 (평균)</t>
  </si>
  <si>
    <t>① 원/달러 ↓ &amp; 유가 ↓</t>
  </si>
  <si>
    <t>② 원/달러 ↓ &amp; 유가 ↑ 또는 보합</t>
  </si>
  <si>
    <r>
      <t>두 변수(원/달러, 유가)가 동시에 하락할 때</t>
    </r>
    <r>
      <rPr>
        <sz val="11"/>
        <color theme="1"/>
        <rFont val="맑은 고딕"/>
        <family val="2"/>
        <charset val="129"/>
        <scheme val="minor"/>
      </rPr>
      <t>,</t>
    </r>
  </si>
  <si>
    <r>
      <t xml:space="preserve">→ </t>
    </r>
    <r>
      <rPr>
        <b/>
        <sz val="11"/>
        <color theme="1"/>
        <rFont val="맑은 고딕"/>
        <family val="3"/>
        <charset val="129"/>
        <scheme val="minor"/>
      </rPr>
      <t>한전 주가는 더 강하게 상승</t>
    </r>
    <r>
      <rPr>
        <sz val="11"/>
        <color theme="1"/>
        <rFont val="맑은 고딕"/>
        <family val="2"/>
        <charset val="129"/>
        <scheme val="minor"/>
      </rPr>
      <t>하는 경향이 있습니다.</t>
    </r>
  </si>
  <si>
    <r>
      <t xml:space="preserve">즉, </t>
    </r>
    <r>
      <rPr>
        <b/>
        <sz val="11"/>
        <color theme="1"/>
        <rFont val="맑은 고딕"/>
        <family val="3"/>
        <charset val="129"/>
        <scheme val="minor"/>
      </rPr>
      <t>유가 하락은 보조적이지만, 원/달러 하락과 함께일 경우 시너지를 내는 효과</t>
    </r>
    <r>
      <rPr>
        <sz val="11"/>
        <color theme="1"/>
        <rFont val="맑은 고딕"/>
        <family val="2"/>
        <charset val="129"/>
        <scheme val="minor"/>
      </rPr>
      <t>가 있습니다.</t>
    </r>
  </si>
  <si>
    <r>
      <t xml:space="preserve">반면, </t>
    </r>
    <r>
      <rPr>
        <b/>
        <sz val="11"/>
        <color theme="1"/>
        <rFont val="맑은 고딕"/>
        <family val="3"/>
        <charset val="129"/>
        <scheme val="minor"/>
      </rPr>
      <t>유가가 떨어지지 않으면</t>
    </r>
    <r>
      <rPr>
        <sz val="11"/>
        <color theme="1"/>
        <rFont val="맑은 고딕"/>
        <family val="2"/>
        <charset val="129"/>
        <scheme val="minor"/>
      </rPr>
      <t xml:space="preserve"> 원/달러 하락 효과도 일부 제한될 수 있습니다.</t>
    </r>
  </si>
  <si>
    <t>5월</t>
    <phoneticPr fontId="1" type="noConversion"/>
  </si>
  <si>
    <t>BOP 매출 인식 시작 &amp; 신규 수주 지속</t>
    <phoneticPr fontId="1" type="noConversion"/>
  </si>
  <si>
    <t>필러 수출 호조, 역대 최대 이익률</t>
  </si>
  <si>
    <t>- 브라질 필러 수출 +97% 증가 (59억 원)</t>
  </si>
  <si>
    <t>- 중국 필러 수출은 NMPA 갱신 지연으로 부진</t>
  </si>
  <si>
    <t>- 필러 수출 비중 23%, GPM 50%로 사상 최대</t>
  </si>
  <si>
    <t>- 영업이익률 28% (OPM YoY +2%p)</t>
  </si>
  <si>
    <t>태국 필러 신규 반영 + 중국 회복</t>
  </si>
  <si>
    <t>- 태국 필러 제품 1Q 품목허가 완료 → 2Q부터 매출 반영</t>
  </si>
  <si>
    <t>- 중국 필러 수출 5월부터 정상화 시작</t>
  </si>
  <si>
    <t>- 브라질 수출은 유통망 확장으로 점진 증가 전망</t>
  </si>
  <si>
    <t>브라질 바디필러 등 신규 품목 기대</t>
  </si>
  <si>
    <r>
      <t xml:space="preserve">- </t>
    </r>
    <r>
      <rPr>
        <b/>
        <sz val="11"/>
        <color theme="1"/>
        <rFont val="맑은 고딕"/>
        <family val="3"/>
        <charset val="129"/>
        <scheme val="minor"/>
      </rPr>
      <t>브라질 바디필러 품목허가 기대</t>
    </r>
  </si>
  <si>
    <t>- 베트남 안면필러도 허가 가능성 있음</t>
  </si>
  <si>
    <t>글로벌 수출 정점 + 연간 고점</t>
  </si>
  <si>
    <t>- 브라질 바디필러 수출 본격 반영 가능성</t>
  </si>
  <si>
    <t>- 수출 비중 29%까지 증가 예상</t>
  </si>
  <si>
    <t>휴메딕스</t>
    <phoneticPr fontId="1" type="noConversion"/>
  </si>
  <si>
    <t>일반 안면 필러</t>
  </si>
  <si>
    <t>바디필러</t>
  </si>
  <si>
    <t>1회 시술당 사용량</t>
  </si>
  <si>
    <r>
      <t xml:space="preserve">보통 </t>
    </r>
    <r>
      <rPr>
        <b/>
        <sz val="11"/>
        <color theme="1"/>
        <rFont val="맑은 고딕"/>
        <family val="3"/>
        <charset val="129"/>
        <scheme val="minor"/>
      </rPr>
      <t>1~2cc</t>
    </r>
    <r>
      <rPr>
        <sz val="11"/>
        <color theme="1"/>
        <rFont val="맑은 고딕"/>
        <family val="2"/>
        <charset val="129"/>
        <scheme val="minor"/>
      </rPr>
      <t xml:space="preserve"> (최대 5cc 내외)</t>
    </r>
  </si>
  <si>
    <r>
      <t xml:space="preserve">보통 </t>
    </r>
    <r>
      <rPr>
        <b/>
        <sz val="11"/>
        <color theme="1"/>
        <rFont val="맑은 고딕"/>
        <family val="3"/>
        <charset val="129"/>
        <scheme val="minor"/>
      </rPr>
      <t>10~30cc 이상</t>
    </r>
    <r>
      <rPr>
        <sz val="11"/>
        <color theme="1"/>
        <rFont val="맑은 고딕"/>
        <family val="2"/>
        <charset val="129"/>
        <scheme val="minor"/>
      </rPr>
      <t xml:space="preserve">, 일부 부위는 </t>
    </r>
    <r>
      <rPr>
        <b/>
        <sz val="11"/>
        <color theme="1"/>
        <rFont val="맑은 고딕"/>
        <family val="3"/>
        <charset val="129"/>
        <scheme val="minor"/>
      </rPr>
      <t>50cc 이상</t>
    </r>
    <r>
      <rPr>
        <sz val="11"/>
        <color theme="1"/>
        <rFont val="맑은 고딕"/>
        <family val="2"/>
        <charset val="129"/>
        <scheme val="minor"/>
      </rPr>
      <t>도 가능</t>
    </r>
  </si>
  <si>
    <t>주요 시술 부위</t>
  </si>
  <si>
    <t>팔자주름, 입술, 콧대, 이마 등 얼굴</t>
  </si>
  <si>
    <t>엉덩이, 가슴, 종아리, 어깨, 고관절 등 대용량 볼륨 부위</t>
  </si>
  <si>
    <t>필러 성상</t>
  </si>
  <si>
    <t>점성이 낮고 주입이 부드러움</t>
  </si>
  <si>
    <r>
      <t>고점도·고탄성 제품</t>
    </r>
    <r>
      <rPr>
        <sz val="11"/>
        <color theme="1"/>
        <rFont val="맑은 고딕"/>
        <family val="2"/>
        <charset val="129"/>
        <scheme val="minor"/>
      </rPr>
      <t>, 체적 유지력이 중요</t>
    </r>
  </si>
  <si>
    <t>주입 방식</t>
  </si>
  <si>
    <t>얇은 바늘(27G~30G) 사용</t>
  </si>
  <si>
    <r>
      <t>캐뉼라(22G 이하)</t>
    </r>
    <r>
      <rPr>
        <sz val="11"/>
        <color theme="1"/>
        <rFont val="맑은 고딕"/>
        <family val="2"/>
        <charset val="129"/>
        <scheme val="minor"/>
      </rPr>
      <t xml:space="preserve"> 또는 특수 주사기 사용</t>
    </r>
  </si>
  <si>
    <t>요약 내용</t>
  </si>
  <si>
    <t>1. 비은행 부문 이익 비중 확대</t>
  </si>
  <si>
    <r>
      <t xml:space="preserve">- 2025년 1분기 기준 비은행 이익 기여도 </t>
    </r>
    <r>
      <rPr>
        <b/>
        <sz val="11"/>
        <color theme="1"/>
        <rFont val="맑은 고딕"/>
        <family val="3"/>
        <charset val="129"/>
        <scheme val="minor"/>
      </rPr>
      <t>42%</t>
    </r>
    <r>
      <rPr>
        <sz val="11"/>
        <color theme="1"/>
        <rFont val="맑은 고딕"/>
        <family val="2"/>
        <charset val="129"/>
        <scheme val="minor"/>
      </rPr>
      <t xml:space="preserve"> 유지</t>
    </r>
  </si>
  <si>
    <t>- 손해보험·증권·카드 등 비은행 계열사 이익 견조</t>
  </si>
  <si>
    <t>→ 경기 민감도 낮은 사업 비중 확대는 구조적 장점</t>
  </si>
  <si>
    <t>2. 1분기 실적 호조</t>
  </si>
  <si>
    <t>- 1Q25 순이익 1.7조 원 (YoY +61.8%) → 시장 기대 상회</t>
  </si>
  <si>
    <t>- 일회성 손실 소멸 + 충당금 부담 완화</t>
  </si>
  <si>
    <t>- 그룹 ROE 13.04% 기록</t>
  </si>
  <si>
    <t>3. 추가 주주환원 가능성</t>
  </si>
  <si>
    <t>- CET1 비율 13.67% (1Q25 기준)로 업계 최고 수준</t>
  </si>
  <si>
    <t>- 상반기 4천억 원 환원 시행(배당 1천억 + 자사주 3천억)</t>
  </si>
  <si>
    <r>
      <t xml:space="preserve">- 하반기에도 </t>
    </r>
    <r>
      <rPr>
        <b/>
        <sz val="11"/>
        <color theme="1"/>
        <rFont val="맑은 고딕"/>
        <family val="3"/>
        <charset val="129"/>
        <scheme val="minor"/>
      </rPr>
      <t>초과자본 활용한 추가 환원</t>
    </r>
    <r>
      <rPr>
        <sz val="11"/>
        <color theme="1"/>
        <rFont val="맑은 고딕"/>
        <family val="2"/>
        <charset val="129"/>
        <scheme val="minor"/>
      </rPr>
      <t xml:space="preserve"> 예상</t>
    </r>
  </si>
  <si>
    <t>4. 배당 매력</t>
  </si>
  <si>
    <t>- 분기 DPS 913원으로 전분기 대비 +13.6% 상승</t>
  </si>
  <si>
    <t>- 연간 배당수익률 4%대 중반 예상</t>
  </si>
  <si>
    <t>5. 외국인 수급 유리</t>
  </si>
  <si>
    <t>- 업계 1위 위상 + 자본비율 안정성 → 외인 수급 우위</t>
  </si>
  <si>
    <t>- 환율 안정화 시 더 유리한 포지셔닝 가능성</t>
  </si>
  <si>
    <t>6. 구조적 성장 모멘텀</t>
  </si>
  <si>
    <t>- 대출 성장률 6% 예상, 자산 증가율 5% 내외 유지</t>
  </si>
  <si>
    <t>- 이자이익 + 비이자이익 동반 성장 구조</t>
  </si>
  <si>
    <t>KB금융</t>
    <phoneticPr fontId="1" type="noConversion"/>
  </si>
  <si>
    <t>삼성증권</t>
    <phoneticPr fontId="1" type="noConversion"/>
  </si>
  <si>
    <t>1. 수익구조 안정화</t>
  </si>
  <si>
    <t>- 2025년 1분기 순이익 2,484억 원 (YoY -2%)로 시장 기대치 부합</t>
  </si>
  <si>
    <t>- 해외주식 수수료, 자산관리 수수료 모두 견조</t>
  </si>
  <si>
    <t>- 기타손익은 환율손실 회복으로 개선</t>
  </si>
  <si>
    <t>2. 고수익성 유지 기반 확보</t>
  </si>
  <si>
    <t>- 1Q25 ROE 13.6% 기록 (전년 대비 개선)</t>
  </si>
  <si>
    <t>- 채권 중심 운용 구조 + 금리인하 수혜 기대</t>
  </si>
  <si>
    <t>- 리테일 고객 자산/고액자산가 기반 지속 확대</t>
  </si>
  <si>
    <t>3. 배당 매력 유지</t>
  </si>
  <si>
    <t>- 2025년 DPS 추정: 4,200원</t>
  </si>
  <si>
    <r>
      <t xml:space="preserve">- </t>
    </r>
    <r>
      <rPr>
        <b/>
        <sz val="11"/>
        <color theme="1"/>
        <rFont val="맑은 고딕"/>
        <family val="3"/>
        <charset val="129"/>
        <scheme val="minor"/>
      </rPr>
      <t>예상 배당수익률 약 7% 수준</t>
    </r>
  </si>
  <si>
    <t>- 중장기 목표 배당성향 50%로 제시 (현 35%대)</t>
  </si>
  <si>
    <t>4. 실적 성장률 둔화 가능성</t>
  </si>
  <si>
    <t>- 브로커리지 수익 성장률 둔화</t>
  </si>
  <si>
    <t>- 자산관리 수수료는 ELS 위축 영향 여전</t>
  </si>
  <si>
    <t>- 구조적 성장 동력 확보 필요성 제기</t>
  </si>
  <si>
    <t>5. 밸류에이션 여력 존재</t>
  </si>
  <si>
    <t>- 2025년 예상 PER 5.3배, PBR 0.6배 수준</t>
  </si>
  <si>
    <t>- 고배당주 + 안정적 수익구조 감안 시 리레이팅 여지 충분</t>
  </si>
  <si>
    <t>6. 리스크 요소</t>
  </si>
  <si>
    <t>- 자산관리 부문 회복세 더딘 점</t>
  </si>
  <si>
    <t>- IB부문 DCM/ECM은 둔화 중, PF 딜 위주로 방어</t>
  </si>
  <si>
    <t>- 2025년 예상 주주환원율 44%까지 증가 전망</t>
    <phoneticPr fontId="1" type="noConversion"/>
  </si>
  <si>
    <t>1분기</t>
    <phoneticPr fontId="1" type="noConversion"/>
  </si>
  <si>
    <t>2분기</t>
    <phoneticPr fontId="1" type="noConversion"/>
  </si>
  <si>
    <t>3분기</t>
    <phoneticPr fontId="1" type="noConversion"/>
  </si>
  <si>
    <t>4분기</t>
    <phoneticPr fontId="1" type="noConversion"/>
  </si>
  <si>
    <t>미국 Ulta Beauty 1,400개 매장 중 95% 입점 완료
22개 제품(SKU) 진열,
6월 납품 시작, 8월 소비자 판매 개시 예정
→ 미국 옴니채널 확장 본격화</t>
    <phoneticPr fontId="1" type="noConversion"/>
  </si>
  <si>
    <t>일본 3,000개 매장 오프라인 입점 본격화 (Loft, 마츠모토키요시, 돈키호테 등)
유럽·동남아 B2B 수출 확대
→ 아시아·미주·유럽 3축 수출 구조 안정화</t>
    <phoneticPr fontId="1" type="noConversion"/>
  </si>
  <si>
    <t>미국 연말 쇼핑시즌(블랙프라이데이~크리스마스) 집중 마케팅
재구매율 상승, 브랜드 충성도 정착 효과 기대
→ 실적 모멘텀 극대화 시기</t>
    <phoneticPr fontId="1" type="noConversion"/>
  </si>
  <si>
    <t>에이피알</t>
    <phoneticPr fontId="1" type="noConversion"/>
  </si>
  <si>
    <t>옴니채널이란</t>
  </si>
  <si>
    <t>기존에는 Amazon 등 온라인만 판매</t>
  </si>
  <si>
    <r>
      <t xml:space="preserve">→ </t>
    </r>
    <r>
      <rPr>
        <b/>
        <sz val="11"/>
        <color theme="1"/>
        <rFont val="맑은 고딕"/>
        <family val="3"/>
        <charset val="129"/>
        <scheme val="minor"/>
      </rPr>
      <t>2025년부터는 Ulta 오프라인과 함께 판매되어 소비자 접점이 넓어짐</t>
    </r>
  </si>
  <si>
    <t>온라인(자사몰, Amazon 등)과 오프라인 매장(Ulta, Loft 등)을</t>
    <phoneticPr fontId="1" type="noConversion"/>
  </si>
  <si>
    <r>
      <t>동일한 브랜드·제품·마케팅으로 연동하여 판매</t>
    </r>
    <r>
      <rPr>
        <sz val="11"/>
        <color theme="1"/>
        <rFont val="맑은 고딕"/>
        <family val="2"/>
        <charset val="129"/>
        <scheme val="minor"/>
      </rPr>
      <t>하는 방식</t>
    </r>
    <phoneticPr fontId="1" type="noConversion"/>
  </si>
  <si>
    <t>미국 기준으로 보면:</t>
    <phoneticPr fontId="1" type="noConversion"/>
  </si>
  <si>
    <t>바이오다인</t>
  </si>
  <si>
    <t>바이오다인</t>
    <phoneticPr fontId="1" type="noConversion"/>
  </si>
  <si>
    <t>글로벌 가이드라인과 규제기관의 수요 확대</t>
  </si>
  <si>
    <t xml:space="preserve">사용자 수용성 </t>
    <phoneticPr fontId="1" type="noConversion"/>
  </si>
  <si>
    <t>기존 제품 대비 확연한 차별성</t>
    <phoneticPr fontId="1" type="noConversion"/>
  </si>
  <si>
    <t>‘공공기관/정부채널’ 중심의 공급 가능성</t>
    <phoneticPr fontId="1" type="noConversion"/>
  </si>
  <si>
    <t>얼리팝은 병·의원이 아닌 국가 검진사업, 보건소, NGO, 해외 보건당국 등으로 확산될 가능성
이는 일반 의료기기와 달리 공공조달 기반 매출이 비중을 차지하게 되는 구조로,
→ 시장 점유율이 빠르게 올라가는 경향</t>
    <phoneticPr fontId="1" type="noConversion"/>
  </si>
  <si>
    <t>기존 제품은 검사 기피율이 높았던 반면, 얼리팝은 자가채취라는 장점으로 검사 접근성과 심리적 허들을 낮춰줌
관련 연구에 따르면 자가채취 제품은 검사 순응도(compliance)를 2~3배 이상 높일 수 있음이 입증
특히 젊은 여성층, 보건소·원격 진료 등 1차 진료기관에서 대량 보급 가능성</t>
    <phoneticPr fontId="1" type="noConversion"/>
  </si>
  <si>
    <t>WHO는 2030년까지 여성의 70% 이상이 자궁경부암 선별검사를 받도록 목표를 설정했으며,
이때 자가채취 검사 방식(HPV 검사 기반)이 중요한 전략으로 포함
미국, 유럽 등 주요국 규제기관(FDA, CE)은 자가채취형 브러시를 정식 인허가 경로로 채택 중이며,
바이오다인은 국내 식약처 승인을 받은 상태에서 FDA 등록도 완료</t>
    <phoneticPr fontId="1" type="noConversion"/>
  </si>
  <si>
    <t>얼리팝은 여성이 병원에 직접 방문하지 않고 자가로 자궁경부세포를 채취할 수 있게 한 국내 최초의 의료기기
기존 시장 제품은 대부분 병원 내 의료진에 의해 수동 채취되는 방식으로, 사용자의 심리적 부담이 크고 접근성이 낮음
자가채취 제품은 세계적으로도 WHO와 각국 보건당국이 권장하는 검사 방식이며, 글로벌 수요 증가가 가시적</t>
    <phoneticPr fontId="1" type="noConversion"/>
  </si>
  <si>
    <t>제품명</t>
  </si>
  <si>
    <t>Evalyn Brush (Rovers Medical Devices)</t>
  </si>
  <si>
    <t>Evalyn® Brush</t>
  </si>
  <si>
    <t>네덜란드</t>
  </si>
  <si>
    <t>유럽 다수 국가에서 사용 중, CE 인증 보유</t>
  </si>
  <si>
    <t>Hologic</t>
  </si>
  <si>
    <t>CerviCollect®</t>
  </si>
  <si>
    <t>HPV 자가채취용 스왑 기반 시제품 있음 (연구용)</t>
  </si>
  <si>
    <t>Copan Diagnostics</t>
  </si>
  <si>
    <t>FLOQSwabs®</t>
  </si>
  <si>
    <t>미국/이탈리아</t>
  </si>
  <si>
    <t>다양한 자가채취 스왑 생산 기업, HPV 검사용 사용</t>
  </si>
  <si>
    <t>얼리팝 브러시</t>
  </si>
  <si>
    <t>한국</t>
  </si>
  <si>
    <t>국내 최초 식약처 승인 자가채취 전용 브러시, FDA 등록 완료</t>
  </si>
  <si>
    <t>신뢰도</t>
  </si>
  <si>
    <r>
      <t xml:space="preserve">글로벌 No.1 진단기업인 </t>
    </r>
    <r>
      <rPr>
        <b/>
        <sz val="11"/>
        <color theme="1"/>
        <rFont val="맑은 고딕"/>
        <family val="3"/>
        <charset val="129"/>
        <scheme val="minor"/>
      </rPr>
      <t>로슈와 20년 독점계약 체결</t>
    </r>
    <r>
      <rPr>
        <sz val="11"/>
        <color theme="1"/>
        <rFont val="맑은 고딕"/>
        <family val="2"/>
        <charset val="129"/>
        <scheme val="minor"/>
      </rPr>
      <t xml:space="preserve"> (2019~2039년)</t>
    </r>
  </si>
  <si>
    <t>판매 채널</t>
  </si>
  <si>
    <r>
      <t xml:space="preserve">로슈의 글로벌 유통망 및 병원 레퍼런스 네트워크에 </t>
    </r>
    <r>
      <rPr>
        <b/>
        <sz val="11"/>
        <color theme="1"/>
        <rFont val="맑은 고딕"/>
        <family val="3"/>
        <charset val="129"/>
        <scheme val="minor"/>
      </rPr>
      <t>동시 입점 가능</t>
    </r>
  </si>
  <si>
    <t>상용화 준비도</t>
  </si>
  <si>
    <r>
      <t xml:space="preserve">2024년부터 </t>
    </r>
    <r>
      <rPr>
        <b/>
        <sz val="11"/>
        <color theme="1"/>
        <rFont val="맑은 고딕"/>
        <family val="3"/>
        <charset val="129"/>
        <scheme val="minor"/>
      </rPr>
      <t>로슈 제품 출시를 위한 생산라인 완공 및 공급 준비</t>
    </r>
    <r>
      <rPr>
        <sz val="11"/>
        <color theme="1"/>
        <rFont val="맑은 고딕"/>
        <family val="2"/>
        <charset val="129"/>
        <scheme val="minor"/>
      </rPr>
      <t xml:space="preserve"> 완료</t>
    </r>
  </si>
  <si>
    <t>브랜드 보증</t>
  </si>
  <si>
    <r>
      <t xml:space="preserve">글로벌 의료기관 및 보건당국이 </t>
    </r>
    <r>
      <rPr>
        <b/>
        <sz val="11"/>
        <color theme="1"/>
        <rFont val="맑은 고딕"/>
        <family val="3"/>
        <charset val="129"/>
        <scheme val="minor"/>
      </rPr>
      <t>로슈 브랜드를 신뢰</t>
    </r>
    <r>
      <rPr>
        <sz val="11"/>
        <color theme="1"/>
        <rFont val="맑은 고딕"/>
        <family val="2"/>
        <charset val="129"/>
        <scheme val="minor"/>
      </rPr>
      <t>하고 채택 가능성 높음</t>
    </r>
  </si>
  <si>
    <t>기술이전 실적</t>
  </si>
  <si>
    <t>기술료 650만 달러 수령 완료 (2022년), 현재는 매출 인식 준비 단계</t>
  </si>
  <si>
    <t>기존 제품</t>
  </si>
  <si>
    <t>대부분 필터 기반 방식 (세포 손실/파손 발생 가능)</t>
  </si>
  <si>
    <r>
      <t xml:space="preserve">바이오다인 고유의 </t>
    </r>
    <r>
      <rPr>
        <b/>
        <sz val="11"/>
        <color theme="1"/>
        <rFont val="맑은 고딕"/>
        <family val="3"/>
        <charset val="129"/>
        <scheme val="minor"/>
      </rPr>
      <t>‘Blowing’ 방식</t>
    </r>
    <r>
      <rPr>
        <sz val="11"/>
        <color theme="1"/>
        <rFont val="맑은 고딕"/>
        <family val="2"/>
        <charset val="129"/>
        <scheme val="minor"/>
      </rPr>
      <t xml:space="preserve"> 액상세포검사 기술 적용</t>
    </r>
  </si>
  <si>
    <t>장점</t>
  </si>
  <si>
    <t>- 세포 손상 최소화</t>
  </si>
  <si>
    <t>바이오다인 얼리팝</t>
  </si>
  <si>
    <t>경쟁사 (Evalyn 등)</t>
  </si>
  <si>
    <t>글로벌 파트너</t>
  </si>
  <si>
    <t>✔️ 로슈 독점계약</t>
  </si>
  <si>
    <t>❌ 없음 / 자체 유통</t>
  </si>
  <si>
    <t>기술 성능 차별화</t>
  </si>
  <si>
    <t>✔️ Blowing 방식 (세포 손상↓)</t>
  </si>
  <si>
    <t>❌ 일반 스왑/필터 방식</t>
  </si>
  <si>
    <t>의료진·보건소 채택</t>
  </si>
  <si>
    <t>✔️ 로슈 판매망 기반 확산</t>
  </si>
  <si>
    <t>❌ 직접 영업 또는 공공입찰</t>
  </si>
  <si>
    <t>제품 신뢰도</t>
  </si>
  <si>
    <t>✔️ FDA 등록 + SCI 논문 예정</t>
  </si>
  <si>
    <t>✔️ CE 인증 중심</t>
  </si>
  <si>
    <t>시장 확산 경로</t>
  </si>
  <si>
    <t>✔️ 글로벌 병원망 + B2G 채널</t>
  </si>
  <si>
    <t>❌ 개별 국가 공공입찰/소매 유통</t>
  </si>
  <si>
    <t>모멘텀 내용</t>
  </si>
  <si>
    <t>2Q25E</t>
  </si>
  <si>
    <r>
      <t xml:space="preserve">- </t>
    </r>
    <r>
      <rPr>
        <b/>
        <sz val="11"/>
        <color theme="1"/>
        <rFont val="맑은 고딕"/>
        <family val="3"/>
        <charset val="129"/>
        <scheme val="minor"/>
      </rPr>
      <t>선케어 성수기 진입</t>
    </r>
    <r>
      <rPr>
        <sz val="11"/>
        <color theme="1"/>
        <rFont val="맑은 고딕"/>
        <family val="2"/>
        <charset val="129"/>
        <scheme val="minor"/>
      </rPr>
      <t>, 고객사 SKU 확대 지속</t>
    </r>
  </si>
  <si>
    <r>
      <t xml:space="preserve">- </t>
    </r>
    <r>
      <rPr>
        <b/>
        <sz val="11"/>
        <color theme="1"/>
        <rFont val="맑은 고딕"/>
        <family val="3"/>
        <charset val="129"/>
        <scheme val="minor"/>
      </rPr>
      <t>미국 2공장 6월 준공</t>
    </r>
    <r>
      <rPr>
        <sz val="11"/>
        <color theme="1"/>
        <rFont val="맑은 고딕"/>
        <family val="2"/>
        <charset val="129"/>
        <scheme val="minor"/>
      </rPr>
      <t xml:space="preserve"> 예정, 가동 초기 BEP 수준</t>
    </r>
  </si>
  <si>
    <r>
      <t xml:space="preserve">- </t>
    </r>
    <r>
      <rPr>
        <b/>
        <sz val="11"/>
        <color theme="1"/>
        <rFont val="맑은 고딕"/>
        <family val="3"/>
        <charset val="129"/>
        <scheme val="minor"/>
      </rPr>
      <t>국내 수익성 개선</t>
    </r>
    <r>
      <rPr>
        <sz val="11"/>
        <color theme="1"/>
        <rFont val="맑은 고딕"/>
        <family val="2"/>
        <charset val="129"/>
        <scheme val="minor"/>
      </rPr>
      <t xml:space="preserve"> 지속 (OPM 15% 수준 추정)</t>
    </r>
  </si>
  <si>
    <t>3Q25E</t>
  </si>
  <si>
    <r>
      <t xml:space="preserve">- </t>
    </r>
    <r>
      <rPr>
        <b/>
        <sz val="11"/>
        <color theme="1"/>
        <rFont val="맑은 고딕"/>
        <family val="3"/>
        <charset val="129"/>
        <scheme val="minor"/>
      </rPr>
      <t>미국 2공장 본격 매출 기여 시작</t>
    </r>
  </si>
  <si>
    <r>
      <t xml:space="preserve">- </t>
    </r>
    <r>
      <rPr>
        <b/>
        <sz val="11"/>
        <color theme="1"/>
        <rFont val="맑은 고딕"/>
        <family val="3"/>
        <charset val="129"/>
        <scheme val="minor"/>
      </rPr>
      <t>중국은 고정 고객사 기반 실적 안정화</t>
    </r>
  </si>
  <si>
    <t>- 미국: 추가 브랜드 유입 및 단가 협상 완료로 실적 확대 예상</t>
  </si>
  <si>
    <t>4Q25E</t>
  </si>
  <si>
    <r>
      <t xml:space="preserve">- </t>
    </r>
    <r>
      <rPr>
        <b/>
        <sz val="11"/>
        <color theme="1"/>
        <rFont val="맑은 고딕"/>
        <family val="3"/>
        <charset val="129"/>
        <scheme val="minor"/>
      </rPr>
      <t>미국 전체 연매출 900억 이상 가시화</t>
    </r>
    <r>
      <rPr>
        <sz val="11"/>
        <color theme="1"/>
        <rFont val="맑은 고딕"/>
        <family val="2"/>
        <charset val="129"/>
        <scheme val="minor"/>
      </rPr>
      <t>, 2공장 포함</t>
    </r>
  </si>
  <si>
    <r>
      <t xml:space="preserve">- </t>
    </r>
    <r>
      <rPr>
        <b/>
        <sz val="11"/>
        <color theme="1"/>
        <rFont val="맑은 고딕"/>
        <family val="3"/>
        <charset val="129"/>
        <scheme val="minor"/>
      </rPr>
      <t>중국, 미국 실적 확대 + 연말 시즌 수요 반영</t>
    </r>
  </si>
  <si>
    <r>
      <t xml:space="preserve">- 한국 고객사 일부는 </t>
    </r>
    <r>
      <rPr>
        <b/>
        <sz val="11"/>
        <color theme="1"/>
        <rFont val="맑은 고딕"/>
        <family val="3"/>
        <charset val="129"/>
        <scheme val="minor"/>
      </rPr>
      <t>2H25부터 본격 양산 전환</t>
    </r>
    <r>
      <rPr>
        <sz val="11"/>
        <color theme="1"/>
        <rFont val="맑은 고딕"/>
        <family val="2"/>
        <charset val="129"/>
        <scheme val="minor"/>
      </rPr>
      <t xml:space="preserve"> 예상</t>
    </r>
  </si>
  <si>
    <t>한국콜마</t>
    <phoneticPr fontId="1" type="noConversion"/>
  </si>
  <si>
    <r>
      <t>선케어가 실적을 좌우하는 핵심 카테고리</t>
    </r>
    <r>
      <rPr>
        <sz val="11"/>
        <color theme="1"/>
        <rFont val="맑은 고딕"/>
        <family val="2"/>
        <charset val="129"/>
        <scheme val="minor"/>
      </rPr>
      <t>로 자리잡음 (1Q25 선케어 비중 27% → 2Q 예상 38%)</t>
    </r>
  </si>
  <si>
    <r>
      <t>미국 2공장</t>
    </r>
    <r>
      <rPr>
        <sz val="11"/>
        <color theme="1"/>
        <rFont val="맑은 고딕"/>
        <family val="2"/>
        <charset val="129"/>
        <scheme val="minor"/>
      </rPr>
      <t>: 6월 준공, 3천만 개 초기 CAPA, 일부 고객사 2H25 양산 확정</t>
    </r>
  </si>
  <si>
    <r>
      <t>중국</t>
    </r>
    <r>
      <rPr>
        <sz val="11"/>
        <color theme="1"/>
        <rFont val="맑은 고딕"/>
        <family val="2"/>
        <charset val="129"/>
        <scheme val="minor"/>
      </rPr>
      <t>: 회복세 확실, 특정 브랜드 의존도 낮고 고객 다변화 구조 확인됨</t>
    </r>
  </si>
  <si>
    <r>
      <t>레거시 브랜드 비중 축소 + 인디 브랜드 확대</t>
    </r>
    <r>
      <rPr>
        <sz val="11"/>
        <color theme="1"/>
        <rFont val="맑은 고딕"/>
        <family val="2"/>
        <charset val="129"/>
        <scheme val="minor"/>
      </rPr>
      <t>: 고객 믹스 구조 개선</t>
    </r>
  </si>
  <si>
    <t>위치</t>
  </si>
  <si>
    <t>미국 뉴저지주 잉글우드클리프스 인근</t>
  </si>
  <si>
    <t>CAPA</t>
  </si>
  <si>
    <t>초기 연간 3,000만 개 (1공장 포함 총 3억 개 수준)</t>
  </si>
  <si>
    <t>주요 생산 제품</t>
  </si>
  <si>
    <t>썬케어, 스킨케어, 색조 등 주요 카테고리 모두 포함</t>
  </si>
  <si>
    <t>실제 운영 방향</t>
  </si>
  <si>
    <r>
      <t xml:space="preserve">썬케어 중심 인디 브랜드 수요 대응에 초점 → </t>
    </r>
    <r>
      <rPr>
        <b/>
        <sz val="11"/>
        <color theme="1"/>
        <rFont val="맑은 고딕"/>
        <family val="3"/>
        <charset val="129"/>
        <scheme val="minor"/>
      </rPr>
      <t>실질적으로 썬케어 매출이 가장 높은 비중</t>
    </r>
  </si>
  <si>
    <t>가동 시점</t>
  </si>
  <si>
    <t>2025년 6월 준공 및 생산 개시 예정, 3Q부터 본격 매출 반영</t>
  </si>
  <si>
    <t>미국 2공장</t>
    <phoneticPr fontId="1" type="noConversion"/>
  </si>
  <si>
    <t>핵심 모멘텀 요약</t>
  </si>
  <si>
    <t>- 매출 6,5006,580억, 영업이익 590654억 예상</t>
  </si>
  <si>
    <r>
      <t xml:space="preserve">- </t>
    </r>
    <r>
      <rPr>
        <b/>
        <sz val="11"/>
        <color theme="1"/>
        <rFont val="맑은 고딕"/>
        <family val="3"/>
        <charset val="129"/>
        <scheme val="minor"/>
      </rPr>
      <t>고마진 선케어 비중 확대</t>
    </r>
    <r>
      <rPr>
        <sz val="11"/>
        <color theme="1"/>
        <rFont val="맑은 고딕"/>
        <family val="2"/>
        <charset val="129"/>
        <scheme val="minor"/>
      </rPr>
      <t xml:space="preserve"> (닥터지, 조선미녀 등)</t>
    </r>
  </si>
  <si>
    <r>
      <t xml:space="preserve">- 국내 매출 YoY +20% 이상, </t>
    </r>
    <r>
      <rPr>
        <b/>
        <sz val="11"/>
        <color theme="1"/>
        <rFont val="맑은 고딕"/>
        <family val="3"/>
        <charset val="129"/>
        <scheme val="minor"/>
      </rPr>
      <t>생산능력 증가 효과 반영</t>
    </r>
  </si>
  <si>
    <t>- 중국: 상해 Top 고객 발주 재개, 실적 회복세 지속</t>
  </si>
  <si>
    <t>- 동남아: 태국 연매출 100억 이상 신규 고객 등장</t>
  </si>
  <si>
    <t>- 동남아: 인니/태국 고성장 지속, 태국은 선케어 수요 폭발적</t>
  </si>
  <si>
    <t>- 중국: 상해법인 회복세, 잇센 외 브랜드 매출 기여 확대</t>
  </si>
  <si>
    <r>
      <t xml:space="preserve">- 미국: 신규 고객사 매출 본격 반영 시작, </t>
    </r>
    <r>
      <rPr>
        <b/>
        <sz val="11"/>
        <color theme="1"/>
        <rFont val="맑은 고딕"/>
        <family val="3"/>
        <charset val="129"/>
        <scheme val="minor"/>
      </rPr>
      <t>적자 축소 예상</t>
    </r>
  </si>
  <si>
    <t>- 네오/씨엠테크 자회사 실적 기여 확대</t>
  </si>
  <si>
    <t>- 미국법인 BEP(손익분기점) 근접 가능성 언급</t>
  </si>
  <si>
    <t>- 중국 Top 고객사 발주 정상화로 실적 안정화</t>
  </si>
  <si>
    <t>- 동남아 성수기 효과, 태국·인니 수요 지속</t>
  </si>
  <si>
    <r>
      <t xml:space="preserve">- </t>
    </r>
    <r>
      <rPr>
        <b/>
        <sz val="11"/>
        <color theme="1"/>
        <rFont val="맑은 고딕"/>
        <family val="3"/>
        <charset val="129"/>
        <scheme val="minor"/>
      </rPr>
      <t>연간 기준 실적 사상 최대치 예상</t>
    </r>
    <r>
      <rPr>
        <sz val="11"/>
        <color theme="1"/>
        <rFont val="맑은 고딕"/>
        <family val="2"/>
        <charset val="129"/>
        <scheme val="minor"/>
      </rPr>
      <t>, OPM 9% 이상 정착 구간</t>
    </r>
  </si>
  <si>
    <t>- 선케어 제품 중심 믹스 개선</t>
  </si>
  <si>
    <t>- 생산 CAPA 1Q에 이미 연말 목표 초과 달성(9.7억 개)</t>
  </si>
  <si>
    <t>- 인디 브랜드 수출 호조, 고객사 상위 10위 재편</t>
  </si>
  <si>
    <t>- 상하이: 기존 고객 회복, 영업팀 재배치 효과</t>
  </si>
  <si>
    <t>- 광저우: 수주 감소는 일부 존재하나 JV(잇센) 성장 유지</t>
  </si>
  <si>
    <t>동남아</t>
  </si>
  <si>
    <t>- 태국: 선스크린 대형 수주, 100억 고객사 등장</t>
  </si>
  <si>
    <t>- 인도네시아: 기초 화장품 중심 꾸준한 성장</t>
  </si>
  <si>
    <r>
      <t xml:space="preserve">- 1H까지 역성장 지속, </t>
    </r>
    <r>
      <rPr>
        <b/>
        <sz val="11"/>
        <color theme="1"/>
        <rFont val="맑은 고딕"/>
        <family val="3"/>
        <charset val="129"/>
        <scheme val="minor"/>
      </rPr>
      <t>4~6월 신규 고객 유입 개시</t>
    </r>
  </si>
  <si>
    <t>- 캘리포니아 오피스를 통한 거래선 확대 기대</t>
  </si>
  <si>
    <t>자회사</t>
  </si>
  <si>
    <t>- 코스맥스네오(용기), 씨엠테크(원료): LOCO 프로젝트 수혜로 영업이익 분기 45억 이상 기여</t>
  </si>
  <si>
    <t>- 전사 수직계열화 효과 본격화</t>
  </si>
  <si>
    <t>- 중국/동남아의 매출과 이익률의 동반 성장 구간 진입</t>
  </si>
  <si>
    <t>코스맥스</t>
    <phoneticPr fontId="1" type="noConversion"/>
  </si>
  <si>
    <t>3공장 가동</t>
  </si>
  <si>
    <t>2025년 4월부터 본격 가동 → 캐파 이슈 해소 + 수익성 좋은 지역 물량 확대 가능</t>
  </si>
  <si>
    <t>2분기부터 본격 선적 시작 → Benev 통한 5,000개 계정 침투, 가격경쟁력 우위</t>
  </si>
  <si>
    <t>사환제약 미용사업 성장 가속 → 1Q부터 선적 증가, 연중 고성장 가시화</t>
  </si>
  <si>
    <t>톡신과 동반 판매 전략 강화 → 아시아 중심 안정 성장</t>
  </si>
  <si>
    <t>화장품</t>
  </si>
  <si>
    <t>미국·캐나다 코스트코 유통망 확대 → 웰라쥬 중심 지속 성장</t>
  </si>
  <si>
    <t>휴젤</t>
    <phoneticPr fontId="1" type="noConversion"/>
  </si>
  <si>
    <t>4Q25</t>
    <phoneticPr fontId="1" type="noConversion"/>
  </si>
  <si>
    <t>4Q25</t>
    <phoneticPr fontId="1" type="noConversion"/>
  </si>
  <si>
    <t>2Q25</t>
    <phoneticPr fontId="1" type="noConversion"/>
  </si>
  <si>
    <t>3Q25</t>
    <phoneticPr fontId="1" type="noConversion"/>
  </si>
  <si>
    <t>미국향 레티보 첫 대량 선적 본격화 (출하 시점 확정)
북미 매출 YoY +670% 예상
중국향 선적 확대 지속, 사환제약 통한 성장
영업이익률 49% 이상 예상 (제품 믹스 개선 효과)
3공장 본격 CAPA 반영, 판가 낮은 지역(태국 등) 물량 확대
자사주 소각 완료 효과 (5월 중 30만 주 소각 완료됨)</t>
    <phoneticPr fontId="1" type="noConversion"/>
  </si>
  <si>
    <t>브라질향 톡신 선적 예정
미국 2차 물량 추가 선적 (추정 150억 원 수준)
북미·중남미, 아시아 선적 지속 증가
필러 동반 성장 기대, 톡신·필러 시너지 강화</t>
    <phoneticPr fontId="1" type="noConversion"/>
  </si>
  <si>
    <t>미국/중남미 추가 물량 가능성 지속
미국 파트너 Benev와 유통망 확산, 수익성 유지
3공장 가동 안정화 + 감가상각 안정 + 레버리지 효과로 영업이익률 50%+
연간 기준 실적 사상 최대치 전망</t>
    <phoneticPr fontId="1" type="noConversion"/>
  </si>
  <si>
    <t>와이지엔터테인먼트</t>
    <phoneticPr fontId="1" type="noConversion"/>
  </si>
  <si>
    <t>1. 구조적 MD 매출 성장</t>
  </si>
  <si>
    <t>블랙핑크가 없어도 2개 분기 연속 200억 원 이상 MD 매출을 기록.</t>
  </si>
  <si>
    <r>
      <t xml:space="preserve">기존에는 콘서트 및 음원 위주 수익 구조였으나, </t>
    </r>
    <r>
      <rPr>
        <b/>
        <sz val="11"/>
        <color theme="1"/>
        <rFont val="맑은 고딕"/>
        <family val="3"/>
        <charset val="129"/>
        <scheme val="minor"/>
      </rPr>
      <t>베이비몬스터의 팝업스토어 + 고단가 MD 전략</t>
    </r>
    <r>
      <rPr>
        <sz val="11"/>
        <color theme="1"/>
        <rFont val="맑은 고딕"/>
        <family val="2"/>
        <charset val="129"/>
        <scheme val="minor"/>
      </rPr>
      <t>이 새로운 캐시카우로 부상.</t>
    </r>
  </si>
  <si>
    <r>
      <t>전통적인 엔터 수익모델을 넘는 B2C 플랫폼형 구조로 전환</t>
    </r>
    <r>
      <rPr>
        <sz val="11"/>
        <color theme="1"/>
        <rFont val="맑은 고딕"/>
        <family val="2"/>
        <charset val="129"/>
        <scheme val="minor"/>
      </rPr>
      <t xml:space="preserve"> 중이라는 점에서 시장은 재평가 중.</t>
    </r>
  </si>
  <si>
    <t>2. 베이비몬스터의 예상을 뛰어넘는 팬덤 성장</t>
  </si>
  <si>
    <t>유튜브 구독자 900만명 돌파, 월간 조회수 세계 4위(K-POP 그룹 기준).</t>
  </si>
  <si>
    <t>데뷔 2년차에 북미 아레나 투어, 아시아 팝업스토어 확장.</t>
  </si>
  <si>
    <r>
      <t>블랙핑크 → 베이비몬스터로의 IP 세대교체가 실현 중</t>
    </r>
    <r>
      <rPr>
        <sz val="11"/>
        <color theme="1"/>
        <rFont val="맑은 고딕"/>
        <family val="2"/>
        <charset val="129"/>
        <scheme val="minor"/>
      </rPr>
      <t>이라는 점이 투자자 신뢰 회복에 핵심.</t>
    </r>
  </si>
  <si>
    <t>3. 블랙핑크 스타디움 투어의 스케일</t>
  </si>
  <si>
    <t>1회당 평균 모객 5만 명 이상, 최대 250만명까지도 가능.</t>
  </si>
  <si>
    <r>
      <t xml:space="preserve">공연 단가와 굿즈 소비가 높은 스타디움형 투어는 </t>
    </r>
    <r>
      <rPr>
        <b/>
        <sz val="11"/>
        <color theme="1"/>
        <rFont val="맑은 고딕"/>
        <family val="3"/>
        <charset val="129"/>
        <scheme val="minor"/>
      </rPr>
      <t>과거 대비 두 배 이상 수익성 개선</t>
    </r>
    <r>
      <rPr>
        <sz val="11"/>
        <color theme="1"/>
        <rFont val="맑은 고딕"/>
        <family val="2"/>
        <charset val="129"/>
        <scheme val="minor"/>
      </rPr>
      <t xml:space="preserve"> 기대.</t>
    </r>
  </si>
  <si>
    <r>
      <t>2025년 3~4분기 실적 추정 상향 가능성</t>
    </r>
    <r>
      <rPr>
        <sz val="11"/>
        <color theme="1"/>
        <rFont val="맑은 고딕"/>
        <family val="2"/>
        <charset val="129"/>
        <scheme val="minor"/>
      </rPr>
      <t>으로 이어질 핵심 모멘텀.</t>
    </r>
  </si>
  <si>
    <t>1분기 (1Q25)</t>
  </si>
  <si>
    <t>2분기 (2Q25)</t>
  </si>
  <si>
    <t>3분기 (3Q25)</t>
  </si>
  <si>
    <t>4분기 (4Q25)</t>
  </si>
  <si>
    <t>2026년</t>
  </si>
  <si>
    <t xml:space="preserve"> - 중화권 음원 플랫폼 리뉴얼 계약으로 약 200~250억 원 일회성 수익 발생
 - 콘서트 수익 확대 (NCT127, aespa 등 글로벌 투어 진행)
 - 하츠투하츠 데뷔 앨범 40.8만장 기록 및 음악방송 1위, 빠른 글로벌 팬덤 형성</t>
    <phoneticPr fontId="1" type="noConversion"/>
  </si>
  <si>
    <t xml:space="preserve"> - 주요 아티스트 신보 발매: NCT WISH(초동 109만장), NCT 마크, 라이즈, 에스파, 도영 등
 - MD 매출 확대: 팝업스토어, 캐릭터 상품 등 글로벌 협업 추진
 - 디어유 연결 자회사 편입 효과 반영 시작
 - SM타운 콘서트 북미·영국 스타디움급 개최로 티켓+MD 시너지 기대</t>
    <phoneticPr fontId="1" type="noConversion"/>
  </si>
  <si>
    <t xml:space="preserve"> - 에스파 및 라이즈 등 일부 신인의 정규 앨범 및 글로벌 활동 지속
 - 연말 피크 시즌 대비 콘텐츠 출시 및 라이선싱 확대 전략
 - 중국 시장 재진입 시 매출 30% 추가 성장 기여 가능성 검토</t>
    <phoneticPr fontId="1" type="noConversion"/>
  </si>
  <si>
    <t xml:space="preserve"> - TR25의 본격 활동 시작으로 신인 중심 매출 온기 반영
 - NCT Universe 및 aespa 등 중저연차 IP들의 고정 매출 본격화
 - 디어유 중국 버블 성과 온기 반영, 연결 실적 정상화 유지</t>
    <phoneticPr fontId="1" type="noConversion"/>
  </si>
  <si>
    <t>에스엠</t>
    <phoneticPr fontId="1" type="noConversion"/>
  </si>
  <si>
    <t xml:space="preserve"> - NCT 드림·슈퍼주니어·하츠투하츠 등 다수 아티스트 컴백 및 월드투어 본격화
 - TR25 보이그룹 데뷔 예정으로 팬덤 확장 시작
 - 디어유, 텐센트뮤직(TME)과 버블 제휴 통한 중국 진출 시도 기대</t>
    <phoneticPr fontId="1" type="noConversion"/>
  </si>
  <si>
    <t>&lt; TR25 26년 실적기여 핵심 IP 팬덤 형성되어 있음</t>
    <phoneticPr fontId="1" type="noConversion"/>
  </si>
  <si>
    <t>&lt; 디어유 연결 실적 반영으로 실적개선 가시성 높음</t>
    <phoneticPr fontId="1" type="noConversion"/>
  </si>
  <si>
    <t xml:space="preserve"> - 매출 270억, YoY +146%, 영업이익률 31% 기록
 - 케미컬 부문 마진 38% 달성 (두산 전자BG 대상 레진·경화제 공급 확대)
 - 바이오 부문은 여전히 적자 (5.9억 매출, 26억 적자)</t>
    <phoneticPr fontId="1" type="noConversion"/>
  </si>
  <si>
    <t xml:space="preserve"> - 고객사 생산 본격화(Ramp-up) → 매출·영업익 모두 1Q 대비 성장 예상
 - 울트라향·ASIC 신규 고객 매출 본격 반영 시작
 - 하반기까지 상저하고 실적 구조 기대</t>
    <phoneticPr fontId="1" type="noConversion"/>
  </si>
  <si>
    <t xml:space="preserve"> - 3분기부터 GB300향 고부가 라인 수요 증가
 - 울산 3공장 투입 장비 설치 본격화 (2026.9 가동 목표)
 - 바이오 사업은 손실폭 축소 예상</t>
    <phoneticPr fontId="1" type="noConversion"/>
  </si>
  <si>
    <t xml:space="preserve"> - 울트라향·ASIC 물량 확대 및 고객사 다변화 정점
 - 바이오 부문 수익성은 미미하나 고정비 부담 감소 효과 일부 반영</t>
    <phoneticPr fontId="1" type="noConversion"/>
  </si>
  <si>
    <t xml:space="preserve"> - 울산 제3공장 가동 (2026.9) → 생산 Capa 2배 확대
 - 루빈(Rubin) 양산 및 신규 ASIC 고객 진입 본격화
 - 전사 영업이익률 35~36% 목표, ROE 38~40% 예상</t>
    <phoneticPr fontId="1" type="noConversion"/>
  </si>
  <si>
    <t>파미셀</t>
    <phoneticPr fontId="1" type="noConversion"/>
  </si>
  <si>
    <t>수혜 항목</t>
  </si>
  <si>
    <t>수혜 효과</t>
  </si>
  <si>
    <t>1. 지분율 유지 (인적분할)</t>
  </si>
  <si>
    <t>인적분할 방식으로 기존 삼성바이오로직스 지분 43.1%에 대해 신설회사(삼성에피스홀딩스) 지분도 동일 비율로 자동 배정</t>
  </si>
  <si>
    <t>양쪽 회사 모두 지배력 유지</t>
  </si>
  <si>
    <t>→ 지배구조 통제력 강화</t>
  </si>
  <si>
    <t>2. 기업가치 분리 평가</t>
  </si>
  <si>
    <t>CDMO(존속)와 바이오시밀러/신약(신설) 사업 분리 → 각각의 사업가치가 시장에서 명확히 평가됨</t>
  </si>
  <si>
    <t>지분가치 재평가 가능</t>
  </si>
  <si>
    <t>→ NAV(순자산가치) 상승</t>
  </si>
  <si>
    <t>3. 삼성에피스홀딩스의 중간지주화 가능성</t>
  </si>
  <si>
    <t>추후 현물출자를 통해 삼성바이오로직스와 바이오에피스를 삼성에피스홀딩스 아래로 통합 가능</t>
  </si>
  <si>
    <t>삼성물산이 바이오 지배권을 집중·관리하는 구조 강화</t>
  </si>
  <si>
    <t>4. 자산 유동화 가능성</t>
  </si>
  <si>
    <t>삼성에피스홀딩스 지분 일부를 매각하면 수십조 원 현금 확보 가능</t>
  </si>
  <si>
    <t>유동성 확보 → 삼성전자 지분 인수 여력 확보</t>
  </si>
  <si>
    <t>(삼성생명법 대응)</t>
  </si>
  <si>
    <t>5. 저평가 해소 트리거</t>
  </si>
  <si>
    <t>삼성물산이 보유한 계열사 지분 가치(약 55.9조원) 대비 시총(23.6조원)이 낮음</t>
  </si>
  <si>
    <r>
      <t xml:space="preserve">이번 분할로 </t>
    </r>
    <r>
      <rPr>
        <b/>
        <sz val="11"/>
        <color theme="1"/>
        <rFont val="맑은 고딕"/>
        <family val="3"/>
        <charset val="129"/>
        <scheme val="minor"/>
      </rPr>
      <t>지분가치 부각 → 주가 재평가 유인</t>
    </r>
  </si>
  <si>
    <t>6. 그룹 내 지배구조 단순화 전제 작업</t>
  </si>
  <si>
    <r>
      <t xml:space="preserve">분할로 사업을 분리하고 지배력을 정비하는 과정은, 궁극적으로 </t>
    </r>
    <r>
      <rPr>
        <b/>
        <sz val="11"/>
        <color theme="1"/>
        <rFont val="맑은 고딕"/>
        <family val="3"/>
        <charset val="129"/>
        <scheme val="minor"/>
      </rPr>
      <t>‘지배구조 직선화’</t>
    </r>
    <r>
      <rPr>
        <sz val="11"/>
        <color theme="1"/>
        <rFont val="맑은 고딕"/>
        <family val="2"/>
        <charset val="129"/>
        <scheme val="minor"/>
      </rPr>
      <t xml:space="preserve"> 방향</t>
    </r>
  </si>
  <si>
    <t>삼성전자 등 핵심계열사 직접 지배 가능성 강화</t>
  </si>
  <si>
    <t>7. 바이오 시너지 집중 전략 가능</t>
  </si>
  <si>
    <t>CDMO와 신약개발 등 각 사업군의 의사결정이 독립 → 전문성 강화</t>
  </si>
  <si>
    <t>바이오 부문 투자 및 전략 수립에서 삼성물산 주도권↑</t>
  </si>
  <si>
    <t>법/제도적 배경</t>
  </si>
  <si>
    <t>삼성물산 입장에서 유리한 이유</t>
  </si>
  <si>
    <t>1. 공정거래법상 지주회사 규제 완화 효과</t>
  </si>
  <si>
    <t>지주회사 전환 시 자회사 지분율 요건: 상장사 30%, 비상장사 50% → 직접 지주회사 되면 부담 큼</t>
  </si>
  <si>
    <r>
      <t xml:space="preserve">중간지주사를 바이오 부문에만 따로 두면 </t>
    </r>
    <r>
      <rPr>
        <b/>
        <sz val="11"/>
        <color theme="1"/>
        <rFont val="맑은 고딕"/>
        <family val="3"/>
        <charset val="129"/>
        <scheme val="minor"/>
      </rPr>
      <t>지분율 요건 부담을 분산</t>
    </r>
    <r>
      <rPr>
        <sz val="11"/>
        <color theme="1"/>
        <rFont val="맑은 고딕"/>
        <family val="2"/>
        <charset val="129"/>
        <scheme val="minor"/>
      </rPr>
      <t>시킬 수 있음 (핵심 계열만 따로 묶기 때문)</t>
    </r>
  </si>
  <si>
    <t>2. 내부거래 규제 통제 가능</t>
  </si>
  <si>
    <t>동일인 관련 회사 간 내부거래 일정 기준 이상 시 신고 및 규제 대상</t>
  </si>
  <si>
    <r>
      <t xml:space="preserve">삼성물산 ↔ 중간지주 ↔ 운영 자회사 간 수직 통합 구조를 만들면 </t>
    </r>
    <r>
      <rPr>
        <b/>
        <sz val="11"/>
        <color theme="1"/>
        <rFont val="맑은 고딕"/>
        <family val="3"/>
        <charset val="129"/>
        <scheme val="minor"/>
      </rPr>
      <t>내부거래의 집중과 투명한 관리가 가능</t>
    </r>
    <r>
      <rPr>
        <sz val="11"/>
        <color theme="1"/>
        <rFont val="맑은 고딕"/>
        <family val="2"/>
        <charset val="129"/>
        <scheme val="minor"/>
      </rPr>
      <t>, 그룹 차원 리스크 완화</t>
    </r>
  </si>
  <si>
    <t>3. 사익편취 규제 회피 구조 가능성</t>
  </si>
  <si>
    <t>총수일가 지분 20% 이상 법인 대상 사익편취 규제 적용</t>
  </si>
  <si>
    <r>
      <t xml:space="preserve">삼성물산이 에피스홀딩스를 완전히 지배하면, 에피스홀딩스 하위 구조에서 </t>
    </r>
    <r>
      <rPr>
        <b/>
        <sz val="11"/>
        <color theme="1"/>
        <rFont val="맑은 고딕"/>
        <family val="3"/>
        <charset val="129"/>
        <scheme val="minor"/>
      </rPr>
      <t>총수일가 개인 지분이 없을 경우 규제 비켜감</t>
    </r>
  </si>
  <si>
    <t>4. 상법 개정(감사위원·다중대표소송 등) 대응</t>
  </si>
  <si>
    <t>감사위원 분리선출, 다중대표소송 도입으로 대기업 경영진 책임 증가</t>
  </si>
  <si>
    <r>
      <t xml:space="preserve">중간지주를 두면 </t>
    </r>
    <r>
      <rPr>
        <b/>
        <sz val="11"/>
        <color theme="1"/>
        <rFont val="맑은 고딕"/>
        <family val="3"/>
        <charset val="129"/>
        <scheme val="minor"/>
      </rPr>
      <t>리스크 분산 효과</t>
    </r>
    <r>
      <rPr>
        <sz val="11"/>
        <color theme="1"/>
        <rFont val="맑은 고딕"/>
        <family val="2"/>
        <charset val="129"/>
        <scheme val="minor"/>
      </rPr>
      <t xml:space="preserve"> 발생. 삼성물산 본체로 소송·감사 부담 집중되는 걸 피할 수 있음</t>
    </r>
  </si>
  <si>
    <t>5. 바이오 부문의 기업가치 독립적 평가 가능</t>
  </si>
  <si>
    <t>혼합사업 구조일 경우 각 사업부 가치 분리 어려움</t>
  </si>
  <si>
    <r>
      <t xml:space="preserve">삼성물산 → 에피스홀딩스 → 바이오 계열사 구조를 만들면 </t>
    </r>
    <r>
      <rPr>
        <b/>
        <sz val="11"/>
        <color theme="1"/>
        <rFont val="맑은 고딕"/>
        <family val="3"/>
        <charset val="129"/>
        <scheme val="minor"/>
      </rPr>
      <t>NAV 재평가 유리</t>
    </r>
    <r>
      <rPr>
        <sz val="11"/>
        <color theme="1"/>
        <rFont val="맑은 고딕"/>
        <family val="2"/>
        <charset val="129"/>
        <scheme val="minor"/>
      </rPr>
      <t xml:space="preserve"> (바이오 고성장 사업에 시장 프리미엄 반영 용이)</t>
    </r>
  </si>
  <si>
    <t>6. 향후 에피스홀딩스 IPO·제휴 구조 정비 유리</t>
  </si>
  <si>
    <t>제3자 지분 유치·상장 등 외부 투자 유치가 필요할 경우</t>
  </si>
  <si>
    <r>
      <t xml:space="preserve">중간지주단위 IPO or 일부지분 매각이 더 </t>
    </r>
    <r>
      <rPr>
        <b/>
        <sz val="11"/>
        <color theme="1"/>
        <rFont val="맑은 고딕"/>
        <family val="3"/>
        <charset val="129"/>
        <scheme val="minor"/>
      </rPr>
      <t>시장에서 구조적으로 용이</t>
    </r>
    <r>
      <rPr>
        <sz val="11"/>
        <color theme="1"/>
        <rFont val="맑은 고딕"/>
        <family val="2"/>
        <charset val="129"/>
        <scheme val="minor"/>
      </rPr>
      <t xml:space="preserve"> (지주사 역할이 명확하므로)</t>
    </r>
  </si>
  <si>
    <t>7. 삼성생명법 통과 후 삼성전자 지분 인수 재원 확보</t>
  </si>
  <si>
    <t>삼성생명이 보유한 전자 지분의 시가 기준 3% 초과분 매각 필요</t>
  </si>
  <si>
    <r>
      <t xml:space="preserve">중간지주사의 일부 지분 매각 or 상장 시 </t>
    </r>
    <r>
      <rPr>
        <b/>
        <sz val="11"/>
        <color theme="1"/>
        <rFont val="맑은 고딕"/>
        <family val="3"/>
        <charset val="129"/>
        <scheme val="minor"/>
      </rPr>
      <t>삼성물산이 현금 마련 후, 삼성전자 지분 매입 자금 확보 가능</t>
    </r>
  </si>
  <si>
    <r>
      <t xml:space="preserve">만약 삼성물산이 직접 </t>
    </r>
    <r>
      <rPr>
        <b/>
        <sz val="11"/>
        <color theme="1"/>
        <rFont val="맑은 고딕"/>
        <family val="3"/>
        <charset val="129"/>
        <scheme val="minor"/>
      </rPr>
      <t>삼성바이오로직스(상장)</t>
    </r>
    <r>
      <rPr>
        <sz val="11"/>
        <color theme="1"/>
        <rFont val="맑은 고딕"/>
        <family val="2"/>
        <charset val="129"/>
        <scheme val="minor"/>
      </rPr>
      <t xml:space="preserve">, </t>
    </r>
    <r>
      <rPr>
        <b/>
        <sz val="11"/>
        <color theme="1"/>
        <rFont val="맑은 고딕"/>
        <family val="3"/>
        <charset val="129"/>
        <scheme val="minor"/>
      </rPr>
      <t>삼성바이오에피스(비상장)</t>
    </r>
    <r>
      <rPr>
        <sz val="11"/>
        <color theme="1"/>
        <rFont val="맑은 고딕"/>
        <family val="2"/>
        <charset val="129"/>
        <scheme val="minor"/>
      </rPr>
      <t xml:space="preserve"> 등 여러 회사들을 자회사로 삼는 구조라면,</t>
    </r>
  </si>
  <si>
    <r>
      <t xml:space="preserve">각 자회사에 대해 각각 </t>
    </r>
    <r>
      <rPr>
        <b/>
        <sz val="11"/>
        <color theme="1"/>
        <rFont val="맑은 고딕"/>
        <family val="3"/>
        <charset val="129"/>
        <scheme val="minor"/>
      </rPr>
      <t>30%, 50% 이상 지분을 보유해야 함</t>
    </r>
  </si>
  <si>
    <r>
      <t xml:space="preserve">바이오 말고도 삼성SDI, 삼성물산 자체사업, 삼성E&amp;A 등 다른 계열까지 포함하면 </t>
    </r>
    <r>
      <rPr>
        <b/>
        <sz val="11"/>
        <color theme="1"/>
        <rFont val="맑은 고딕"/>
        <family val="3"/>
        <charset val="129"/>
        <scheme val="minor"/>
      </rPr>
      <t>지분율 요건을 모두 충족시키는 게 매우 부담</t>
    </r>
  </si>
  <si>
    <t>예: 삼성물산 → 삼성에피스홀딩스(중간지주사) → 바이오로직스, 에피스</t>
  </si>
  <si>
    <r>
      <t xml:space="preserve">이 경우, </t>
    </r>
    <r>
      <rPr>
        <b/>
        <sz val="11"/>
        <color theme="1"/>
        <rFont val="맑은 고딕"/>
        <family val="3"/>
        <charset val="129"/>
        <scheme val="minor"/>
      </rPr>
      <t>삼성물산은 에피스홀딩스 한 회사만 자회사로 관리하면 됨</t>
    </r>
  </si>
  <si>
    <r>
      <t xml:space="preserve">에피스홀딩스가 상장되기 전이면 </t>
    </r>
    <r>
      <rPr>
        <b/>
        <sz val="11"/>
        <color theme="1"/>
        <rFont val="맑은 고딕"/>
        <family val="3"/>
        <charset val="129"/>
        <scheme val="minor"/>
      </rPr>
      <t>비상장 자회사 100% 소유 또는 50% 이상 소유만 충족하면 됨</t>
    </r>
  </si>
  <si>
    <t>이후 에피스홀딩스가 바이오로직스(상장), 에피스(비상장)를 자회사로 보유하게 되므로:</t>
  </si>
  <si>
    <r>
      <t xml:space="preserve">삼성물산 입장에서는 </t>
    </r>
    <r>
      <rPr>
        <b/>
        <sz val="11"/>
        <color theme="1"/>
        <rFont val="맑은 고딕"/>
        <family val="3"/>
        <charset val="129"/>
        <scheme val="minor"/>
      </rPr>
      <t>한 계열만 신경 쓰면 되고</t>
    </r>
    <r>
      <rPr>
        <sz val="11"/>
        <color theme="1"/>
        <rFont val="맑은 고딕"/>
        <family val="2"/>
        <charset val="129"/>
        <scheme val="minor"/>
      </rPr>
      <t>,</t>
    </r>
  </si>
  <si>
    <r>
      <t xml:space="preserve">바이오 관련 지분율 요건은 </t>
    </r>
    <r>
      <rPr>
        <b/>
        <sz val="11"/>
        <color theme="1"/>
        <rFont val="맑은 고딕"/>
        <family val="3"/>
        <charset val="129"/>
        <scheme val="minor"/>
      </rPr>
      <t>에피스홀딩스 단에서만 맞추면 됨</t>
    </r>
    <r>
      <rPr>
        <sz val="11"/>
        <color theme="1"/>
        <rFont val="맑은 고딕"/>
        <family val="2"/>
        <charset val="129"/>
        <scheme val="minor"/>
      </rPr>
      <t xml:space="preserve"> → </t>
    </r>
    <r>
      <rPr>
        <b/>
        <sz val="11"/>
        <color theme="1"/>
        <rFont val="맑은 고딕"/>
        <family val="3"/>
        <charset val="129"/>
        <scheme val="minor"/>
      </rPr>
      <t>부담 분산</t>
    </r>
  </si>
  <si>
    <t xml:space="preserve"> → 지주회사 요건이 전체 그룹에 적용되면, 지분율 확보에 막대한 비용이 들고 경직됨</t>
    <phoneticPr fontId="1" type="noConversion"/>
  </si>
  <si>
    <t>→ 그룹 전체를 직접 다 지배하지 않고, 분야별로 나눠서 ‘중간 지주사’에게 지분율 요건을 넘기면 더 효율적</t>
    <phoneticPr fontId="1" type="noConversion"/>
  </si>
  <si>
    <t>바이오 부문만 따로 떼어’ 중간지주사를 만든다면?</t>
    <phoneticPr fontId="1" type="noConversion"/>
  </si>
  <si>
    <t>정식 명칭</t>
  </si>
  <si>
    <t>보험업법 개정안 (일명 ‘삼성생명법’)</t>
  </si>
  <si>
    <t>핵심 내용</t>
  </si>
  <si>
    <r>
      <t xml:space="preserve">보험사가 보유한 </t>
    </r>
    <r>
      <rPr>
        <b/>
        <sz val="11"/>
        <color theme="1"/>
        <rFont val="맑은 고딕"/>
        <family val="3"/>
        <charset val="129"/>
        <scheme val="minor"/>
      </rPr>
      <t>계열사 주식 평가 기준을 '취득원가' → '시가'로 변경</t>
    </r>
  </si>
  <si>
    <t>기준 제한</t>
  </si>
  <si>
    <r>
      <t>보험사 총자산의 3% 이내</t>
    </r>
    <r>
      <rPr>
        <sz val="11"/>
        <color theme="1"/>
        <rFont val="맑은 고딕"/>
        <family val="2"/>
        <charset val="129"/>
        <scheme val="minor"/>
      </rPr>
      <t>만 계열사 주식 보유 가능 (시가 기준)</t>
    </r>
  </si>
  <si>
    <t>현재 상황</t>
  </si>
  <si>
    <r>
      <t xml:space="preserve">삼성생명은 삼성전자 지분 </t>
    </r>
    <r>
      <rPr>
        <b/>
        <sz val="11"/>
        <color theme="1"/>
        <rFont val="맑은 고딕"/>
        <family val="3"/>
        <charset val="129"/>
        <scheme val="minor"/>
      </rPr>
      <t>8.5% 보유 중</t>
    </r>
    <r>
      <rPr>
        <sz val="11"/>
        <color theme="1"/>
        <rFont val="맑은 고딕"/>
        <family val="2"/>
        <charset val="129"/>
        <scheme val="minor"/>
      </rPr>
      <t xml:space="preserve">, 대부분이 </t>
    </r>
    <r>
      <rPr>
        <b/>
        <sz val="11"/>
        <color theme="1"/>
        <rFont val="맑은 고딕"/>
        <family val="3"/>
        <charset val="129"/>
        <scheme val="minor"/>
      </rPr>
      <t>3% 초과</t>
    </r>
  </si>
  <si>
    <t>법안 통과 시 영향</t>
  </si>
  <si>
    <r>
      <t xml:space="preserve">삼성생명은 삼성전자 지분 약 </t>
    </r>
    <r>
      <rPr>
        <b/>
        <sz val="11"/>
        <color theme="1"/>
        <rFont val="맑은 고딕"/>
        <family val="3"/>
        <charset val="129"/>
        <scheme val="minor"/>
      </rPr>
      <t>5.5%를 매각</t>
    </r>
    <r>
      <rPr>
        <sz val="11"/>
        <color theme="1"/>
        <rFont val="맑은 고딕"/>
        <family val="2"/>
        <charset val="129"/>
        <scheme val="minor"/>
      </rPr>
      <t>해야 할 수 있음</t>
    </r>
  </si>
  <si>
    <t>삼성생명법의 주요 목적</t>
  </si>
  <si>
    <t>보험사의 자산운용 위험관리 강화 + 계열사 지배구조 투명화</t>
  </si>
  <si>
    <t>법안 발의자</t>
  </si>
  <si>
    <t>민주당 김용민 의원 등 (2020년 이후 꾸준히 발의, 22대 국회에서도 재논의 예정)</t>
  </si>
  <si>
    <t>삼성그룹 영향</t>
  </si>
  <si>
    <r>
      <t xml:space="preserve">🔻 삼성생명의 삼성전자 지배력 약화 → </t>
    </r>
    <r>
      <rPr>
        <b/>
        <sz val="11"/>
        <color theme="1"/>
        <rFont val="맑은 고딕"/>
        <family val="3"/>
        <charset val="129"/>
        <scheme val="minor"/>
      </rPr>
      <t>이재용 회장의 지배구조에 공백 가능성</t>
    </r>
  </si>
  <si>
    <r>
      <t xml:space="preserve">🔻 </t>
    </r>
    <r>
      <rPr>
        <b/>
        <sz val="11"/>
        <color theme="1"/>
        <rFont val="맑은 고딕"/>
        <family val="3"/>
        <charset val="129"/>
        <scheme val="minor"/>
      </rPr>
      <t>삼성물산이 전자 지분을 인수할지 여부가 핵심 관건</t>
    </r>
  </si>
  <si>
    <t>대응 시나리오</t>
  </si>
  <si>
    <t>1. 삼성생명 전자 지분 매각 → 삼성물산 인수 가능성</t>
  </si>
  <si>
    <r>
      <t xml:space="preserve">2. 에피스홀딩스 등 </t>
    </r>
    <r>
      <rPr>
        <b/>
        <sz val="11"/>
        <color theme="1"/>
        <rFont val="맑은 고딕"/>
        <family val="3"/>
        <charset val="129"/>
        <scheme val="minor"/>
      </rPr>
      <t>중간지주사 자산 일부 매각 → 자금 조달</t>
    </r>
  </si>
  <si>
    <r>
      <t xml:space="preserve">3. 지배력 유지를 위한 </t>
    </r>
    <r>
      <rPr>
        <b/>
        <sz val="11"/>
        <color theme="1"/>
        <rFont val="맑은 고딕"/>
        <family val="3"/>
        <charset val="129"/>
        <scheme val="minor"/>
      </rPr>
      <t>지분교환·분할·합병 등의 지배구조 개편 시도</t>
    </r>
  </si>
  <si>
    <t>법안 통과 시기</t>
  </si>
  <si>
    <t>22대 국회 회기 중 재상정 유력 (정무위 심사 대상)</t>
  </si>
  <si>
    <t>→ 아직 확정은 아님</t>
  </si>
  <si>
    <t>척수</t>
  </si>
  <si>
    <t>총계약금액 (KRW)</t>
  </si>
  <si>
    <t>환율 (KRW/USD)</t>
  </si>
  <si>
    <t>총액 (USD)</t>
  </si>
  <si>
    <t>척당 가격 (USD)</t>
  </si>
  <si>
    <t>2척</t>
  </si>
  <si>
    <t>2,706억 원</t>
  </si>
  <si>
    <r>
      <t xml:space="preserve">약 </t>
    </r>
    <r>
      <rPr>
        <b/>
        <sz val="11"/>
        <color theme="1"/>
        <rFont val="맑은 고딕"/>
        <family val="3"/>
        <charset val="129"/>
        <scheme val="minor"/>
      </rPr>
      <t>1.95억 달러</t>
    </r>
  </si>
  <si>
    <t>$97.54 million</t>
  </si>
  <si>
    <t>4척</t>
  </si>
  <si>
    <t>5,383억 원</t>
  </si>
  <si>
    <r>
      <t xml:space="preserve">약 </t>
    </r>
    <r>
      <rPr>
        <b/>
        <sz val="11"/>
        <color theme="1"/>
        <rFont val="맑은 고딕"/>
        <family val="3"/>
        <charset val="129"/>
        <scheme val="minor"/>
      </rPr>
      <t>3.72억 달러</t>
    </r>
  </si>
  <si>
    <t>$92.99 million</t>
  </si>
  <si>
    <t>5,148억 원</t>
  </si>
  <si>
    <r>
      <t xml:space="preserve">약 </t>
    </r>
    <r>
      <rPr>
        <b/>
        <sz val="11"/>
        <color theme="1"/>
        <rFont val="맑은 고딕"/>
        <family val="3"/>
        <charset val="129"/>
        <scheme val="minor"/>
      </rPr>
      <t>3.70억 달러</t>
    </r>
  </si>
  <si>
    <t>$92.49 million</t>
  </si>
  <si>
    <t>아프리카</t>
  </si>
  <si>
    <t>아프리카</t>
    <phoneticPr fontId="1" type="noConversion"/>
  </si>
  <si>
    <t>아시아</t>
    <phoneticPr fontId="1" type="noConversion"/>
  </si>
  <si>
    <t>유럽</t>
    <phoneticPr fontId="1" type="noConversion"/>
  </si>
  <si>
    <t>5월 23일</t>
    <phoneticPr fontId="1" type="noConversion"/>
  </si>
  <si>
    <t>2월 10일</t>
    <phoneticPr fontId="1" type="noConversion"/>
  </si>
  <si>
    <t>11월 8일</t>
    <phoneticPr fontId="1" type="noConversion"/>
  </si>
  <si>
    <t xml:space="preserve"> 2028-09-30</t>
    <phoneticPr fontId="1" type="noConversion"/>
  </si>
  <si>
    <t xml:space="preserve"> 2028-10-31</t>
    <phoneticPr fontId="1" type="noConversion"/>
  </si>
  <si>
    <t>종료일</t>
    <phoneticPr fontId="1" type="noConversion"/>
  </si>
  <si>
    <t>과거</t>
  </si>
  <si>
    <t>현재/미래</t>
  </si>
  <si>
    <t>항만 인프라</t>
  </si>
  <si>
    <t>미비</t>
  </si>
  <si>
    <t>구축 중 (2026~2028 가동)</t>
  </si>
  <si>
    <t>항로 중요성</t>
  </si>
  <si>
    <t>낮음</t>
  </si>
  <si>
    <t>EU 규제 회피로 가치 상승</t>
  </si>
  <si>
    <t>LNG 수요</t>
  </si>
  <si>
    <t>수출지 기반</t>
  </si>
  <si>
    <r>
      <t>수출 + 항로 기착지 수요</t>
    </r>
    <r>
      <rPr>
        <sz val="11"/>
        <color theme="1"/>
        <rFont val="맑은 고딕"/>
        <family val="2"/>
        <charset val="129"/>
        <scheme val="minor"/>
      </rPr>
      <t xml:space="preserve"> 확대</t>
    </r>
  </si>
  <si>
    <t>발주 여력</t>
  </si>
  <si>
    <t>선진국 펀딩 기반 발주 가능</t>
  </si>
  <si>
    <t>선박 운영자</t>
  </si>
  <si>
    <t>글로벌 선사 위탁 운영 가능성</t>
  </si>
  <si>
    <t>3. 진짜 핵심은 유럽인데 이번에 유럽에서 발주가 나옴</t>
    <phoneticPr fontId="1" type="noConversion"/>
  </si>
  <si>
    <t>1. 아시아는 중국과 일본 등에서도 LNG 벙커링선이 분산될 가능성이 있음</t>
    <phoneticPr fontId="1" type="noConversion"/>
  </si>
  <si>
    <t>선박 기항량 차이: 유럽은 ‘운항 중심지’, 아프리카는 ‘경유지’</t>
  </si>
  <si>
    <t>항만 역할</t>
  </si>
  <si>
    <r>
      <t xml:space="preserve">글로벌 </t>
    </r>
    <r>
      <rPr>
        <b/>
        <sz val="11"/>
        <color theme="1"/>
        <rFont val="맑은 고딕"/>
        <family val="3"/>
        <charset val="129"/>
        <scheme val="minor"/>
      </rPr>
      <t>허브 항만</t>
    </r>
    <r>
      <rPr>
        <sz val="11"/>
        <color theme="1"/>
        <rFont val="맑은 고딕"/>
        <family val="2"/>
        <charset val="129"/>
        <scheme val="minor"/>
      </rPr>
      <t xml:space="preserve"> (로테르담, 함부르크, 알헤시라스)</t>
    </r>
  </si>
  <si>
    <r>
      <t xml:space="preserve">주로 </t>
    </r>
    <r>
      <rPr>
        <b/>
        <sz val="11"/>
        <color theme="1"/>
        <rFont val="맑은 고딕"/>
        <family val="3"/>
        <charset val="129"/>
        <scheme val="minor"/>
      </rPr>
      <t>기항 또는 우회지</t>
    </r>
  </si>
  <si>
    <t>기항 선박 수</t>
  </si>
  <si>
    <r>
      <t xml:space="preserve">전 세계 상선의 약 </t>
    </r>
    <r>
      <rPr>
        <b/>
        <sz val="11"/>
        <color theme="1"/>
        <rFont val="맑은 고딕"/>
        <family val="3"/>
        <charset val="129"/>
        <scheme val="minor"/>
      </rPr>
      <t>40% 이상</t>
    </r>
    <r>
      <rPr>
        <sz val="11"/>
        <color theme="1"/>
        <rFont val="맑은 고딕"/>
        <family val="2"/>
        <charset val="129"/>
        <scheme val="minor"/>
      </rPr>
      <t>이 유럽 항만 기항</t>
    </r>
  </si>
  <si>
    <t>제한적, 중장거리 항로 환승지 역할</t>
  </si>
  <si>
    <t>수요 구조</t>
  </si>
  <si>
    <r>
      <t>정기선 + 로컬 유통 + 군수·크루즈 등</t>
    </r>
    <r>
      <rPr>
        <sz val="11"/>
        <color theme="1"/>
        <rFont val="맑은 고딕"/>
        <family val="2"/>
        <charset val="129"/>
        <scheme val="minor"/>
      </rPr>
      <t xml:space="preserve"> 다양</t>
    </r>
  </si>
  <si>
    <t>원자재 수출, 에너지 환적 비중 큼</t>
  </si>
  <si>
    <t>LNG 벙커링 인프라의 선제적 투자 수준 차이</t>
  </si>
  <si>
    <t>LNG 저장소</t>
  </si>
  <si>
    <t>대부분의 대형 항만에 구축 (로테르담, 마르세유, 바르셀로나 등)</t>
  </si>
  <si>
    <t>일부만 계획 중 (리차즈베이, 모잠비크 해안 등)</t>
  </si>
  <si>
    <t>LNG벙커링 전용 배관망 보유 항만 다수</t>
  </si>
  <si>
    <t>없음 또는 건설 초기 단계</t>
  </si>
  <si>
    <t>운영선 사례</t>
  </si>
  <si>
    <r>
      <t xml:space="preserve">이미 </t>
    </r>
    <r>
      <rPr>
        <b/>
        <sz val="11"/>
        <color theme="1"/>
        <rFont val="맑은 고딕"/>
        <family val="3"/>
        <charset val="129"/>
        <scheme val="minor"/>
      </rPr>
      <t>LNG 벙커링선이 상시 운영</t>
    </r>
    <r>
      <rPr>
        <sz val="11"/>
        <color theme="1"/>
        <rFont val="맑은 고딕"/>
        <family val="2"/>
        <charset val="129"/>
        <scheme val="minor"/>
      </rPr>
      <t xml:space="preserve"> 중 (Shell, TotalEnergies, Peninsula 등)</t>
    </r>
  </si>
  <si>
    <t>아직 벙커링선 상시 운용 사례 없음</t>
  </si>
  <si>
    <t>규제와 정책 유인 효과: 유럽이 가장 강함</t>
  </si>
  <si>
    <t>탄소규제</t>
  </si>
  <si>
    <r>
      <t>EU ETS</t>
    </r>
    <r>
      <rPr>
        <sz val="11"/>
        <color theme="1"/>
        <rFont val="맑은 고딕"/>
        <family val="2"/>
        <charset val="129"/>
        <scheme val="minor"/>
      </rPr>
      <t xml:space="preserve"> 해운 부문 적용 (2024~2027 단계적 확대)</t>
    </r>
  </si>
  <si>
    <t>연료 인센티브</t>
  </si>
  <si>
    <r>
      <t xml:space="preserve">LNG 등 저탄소 연료 사용 시 </t>
    </r>
    <r>
      <rPr>
        <b/>
        <sz val="11"/>
        <color theme="1"/>
        <rFont val="맑은 고딕"/>
        <family val="3"/>
        <charset val="129"/>
        <scheme val="minor"/>
      </rPr>
      <t>보조금·과세 감면</t>
    </r>
  </si>
  <si>
    <t>없음 또는 초기 논의 수준</t>
  </si>
  <si>
    <t>IMO 대응도</t>
  </si>
  <si>
    <r>
      <t xml:space="preserve">EU 차원에서 </t>
    </r>
    <r>
      <rPr>
        <b/>
        <sz val="11"/>
        <color theme="1"/>
        <rFont val="맑은 고딕"/>
        <family val="3"/>
        <charset val="129"/>
        <scheme val="minor"/>
      </rPr>
      <t>강제 규정 + 보조금</t>
    </r>
    <r>
      <rPr>
        <sz val="11"/>
        <color theme="1"/>
        <rFont val="맑은 고딕"/>
        <family val="2"/>
        <charset val="129"/>
        <scheme val="minor"/>
      </rPr>
      <t xml:space="preserve"> 병행</t>
    </r>
  </si>
  <si>
    <t>IMO 대응은 있지만 정책 수단 미비</t>
  </si>
  <si>
    <t>자금조달</t>
  </si>
  <si>
    <t>EU, 민간은행, 선사 자체 투자 등 풍부</t>
  </si>
  <si>
    <t>외부 자금 의존, 반복 발주 구조 부재</t>
  </si>
  <si>
    <t>반복 수주</t>
  </si>
  <si>
    <t>Peninsula, Total, Shell 등 현대미포와 반복 거래</t>
  </si>
  <si>
    <t>제한적. 1~2회성 발주 이후 공백 가능성 높음</t>
  </si>
  <si>
    <t>발주 여력과 반복 수주 구조</t>
    <phoneticPr fontId="1" type="noConversion"/>
  </si>
  <si>
    <t>2. 아프리카는 절대량이 유럽보단 작을 거라 생각(여기는 신시장임)</t>
    <phoneticPr fontId="1" type="noConversion"/>
  </si>
  <si>
    <t xml:space="preserve">HD현대미포조선 </t>
    <phoneticPr fontId="1" type="noConversion"/>
  </si>
  <si>
    <t>대통령</t>
  </si>
  <si>
    <t>재임기간</t>
  </si>
  <si>
    <t>1년차 정책 방향 (정책테마)</t>
  </si>
  <si>
    <t>2년차 주도주 및 실적반영 산업</t>
  </si>
  <si>
    <t>1993~2001</t>
  </si>
  <si>
    <t>- 재정건전화</t>
  </si>
  <si>
    <t>- 기술산업 규제완화</t>
  </si>
  <si>
    <t>- NAFTA 서명</t>
  </si>
  <si>
    <t>- 마이크로소프트, 인텔 등</t>
  </si>
  <si>
    <t>IT 기술주 주도</t>
  </si>
  <si>
    <t>닷컴버블 기반 형성기</t>
  </si>
  <si>
    <t>2001~2009</t>
  </si>
  <si>
    <t>- 감세정책 (2001/03)</t>
  </si>
  <si>
    <t>- 국방예산 증액</t>
  </si>
  <si>
    <t>- 에너지 규제 완화</t>
  </si>
  <si>
    <r>
      <t xml:space="preserve">- 록히드마틴, 보잉, 레이시온 등 </t>
    </r>
    <r>
      <rPr>
        <b/>
        <sz val="11"/>
        <color theme="1"/>
        <rFont val="맑은 고딕"/>
        <family val="3"/>
        <charset val="129"/>
        <scheme val="minor"/>
      </rPr>
      <t>방산</t>
    </r>
  </si>
  <si>
    <t>- 에너지·금융도 반사이익</t>
  </si>
  <si>
    <t>9·11 이후 국방 산업 부각</t>
  </si>
  <si>
    <t>2009~2017</t>
  </si>
  <si>
    <r>
      <t xml:space="preserve">- ARRA법 통한 </t>
    </r>
    <r>
      <rPr>
        <b/>
        <sz val="11"/>
        <color theme="1"/>
        <rFont val="맑은 고딕"/>
        <family val="3"/>
        <charset val="129"/>
        <scheme val="minor"/>
      </rPr>
      <t>청정에너지 투자</t>
    </r>
  </si>
  <si>
    <t>- 금융위기 극복 위한 유동성 확대</t>
  </si>
  <si>
    <t>- 퍼스트솔라, Vestas</t>
  </si>
  <si>
    <r>
      <t>TAN ETF</t>
    </r>
    <r>
      <rPr>
        <sz val="11"/>
        <color theme="1"/>
        <rFont val="맑은 고딕"/>
        <family val="2"/>
        <charset val="129"/>
        <scheme val="minor"/>
      </rPr>
      <t xml:space="preserve"> 등 </t>
    </r>
    <r>
      <rPr>
        <b/>
        <sz val="11"/>
        <color theme="1"/>
        <rFont val="맑은 고딕"/>
        <family val="3"/>
        <charset val="129"/>
        <scheme val="minor"/>
      </rPr>
      <t>재생에너지 주도</t>
    </r>
  </si>
  <si>
    <t>정부 보조금 효과 반영</t>
  </si>
  <si>
    <t>2017~2021</t>
  </si>
  <si>
    <t>- 감세 + 규제완화</t>
  </si>
  <si>
    <t>- 방산 수출 확대</t>
  </si>
  <si>
    <t>- 인프라 공약</t>
  </si>
  <si>
    <t>- 반중 공급망 전략</t>
  </si>
  <si>
    <r>
      <t xml:space="preserve">- </t>
    </r>
    <r>
      <rPr>
        <b/>
        <sz val="11"/>
        <color theme="1"/>
        <rFont val="맑은 고딕"/>
        <family val="3"/>
        <charset val="129"/>
        <scheme val="minor"/>
      </rPr>
      <t>방산주</t>
    </r>
    <r>
      <rPr>
        <sz val="11"/>
        <color theme="1"/>
        <rFont val="맑은 고딕"/>
        <family val="2"/>
        <charset val="129"/>
        <scheme val="minor"/>
      </rPr>
      <t xml:space="preserve"> (LMT, RTX)</t>
    </r>
  </si>
  <si>
    <r>
      <t xml:space="preserve">- </t>
    </r>
    <r>
      <rPr>
        <b/>
        <sz val="11"/>
        <color theme="1"/>
        <rFont val="맑은 고딕"/>
        <family val="3"/>
        <charset val="129"/>
        <scheme val="minor"/>
      </rPr>
      <t>금융주</t>
    </r>
    <r>
      <rPr>
        <sz val="11"/>
        <color theme="1"/>
        <rFont val="맑은 고딕"/>
        <family val="2"/>
        <charset val="129"/>
        <scheme val="minor"/>
      </rPr>
      <t xml:space="preserve"> (XLF)</t>
    </r>
  </si>
  <si>
    <r>
      <t xml:space="preserve">- 일부 </t>
    </r>
    <r>
      <rPr>
        <b/>
        <sz val="11"/>
        <color theme="1"/>
        <rFont val="맑은 고딕"/>
        <family val="3"/>
        <charset val="129"/>
        <scheme val="minor"/>
      </rPr>
      <t>인프라주</t>
    </r>
  </si>
  <si>
    <t>정책은 많았으나 실행률은 낮음</t>
  </si>
  <si>
    <r>
      <t xml:space="preserve">- IRA 통한 </t>
    </r>
    <r>
      <rPr>
        <b/>
        <sz val="11"/>
        <color theme="1"/>
        <rFont val="맑은 고딕"/>
        <family val="3"/>
        <charset val="129"/>
        <scheme val="minor"/>
      </rPr>
      <t>2차전지, EV 인센티브</t>
    </r>
  </si>
  <si>
    <t>- 반도체·클린테크 자립화</t>
  </si>
  <si>
    <r>
      <t xml:space="preserve">- </t>
    </r>
    <r>
      <rPr>
        <b/>
        <sz val="11"/>
        <color theme="1"/>
        <rFont val="맑은 고딕"/>
        <family val="3"/>
        <charset val="129"/>
        <scheme val="minor"/>
      </rPr>
      <t>에코프로비엠, L&amp;F, LG엔솔</t>
    </r>
  </si>
  <si>
    <r>
      <t xml:space="preserve">- IRA 수혜주 </t>
    </r>
    <r>
      <rPr>
        <b/>
        <sz val="11"/>
        <color theme="1"/>
        <rFont val="맑은 고딕"/>
        <family val="3"/>
        <charset val="129"/>
        <scheme val="minor"/>
      </rPr>
      <t>주도 (2023)</t>
    </r>
  </si>
  <si>
    <t>2022 법 통과, 2023 본격 반영</t>
  </si>
  <si>
    <r>
      <t xml:space="preserve">- </t>
    </r>
    <r>
      <rPr>
        <b/>
        <sz val="11"/>
        <color theme="1"/>
        <rFont val="맑은 고딕"/>
        <family val="3"/>
        <charset val="129"/>
        <scheme val="minor"/>
      </rPr>
      <t>원자력 산업 부양</t>
    </r>
    <r>
      <rPr>
        <sz val="11"/>
        <color theme="1"/>
        <rFont val="맑은 고딕"/>
        <family val="2"/>
        <charset val="129"/>
        <scheme val="minor"/>
      </rPr>
      <t>: SMR 인허가, 부지 제공, 대출보증</t>
    </r>
  </si>
  <si>
    <r>
      <t xml:space="preserve">- </t>
    </r>
    <r>
      <rPr>
        <b/>
        <sz val="11"/>
        <color theme="1"/>
        <rFont val="맑은 고딕"/>
        <family val="3"/>
        <charset val="129"/>
        <scheme val="minor"/>
      </rPr>
      <t>원전 관련주</t>
    </r>
    <r>
      <rPr>
        <sz val="11"/>
        <color theme="1"/>
        <rFont val="맑은 고딕"/>
        <family val="2"/>
        <charset val="129"/>
        <scheme val="minor"/>
      </rPr>
      <t>: SMR(OKLO, SMR), 연료(LEU, CCJ), 유틸리티(CEG)</t>
    </r>
  </si>
  <si>
    <r>
      <t xml:space="preserve">- </t>
    </r>
    <r>
      <rPr>
        <b/>
        <sz val="11"/>
        <color theme="1"/>
        <rFont val="맑은 고딕"/>
        <family val="3"/>
        <charset val="129"/>
        <scheme val="minor"/>
      </rPr>
      <t>방산</t>
    </r>
    <r>
      <rPr>
        <sz val="11"/>
        <color theme="1"/>
        <rFont val="맑은 고딕"/>
        <family val="2"/>
        <charset val="129"/>
        <scheme val="minor"/>
      </rPr>
      <t>: LMT, RTX, PLTR</t>
    </r>
  </si>
  <si>
    <t>빌 클린턴</t>
    <phoneticPr fontId="1" type="noConversion"/>
  </si>
  <si>
    <t>조지 W. 부시</t>
    <phoneticPr fontId="1" type="noConversion"/>
  </si>
  <si>
    <t>버락 오바마</t>
    <phoneticPr fontId="1" type="noConversion"/>
  </si>
  <si>
    <t>도널드 트럼프 (1기)</t>
    <phoneticPr fontId="1" type="noConversion"/>
  </si>
  <si>
    <t>조 바이든</t>
    <phoneticPr fontId="1" type="noConversion"/>
  </si>
  <si>
    <t>도널드 트럼프 (2기)</t>
    <phoneticPr fontId="1" type="noConversion"/>
  </si>
  <si>
    <t>2021~2025</t>
    <phoneticPr fontId="1" type="noConversion"/>
  </si>
  <si>
    <t xml:space="preserve"> - 조선업은 군함, 쇄빙선 등 연방 프로젝트 중심으로 재정 지원 논의</t>
    <phoneticPr fontId="1" type="noConversion"/>
  </si>
  <si>
    <t>한국 조선주</t>
    <phoneticPr fontId="1" type="noConversion"/>
  </si>
  <si>
    <t xml:space="preserve"> - LNG 수출 허가 확대 수출 인허가 확대, 인프라 규제 완화, 해외시장 확장 (자유에너지 외교)</t>
    <phoneticPr fontId="1" type="noConversion"/>
  </si>
  <si>
    <t xml:space="preserve"> - 국방예산 증액 + 무기수출 촉진
 국방예산 확대 + 미국판 요격체계(Golden Dome) 본토 배치 추진</t>
    <phoneticPr fontId="1" type="noConversion"/>
  </si>
  <si>
    <t xml:space="preserve"> - LNG 관련주: LNG, TELL, WMB</t>
    <phoneticPr fontId="1" type="noConversion"/>
  </si>
  <si>
    <t>2025~</t>
    <phoneticPr fontId="1" type="noConversion"/>
  </si>
  <si>
    <t>은행주</t>
  </si>
  <si>
    <t>증권주</t>
  </si>
  <si>
    <t>증권주가 더 유리한 이유</t>
  </si>
  <si>
    <t>대부분 이미 활용 완료 or 지주 배당으로 전환</t>
  </si>
  <si>
    <t>자사주 잔량 多, 활용은 미진</t>
  </si>
  <si>
    <r>
      <t xml:space="preserve">소각·보상·추가 매입 등 </t>
    </r>
    <r>
      <rPr>
        <b/>
        <sz val="11"/>
        <color theme="1"/>
        <rFont val="맑은 고딕"/>
        <family val="3"/>
        <charset val="129"/>
        <scheme val="minor"/>
      </rPr>
      <t>실질적 주주환원 여력</t>
    </r>
    <r>
      <rPr>
        <sz val="11"/>
        <color theme="1"/>
        <rFont val="맑은 고딕"/>
        <family val="2"/>
        <charset val="129"/>
        <scheme val="minor"/>
      </rPr>
      <t xml:space="preserve"> ↑</t>
    </r>
  </si>
  <si>
    <t>메리츠 등 일부 시행, 대부분 여지 있음</t>
  </si>
  <si>
    <t>소각 발표만으로도 주가 상승 트리거 가능</t>
  </si>
  <si>
    <t>금융당국 규제로 제한 (BIS비율 등)</t>
  </si>
  <si>
    <t>실적 기반 유연한 배당 가능</t>
  </si>
  <si>
    <r>
      <t xml:space="preserve">상법 개정+실적 회복 → </t>
    </r>
    <r>
      <rPr>
        <b/>
        <sz val="11"/>
        <color theme="1"/>
        <rFont val="맑은 고딕"/>
        <family val="3"/>
        <charset val="129"/>
        <scheme val="minor"/>
      </rPr>
      <t>탄력적 배당 확대 용이</t>
    </r>
  </si>
  <si>
    <t>은행업 감독 규제 多 (내부등급법, 배당 제한 등)</t>
  </si>
  <si>
    <t>금융투자업법 규제 상대적 완화</t>
  </si>
  <si>
    <t>정책 유연성 보장, 자율적 주주환원 가능</t>
  </si>
  <si>
    <t>비교적 낮음 (지주사 중심)</t>
  </si>
  <si>
    <r>
      <t>높은 지분율</t>
    </r>
    <r>
      <rPr>
        <sz val="11"/>
        <color theme="1"/>
        <rFont val="맑은 고딕"/>
        <family val="2"/>
        <charset val="129"/>
        <scheme val="minor"/>
      </rPr>
      <t xml:space="preserve"> (오너-배당 유인↑)</t>
    </r>
  </si>
  <si>
    <t>오너의 배당 확대 유인이 명확 (현금 유입)</t>
  </si>
  <si>
    <t>실적 안정성은 높지만 성장성 제한</t>
  </si>
  <si>
    <t>증시 반등, IPO 회복, ELS 발행 증가</t>
  </si>
  <si>
    <t>이익 회복 → 주가/배당 동반 상승 기대</t>
  </si>
  <si>
    <t>해외주식 수수료 경쟁에서 벗어나는 중</t>
  </si>
  <si>
    <r>
      <t xml:space="preserve">브로커리지 마진 회복 → </t>
    </r>
    <r>
      <rPr>
        <b/>
        <sz val="11"/>
        <color theme="1"/>
        <rFont val="맑은 고딕"/>
        <family val="3"/>
        <charset val="129"/>
        <scheme val="minor"/>
      </rPr>
      <t>수익성 개선 중</t>
    </r>
  </si>
  <si>
    <t>자사주 활용 가능성</t>
    <phoneticPr fontId="1" type="noConversion"/>
  </si>
  <si>
    <t>자사주 소각 실행</t>
    <phoneticPr fontId="1" type="noConversion"/>
  </si>
  <si>
    <t>규제 구조</t>
    <phoneticPr fontId="1" type="noConversion"/>
  </si>
  <si>
    <t>시장 위치 변화</t>
    <phoneticPr fontId="1" type="noConversion"/>
  </si>
  <si>
    <t>해외주식 수수료</t>
    <phoneticPr fontId="1" type="noConversion"/>
  </si>
  <si>
    <t>이미 모멘텀 발생했고 새로운건 아님</t>
    <phoneticPr fontId="1" type="noConversion"/>
  </si>
  <si>
    <t>상법과 배당 수혜</t>
    <phoneticPr fontId="1" type="noConversion"/>
  </si>
  <si>
    <t xml:space="preserve"> </t>
    <phoneticPr fontId="1" type="noConversion"/>
  </si>
  <si>
    <t>- 트레저 스페셜 앨범 약 80만장 판매 중 일부가 MD로 인식</t>
  </si>
  <si>
    <t>- 베이비몬스터 일본·미국 포함 총 9회 투어 진행</t>
  </si>
  <si>
    <t>- 2NE1 투어와 YG인베스트의 투자이익 약 42억 반영</t>
  </si>
  <si>
    <t>- MD 매출 약 260억(역대 최고)</t>
  </si>
  <si>
    <t>모멘텀 요약</t>
    <phoneticPr fontId="1" type="noConversion"/>
  </si>
  <si>
    <t xml:space="preserve"> - 베이비몬스터 ‘Hot Sauce’ 7월 1일 발매 예정, MD/음악방송 포함 프로모션 시작</t>
    <phoneticPr fontId="1" type="noConversion"/>
  </si>
  <si>
    <t xml:space="preserve"> - 트레저 활동 공백 / 블랙핑크 투어 개시 전</t>
    <phoneticPr fontId="1" type="noConversion"/>
  </si>
  <si>
    <t xml:space="preserve"> - 베이비몬스터 일본 도쿄·중국 상하이 등 팝업스토어 운영</t>
    <phoneticPr fontId="1" type="noConversion"/>
  </si>
  <si>
    <t xml:space="preserve"> - 베이비몬스터 9월 추가 싱글, 10월 미니 앨범 앞둔 사전 마케팅 기대</t>
    <phoneticPr fontId="1" type="noConversion"/>
  </si>
  <si>
    <t xml:space="preserve"> - 블랙핑크 스타디움 월드투어 본격 개시 (예상 총 325만명)</t>
    <phoneticPr fontId="1" type="noConversion"/>
  </si>
  <si>
    <t xml:space="preserve"> - 베이비몬스터 북미 투어 및 9월 싱글 발표</t>
    <phoneticPr fontId="1" type="noConversion"/>
  </si>
  <si>
    <t xml:space="preserve"> - 베이비몬스터 MD 및 음원/콘서트 매출 본격 반영</t>
    <phoneticPr fontId="1" type="noConversion"/>
  </si>
  <si>
    <t xml:space="preserve"> - 콘서트 및 MD 매출 모두 분기 사상 최대 가능성</t>
    <phoneticPr fontId="1" type="noConversion"/>
  </si>
  <si>
    <t xml:space="preserve"> - 블랙핑크 투어 지속 및 추가 공연 가능성</t>
    <phoneticPr fontId="1" type="noConversion"/>
  </si>
  <si>
    <t xml:space="preserve"> - 10월 베이비몬스터 미니앨범 발매 (4트랙)</t>
    <phoneticPr fontId="1" type="noConversion"/>
  </si>
  <si>
    <t xml:space="preserve"> - 트레저 정규 3집 및 투어 시작</t>
    <phoneticPr fontId="1" type="noConversion"/>
  </si>
  <si>
    <t xml:space="preserve"> - 위너 콘서트 포함 연말 MD/공연 수요 급증 기대</t>
    <phoneticPr fontId="1" type="noConversion"/>
  </si>
  <si>
    <t xml:space="preserve">   7월 싱글 → 9월 싱글 → 10월 미니앨범: 분기별 신곡 + 투어 병행</t>
    <phoneticPr fontId="1" type="noConversion"/>
  </si>
  <si>
    <t>4. 신인 남녀 그룹 런칭 계획 (중장기)</t>
  </si>
  <si>
    <r>
      <t xml:space="preserve">평균 18세, 16세 남자 그룹 2팀 준비 중 → </t>
    </r>
    <r>
      <rPr>
        <b/>
        <sz val="11"/>
        <color theme="1"/>
        <rFont val="맑은 고딕"/>
        <family val="3"/>
        <charset val="129"/>
        <scheme val="minor"/>
      </rPr>
      <t>2026년 1팀 데뷔 목표</t>
    </r>
  </si>
  <si>
    <r>
      <t xml:space="preserve">여자 그룹 4명 멤버 확정 → </t>
    </r>
    <r>
      <rPr>
        <b/>
        <sz val="11"/>
        <color theme="1"/>
        <rFont val="맑은 고딕"/>
        <family val="3"/>
        <charset val="129"/>
        <scheme val="minor"/>
      </rPr>
      <t>2026년 솔로곡/뮤비 중심 데뷔 시사</t>
    </r>
  </si>
  <si>
    <r>
      <t xml:space="preserve">다양한 IP 확보 통한 </t>
    </r>
    <r>
      <rPr>
        <b/>
        <sz val="11"/>
        <color theme="1"/>
        <rFont val="맑은 고딕"/>
        <family val="3"/>
        <charset val="129"/>
        <scheme val="minor"/>
      </rPr>
      <t>멀티그룹 동시 활동 체제 확립 중</t>
    </r>
  </si>
  <si>
    <r>
      <t>LNG BV 탱크는 일반 탱크 대비 마진이 2배 이상</t>
    </r>
    <r>
      <rPr>
        <sz val="11"/>
        <color theme="1"/>
        <rFont val="맑은 고딕"/>
        <family val="2"/>
        <charset val="129"/>
        <scheme val="minor"/>
      </rPr>
      <t xml:space="preserve"> (업체 언급 기준)</t>
    </r>
  </si>
  <si>
    <r>
      <t>2025년 하반기부터 본격 이익 레버리지</t>
    </r>
    <r>
      <rPr>
        <sz val="11"/>
        <color theme="1"/>
        <rFont val="맑은 고딕"/>
        <family val="2"/>
        <charset val="129"/>
        <scheme val="minor"/>
      </rPr>
      <t xml:space="preserve"> 발생</t>
    </r>
  </si>
  <si>
    <r>
      <t>2026~2027년은 전량 고수익 제품 + 대량 인도 구간</t>
    </r>
    <r>
      <rPr>
        <sz val="11"/>
        <color theme="1"/>
        <rFont val="맑은 고딕"/>
        <family val="2"/>
        <charset val="129"/>
        <scheme val="minor"/>
      </rPr>
      <t xml:space="preserve"> → 주가 모멘텀 강력 가능</t>
    </r>
  </si>
  <si>
    <t>세진중공업</t>
    <phoneticPr fontId="1" type="noConversion"/>
  </si>
  <si>
    <t>탱크 인도 척수</t>
  </si>
  <si>
    <t>수익성/모멘텀 요약</t>
  </si>
  <si>
    <t>6척</t>
  </si>
  <si>
    <r>
      <t xml:space="preserve">- </t>
    </r>
    <r>
      <rPr>
        <b/>
        <sz val="11"/>
        <color theme="1"/>
        <rFont val="맑은 고딕"/>
        <family val="3"/>
        <charset val="129"/>
        <scheme val="minor"/>
      </rPr>
      <t>LNG BV 일부 인도 시작</t>
    </r>
    <r>
      <rPr>
        <sz val="11"/>
        <color theme="1"/>
        <rFont val="맑은 고딕"/>
        <family val="2"/>
        <charset val="129"/>
        <scheme val="minor"/>
      </rPr>
      <t xml:space="preserve"> (선제적 비중 증가)</t>
    </r>
  </si>
  <si>
    <t>- 일반 탱크 대비 마진 2배 이상 구조</t>
  </si>
  <si>
    <r>
      <t xml:space="preserve">- </t>
    </r>
    <r>
      <rPr>
        <b/>
        <sz val="11"/>
        <color theme="1"/>
        <rFont val="맑은 고딕"/>
        <family val="3"/>
        <charset val="129"/>
        <scheme val="minor"/>
      </rPr>
      <t>제품믹스 개선 → 영업레버리지 회복기 시작</t>
    </r>
  </si>
  <si>
    <t>11척</t>
  </si>
  <si>
    <r>
      <t xml:space="preserve">- </t>
    </r>
    <r>
      <rPr>
        <b/>
        <sz val="11"/>
        <color theme="1"/>
        <rFont val="맑은 고딕"/>
        <family val="3"/>
        <charset val="129"/>
        <scheme val="minor"/>
      </rPr>
      <t>LNG BV 본격 납품 구간 돌입</t>
    </r>
  </si>
  <si>
    <t>- 전체 매출 중 LNG 고부가 비중 급등</t>
  </si>
  <si>
    <r>
      <t xml:space="preserve">- 대량 생산 기반 → </t>
    </r>
    <r>
      <rPr>
        <b/>
        <sz val="11"/>
        <color theme="1"/>
        <rFont val="맑은 고딕"/>
        <family val="3"/>
        <charset val="129"/>
        <scheme val="minor"/>
      </rPr>
      <t>수익성 급반등 예상</t>
    </r>
  </si>
  <si>
    <t>2026E</t>
  </si>
  <si>
    <t>30척</t>
  </si>
  <si>
    <r>
      <t xml:space="preserve">- LNG BV </t>
    </r>
    <r>
      <rPr>
        <b/>
        <sz val="11"/>
        <color theme="1"/>
        <rFont val="맑은 고딕"/>
        <family val="3"/>
        <charset val="129"/>
        <scheme val="minor"/>
      </rPr>
      <t>정점 납품</t>
    </r>
    <r>
      <rPr>
        <sz val="11"/>
        <color theme="1"/>
        <rFont val="맑은 고딕"/>
        <family val="2"/>
        <charset val="129"/>
        <scheme val="minor"/>
      </rPr>
      <t xml:space="preserve"> 연도 (최대 30척 이상)</t>
    </r>
  </si>
  <si>
    <r>
      <t xml:space="preserve">- 회사 목표: </t>
    </r>
    <r>
      <rPr>
        <b/>
        <sz val="11"/>
        <color theme="1"/>
        <rFont val="맑은 고딕"/>
        <family val="3"/>
        <charset val="129"/>
        <scheme val="minor"/>
      </rPr>
      <t>고정비 흡수로 영업이익률 20% 상회</t>
    </r>
  </si>
  <si>
    <t>- 연간 기준 최고 실적 구간 예상</t>
  </si>
  <si>
    <t>2027E</t>
  </si>
  <si>
    <r>
      <t xml:space="preserve">- </t>
    </r>
    <r>
      <rPr>
        <b/>
        <sz val="11"/>
        <color theme="1"/>
        <rFont val="맑은 고딕"/>
        <family val="3"/>
        <charset val="129"/>
        <scheme val="minor"/>
      </rPr>
      <t>수주 안정화 구간</t>
    </r>
    <r>
      <rPr>
        <sz val="11"/>
        <color theme="1"/>
        <rFont val="맑은 고딕"/>
        <family val="2"/>
        <charset val="129"/>
        <scheme val="minor"/>
      </rPr>
      <t>, LNG BV 및 LCO₂ 지속 공급</t>
    </r>
  </si>
  <si>
    <t>- 고부가 지속 시 수익성 유지 가능</t>
  </si>
  <si>
    <t>- 고객사 확장 및 일본 조선사 발주 기대감 유효</t>
  </si>
  <si>
    <t xml:space="preserve">LNG BV 탱크 Bureau Veritas(선급 기관)의 규격 인증을 받은 LNG 운반선용 극저온 압력 탱크, </t>
    <phoneticPr fontId="1" type="noConversion"/>
  </si>
  <si>
    <t>LNG 운반선(LNG Carrier), LNG 벙커링선 등</t>
    <phoneticPr fontId="1" type="noConversion"/>
  </si>
  <si>
    <t>분기/연도</t>
    <phoneticPr fontId="1" type="noConversion"/>
  </si>
  <si>
    <t>이수페타시스</t>
    <phoneticPr fontId="1" type="noConversion"/>
  </si>
  <si>
    <r>
      <rPr>
        <sz val="9.6"/>
        <color theme="1"/>
        <rFont val="맑은 고딕"/>
        <family val="2"/>
        <charset val="129"/>
      </rPr>
      <t>두산</t>
    </r>
    <phoneticPr fontId="1" type="noConversion"/>
  </si>
  <si>
    <t>이벤트 및 기대 포인트</t>
  </si>
  <si>
    <t>북경한미 실적 회복세 본격화</t>
  </si>
  <si>
    <t>MSD향 MASH 3상 시료 공급 확대</t>
  </si>
  <si>
    <t>고마진 수출 증가로 별도 실적 개선</t>
  </si>
  <si>
    <t>북경한미 영업이익률 상승세 유지</t>
  </si>
  <si>
    <t>별도 실적은 일시적 안정</t>
  </si>
  <si>
    <t>6월 20~23일: ADA 2025</t>
  </si>
  <si>
    <t>- HM15275 (LA-TRIA) 임상 1상 결과 발표</t>
  </si>
  <si>
    <t>- HM17321 (UCN2) 전임상 데이터 발표</t>
  </si>
  <si>
    <t>ADA 발표 후 기술이전 협상 본격화 기대</t>
  </si>
  <si>
    <t>북경한미 계절적 회복</t>
  </si>
  <si>
    <t>경구 비만제 개발 진척 및 투자자 관심 확대</t>
  </si>
  <si>
    <t>에페글레나타이드 국내 3상 종료 예정</t>
  </si>
  <si>
    <t>내수 캐시카우 역할 기대</t>
  </si>
  <si>
    <t>12월~: MASH 치료제 에피노페그듀타이드 2b 글로벌 데이터 발표 예정 (by MSD)</t>
  </si>
  <si>
    <t>예상 기술료 수익 (연간)</t>
  </si>
  <si>
    <t>파트너</t>
  </si>
  <si>
    <t>임상단계</t>
  </si>
  <si>
    <t>파이프라인 가치 (한미약품 몫)</t>
  </si>
  <si>
    <t>GLP-1/GCG (MASH)</t>
  </si>
  <si>
    <t>마일스톤 + 로열티 + 제조수익 포함</t>
  </si>
  <si>
    <t>MSD</t>
  </si>
  <si>
    <t>글로벌 2b 진행 중</t>
  </si>
  <si>
    <t>HM15275 (LA-TRIA)</t>
  </si>
  <si>
    <t>GLP-1/GIP/GCG (비만)</t>
  </si>
  <si>
    <t>미공개 (기술이전 협상 중)</t>
  </si>
  <si>
    <t>임상 1상 발표 예정 (ADA 2025)</t>
  </si>
  <si>
    <t>시장은 최소 수천억 단위 기술이전 기대</t>
  </si>
  <si>
    <t>HM17321 (UCN2)</t>
  </si>
  <si>
    <t>CRFR2 작용 (근육량 유지/비만 보완)</t>
  </si>
  <si>
    <t>미공개 (병용요법 부각 중)</t>
  </si>
  <si>
    <t>전임상 발표 예정 (ADA 2025)</t>
  </si>
  <si>
    <t>상업화 가시성은 낮으나 병용 경쟁력 높음</t>
  </si>
  <si>
    <t>Efinopegdutide</t>
    <phoneticPr fontId="1" type="noConversion"/>
  </si>
  <si>
    <r>
      <t>6,608억 원</t>
    </r>
    <r>
      <rPr>
        <sz val="11"/>
        <color theme="1"/>
        <rFont val="맑은 고딕"/>
        <family val="2"/>
        <charset val="129"/>
        <scheme val="minor"/>
      </rPr>
      <t xml:space="preserve"> </t>
    </r>
    <r>
      <rPr>
        <i/>
        <sz val="11"/>
        <color theme="1"/>
        <rFont val="맑은 고딕"/>
        <family val="3"/>
        <charset val="129"/>
        <scheme val="minor"/>
      </rPr>
      <t>(한미 몫: 약 70%)</t>
    </r>
    <phoneticPr fontId="1" type="noConversion"/>
  </si>
  <si>
    <t>에페글레나타이드 (Efpeglenatide)</t>
  </si>
  <si>
    <t>에피노페그듀타이드 (Efinopegdutide)</t>
  </si>
  <si>
    <t>GLP-1 단일 아고니스트</t>
  </si>
  <si>
    <r>
      <t xml:space="preserve">GLP-1 + Glucagon </t>
    </r>
    <r>
      <rPr>
        <b/>
        <sz val="11"/>
        <color theme="1"/>
        <rFont val="맑은 고딕"/>
        <family val="3"/>
        <charset val="129"/>
        <scheme val="minor"/>
      </rPr>
      <t>듀얼 아고니스트</t>
    </r>
  </si>
  <si>
    <t>적응증</t>
  </si>
  <si>
    <t>당뇨병/비만 (국내)</t>
  </si>
  <si>
    <t>MASH (지방간염, 글로벌)</t>
  </si>
  <si>
    <t>없음 (한미 자체 개발, 국내용)</t>
  </si>
  <si>
    <r>
      <t>MSD</t>
    </r>
    <r>
      <rPr>
        <sz val="11"/>
        <color theme="1"/>
        <rFont val="맑은 고딕"/>
        <family val="2"/>
        <charset val="129"/>
        <scheme val="minor"/>
      </rPr>
      <t xml:space="preserve"> (글로벌 라이선스 아웃)</t>
    </r>
  </si>
  <si>
    <t>현재 진행상황</t>
  </si>
  <si>
    <t>국내 임상 3상 중 (2025년 종료 예정)</t>
  </si>
  <si>
    <t>글로벌 임상 2b 중 (2025년 말 데이터 발표)</t>
  </si>
  <si>
    <t>시기 및 근거</t>
  </si>
  <si>
    <t>1. 북경한미 실적 회복</t>
  </si>
  <si>
    <r>
      <t xml:space="preserve">상반기 유통재고 조정 마무리 후 </t>
    </r>
    <r>
      <rPr>
        <b/>
        <sz val="11"/>
        <color theme="1"/>
        <rFont val="맑은 고딕"/>
        <family val="3"/>
        <charset val="129"/>
        <scheme val="minor"/>
      </rPr>
      <t>하반기부터 매출·이익 정상화</t>
    </r>
    <r>
      <rPr>
        <sz val="11"/>
        <color theme="1"/>
        <rFont val="맑은 고딕"/>
        <family val="2"/>
        <charset val="129"/>
        <scheme val="minor"/>
      </rPr>
      <t xml:space="preserve"> 기대</t>
    </r>
  </si>
  <si>
    <t>유통망 정상화 + 계절적 수요 회복</t>
  </si>
  <si>
    <t>2. 에페글레나타이드 3상 종료</t>
  </si>
  <si>
    <r>
      <t xml:space="preserve">국내 비만치료제 </t>
    </r>
    <r>
      <rPr>
        <b/>
        <sz val="11"/>
        <color theme="1"/>
        <rFont val="맑은 고딕"/>
        <family val="3"/>
        <charset val="129"/>
        <scheme val="minor"/>
      </rPr>
      <t>최초 상용화 후보</t>
    </r>
    <r>
      <rPr>
        <sz val="11"/>
        <color theme="1"/>
        <rFont val="맑은 고딕"/>
        <family val="2"/>
        <charset val="129"/>
        <scheme val="minor"/>
      </rPr>
      <t>, 4Q25 품목허가 신청 전망</t>
    </r>
  </si>
  <si>
    <t>주 1회 투여 GLP-1 단독제, 내수 실적 기여 예정</t>
  </si>
  <si>
    <t>3. 비만 파이프라인 발표</t>
  </si>
  <si>
    <r>
      <t>6월 20~23일 ADA 학회</t>
    </r>
    <r>
      <rPr>
        <sz val="11"/>
        <color theme="1"/>
        <rFont val="맑은 고딕"/>
        <family val="2"/>
        <charset val="129"/>
        <scheme val="minor"/>
      </rPr>
      <t>에서 주요 파이프라인 결과 발표:</t>
    </r>
  </si>
  <si>
    <t>• HM15275(삼중 아고니스트)</t>
  </si>
  <si>
    <t>• HM17321(UCN2 아날로그)</t>
  </si>
  <si>
    <t>경쟁 후보 대비 안전성·근육량 보존 효과 강조</t>
  </si>
  <si>
    <t>4. MSD향 MASH 치료제 2b 결과 발표</t>
  </si>
  <si>
    <r>
      <t>에피노페그듀타이드</t>
    </r>
    <r>
      <rPr>
        <sz val="11"/>
        <color theme="1"/>
        <rFont val="맑은 고딕"/>
        <family val="2"/>
        <charset val="129"/>
        <scheme val="minor"/>
      </rPr>
      <t xml:space="preserve"> 임상 2b 종료 예정</t>
    </r>
  </si>
  <si>
    <t>간섬유화 개선 여부 및 간 조직 분석 데이터 주목</t>
  </si>
  <si>
    <r>
      <t>연말 발표</t>
    </r>
    <r>
      <rPr>
        <sz val="11"/>
        <color theme="1"/>
        <rFont val="맑은 고딕"/>
        <family val="2"/>
        <charset val="129"/>
        <scheme val="minor"/>
      </rPr>
      <t>, MSD 주도로 개발 중, 글로벌 관심 높음</t>
    </r>
  </si>
  <si>
    <t>5. 기술이전(LO) 트리거 기대</t>
  </si>
  <si>
    <r>
      <t xml:space="preserve">ADA 발표 후 글로벌 제약사 대상 </t>
    </r>
    <r>
      <rPr>
        <b/>
        <sz val="11"/>
        <color theme="1"/>
        <rFont val="맑은 고딕"/>
        <family val="3"/>
        <charset val="129"/>
        <scheme val="minor"/>
      </rPr>
      <t>라이선스 아웃 협상 본격화 예상</t>
    </r>
  </si>
  <si>
    <t>특히 삼중·이중 아고니스트 모두 기술이전 우선 타깃</t>
  </si>
  <si>
    <t>과거 MSD 계약 방식 고려 시 수천억 단위 L/O 기대</t>
  </si>
  <si>
    <r>
      <t>GLP-1 + GIP + Glucagon</t>
    </r>
    <r>
      <rPr>
        <sz val="11"/>
        <color theme="1"/>
        <rFont val="맑은 고딕"/>
        <family val="2"/>
        <charset val="129"/>
        <scheme val="minor"/>
      </rPr>
      <t xml:space="preserve"> </t>
    </r>
    <r>
      <rPr>
        <b/>
        <sz val="11"/>
        <color theme="1"/>
        <rFont val="맑은 고딕"/>
        <family val="3"/>
        <charset val="129"/>
        <scheme val="minor"/>
      </rPr>
      <t>삼중 아고니스트(triple agonist)</t>
    </r>
  </si>
  <si>
    <t>투여 방식:</t>
  </si>
  <si>
    <t>**1주일 1회 피하주사(SC, subcutaneous)**로 설계되어 있습니다.</t>
  </si>
  <si>
    <t>경쟁 대비 차별성:</t>
  </si>
  <si>
    <r>
      <t>Retatrutide (Eli Lilly)</t>
    </r>
    <r>
      <rPr>
        <sz val="11"/>
        <color theme="1"/>
        <rFont val="맑은 고딕"/>
        <family val="2"/>
        <charset val="129"/>
        <scheme val="minor"/>
      </rPr>
      <t xml:space="preserve"> 대비 </t>
    </r>
    <r>
      <rPr>
        <b/>
        <sz val="11"/>
        <color theme="1"/>
        <rFont val="맑은 고딕"/>
        <family val="3"/>
        <charset val="129"/>
        <scheme val="minor"/>
      </rPr>
      <t>QT 연장(부정맥) 리스크가 낮은 구조</t>
    </r>
    <r>
      <rPr>
        <sz val="11"/>
        <color theme="1"/>
        <rFont val="맑은 고딕"/>
        <family val="2"/>
        <charset val="129"/>
        <scheme val="minor"/>
      </rPr>
      <t>로 평가됨</t>
    </r>
  </si>
  <si>
    <r>
      <t>근육량 감소 억제 효과까지 포함</t>
    </r>
    <r>
      <rPr>
        <sz val="11"/>
        <color theme="1"/>
        <rFont val="맑은 고딕"/>
        <family val="2"/>
        <charset val="129"/>
        <scheme val="minor"/>
      </rPr>
      <t>되면 프리미엄 부여 가능</t>
    </r>
  </si>
  <si>
    <t>이벤트:</t>
  </si>
  <si>
    <t>2025년 6월 20~23일 ADA 학회에서 임상 1상 결과 발표</t>
  </si>
  <si>
    <r>
      <t xml:space="preserve">발표 이후 </t>
    </r>
    <r>
      <rPr>
        <b/>
        <sz val="11"/>
        <color theme="1"/>
        <rFont val="맑은 고딕"/>
        <family val="3"/>
        <charset val="129"/>
        <scheme val="minor"/>
      </rPr>
      <t>기술이전 협상(LO) 본격화 예상</t>
    </r>
  </si>
  <si>
    <t>HM15275</t>
    <phoneticPr fontId="1" type="noConversion"/>
  </si>
  <si>
    <r>
      <t xml:space="preserve">체중 감소 효과를 극대화하고, </t>
    </r>
    <r>
      <rPr>
        <b/>
        <sz val="11"/>
        <color theme="1"/>
        <rFont val="맑은 고딕"/>
        <family val="3"/>
        <charset val="129"/>
        <scheme val="minor"/>
      </rPr>
      <t>간 대사 조절·근육량 보존·혈당 조절</t>
    </r>
    <r>
      <rPr>
        <sz val="11"/>
        <color theme="1"/>
        <rFont val="맑은 고딕"/>
        <family val="2"/>
        <charset val="129"/>
        <scheme val="minor"/>
      </rPr>
      <t xml:space="preserve"> 기능을 동시에 노리는 전략</t>
    </r>
    <phoneticPr fontId="1" type="noConversion"/>
  </si>
  <si>
    <t>브이티</t>
    <phoneticPr fontId="1" type="noConversion"/>
  </si>
  <si>
    <t>유럽: 영국/프랑스/슬로바키아 중심 MBS(백화점 및 약국 체인) 팝업 시작
일본: 1Q 대비 매출 증가 기대 (계절적 성수기 진입)</t>
    <phoneticPr fontId="1" type="noConversion"/>
  </si>
  <si>
    <t>미국 Ulta Beauty 전매장(약 1,800개) 입점 본격화
캐나다 코스트코 입점
유럽 MBS 유통 확대, 실질적인 매출 기여 시작
중동 지역 실리콘투와의 협업 통한 B2B 확장 본격화</t>
    <phoneticPr fontId="1" type="noConversion"/>
  </si>
  <si>
    <t>전 지역 유통망 정착 및 연말 세일 시즌 수혜 극대화
유럽·미국 채널의 재구매율 증가 및 마케팅 효율화 반영</t>
    <phoneticPr fontId="1" type="noConversion"/>
  </si>
  <si>
    <t>글로벌 확장 가속화</t>
  </si>
  <si>
    <t>중국: 왓슨 3,800개 매장 입점, 왕홍 방송을 통한 마케팅 강화</t>
  </si>
  <si>
    <t>동남아: 쇼피(Shopee) 플랫폼을 통한 판매 증가, 말레이시아·싱가포르·태국 등 진출 확대</t>
  </si>
  <si>
    <t>리들샷 유니버스 확장</t>
  </si>
  <si>
    <t>리들샷 제품군의 글로벌 인기 상승</t>
  </si>
  <si>
    <t>에스테틱 시장 진출을 위한 '리들 부스터' 제품 개발</t>
  </si>
  <si>
    <t>미국, 유럽 중심 고성장: 미국 +250% y-y, 유럽/중동/기타 +608% y-y
일본 매출: 최대 매출처 (매출 비중 45%), 전년비 4% 성장
국내 매출: 드럭스토어 및 면세점 채널 고성장</t>
    <phoneticPr fontId="1" type="noConversion"/>
  </si>
  <si>
    <t>미국: 아마존 중심 매출 증가, ULTA Beauty 및 Target 등 오프라인 채널 입점 확대 예정</t>
    <phoneticPr fontId="1" type="noConversion"/>
  </si>
  <si>
    <t>유럽: 북유럽 중심으로 입점 시작, CPNP 등록 제품 수 증가</t>
    <phoneticPr fontId="1" type="noConversion"/>
  </si>
  <si>
    <t>채널/유통 파트너</t>
  </si>
  <si>
    <t>시점 추정</t>
  </si>
  <si>
    <t>🇺🇸 미국</t>
  </si>
  <si>
    <t>Amazon</t>
  </si>
  <si>
    <r>
      <t>2024년 말~2025년 상반기</t>
    </r>
    <r>
      <rPr>
        <sz val="11"/>
        <color theme="1"/>
        <rFont val="맑은 고딕"/>
        <family val="2"/>
        <charset val="129"/>
        <scheme val="minor"/>
      </rPr>
      <t>*</t>
    </r>
  </si>
  <si>
    <t>- 2024년 하반기부터 매출 증가 시작</t>
  </si>
  <si>
    <t>- 현재도 카테고리 상위 랭킹 유지 중</t>
  </si>
  <si>
    <t>Ulta Beauty (1,800개 매장)</t>
  </si>
  <si>
    <t>2025년 3분기부터 본격 입점</t>
  </si>
  <si>
    <t>- 2Q25: 테스트 납품 및 진열 시작</t>
  </si>
  <si>
    <t>- 3Q25: 전 매장 입점 + 판매 개시</t>
  </si>
  <si>
    <t>Target</t>
  </si>
  <si>
    <r>
      <t>2025년 하반기 예정</t>
    </r>
    <r>
      <rPr>
        <sz val="11"/>
        <color theme="1"/>
        <rFont val="맑은 고딕"/>
        <family val="2"/>
        <charset val="129"/>
        <scheme val="minor"/>
      </rPr>
      <t xml:space="preserve"> </t>
    </r>
    <r>
      <rPr>
        <i/>
        <sz val="11"/>
        <color theme="1"/>
        <rFont val="맑은 고딕"/>
        <family val="3"/>
        <charset val="129"/>
        <scheme val="minor"/>
      </rPr>
      <t>(언론 추정)</t>
    </r>
  </si>
  <si>
    <t>- 리포트엔 미명시, 업계 기사에 2025년 중 납품 협의 언급됨</t>
  </si>
  <si>
    <t>🇨🇳 중국</t>
  </si>
  <si>
    <t>왓슨 (3,800개 매장)</t>
  </si>
  <si>
    <t>2025년 2분기부터 본격 입점</t>
  </si>
  <si>
    <t>- 2024년 하반기 테스트</t>
  </si>
  <si>
    <t>- 2025년 2Q 중 제품 배치 완료 후 판매 개시</t>
  </si>
  <si>
    <t>왕홍 마케팅</t>
  </si>
  <si>
    <t>2025년 2분기~연중 지속</t>
  </si>
  <si>
    <t>- 주력 채널로 활용, 상반기 성수기 집중 배치 예정</t>
  </si>
  <si>
    <t>🇸🇬 동남아</t>
  </si>
  <si>
    <t>Shopee (쇼피)</t>
  </si>
  <si>
    <r>
      <t>2025년 1Q~2Q에 개시</t>
    </r>
    <r>
      <rPr>
        <sz val="11"/>
        <color theme="1"/>
        <rFont val="맑은 고딕"/>
        <family val="2"/>
        <charset val="129"/>
        <scheme val="minor"/>
      </rPr>
      <t xml:space="preserve">, </t>
    </r>
    <r>
      <rPr>
        <b/>
        <sz val="11"/>
        <color theme="1"/>
        <rFont val="맑은 고딕"/>
        <family val="3"/>
        <charset val="129"/>
        <scheme val="minor"/>
      </rPr>
      <t>3Q 이후 본격화</t>
    </r>
  </si>
  <si>
    <t>- 싱가포르·말레이시아·태국 중심으로 진입 시작</t>
  </si>
  <si>
    <t>- 3Q25: 마케팅 확대 예상</t>
  </si>
  <si>
    <t>🇪🇺 유럽</t>
  </si>
  <si>
    <t>북유럽 중심 백화점·약국 체인</t>
  </si>
  <si>
    <t>+ CPNP 인증 제품군</t>
  </si>
  <si>
    <r>
      <t>2025년 2~3분기 입점</t>
    </r>
    <r>
      <rPr>
        <sz val="11"/>
        <color theme="1"/>
        <rFont val="맑은 고딕"/>
        <family val="2"/>
        <charset val="129"/>
        <scheme val="minor"/>
      </rPr>
      <t xml:space="preserve">, </t>
    </r>
    <r>
      <rPr>
        <b/>
        <sz val="11"/>
        <color theme="1"/>
        <rFont val="맑은 고딕"/>
        <family val="3"/>
        <charset val="129"/>
        <scheme val="minor"/>
      </rPr>
      <t>하반기 매출 기여 시작</t>
    </r>
  </si>
  <si>
    <t>- 2Q25: 팝업 운영 개시</t>
  </si>
  <si>
    <t>- 3Q~4Q: 실매출 본격 반영 예상</t>
  </si>
  <si>
    <r>
      <t>2Q25</t>
    </r>
    <r>
      <rPr>
        <sz val="11"/>
        <color theme="1"/>
        <rFont val="맑은 고딕"/>
        <family val="2"/>
        <charset val="129"/>
        <scheme val="minor"/>
      </rPr>
      <t>: 중국(왓슨), 유럽(팝업), 동남아(Shopee) 초기 런칭</t>
    </r>
  </si>
  <si>
    <r>
      <t>3Q25</t>
    </r>
    <r>
      <rPr>
        <sz val="11"/>
        <color theme="1"/>
        <rFont val="맑은 고딕"/>
        <family val="2"/>
        <charset val="129"/>
        <scheme val="minor"/>
      </rPr>
      <t>: 미국 ULTA 전매장 입점, 유럽 실매출 반영 시작</t>
    </r>
  </si>
  <si>
    <r>
      <t>4Q25</t>
    </r>
    <r>
      <rPr>
        <sz val="11"/>
        <color theme="1"/>
        <rFont val="맑은 고딕"/>
        <family val="2"/>
        <charset val="129"/>
        <scheme val="minor"/>
      </rPr>
      <t>: 미국 Target 등 추가 확장 및 연말 수요 효과 본격화</t>
    </r>
  </si>
  <si>
    <t>구체 내용</t>
  </si>
  <si>
    <t>판매량 감소 &amp; 브랜드 리스크</t>
  </si>
  <si>
    <t>- 글로벌 차량 인도량 전년 대비 감소 (중국 -13%, 유럽 -9%)</t>
  </si>
  <si>
    <t>- BYD·샤오미 등과의 가격경쟁 심화</t>
  </si>
  <si>
    <t>- 일론 머스크의 정치 발언 논란으로 유럽·미국 내 브랜드 이미지 타격 발생</t>
  </si>
  <si>
    <t>- AI·로보택시 기술 언급으로 투자자 관심은 유지</t>
  </si>
  <si>
    <t>로보택시 시범 출시 &amp; 저가형 모델 개발 진행</t>
  </si>
  <si>
    <r>
      <t xml:space="preserve">- 6월 말 오스틴에서 </t>
    </r>
    <r>
      <rPr>
        <b/>
        <sz val="11"/>
        <color theme="1"/>
        <rFont val="맑은 고딕"/>
        <family val="3"/>
        <charset val="129"/>
        <scheme val="minor"/>
      </rPr>
      <t>로보택시 시범 운영 개시</t>
    </r>
    <r>
      <rPr>
        <sz val="11"/>
        <color theme="1"/>
        <rFont val="맑은 고딕"/>
        <family val="2"/>
        <charset val="129"/>
        <scheme val="minor"/>
      </rPr>
      <t xml:space="preserve"> (약 10대 규모로 시작 예정)</t>
    </r>
  </si>
  <si>
    <r>
      <t xml:space="preserve">- "Redwood" 코드명의 </t>
    </r>
    <r>
      <rPr>
        <b/>
        <sz val="11"/>
        <color theme="1"/>
        <rFont val="맑은 고딕"/>
        <family val="3"/>
        <charset val="129"/>
        <scheme val="minor"/>
      </rPr>
      <t>신형 저가형 모델 개발 중</t>
    </r>
    <r>
      <rPr>
        <sz val="11"/>
        <color theme="1"/>
        <rFont val="맑은 고딕"/>
        <family val="2"/>
        <charset val="129"/>
        <scheme val="minor"/>
      </rPr>
      <t>, 하반기 양산 목표</t>
    </r>
  </si>
  <si>
    <t>- 일론 머스크, 정치활동 자제 선언 → 브랜드 회복 노력</t>
  </si>
  <si>
    <t>- FSD v12 업데이트로 자율주행 기술 홍보 강화</t>
  </si>
  <si>
    <t>에너지 사업 강화 &amp; 글로벌 점유율 회복 시도</t>
  </si>
  <si>
    <t>- Powerwall·Megapack 중심의 에너지 저장장치 매출 확대 예상</t>
  </si>
  <si>
    <t>- 태양광과 배터리 시스템 통합 판매 확대</t>
  </si>
  <si>
    <t>- 유럽에서 가격 할인 재개 → 점유율 회복 시도</t>
  </si>
  <si>
    <t>- 일부 시장(동남아·남미) 신규 진출 검토</t>
  </si>
  <si>
    <t>저가형 모델 양산 &amp; 연말 인도 확대 전략</t>
  </si>
  <si>
    <t>- 'Model 2' 또는 'Redwood' 모델 출시 가능성</t>
  </si>
  <si>
    <t>- 연말 성수기 맞이 대규모 인도 확대 전략 가동</t>
  </si>
  <si>
    <t>- 로보택시 시범 도시 확대 (LA, Miami 가능성 보도)</t>
  </si>
  <si>
    <t>- FSD 베타 사용자 증가 → 자율주행 전환율 높이기 위한 프로모션 예상</t>
  </si>
  <si>
    <t>1Q25</t>
    <phoneticPr fontId="1" type="noConversion"/>
  </si>
  <si>
    <t>2Q25</t>
    <phoneticPr fontId="1" type="noConversion"/>
  </si>
  <si>
    <t>3Q25</t>
    <phoneticPr fontId="1" type="noConversion"/>
  </si>
  <si>
    <t>4Q25</t>
    <phoneticPr fontId="1" type="noConversion"/>
  </si>
  <si>
    <t>광고요금제 성장 + WWE 중계 시작 + 오징어게임 시즌2</t>
  </si>
  <si>
    <r>
      <t xml:space="preserve">- </t>
    </r>
    <r>
      <rPr>
        <b/>
        <sz val="11"/>
        <color theme="1"/>
        <rFont val="맑은 고딕"/>
        <family val="3"/>
        <charset val="129"/>
        <scheme val="minor"/>
      </rPr>
      <t>광고요금제 가입자 7천만 명 돌파</t>
    </r>
    <r>
      <rPr>
        <sz val="11"/>
        <color theme="1"/>
        <rFont val="맑은 고딕"/>
        <family val="2"/>
        <charset val="129"/>
        <scheme val="minor"/>
      </rPr>
      <t>, 전체의 46% 비중</t>
    </r>
  </si>
  <si>
    <r>
      <t xml:space="preserve">- </t>
    </r>
    <r>
      <rPr>
        <b/>
        <sz val="11"/>
        <color theme="1"/>
        <rFont val="맑은 고딕"/>
        <family val="3"/>
        <charset val="129"/>
        <scheme val="minor"/>
      </rPr>
      <t>2025년 1월 6일</t>
    </r>
    <r>
      <rPr>
        <sz val="11"/>
        <color theme="1"/>
        <rFont val="맑은 고딕"/>
        <family val="2"/>
        <charset val="129"/>
        <scheme val="minor"/>
      </rPr>
      <t xml:space="preserve">, 넷플릭스에서 </t>
    </r>
    <r>
      <rPr>
        <b/>
        <sz val="11"/>
        <color theme="1"/>
        <rFont val="맑은 고딕"/>
        <family val="3"/>
        <charset val="129"/>
        <scheme val="minor"/>
      </rPr>
      <t>WWE Raw 중계 개시</t>
    </r>
    <r>
      <rPr>
        <sz val="11"/>
        <color theme="1"/>
        <rFont val="맑은 고딕"/>
        <family val="2"/>
        <charset val="129"/>
        <scheme val="minor"/>
      </rPr>
      <t xml:space="preserve"> → 첫 방송 490만 시청</t>
    </r>
  </si>
  <si>
    <t>- '오징어게임 시즌2' 론칭, 글로벌 흥행 → 가입자 1,890만 순증</t>
  </si>
  <si>
    <t>- 매출 105억 달러(+13% YoY), EPS $6.61로 컨센서스 상회</t>
  </si>
  <si>
    <t>광고 수익 확대 + 스포츠 콘텐츠 확장</t>
  </si>
  <si>
    <t>- 광고주 증가: WWE 중계 효과로 CPG, 스포츠 브랜드 광고 유입</t>
  </si>
  <si>
    <r>
      <t xml:space="preserve">- 광고 매출 전년 동기 대비 </t>
    </r>
    <r>
      <rPr>
        <b/>
        <sz val="11"/>
        <color theme="1"/>
        <rFont val="맑은 고딕"/>
        <family val="3"/>
        <charset val="129"/>
        <scheme val="minor"/>
      </rPr>
      <t>+100% 예상</t>
    </r>
    <r>
      <rPr>
        <sz val="11"/>
        <color theme="1"/>
        <rFont val="맑은 고딕"/>
        <family val="2"/>
        <charset val="129"/>
        <scheme val="minor"/>
      </rPr>
      <t>, 자체 광고 서버 도입 중</t>
    </r>
  </si>
  <si>
    <t>- 프랑스 오리지널 ‘오베르뉴의 밤’ 흥행</t>
  </si>
  <si>
    <t>- 넷플릭스 게임 플랫폼 확대 테스트 (모바일 연동 시범 출시)</t>
  </si>
  <si>
    <t>콘텐츠 투자 확대 + 지역별 오리지널 확대</t>
  </si>
  <si>
    <t>- 콘텐츠 투자 총액 180억 달러 중 3/4 이상 집행</t>
  </si>
  <si>
    <t>- 일본, 인도, 남미 오리지널 콘텐츠 출시 확대 → 지역별 순증 견인</t>
  </si>
  <si>
    <t>- '브리저튼 시즌4', '더 그레이맨2' 등 프랜차이즈 콘텐츠 연달아 공개 예정</t>
  </si>
  <si>
    <t>- NFL 관련 다큐멘터리 계약 체결설 부각</t>
  </si>
  <si>
    <t>연말 쇼핑·스포츠 수요 흡수 + 수익모델 다변화</t>
  </si>
  <si>
    <r>
      <t xml:space="preserve">- </t>
    </r>
    <r>
      <rPr>
        <b/>
        <sz val="11"/>
        <color theme="1"/>
        <rFont val="맑은 고딕"/>
        <family val="3"/>
        <charset val="129"/>
        <scheme val="minor"/>
      </rPr>
      <t>광고+구독 하이브리드 모델 정착</t>
    </r>
    <r>
      <rPr>
        <sz val="11"/>
        <color theme="1"/>
        <rFont val="맑은 고딕"/>
        <family val="2"/>
        <charset val="129"/>
        <scheme val="minor"/>
      </rPr>
      <t>: 연말 최대 수익구간 돌입</t>
    </r>
  </si>
  <si>
    <t>- WWE 연말 특집 + 크리스마스 시즌 특화 콘텐츠 (가족向 중심)</t>
  </si>
  <si>
    <t>- 게임 플랫폼 상용화 가능성 검토 (클라우드 기반 TV/모바일 연동)</t>
  </si>
  <si>
    <t>- 시청 기반 광고 정산 비율 조정 등 광고주 플랫폼 고도화 추진</t>
  </si>
  <si>
    <t>넷플릭스</t>
    <phoneticPr fontId="1" type="noConversion"/>
  </si>
  <si>
    <t>테슬라</t>
    <phoneticPr fontId="1" type="noConversion"/>
  </si>
  <si>
    <t>Constellation Energy (CEG)</t>
  </si>
  <si>
    <t>AI 데이터센터 수요 확대 + 실적 서프라이즈</t>
  </si>
  <si>
    <t>- 조정 EPS $2.14 (예상 $2.03 상회), 매출 $67.9억 (+10% YoY)</t>
  </si>
  <si>
    <t>- AI 및 고성능 연산(HPC) 전력 수요 증가가 원자력 기반 발전 수익에 기여</t>
  </si>
  <si>
    <t>- 가동률 94.1%, 고정단가 계약 비중 높아 마진 우수</t>
  </si>
  <si>
    <r>
      <t xml:space="preserve">- </t>
    </r>
    <r>
      <rPr>
        <b/>
        <sz val="11"/>
        <color theme="1"/>
        <rFont val="맑은 고딕"/>
        <family val="3"/>
        <charset val="129"/>
        <scheme val="minor"/>
      </rPr>
      <t>Calpine 인수 발표 (1월 10일)</t>
    </r>
    <r>
      <rPr>
        <sz val="11"/>
        <color theme="1"/>
        <rFont val="맑은 고딕"/>
        <family val="2"/>
        <charset val="129"/>
        <scheme val="minor"/>
      </rPr>
      <t xml:space="preserve"> – 천연가스+지열 자산 편입 계획</t>
    </r>
  </si>
  <si>
    <t>정부·빅테크 장기 계약 증가 + ESG 전력 공급 확대</t>
  </si>
  <si>
    <t>- 마이크로소프트와 10년 계약 포함, 연간 수천 GWh 단위 계약 확대</t>
  </si>
  <si>
    <t>- 친환경 인증(PPA) 기반 전력 수요 급증</t>
  </si>
  <si>
    <t>- Calpine 인수 승인 절차 진행 중, 시너지 기대감 반영</t>
  </si>
  <si>
    <t>- 주당 $1.96 수준의 실적 컨센서스 존재</t>
  </si>
  <si>
    <t>Calpine 인수 마무리 + 포트폴리오 다각화 본격화</t>
  </si>
  <si>
    <t>- $266억 규모의 Calpine 인수 거래 완료 예상</t>
  </si>
  <si>
    <t>- 천연가스 기반 발전 포함 → 계절 수요 및 가격 대응력 ↑</t>
  </si>
  <si>
    <t>- 에너지 믹스 다각화로 시장점유율 상승 기대</t>
  </si>
  <si>
    <t>- AI 중심 전력 수요와 함께 민간 계약 지속 확대</t>
  </si>
  <si>
    <t>겨울철 수요 피크 대응 + ESG 전력 거래 플랫폼 강화</t>
  </si>
  <si>
    <t>- 겨울 난방 수요 및 데이터센터 부하 증가 대응</t>
  </si>
  <si>
    <t>- 친환경 전력 거래 플랫폼 확대 → B2B 클라이언트 유입</t>
  </si>
  <si>
    <t>- 연간 가이던스 EPS $8.90~$9.60 유지 가능성 높음</t>
  </si>
  <si>
    <t>- 향후 2026년 정책 수혜 연계한 신규 시설 가동 계획 발표 가능성</t>
  </si>
  <si>
    <t>광고 수익 폭발적 성장 + 수익성 개선</t>
  </si>
  <si>
    <r>
      <t xml:space="preserve">- 총 매출 </t>
    </r>
    <r>
      <rPr>
        <b/>
        <sz val="11"/>
        <color theme="1"/>
        <rFont val="맑은 고딕"/>
        <family val="3"/>
        <charset val="129"/>
        <scheme val="minor"/>
      </rPr>
      <t>$1.48B (+40% YoY)</t>
    </r>
    <r>
      <rPr>
        <sz val="11"/>
        <color theme="1"/>
        <rFont val="맑은 고딕"/>
        <family val="2"/>
        <charset val="129"/>
        <scheme val="minor"/>
      </rPr>
      <t xml:space="preserve">, 광고 매출 $1.16B </t>
    </r>
    <r>
      <rPr>
        <b/>
        <sz val="11"/>
        <color theme="1"/>
        <rFont val="맑은 고딕"/>
        <family val="3"/>
        <charset val="129"/>
        <scheme val="minor"/>
      </rPr>
      <t>(+71%)</t>
    </r>
  </si>
  <si>
    <r>
      <t xml:space="preserve">- 조정 EBITDA $1.005B </t>
    </r>
    <r>
      <rPr>
        <b/>
        <sz val="11"/>
        <color theme="1"/>
        <rFont val="맑은 고딕"/>
        <family val="3"/>
        <charset val="129"/>
        <scheme val="minor"/>
      </rPr>
      <t>(+83%)</t>
    </r>
    <r>
      <rPr>
        <sz val="11"/>
        <color theme="1"/>
        <rFont val="맑은 고딕"/>
        <family val="2"/>
        <charset val="129"/>
        <scheme val="minor"/>
      </rPr>
      <t>, 마진 81%로 업계 최상위</t>
    </r>
  </si>
  <si>
    <t>- 게임 부문 매각 추진 공식화</t>
  </si>
  <si>
    <r>
      <t xml:space="preserve">- </t>
    </r>
    <r>
      <rPr>
        <b/>
        <sz val="11"/>
        <color theme="1"/>
        <rFont val="맑은 고딕"/>
        <family val="3"/>
        <charset val="129"/>
        <scheme val="minor"/>
      </rPr>
      <t>ROAS(광고 수익률) 향상</t>
    </r>
    <r>
      <rPr>
        <sz val="11"/>
        <color theme="1"/>
        <rFont val="맑은 고딕"/>
        <family val="2"/>
        <charset val="129"/>
        <scheme val="minor"/>
      </rPr>
      <t>: AXON 엔진의 타겟팅 성능 개선 효과 반영</t>
    </r>
  </si>
  <si>
    <t>Tripledot에 게임 부문 매각 완료, 광고 집중</t>
  </si>
  <si>
    <r>
      <t xml:space="preserve">- </t>
    </r>
    <r>
      <rPr>
        <b/>
        <sz val="11"/>
        <color theme="1"/>
        <rFont val="맑은 고딕"/>
        <family val="3"/>
        <charset val="129"/>
        <scheme val="minor"/>
      </rPr>
      <t>2025년 5월 8일</t>
    </r>
    <r>
      <rPr>
        <sz val="11"/>
        <color theme="1"/>
        <rFont val="맑은 고딕"/>
        <family val="2"/>
        <charset val="129"/>
        <scheme val="minor"/>
      </rPr>
      <t>, 게임 자회사 일괄 매각 완료</t>
    </r>
  </si>
  <si>
    <t> → 4억 달러 현금 + Tripledot 20% 지분 확보</t>
  </si>
  <si>
    <t>- 광고 사업에 집중 → 리소스 재배치, 광고주 확장</t>
  </si>
  <si>
    <r>
      <t xml:space="preserve">- AXON 플랫폼 내 </t>
    </r>
    <r>
      <rPr>
        <b/>
        <sz val="11"/>
        <color theme="1"/>
        <rFont val="맑은 고딕"/>
        <family val="3"/>
        <charset val="129"/>
        <scheme val="minor"/>
      </rPr>
      <t>LTV 예측 AI 모델</t>
    </r>
    <r>
      <rPr>
        <sz val="11"/>
        <color theme="1"/>
        <rFont val="맑은 고딕"/>
        <family val="2"/>
        <charset val="129"/>
        <scheme val="minor"/>
      </rPr>
      <t xml:space="preserve"> 정식 배포</t>
    </r>
  </si>
  <si>
    <t>- 광고 매출 가이던스: $1.195~$1.215B</t>
  </si>
  <si>
    <t>글로벌 확장 + 리테일 미디어 광고 수요 유입</t>
  </si>
  <si>
    <t>- 유럽/동남아 시장에 광고 플랫폼 AXON 확대</t>
  </si>
  <si>
    <t>- 모바일 커머스 기반 리테일 기업들의 신규 캠페인 유입</t>
  </si>
  <si>
    <t>- 게임 유입 기반 사용자 타겟팅 → 전환형 광고 성능 개선 강조</t>
  </si>
  <si>
    <t>- 수익성과 캐시플로우 중심 운영 유지 예상</t>
  </si>
  <si>
    <t>연말 광고 성수기 수혜 + AI 광고 엔진 고도화</t>
  </si>
  <si>
    <t>- 연말 쇼핑 시즌: 인앱 광고 수요 급증</t>
  </si>
  <si>
    <t>- AXON 플랫폼 내 ‘크리에이티브 최적화 자동화’ 기능 배포 예상</t>
  </si>
  <si>
    <t>- 마케팅 SaaS(Software-as-a-Service) 모듈 테스트 확대</t>
  </si>
  <si>
    <t>- 마진 80% 이상 유지하며 EPS 상향 가능성</t>
  </si>
  <si>
    <t>사업 모델 전환</t>
  </si>
  <si>
    <r>
      <t xml:space="preserve">모바일 게임 → </t>
    </r>
    <r>
      <rPr>
        <b/>
        <sz val="11"/>
        <color theme="1"/>
        <rFont val="맑은 고딕"/>
        <family val="3"/>
        <charset val="129"/>
        <scheme val="minor"/>
      </rPr>
      <t>AI 기반 광고 플랫폼</t>
    </r>
    <r>
      <rPr>
        <sz val="11"/>
        <color theme="1"/>
        <rFont val="맑은 고딕"/>
        <family val="2"/>
        <charset val="129"/>
        <scheme val="minor"/>
      </rPr>
      <t xml:space="preserve"> 중심으로 전환 완료</t>
    </r>
  </si>
  <si>
    <t>광고 엔진</t>
  </si>
  <si>
    <t>AXON: 클릭률+15%, 전환율+20% 개선 효과 확인 (2025년 기준)</t>
  </si>
  <si>
    <t>수익성</t>
  </si>
  <si>
    <r>
      <t xml:space="preserve">광고 부문 </t>
    </r>
    <r>
      <rPr>
        <b/>
        <sz val="11"/>
        <color theme="1"/>
        <rFont val="맑은 고딕"/>
        <family val="3"/>
        <charset val="129"/>
        <scheme val="minor"/>
      </rPr>
      <t>EBITDA 마진 80% 이상</t>
    </r>
    <r>
      <rPr>
        <sz val="11"/>
        <color theme="1"/>
        <rFont val="맑은 고딕"/>
        <family val="2"/>
        <charset val="129"/>
        <scheme val="minor"/>
      </rPr>
      <t>, GAAP 기준 흑자 구조 안착</t>
    </r>
  </si>
  <si>
    <t>경쟁력</t>
  </si>
  <si>
    <r>
      <t xml:space="preserve">Unity·Google·ironSource 대비 </t>
    </r>
    <r>
      <rPr>
        <b/>
        <sz val="11"/>
        <color theme="1"/>
        <rFont val="맑은 고딕"/>
        <family val="3"/>
        <charset val="129"/>
        <scheme val="minor"/>
      </rPr>
      <t>더 높은 ROAS/효율성 강조</t>
    </r>
  </si>
  <si>
    <t>전략적 투자</t>
  </si>
  <si>
    <t>Tripledot 지분 확보 → 게임 생태계 연동성 일부 유지</t>
  </si>
  <si>
    <t>리스크</t>
  </si>
  <si>
    <t>광고 성과 기반(ROAS)에 대한 의존도 높음, 시장 광고비 변동 민감</t>
  </si>
  <si>
    <t>산업 위치</t>
  </si>
  <si>
    <t>북미 최대 민간 원자력 발전 기업 + 친환경 중심 유틸리티</t>
  </si>
  <si>
    <t>고객 구조</t>
  </si>
  <si>
    <t>기업 중심 (Microsoft 등 빅테크 포함), 장기 고정단가 계약 다수</t>
  </si>
  <si>
    <t>전력 수요 동인</t>
  </si>
  <si>
    <t>AI 데이터센터, ESG PPA 수요, 정부·군 계약</t>
  </si>
  <si>
    <t>수익구조 강점</t>
  </si>
  <si>
    <t>가동률 90% 이상 유지, 연료비 변동 영향 적은 원자력 기반</t>
  </si>
  <si>
    <t>확장 전략</t>
  </si>
  <si>
    <t>Calpine 인수로 천연가스 발전 편입, 포트폴리오 리밸런싱 진행 중</t>
  </si>
  <si>
    <t>AppLovin (APP)</t>
  </si>
  <si>
    <t>1Q25</t>
    <phoneticPr fontId="1" type="noConversion"/>
  </si>
  <si>
    <t>2Q25</t>
    <phoneticPr fontId="1" type="noConversion"/>
  </si>
  <si>
    <t>3Q25</t>
    <phoneticPr fontId="1" type="noConversion"/>
  </si>
  <si>
    <t>4Q25</t>
    <phoneticPr fontId="1" type="noConversion"/>
  </si>
  <si>
    <t xml:space="preserve"> GE Vernova (GEV)</t>
    <phoneticPr fontId="1" type="noConversion"/>
  </si>
  <si>
    <t>전력장비 수주 폭증 + IRA 수혜 본격화</t>
  </si>
  <si>
    <t>- 매출: $8.03B, YoY +14%, 수주 +43% (사상 최대)</t>
  </si>
  <si>
    <r>
      <t xml:space="preserve">- 미국 인플레이션 감축법(IRA) 기반 </t>
    </r>
    <r>
      <rPr>
        <b/>
        <sz val="11"/>
        <color theme="1"/>
        <rFont val="맑은 고딕"/>
        <family val="3"/>
        <charset val="129"/>
        <scheme val="minor"/>
      </rPr>
      <t>신재생 프로젝트 착공 급증</t>
    </r>
  </si>
  <si>
    <t>- 가스터빈 42기, 육상풍력 102기 수주</t>
  </si>
  <si>
    <t>- 전력망 장비 HVDC·변압기 수주 증가</t>
  </si>
  <si>
    <t>- 영업이익 흑자 전환, 분사 후 첫 분기 안정적 실적</t>
  </si>
  <si>
    <t>전력망 현대화 + 유럽 그리드 프로젝트 확대</t>
  </si>
  <si>
    <r>
      <t xml:space="preserve">- 유럽의 러시아 가스 대체 정책에 따른 </t>
    </r>
    <r>
      <rPr>
        <b/>
        <sz val="11"/>
        <color theme="1"/>
        <rFont val="맑은 고딕"/>
        <family val="3"/>
        <charset val="129"/>
        <scheme val="minor"/>
      </rPr>
      <t>고압 직류 송전(HVDC)</t>
    </r>
    <r>
      <rPr>
        <sz val="11"/>
        <color theme="1"/>
        <rFont val="맑은 고딕"/>
        <family val="2"/>
        <charset val="129"/>
        <scheme val="minor"/>
      </rPr>
      <t xml:space="preserve"> 수요 증가</t>
    </r>
  </si>
  <si>
    <t>- 미 전력망 재설계(RTO 개편) 계획에 따른 EPC 계약 확대 예상</t>
  </si>
  <si>
    <t>- 육상풍력 부문 기술 업그레이드 발표 예정</t>
  </si>
  <si>
    <t>- IRA에 따른 PTC(생산세액공제) 적용 본격 반영</t>
  </si>
  <si>
    <t>산업용 가스터빈 수요 확대 + 글로벌 진출 강화</t>
  </si>
  <si>
    <t>- 여름 피크 전력 대비 → 가스터빈 유지보수/신규 공급 증가</t>
  </si>
  <si>
    <t>- 인도·동남아 등 신흥국에서 EPC 수주 확대 가능성</t>
  </si>
  <si>
    <t>- ESS(에너지저장장치) 연계형 풍력 제품군 출시 가능성</t>
  </si>
  <si>
    <t>- 탄소 포집(CO₂ capture) 기술 파일럿 발표 가능성</t>
  </si>
  <si>
    <t>연말 수주 피크 + IRA 자금 집행 본격화</t>
  </si>
  <si>
    <t>- 미국/유럽에서 연말 입찰 마감 전 대규모 프로젝트 수주 몰림 예상</t>
  </si>
  <si>
    <t>- 전력망 리빌딩, ESS 통합형 프로젝트 다수 계약</t>
  </si>
  <si>
    <t>- EPS 가이던스 상향 발표 가능성</t>
  </si>
  <si>
    <t>- 재생에너지 비중 증가와 ESG 투자 급증에 따른 프리미엄 부각</t>
  </si>
  <si>
    <t>정부·대기업 고객 수요 견조 + 수익성 개선</t>
  </si>
  <si>
    <t>- 매출 $582M, YoY +35%, EPS $0.79 (예상치 상회)</t>
  </si>
  <si>
    <t>- 美 연방정부 Zero Trust 정책 추진 → FedRAMP 인증 클라우드 수요 급증</t>
  </si>
  <si>
    <t>- 신규 대기업 고객 확대 (연 매출 $1M 이상 계약 ↑)</t>
  </si>
  <si>
    <t>- ZIA (인터넷 접근제어) + ZPA (내부접근) 통합 강화</t>
  </si>
  <si>
    <t>AI 기반 탐지 기술 도입 + 보안 ROI 강조</t>
  </si>
  <si>
    <t>- AI 기반 위협 예측 시스템 업데이트</t>
  </si>
  <si>
    <t>- 자동화된 사고 대응 기능으로 운영 효율성 개선 → 고객 유지율 강화</t>
  </si>
  <si>
    <t>- 유럽/일본 등 규제 강화에 따라 글로벌 고객 확대</t>
  </si>
  <si>
    <t>- 경쟁사 대비 낮은 총소유비용(ROI) 강조로 신규 고객 유입</t>
  </si>
  <si>
    <t>엔터프라이즈 고객군 중심 수주 확대</t>
  </si>
  <si>
    <t>- 리테일·헬스케어·제조업 등 산업별 보안 요구 증대</t>
  </si>
  <si>
    <t>- 통합형 보안 플랫폼(ZIA+ZPA+ZTNA) 구축 수요 확대</t>
  </si>
  <si>
    <t>- 클라우드 기반으로 빠른 도입 가능, On-prem 경쟁사 대비 우위 지속</t>
  </si>
  <si>
    <t>연말 보안위협 증가 대비 + 신규 제품 출시</t>
  </si>
  <si>
    <t>- 연말 랜섬웨어/피싱 증가 대응 위한 신규 캠페인 확대</t>
  </si>
  <si>
    <t>- ZDX(사용자경험 보안)와 SASE(엣지 기반 보안) 통합 솔루션 확대</t>
  </si>
  <si>
    <t>- AI 기반 엔드포인트 통합 기능 발표 가능성</t>
  </si>
  <si>
    <t>- 연간 신규 ARR(연환산 매출) 가이던스 상향 가능성</t>
  </si>
  <si>
    <t>3Q25</t>
    <phoneticPr fontId="1" type="noConversion"/>
  </si>
  <si>
    <t>Zscaler (ZS)</t>
  </si>
  <si>
    <t>Zscaler (ZS)</t>
    <phoneticPr fontId="1" type="noConversion"/>
  </si>
  <si>
    <r>
      <t xml:space="preserve">2021년 미국 대통령 행정명령 EO 14028에 따라, </t>
    </r>
    <r>
      <rPr>
        <b/>
        <sz val="11"/>
        <color theme="1"/>
        <rFont val="맑은 고딕"/>
        <family val="3"/>
        <charset val="129"/>
        <scheme val="minor"/>
      </rPr>
      <t>2024년부터 모든 연방기관은 제로트러스트 체계 전환이 의무화</t>
    </r>
    <r>
      <rPr>
        <sz val="11"/>
        <color theme="1"/>
        <rFont val="맑은 고딕"/>
        <family val="2"/>
        <charset val="129"/>
        <scheme val="minor"/>
      </rPr>
      <t>됨.</t>
    </r>
  </si>
  <si>
    <r>
      <t xml:space="preserve">Zscaler는 </t>
    </r>
    <r>
      <rPr>
        <b/>
        <sz val="11"/>
        <color theme="1"/>
        <rFont val="맑은 고딕"/>
        <family val="3"/>
        <charset val="129"/>
        <scheme val="minor"/>
      </rPr>
      <t>FedRAMP High 인증</t>
    </r>
    <r>
      <rPr>
        <sz val="11"/>
        <color theme="1"/>
        <rFont val="맑은 고딕"/>
        <family val="2"/>
        <charset val="129"/>
        <scheme val="minor"/>
      </rPr>
      <t>을 받은 몇 안 되는 민간 보안 SaaS 플랫폼입니다.</t>
    </r>
  </si>
  <si>
    <r>
      <t xml:space="preserve">미국 국방부, NASA, DHS 등이 채택 중 → </t>
    </r>
    <r>
      <rPr>
        <b/>
        <sz val="11"/>
        <color theme="1"/>
        <rFont val="맑은 고딕"/>
        <family val="3"/>
        <charset val="129"/>
        <scheme val="minor"/>
      </rPr>
      <t>계속적 수의계약 가능</t>
    </r>
  </si>
  <si>
    <r>
      <t xml:space="preserve">2024년부터 NIS2 시행 → </t>
    </r>
    <r>
      <rPr>
        <b/>
        <sz val="11"/>
        <color theme="1"/>
        <rFont val="맑은 고딕"/>
        <family val="3"/>
        <charset val="129"/>
        <scheme val="minor"/>
      </rPr>
      <t>대형 기업들도 최소 보안 체계 도입 의무</t>
    </r>
  </si>
  <si>
    <r>
      <t xml:space="preserve">클라우드 기반 제로트러스트 솔루션 도입이 </t>
    </r>
    <r>
      <rPr>
        <b/>
        <sz val="11"/>
        <color theme="1"/>
        <rFont val="맑은 고딕"/>
        <family val="3"/>
        <charset val="129"/>
        <scheme val="minor"/>
      </rPr>
      <t>규제 대응 수단으로 활용됨</t>
    </r>
  </si>
  <si>
    <t>공공기관·금융기관의 클라우드화 + ZTNA(제로트러스트 네트워크 접근) 도입 권장</t>
  </si>
  <si>
    <t>Zscaler는 일본 통신사와 파트너십 체결로 아시아 시장 진출 강화</t>
  </si>
  <si>
    <t>미국 – 연방정부 제로트러스트 전환 명령</t>
    <phoneticPr fontId="1" type="noConversion"/>
  </si>
  <si>
    <t>유럽 – NIS2, GDPR 등 데이터·보안 관련 규제 강화</t>
    <phoneticPr fontId="1" type="noConversion"/>
  </si>
  <si>
    <t>일본 – 2025년 사이버보안 기본계획</t>
    <phoneticPr fontId="1" type="noConversion"/>
  </si>
  <si>
    <t>고객 수 +20% 증가, EPS 서프라이즈</t>
  </si>
  <si>
    <t>- 매출 $921M (+33% YoY), EPS $0.93 (예상 $0.89 상회)</t>
  </si>
  <si>
    <t>- 연간 반복매출(ARR) $3.65B, YoY +33%</t>
  </si>
  <si>
    <t>- 신규 고객 2,300곳 이상 추가</t>
  </si>
  <si>
    <t>- 기존 고객의 모듈 업셀 비율 63% → 플랫폼 중심 전략 효과 확인</t>
  </si>
  <si>
    <t>AI 기반 자동화 대응 기능 확장 + 정부 수요 증가</t>
  </si>
  <si>
    <t>- Charlotte AI: 보안 위협 자동화 대응 AI 어시스턴트 기능 확장</t>
  </si>
  <si>
    <t>- 미 정부·방산기관의 XDR 도입 확대</t>
  </si>
  <si>
    <t>- Google Cloud 및 AWS와 통합 강화</t>
  </si>
  <si>
    <t>- CNAPP(클라우드 워크로드 보호) 고객 증가 추세</t>
  </si>
  <si>
    <t>글로벌 엔터프라이즈 보안 수요 집중</t>
  </si>
  <si>
    <t>- 유럽·일본 중심 기업 고객 확장</t>
  </si>
  <si>
    <t>- 플랫폼 전환 비율 증가 예상 (ZTA+XDR+CNAPP 연동 도입)</t>
  </si>
  <si>
    <t>- 하이브리드 근무 기업의 SaaS 보안 예산 증가 반영</t>
  </si>
  <si>
    <t>- 경쟁사 대비 낮은 TCO(총 소유 비용) 강조 예정</t>
  </si>
  <si>
    <t>연말 사이버 위협 대응 및 신규 모듈 출시</t>
  </si>
  <si>
    <t>- 랜섬웨어/Zero-day 공격 급증기 대비 수요 집중</t>
  </si>
  <si>
    <t>- 신규 ID 보안 모듈 출시 예정 (Falcon Identity Threat Protection 강화)</t>
  </si>
  <si>
    <t>- 연간 ARR 가이던스 상향 가능성</t>
  </si>
  <si>
    <t>- AI 기반 위협 사전 차단 성능 발표 가능성 (R&amp;D 결과 공유 이벤트 포함)</t>
  </si>
  <si>
    <t>3Q25</t>
    <phoneticPr fontId="1" type="noConversion"/>
  </si>
  <si>
    <t>4Q25</t>
    <phoneticPr fontId="1" type="noConversion"/>
  </si>
  <si>
    <t>클라우드 전환은 곧 보안 재설계 수요 유발</t>
  </si>
  <si>
    <t>기업들이 **온프레미스 서버 → 클라우드 인프라(AWS, Azure 등)**로 옮기면서, 기존의 방화벽·VPN 기반 보안 체계가 무력화됨</t>
  </si>
  <si>
    <t>이 과정에서 필요한 것이:</t>
  </si>
  <si>
    <r>
      <t>EDR (엔드포인트 보안)</t>
    </r>
    <r>
      <rPr>
        <sz val="11"/>
        <color theme="1"/>
        <rFont val="맑은 고딕"/>
        <family val="2"/>
        <charset val="129"/>
        <scheme val="minor"/>
      </rPr>
      <t>: 클라우드 기반 단말기 탐지</t>
    </r>
  </si>
  <si>
    <r>
      <t>XDR (확장 탐지 대응)</t>
    </r>
    <r>
      <rPr>
        <sz val="11"/>
        <color theme="1"/>
        <rFont val="맑은 고딕"/>
        <family val="2"/>
        <charset val="129"/>
        <scheme val="minor"/>
      </rPr>
      <t>: EDR + 이메일 + ID + 네트워크 등 통합</t>
    </r>
  </si>
  <si>
    <r>
      <t>CNAPP (클라우드 네이티브 보안 플랫폼)</t>
    </r>
    <r>
      <rPr>
        <sz val="11"/>
        <color theme="1"/>
        <rFont val="맑은 고딕"/>
        <family val="2"/>
        <charset val="129"/>
        <scheme val="minor"/>
      </rPr>
      <t xml:space="preserve">: </t>
    </r>
    <r>
      <rPr>
        <b/>
        <sz val="11"/>
        <color theme="1"/>
        <rFont val="맑은 고딕"/>
        <family val="3"/>
        <charset val="129"/>
        <scheme val="minor"/>
      </rPr>
      <t>클라우드 자산 보호</t>
    </r>
    <r>
      <rPr>
        <sz val="11"/>
        <color theme="1"/>
        <rFont val="맑은 고딕"/>
        <family val="2"/>
        <charset val="129"/>
        <scheme val="minor"/>
      </rPr>
      <t xml:space="preserve"> 전용</t>
    </r>
  </si>
  <si>
    <t>CrowdStrike는 이 3가지 기능을 모두 보유한 대표 기업</t>
    <phoneticPr fontId="1" type="noConversion"/>
  </si>
  <si>
    <t>CrowdStrike (CRWD)</t>
  </si>
  <si>
    <t>CrowdStrike (CRWD)</t>
    <phoneticPr fontId="1" type="noConversion"/>
  </si>
  <si>
    <t>보안 범위</t>
  </si>
  <si>
    <t>네트워크 접근 제어</t>
  </si>
  <si>
    <t>(사용자 → 인터넷/내부 앱 연결 차단)</t>
  </si>
  <si>
    <t>단말기·서버 위협 탐지/차단</t>
  </si>
  <si>
    <t>(기기 내부 침투 대응)</t>
  </si>
  <si>
    <t>대표 제품</t>
  </si>
  <si>
    <t>ZIA (인터넷 접근 통제)</t>
  </si>
  <si>
    <t>ZPA (내부 앱 접근 통제)</t>
  </si>
  <si>
    <t>ZDX (경험 보안)</t>
  </si>
  <si>
    <t>Falcon Prevent (EDR)</t>
  </si>
  <si>
    <t>Falcon Insight (XDR)</t>
  </si>
  <si>
    <t>Charlotte AI (자동대응)</t>
  </si>
  <si>
    <t>기술 모델</t>
  </si>
  <si>
    <t>제로 트러스트 아키텍처 (ZTA)</t>
  </si>
  <si>
    <t>“못 들어오게 함”</t>
  </si>
  <si>
    <t>AI 기반 탐지·대응 (XDR)</t>
  </si>
  <si>
    <t>“들어오면 막고, 지능형 대응”</t>
  </si>
  <si>
    <t>정부, 금융, 엔터프라이즈</t>
  </si>
  <si>
    <t>망 분리·접속 정책 필요 고객</t>
  </si>
  <si>
    <t>동일 기업 내 보안 운영팀 (SOC), 실질 방어 책임자 중심</t>
  </si>
  <si>
    <t>구체 모멘텀</t>
  </si>
  <si>
    <t>- Collins Aerospace 매출 +8%</t>
  </si>
  <si>
    <t>- Pratt &amp; Whitney 엔진 수요 견조</t>
  </si>
  <si>
    <t>- Raytheon 부문, 사이버 부문 매각 영향으로 매출 감소</t>
  </si>
  <si>
    <t>- 수주잔고 $2,170억 유지</t>
  </si>
  <si>
    <t>- 항공 부품 수요 회복 지속</t>
  </si>
  <si>
    <t>- 방산 부문은 미/유럽 정부 예산 확대에 기대</t>
  </si>
  <si>
    <t>- Golden Dome 관련 수주 가능성 주목</t>
  </si>
  <si>
    <t>- 여름 항공 수요로 애프터마켓 강화</t>
  </si>
  <si>
    <t>- Golden Dome 예산 승인·입찰 여부 주목</t>
  </si>
  <si>
    <t>- 방산 수주 발표 가능성 있음</t>
  </si>
  <si>
    <t>- 연말 국방 예산 집행 시기</t>
  </si>
  <si>
    <t>- 2026년 전략계획 발표 기대</t>
  </si>
  <si>
    <t>- 배당 확대/자사주 발표 가능</t>
  </si>
  <si>
    <t>2Q25</t>
    <phoneticPr fontId="1" type="noConversion"/>
  </si>
  <si>
    <t>3Q25</t>
    <phoneticPr fontId="1" type="noConversion"/>
  </si>
  <si>
    <t>RTX</t>
    <phoneticPr fontId="1" type="noConversion"/>
  </si>
  <si>
    <t>Electron 로켓 발사 및 매출 성장</t>
  </si>
  <si>
    <t>Neutron 개발 진전 및 NSSL 참여</t>
  </si>
  <si>
    <t>Neutron 첫 발사 예정</t>
  </si>
  <si>
    <t>Neutron 로켓 첫 발사 예정으로 중형 발사 시장 진입 기대</t>
  </si>
  <si>
    <t>상업 및 국방 분야 수주 확대</t>
  </si>
  <si>
    <t>Electron 로켓 5회 발사 성공</t>
    <phoneticPr fontId="1" type="noConversion"/>
  </si>
  <si>
    <t>Neutron 로켓 개발 가속
- 미국 우주군 NSSL 프로그램 참여로 $56억 규모 계약 기회 확보</t>
    <phoneticPr fontId="1" type="noConversion"/>
  </si>
  <si>
    <t>상업 위성 발사 수요 증가
- 국방 분야 추가 수주 가능성</t>
    <phoneticPr fontId="1" type="noConversion"/>
  </si>
  <si>
    <t>로켓랩</t>
    <phoneticPr fontId="1" type="noConversion"/>
  </si>
  <si>
    <t>1분기 (2025)</t>
  </si>
  <si>
    <r>
      <t xml:space="preserve">- </t>
    </r>
    <r>
      <rPr>
        <b/>
        <sz val="11"/>
        <color theme="1"/>
        <rFont val="맑은 고딕"/>
        <family val="3"/>
        <charset val="129"/>
        <scheme val="minor"/>
      </rPr>
      <t>광고 업황 악화에도 실적 선방</t>
    </r>
    <r>
      <rPr>
        <sz val="11"/>
        <color theme="1"/>
        <rFont val="맑은 고딕"/>
        <family val="2"/>
        <charset val="129"/>
        <scheme val="minor"/>
      </rPr>
      <t>: 국내 정치 이슈로 광고 매출이 역대 최저였으나, 넷플릭스/웨이브 국내 전송권 매출로 방어.</t>
    </r>
  </si>
  <si>
    <r>
      <t xml:space="preserve">- </t>
    </r>
    <r>
      <rPr>
        <b/>
        <sz val="11"/>
        <color theme="1"/>
        <rFont val="맑은 고딕"/>
        <family val="3"/>
        <charset val="129"/>
        <scheme val="minor"/>
      </rPr>
      <t>구조조정 효과 반영</t>
    </r>
    <r>
      <rPr>
        <sz val="11"/>
        <color theme="1"/>
        <rFont val="맑은 고딕"/>
        <family val="2"/>
        <charset val="129"/>
        <scheme val="minor"/>
      </rPr>
      <t>: 약 50억 원 수준의 비용 절감 효과.</t>
    </r>
  </si>
  <si>
    <r>
      <t xml:space="preserve">- </t>
    </r>
    <r>
      <rPr>
        <b/>
        <sz val="11"/>
        <color theme="1"/>
        <rFont val="맑은 고딕"/>
        <family val="3"/>
        <charset val="129"/>
        <scheme val="minor"/>
      </rPr>
      <t>자회사 실적 개선</t>
    </r>
    <r>
      <rPr>
        <sz val="11"/>
        <color theme="1"/>
        <rFont val="맑은 고딕"/>
        <family val="2"/>
        <charset val="129"/>
        <scheme val="minor"/>
      </rPr>
      <t>: 미디어넷의 적자 축소.</t>
    </r>
  </si>
  <si>
    <t>2분기 (2025)</t>
  </si>
  <si>
    <r>
      <t xml:space="preserve">- </t>
    </r>
    <r>
      <rPr>
        <b/>
        <sz val="11"/>
        <color theme="1"/>
        <rFont val="맑은 고딕"/>
        <family val="3"/>
        <charset val="129"/>
        <scheme val="minor"/>
      </rPr>
      <t>광고 회복 기대</t>
    </r>
    <r>
      <rPr>
        <sz val="11"/>
        <color theme="1"/>
        <rFont val="맑은 고딕"/>
        <family val="2"/>
        <charset val="129"/>
        <scheme val="minor"/>
      </rPr>
      <t>: 연초 대비 광고 업황 회복세.</t>
    </r>
  </si>
  <si>
    <r>
      <t xml:space="preserve">- </t>
    </r>
    <r>
      <rPr>
        <b/>
        <sz val="11"/>
        <color theme="1"/>
        <rFont val="맑은 고딕"/>
        <family val="3"/>
        <charset val="129"/>
        <scheme val="minor"/>
      </rPr>
      <t>콘텐츠 편성 확대</t>
    </r>
    <r>
      <rPr>
        <sz val="11"/>
        <color theme="1"/>
        <rFont val="맑은 고딕"/>
        <family val="2"/>
        <charset val="129"/>
        <scheme val="minor"/>
      </rPr>
      <t>: 드라마 ‘귀궁’, ‘우리 영화’ 등 방영 시작.</t>
    </r>
  </si>
  <si>
    <r>
      <t xml:space="preserve">- </t>
    </r>
    <r>
      <rPr>
        <b/>
        <sz val="11"/>
        <color theme="1"/>
        <rFont val="맑은 고딕"/>
        <family val="3"/>
        <charset val="129"/>
        <scheme val="minor"/>
      </rPr>
      <t>구작 라이브러리 수익 기여 지속</t>
    </r>
    <r>
      <rPr>
        <sz val="11"/>
        <color theme="1"/>
        <rFont val="맑은 고딕"/>
        <family val="2"/>
        <charset val="129"/>
        <scheme val="minor"/>
      </rPr>
      <t>.</t>
    </r>
  </si>
  <si>
    <t>3분기 (2025)</t>
  </si>
  <si>
    <r>
      <t xml:space="preserve">- </t>
    </r>
    <r>
      <rPr>
        <b/>
        <sz val="11"/>
        <color theme="1"/>
        <rFont val="맑은 고딕"/>
        <family val="3"/>
        <charset val="129"/>
        <scheme val="minor"/>
      </rPr>
      <t>넷플릭스 오리지널 포함 글로벌 콘텐츠 본격 판매 시작</t>
    </r>
    <r>
      <rPr>
        <sz val="11"/>
        <color theme="1"/>
        <rFont val="맑은 고딕"/>
        <family val="2"/>
        <charset val="129"/>
        <scheme val="minor"/>
      </rPr>
      <t>: 넷플릭스향 2편, 오리지널 1편 포함 총 3편 글로벌 유통.</t>
    </r>
  </si>
  <si>
    <r>
      <t xml:space="preserve">- </t>
    </r>
    <r>
      <rPr>
        <b/>
        <sz val="11"/>
        <color theme="1"/>
        <rFont val="맑은 고딕"/>
        <family val="3"/>
        <charset val="129"/>
        <scheme val="minor"/>
      </rPr>
      <t>드라마 편성 확대</t>
    </r>
    <r>
      <rPr>
        <sz val="11"/>
        <color theme="1"/>
        <rFont val="맑은 고딕"/>
        <family val="2"/>
        <charset val="129"/>
        <scheme val="minor"/>
      </rPr>
      <t>: ‘TRY’, ‘사마귀’, ‘키스는 괜히 해서’ 등 다양한 편성.</t>
    </r>
  </si>
  <si>
    <r>
      <t xml:space="preserve">- </t>
    </r>
    <r>
      <rPr>
        <b/>
        <sz val="11"/>
        <color theme="1"/>
        <rFont val="맑은 고딕"/>
        <family val="3"/>
        <charset val="129"/>
        <scheme val="minor"/>
      </rPr>
      <t>콘텐츠 수익성 개선 시 광고 선순환 구조 기대</t>
    </r>
    <r>
      <rPr>
        <sz val="11"/>
        <color theme="1"/>
        <rFont val="맑은 고딕"/>
        <family val="2"/>
        <charset val="129"/>
        <scheme val="minor"/>
      </rPr>
      <t>.</t>
    </r>
  </si>
  <si>
    <t>4분기 (2025)</t>
  </si>
  <si>
    <r>
      <t xml:space="preserve">- </t>
    </r>
    <r>
      <rPr>
        <b/>
        <sz val="11"/>
        <color theme="1"/>
        <rFont val="맑은 고딕"/>
        <family val="3"/>
        <charset val="129"/>
        <scheme val="minor"/>
      </rPr>
      <t>연말 효과로 광고 성수기 진입</t>
    </r>
    <r>
      <rPr>
        <sz val="11"/>
        <color theme="1"/>
        <rFont val="맑은 고딕"/>
        <family val="2"/>
        <charset val="129"/>
        <scheme val="minor"/>
      </rPr>
      <t>.</t>
    </r>
  </si>
  <si>
    <r>
      <t xml:space="preserve">- </t>
    </r>
    <r>
      <rPr>
        <b/>
        <sz val="11"/>
        <color theme="1"/>
        <rFont val="맑은 고딕"/>
        <family val="3"/>
        <charset val="129"/>
        <scheme val="minor"/>
      </rPr>
      <t>드라마 흥행 기대</t>
    </r>
    <r>
      <rPr>
        <sz val="11"/>
        <color theme="1"/>
        <rFont val="맑은 고딕"/>
        <family val="2"/>
        <charset val="129"/>
        <scheme val="minor"/>
      </rPr>
      <t>: ‘모범택시3’, ‘우주메리미’ 등 흥행작 기대.</t>
    </r>
  </si>
  <si>
    <r>
      <t xml:space="preserve">- </t>
    </r>
    <r>
      <rPr>
        <b/>
        <sz val="11"/>
        <color theme="1"/>
        <rFont val="맑은 고딕"/>
        <family val="3"/>
        <charset val="129"/>
        <scheme val="minor"/>
      </rPr>
      <t>콘텐츠 글로벌 판매 지속</t>
    </r>
    <r>
      <rPr>
        <sz val="11"/>
        <color theme="1"/>
        <rFont val="맑은 고딕"/>
        <family val="2"/>
        <charset val="129"/>
        <scheme val="minor"/>
      </rPr>
      <t>.</t>
    </r>
  </si>
  <si>
    <t>2026년 전체</t>
  </si>
  <si>
    <r>
      <t xml:space="preserve">- </t>
    </r>
    <r>
      <rPr>
        <b/>
        <sz val="11"/>
        <color theme="1"/>
        <rFont val="맑은 고딕"/>
        <family val="3"/>
        <charset val="129"/>
        <scheme val="minor"/>
      </rPr>
      <t>콘텐츠 수익성 강화</t>
    </r>
    <r>
      <rPr>
        <sz val="11"/>
        <color theme="1"/>
        <rFont val="맑은 고딕"/>
        <family val="2"/>
        <charset val="129"/>
        <scheme val="minor"/>
      </rPr>
      <t>: 넷플릭스 등 글로벌 판매 확대 → 드라마 편성 증가로 이어지는 선순환 구조 강화.</t>
    </r>
  </si>
  <si>
    <r>
      <t xml:space="preserve">- </t>
    </r>
    <r>
      <rPr>
        <b/>
        <sz val="11"/>
        <color theme="1"/>
        <rFont val="맑은 고딕"/>
        <family val="3"/>
        <charset val="129"/>
        <scheme val="minor"/>
      </rPr>
      <t>광고 실적 점진적 회복 및 안정화</t>
    </r>
    <r>
      <rPr>
        <sz val="11"/>
        <color theme="1"/>
        <rFont val="맑은 고딕"/>
        <family val="2"/>
        <charset val="129"/>
        <scheme val="minor"/>
      </rPr>
      <t>.</t>
    </r>
  </si>
  <si>
    <r>
      <t xml:space="preserve">- </t>
    </r>
    <r>
      <rPr>
        <b/>
        <sz val="11"/>
        <color theme="1"/>
        <rFont val="맑은 고딕"/>
        <family val="3"/>
        <charset val="129"/>
        <scheme val="minor"/>
      </rPr>
      <t>실적 체력 개선</t>
    </r>
    <r>
      <rPr>
        <sz val="11"/>
        <color theme="1"/>
        <rFont val="맑은 고딕"/>
        <family val="2"/>
        <charset val="129"/>
        <scheme val="minor"/>
      </rPr>
      <t>: 연간 6~700억 원 수준의 영업이익 목표.</t>
    </r>
  </si>
  <si>
    <t>SBS</t>
    <phoneticPr fontId="1" type="noConversion"/>
  </si>
  <si>
    <t>롯데관광개발</t>
    <phoneticPr fontId="1" type="noConversion"/>
  </si>
  <si>
    <t>성수기 진입: 본격적인 성수기 진입으로 호텔 부문 실적 개선이 예상됨.
- 여행 상품 확대: 크루즈 및 프리미엄 여행상품 확대가 기대됨.
- 카지노 실적 지속: 카지노 실적 호조세가 지속될 전망임.</t>
    <phoneticPr fontId="1" type="noConversion"/>
  </si>
  <si>
    <r>
      <t xml:space="preserve">여름 성수기 효과: 여름 성수기로 전 부문 실적 정점 가능성이 있음.
- 순이익 흑자 전환 기대: 순이익 흑자 전환에 대한 기대감이 있음.
- 외국인 관광객 증가: 외국인 관광객 증가 흐름이 지속될 것으로 보임.
- </t>
    </r>
    <r>
      <rPr>
        <b/>
        <sz val="11"/>
        <color theme="1"/>
        <rFont val="맑은 고딕"/>
        <family val="3"/>
        <charset val="129"/>
        <scheme val="minor"/>
      </rPr>
      <t>중국인 단체관광객 무비자 입국 정책 시행</t>
    </r>
    <r>
      <rPr>
        <sz val="11"/>
        <color theme="1"/>
        <rFont val="맑은 고딕"/>
        <family val="2"/>
        <charset val="129"/>
        <scheme val="minor"/>
      </rPr>
      <t>: 정부는 2025년 3분기부터 중국 단체관광객에 대해 한시적으로 무비자 입국을 허용할 계획을 발표함. 이는 중국이 지난해 11월 한국인에 대한 무비자 입국을 허용한 데 대한 상호 조치로, 전국 단위로 시행될 예정임.</t>
    </r>
    <phoneticPr fontId="1" type="noConversion"/>
  </si>
  <si>
    <t>비수기 대응: 하반기 중국 단체관광 관련 무비자 입국이 허용될 경우, 계절적 비수기에도 실적 방어력이 기대됨.
- 마케팅 및 VIP 고객 확대: 마케팅 및 VIP 고객 기반 확대로 카지노와 호텔 모두 안정적 수요가 예상됨.</t>
    <phoneticPr fontId="1" type="noConversion"/>
  </si>
  <si>
    <t>1Q25</t>
    <phoneticPr fontId="1" type="noConversion"/>
  </si>
  <si>
    <t>2Q25</t>
    <phoneticPr fontId="1" type="noConversion"/>
  </si>
  <si>
    <t>3Q25</t>
    <phoneticPr fontId="1" type="noConversion"/>
  </si>
  <si>
    <t>4Q25</t>
    <phoneticPr fontId="1" type="noConversion"/>
  </si>
  <si>
    <t>1Q25</t>
    <phoneticPr fontId="1" type="noConversion"/>
  </si>
  <si>
    <t>2Q25</t>
    <phoneticPr fontId="1" type="noConversion"/>
  </si>
  <si>
    <t>3Q25</t>
    <phoneticPr fontId="1" type="noConversion"/>
  </si>
  <si>
    <t>4Q25</t>
    <phoneticPr fontId="1" type="noConversion"/>
  </si>
  <si>
    <t>2025년 1분기</t>
  </si>
  <si>
    <t>삼성물산</t>
    <phoneticPr fontId="1" type="noConversion"/>
  </si>
  <si>
    <t>- 미니특공대 시즌7 출시</t>
  </si>
  <si>
    <t>- 콘텐츠 MG 계약 기반 매출 인식 시작</t>
  </si>
  <si>
    <t>- 완구 및 온라인 채널 유통 확대</t>
  </si>
  <si>
    <t>- 중국·일본 라이선스 매출 안정적 유지</t>
  </si>
  <si>
    <t>2025년 2분기</t>
  </si>
  <si>
    <t>- 캐릭터 신규 상품군 출시 (티니핑 중심)</t>
  </si>
  <si>
    <t>- 여름방학 시즌 앞둔 프로모션 강화</t>
  </si>
  <si>
    <t>- 해외 완구 판매 채널 추가 확보</t>
  </si>
  <si>
    <t>- 국내외 OTT 연계 콘텐츠 공급 협의</t>
  </si>
  <si>
    <t>2025년 3분기</t>
  </si>
  <si>
    <t>- 여름방학 시즌 효과로 완구 매출 극대화</t>
  </si>
  <si>
    <t>- 미니특공대, 티니핑 관련 파생상품 확대</t>
  </si>
  <si>
    <t>- 신규 콘텐츠 계약 및 라이선스 매출 확대 기대</t>
  </si>
  <si>
    <t>2025년 4분기</t>
  </si>
  <si>
    <t>- 티니핑 시즌6 및 위시캣 시즌2 방영 예정</t>
  </si>
  <si>
    <t>- 연말 시즌 특수로 완구·라이선스 매출 확대 예상</t>
  </si>
  <si>
    <t>- 실사형 콘텐츠 프로젝트 준비 본격화 (2027년 런칭 목표)</t>
  </si>
  <si>
    <t>- 연말 대형 유통 및 협업 캠페인 추진</t>
  </si>
  <si>
    <t>SAMG엔터</t>
    <phoneticPr fontId="1" type="noConversion"/>
  </si>
  <si>
    <t>① 한 번 뜬 캐릭터가 끝이 아니었다 — 티니핑 5탄까지 흥행</t>
  </si>
  <si>
    <r>
      <t xml:space="preserve">“티니핑”이 시즌5까지 나오고도 </t>
    </r>
    <r>
      <rPr>
        <b/>
        <sz val="11"/>
        <color theme="1"/>
        <rFont val="맑은 고딕"/>
        <family val="3"/>
        <charset val="129"/>
        <scheme val="minor"/>
      </rPr>
      <t>아이들 사이에서 인기가 계속됨</t>
    </r>
  </si>
  <si>
    <r>
      <t xml:space="preserve">→ 방송만 인기 있는 게 아니라 </t>
    </r>
    <r>
      <rPr>
        <b/>
        <sz val="11"/>
        <color theme="1"/>
        <rFont val="맑은 고딕"/>
        <family val="3"/>
        <charset val="129"/>
        <scheme val="minor"/>
      </rPr>
      <t>인형, 스티커, 학용품, 게임</t>
    </r>
    <r>
      <rPr>
        <sz val="11"/>
        <color theme="1"/>
        <rFont val="맑은 고딕"/>
        <family val="2"/>
        <charset val="129"/>
        <scheme val="minor"/>
      </rPr>
      <t>까지 팔림</t>
    </r>
  </si>
  <si>
    <r>
      <t xml:space="preserve">이걸로 생긴 수익이 그냥 방영료가 아니라 </t>
    </r>
    <r>
      <rPr>
        <b/>
        <sz val="11"/>
        <color theme="1"/>
        <rFont val="맑은 고딕"/>
        <family val="3"/>
        <charset val="129"/>
        <scheme val="minor"/>
      </rPr>
      <t>라이선스</t>
    </r>
    <r>
      <rPr>
        <sz val="11"/>
        <color theme="1"/>
        <rFont val="맑은 고딕"/>
        <family val="2"/>
        <charset val="129"/>
        <scheme val="minor"/>
      </rPr>
      <t xml:space="preserve"> (브랜드 빌려주는 거)로 들어옴</t>
    </r>
  </si>
  <si>
    <r>
      <t xml:space="preserve">→ </t>
    </r>
    <r>
      <rPr>
        <b/>
        <sz val="11"/>
        <color theme="1"/>
        <rFont val="맑은 고딕"/>
        <family val="3"/>
        <charset val="129"/>
        <scheme val="minor"/>
      </rPr>
      <t>돈 드는 건 없고, 수익률은 훨씬 좋음</t>
    </r>
  </si>
  <si>
    <t>② 중국에서 다시 돈이 들어오기 시작했다</t>
  </si>
  <si>
    <t>예전에는 한한령 때문에 중국 수출 막혔는데</t>
  </si>
  <si>
    <r>
      <t xml:space="preserve">→ 2023년 말부터 </t>
    </r>
    <r>
      <rPr>
        <b/>
        <sz val="11"/>
        <color theme="1"/>
        <rFont val="맑은 고딕"/>
        <family val="3"/>
        <charset val="129"/>
        <scheme val="minor"/>
      </rPr>
      <t>중국 OTT·메신저 등에서 다시 방영되고 있음</t>
    </r>
  </si>
  <si>
    <t>중국에서 굿즈, 이모티콘, 온라인 쇼핑몰 판매가 다시 늘어남</t>
  </si>
  <si>
    <t>③ 돈 덜 쓰는 구조로 바뀌었다</t>
  </si>
  <si>
    <t>예전에는 방영·광고·홍보에 돈 많이 썼는데</t>
  </si>
  <si>
    <t>→ 이제는 유튜브, 협업 브랜드(SM, 클리오 등)랑 손잡고 **“돈 안 쓰고도 홍보되는 구조”**로 전환</t>
  </si>
  <si>
    <r>
      <t xml:space="preserve">인력 구조조정, 효율 경영으로 </t>
    </r>
    <r>
      <rPr>
        <b/>
        <sz val="11"/>
        <color theme="1"/>
        <rFont val="맑은 고딕"/>
        <family val="3"/>
        <charset val="129"/>
        <scheme val="minor"/>
      </rPr>
      <t>고정비 낮아짐</t>
    </r>
    <r>
      <rPr>
        <sz val="11"/>
        <color theme="1"/>
        <rFont val="맑은 고딕"/>
        <family val="2"/>
        <charset val="129"/>
        <scheme val="minor"/>
      </rPr>
      <t xml:space="preserve"> → 매출이 조금만 늘어도 </t>
    </r>
    <r>
      <rPr>
        <b/>
        <sz val="11"/>
        <color theme="1"/>
        <rFont val="맑은 고딕"/>
        <family val="3"/>
        <charset val="129"/>
        <scheme val="minor"/>
      </rPr>
      <t>바로 흑자 전환</t>
    </r>
  </si>
  <si>
    <t>① “매년 티니핑 시즌 6, 7, 8… 계속 나옴” → 꾸준한 팬덤 기반</t>
  </si>
  <si>
    <r>
      <t xml:space="preserve">콘텐츠가 한 번 반짝인 게 아니라, </t>
    </r>
    <r>
      <rPr>
        <b/>
        <sz val="11"/>
        <color theme="1"/>
        <rFont val="맑은 고딕"/>
        <family val="3"/>
        <charset val="129"/>
        <scheme val="minor"/>
      </rPr>
      <t>매년 시리즈로 제작</t>
    </r>
    <r>
      <rPr>
        <sz val="11"/>
        <color theme="1"/>
        <rFont val="맑은 고딕"/>
        <family val="2"/>
        <charset val="129"/>
        <scheme val="minor"/>
      </rPr>
      <t>됨</t>
    </r>
  </si>
  <si>
    <r>
      <t xml:space="preserve">“티니핑 → 완구 → 라이선스 → 다음 시즌”으로 이어지는 </t>
    </r>
    <r>
      <rPr>
        <b/>
        <sz val="11"/>
        <color theme="1"/>
        <rFont val="맑은 고딕"/>
        <family val="3"/>
        <charset val="129"/>
        <scheme val="minor"/>
      </rPr>
      <t>자체 순환구조</t>
    </r>
  </si>
  <si>
    <r>
      <t xml:space="preserve">신작이 나올 때마다 </t>
    </r>
    <r>
      <rPr>
        <b/>
        <sz val="11"/>
        <color theme="1"/>
        <rFont val="맑은 고딕"/>
        <family val="3"/>
        <charset val="129"/>
        <scheme val="minor"/>
      </rPr>
      <t>매출 한 번, 완구 한 번, 협업 한 번씩 돈을 버는 구조</t>
    </r>
  </si>
  <si>
    <t>② 방송 없이도 돈 버는 구조: MG 계약</t>
  </si>
  <si>
    <r>
      <t xml:space="preserve">방송사나 플랫폼이 “콘텐츠 미리 살게”라고 계약함 → </t>
    </r>
    <r>
      <rPr>
        <b/>
        <sz val="11"/>
        <color theme="1"/>
        <rFont val="맑은 고딕"/>
        <family val="3"/>
        <charset val="129"/>
        <scheme val="minor"/>
      </rPr>
      <t>돈 먼저 들어옴</t>
    </r>
  </si>
  <si>
    <t>→ 이게 MG(최소보장) 계약 구조</t>
  </si>
  <si>
    <r>
      <t xml:space="preserve">덕분에 “이번 분기 얼마나 팔릴까?” 걱정 없이 </t>
    </r>
    <r>
      <rPr>
        <b/>
        <sz val="11"/>
        <color theme="1"/>
        <rFont val="맑은 고딕"/>
        <family val="3"/>
        <charset val="129"/>
        <scheme val="minor"/>
      </rPr>
      <t>예측 가능한 매출 흐름 확보</t>
    </r>
  </si>
  <si>
    <t>③ 한국만 보는 회사 아님: 동남아·미국도 간다</t>
  </si>
  <si>
    <t>지금은 중국·일본 중심이지만</t>
  </si>
  <si>
    <t>→ 유튜브, 넷플릭스 통해 동남아·미국도 콘텐츠 확산 중</t>
  </si>
  <si>
    <t>“BTS 다음은 티니핑”이라는 말이 나올 수도 있는 구조</t>
  </si>
  <si>
    <t>→ 진짜로 실사판 거대 로봇 콘텐츠도 준비 중 (2027년 예정)</t>
  </si>
  <si>
    <t>2025년 1분기부터 실적이 좋아진 이유</t>
  </si>
  <si>
    <t>① 티니핑 IP 기반 고마진 매출 확대</t>
  </si>
  <si>
    <r>
      <t>티니핑 시즌5 흥행 효과</t>
    </r>
    <r>
      <rPr>
        <sz val="11"/>
        <color theme="1"/>
        <rFont val="맑은 고딕"/>
        <family val="2"/>
        <charset val="129"/>
        <scheme val="minor"/>
      </rPr>
      <t xml:space="preserve">가 여전히 이어졌고, 관련 굿즈와 협업 라이선스 매출이 </t>
    </r>
    <r>
      <rPr>
        <b/>
        <sz val="11"/>
        <color theme="1"/>
        <rFont val="맑은 고딕"/>
        <family val="3"/>
        <charset val="129"/>
        <scheme val="minor"/>
      </rPr>
      <t>고수익 구조</t>
    </r>
    <r>
      <rPr>
        <sz val="11"/>
        <color theme="1"/>
        <rFont val="맑은 고딕"/>
        <family val="2"/>
        <charset val="129"/>
        <scheme val="minor"/>
      </rPr>
      <t>로 작동함</t>
    </r>
  </si>
  <si>
    <r>
      <t xml:space="preserve">특히 </t>
    </r>
    <r>
      <rPr>
        <b/>
        <sz val="11"/>
        <color theme="1"/>
        <rFont val="맑은 고딕"/>
        <family val="3"/>
        <charset val="129"/>
        <scheme val="minor"/>
      </rPr>
      <t>MG(최소보장금) 계약 기반의 라이선스 매출 인식</t>
    </r>
    <r>
      <rPr>
        <sz val="11"/>
        <color theme="1"/>
        <rFont val="맑은 고딕"/>
        <family val="2"/>
        <charset val="129"/>
        <scheme val="minor"/>
      </rPr>
      <t>이 1분기에 반영돼, 콘텐츠 매출 변동성이 줄고 안정적 실적 견인</t>
    </r>
  </si>
  <si>
    <t>② 중국향 콘텐츠 매출 회복</t>
  </si>
  <si>
    <t>한한령 완화 이후 중국 플랫폼에서 다시 방영 시작</t>
  </si>
  <si>
    <r>
      <t xml:space="preserve">→ 티니핑 콘텐츠 및 이모티콘, 파생상품이 다시 팔리면서 </t>
    </r>
    <r>
      <rPr>
        <b/>
        <sz val="11"/>
        <color theme="1"/>
        <rFont val="맑은 고딕"/>
        <family val="3"/>
        <charset val="129"/>
        <scheme val="minor"/>
      </rPr>
      <t>중국발 매출 복원</t>
    </r>
  </si>
  <si>
    <r>
      <t xml:space="preserve">실제로 보고서에서는 </t>
    </r>
    <r>
      <rPr>
        <b/>
        <sz val="11"/>
        <color theme="1"/>
        <rFont val="맑은 고딕"/>
        <family val="3"/>
        <charset val="129"/>
        <scheme val="minor"/>
      </rPr>
      <t>중국 매출 정상화가 실적 개선의 핵심 배경</t>
    </r>
    <r>
      <rPr>
        <sz val="11"/>
        <color theme="1"/>
        <rFont val="맑은 고딕"/>
        <family val="2"/>
        <charset val="129"/>
        <scheme val="minor"/>
      </rPr>
      <t>으로 언급됨</t>
    </r>
  </si>
  <si>
    <t>③ 완구 매출 회복</t>
  </si>
  <si>
    <r>
      <t xml:space="preserve">겨울방학 시즌과 맞물려, 티니핑·미니특공대 완구 제품이 </t>
    </r>
    <r>
      <rPr>
        <b/>
        <sz val="11"/>
        <color theme="1"/>
        <rFont val="맑은 고딕"/>
        <family val="3"/>
        <charset val="129"/>
        <scheme val="minor"/>
      </rPr>
      <t>국내외에서 판매 호조</t>
    </r>
  </si>
  <si>
    <t>→ 유통 채널도 확대되어 물량 증가가 가능했고, 시즌성 매출 확대에 기여</t>
  </si>
  <si>
    <t>④ 비용 효율화 효과 반영</t>
  </si>
  <si>
    <t>2023년에 단행했던 인건비 및 마케팅 비용 절감, 고정비 구조 개선 효과가 본격 반영됨</t>
  </si>
  <si>
    <r>
      <t xml:space="preserve">→ 매출이 조금만 증가해도 영업이익으로 전환되는 </t>
    </r>
    <r>
      <rPr>
        <b/>
        <sz val="11"/>
        <color theme="1"/>
        <rFont val="맑은 고딕"/>
        <family val="3"/>
        <charset val="129"/>
        <scheme val="minor"/>
      </rPr>
      <t>레버리지 구조</t>
    </r>
  </si>
  <si>
    <t>의미</t>
  </si>
  <si>
    <t>NCT WISH와 RIIZE 입점 효과로 기존 구독자 수 감소세가 완화됨.
Bubble 구독자 수가 전분기 190만명 → 188만명으로 하락폭 둔화.
중국 QQ 뮤직과 일본 서비스 Bubble Japan의 성장 기반 마련 중</t>
    <phoneticPr fontId="1" type="noConversion"/>
  </si>
  <si>
    <t>중국 QQ뮤직 내 Bubble 서비스 출시 예정 (6~7월), 글로벌 매출 확대 기반 확보.
NCT WISH, RIIZE 등 신규 IP 효과 본격화, 구독자 수 반등 예상.
J-POP 부흥기 진입으로 일본 구독자 점진적 성장 기대.</t>
    <phoneticPr fontId="1" type="noConversion"/>
  </si>
  <si>
    <t>Bubble China 본격 과금화 시작으로 외형 확대.
주요 아티스트의 컴백 시즌과 맞물린 구독자 증가 가능성.
신규 아티스트 연동 등 IP 포트폴리오 확장 지속.</t>
    <phoneticPr fontId="1" type="noConversion"/>
  </si>
  <si>
    <t>디어유</t>
    <phoneticPr fontId="1" type="noConversion"/>
  </si>
  <si>
    <t>연말 성수기에 따른 수요 증가와 함께,
SM, JYP 등 관계사 아티스트 이벤트 효과 반영 가능성
하반기 콘서트, 컴백, 팬미팅, 글로벌 투어 등 굵직한 이벤트를 진행하면,
그 이벤트에 따라 팬들이 디어유의 서비스인 **Bubble(버블)**에 대거 유입될 가능성
버블 외 부가 콘텐츠 수익 확대도 검토 중.</t>
    <phoneticPr fontId="1" type="noConversion"/>
  </si>
  <si>
    <t>효성중공업</t>
    <phoneticPr fontId="1" type="noConversion"/>
  </si>
  <si>
    <t>감성코퍼레이션</t>
    <phoneticPr fontId="1" type="noConversion"/>
  </si>
  <si>
    <t>실적 서프라이즈: 소비 위축에도 불구하고 실적이 기대치를 상회함.
브랜드 인지도 강화: 스노우피크 브랜드의 고급 이미지와 로열티가 소비자에게 어필.
점포 확대: 오프라인 매장 수 증가. 백화점, 아울렛, 대리점 등 다양한 채널 운영.
IP 콜라보레이션 성공: 헬로키티 등 글로벌 인기 IP와 협업 제품이 매출을 견인.
원가율 개선: 전통적 비수기임에도 고정비 효율화 및 외형 성장으로 영업이익률이 상승.</t>
    <phoneticPr fontId="1" type="noConversion"/>
  </si>
  <si>
    <t>글로벌 확장 본격화 기대: 대만, 일본 매장은 계속 순증 중이며, 중국 시장도 1H25 내 진출 예정.
해외 시장 성장 기대감: 특히 중국은 대형 유통 파트너 확보로 진출 시점부터 매출 발생 가능성.
점포당 매출 상승 지속: 오프라인 매장 운영 효율이 좋아지며 기존 점포의 생산성도 증가 중.
계절적 성수기 진입 전 준비: 여름 성수기를 앞두고 신제품, 마케팅, 물류 대응이 예상됨.</t>
    <phoneticPr fontId="1" type="noConversion"/>
  </si>
  <si>
    <t>중국 시장 진출 개시 가능성
상반기 중 협상 완료 후, 하반기부터 대형 유통 파트너와 함께 중국 내 첫 매출 발생 가능.
해외 매장 본격화
대만, 일본 등 기존 시장에서 신규 매장 수 증가로 외형 확대 가속화.
성수기 수요 집중
아웃도어 수요가 높은 하계 시즌 효과로 매출 및 영업레버리지 효과 본격 반영 예상.
브랜드 가치 재고
글로벌 IP와의 협업 제품군이 누적되며 브랜드 프리미엄이 더욱 강화됨.</t>
    <phoneticPr fontId="1" type="noConversion"/>
  </si>
  <si>
    <t>중국 진출 초기 효과 가시화
현지 오픈 초기 반응 및 유통망 안정화가 이뤄지며 실적 기여 시작.
점포당 효율 극대화
기존 매장당 매출 효율이 올라가며 고정비 부담 완화 효과 기대.
주주환원 정책 가속화
자사주 소각 정책이 연중 이어지며 주당가치 상승에 긍정적 기대감 반영.
연말 프로모션 수혜
연말 소비 시즌을 겨냥한 마케팅 및 이벤트가 추가 매출원으로 작용할 가능성.</t>
    <phoneticPr fontId="1" type="noConversion"/>
  </si>
  <si>
    <t>바이넥스</t>
    <phoneticPr fontId="1" type="noConversion"/>
  </si>
  <si>
    <t>셀트리온 앱토즈마 생산 본격화
미국 FDA, 유럽 EMA 승인 완료 후 송도 2라인(1,000L × 2) 상업 생산 돌입.
생산량 증가 → 가동률 개선 → 수익성 회복 시작.
수주잔고 증가
2024년 말 수주잔고 643억 확보로 2023년 대비 2배 이상 증가.
위탁생산 가동률 상승세
송도 위주로 CMO 가동률 개선세 지속.</t>
    <phoneticPr fontId="1" type="noConversion"/>
  </si>
  <si>
    <t>신규 수주 발표 가능성
상반기 중 오송라인 중심의 글로벌 PPQ 진행 상황 일부 공개될 가능성 있음.
추가 수주 모멘텀
1분기 이후 회복세를 바탕으로 신규 고객 확보 여부 주목.</t>
    <phoneticPr fontId="1" type="noConversion"/>
  </si>
  <si>
    <t>오송 5,000L 라인 PPQ 본격화
글로벌 바이오시밀러 업체 대상 PPQ(공정 검증 생산) 실제 생산 진행.
그간 저가동이었던 오송 라인의 활용도 개선 시작.
하반기 이후 상업 생산 연결 기대
PPQ 완료 → 2026~2027년 정식 상업 생산 전환 가능성.
신규 파트너사 확대
다국적 제약사와 협업 가능성 제기 → 다변화 기대감 상승.</t>
    <phoneticPr fontId="1" type="noConversion"/>
  </si>
  <si>
    <t>글로벌 고객사로부터 상업 생산 계약 체결 여부 주목
3분기부터 진행된 PPQ가 계약 체결로 이어질 가능성.
송도 + 오송 동시 가동 시 수익 레버리지 강화
송도(1,000L×2) + 오송(5,000L×2) 가동률 확대 → 외형 + 수익성 동반 개선 기대.
국내외 고객 기반 확대
우시바이오 의존도가 높은 글로벌 고객의 공급망 리스크 분산 수요 유입 기대.</t>
    <phoneticPr fontId="1" type="noConversion"/>
  </si>
  <si>
    <t>진행</t>
  </si>
  <si>
    <r>
      <t xml:space="preserve">글로벌 바이오시밀러 고객이 </t>
    </r>
    <r>
      <rPr>
        <b/>
        <sz val="11"/>
        <color theme="1"/>
        <rFont val="맑은 고딕"/>
        <family val="3"/>
        <charset val="129"/>
        <scheme val="minor"/>
      </rPr>
      <t>오송 5,000L 라인에서 PPQ 실행</t>
    </r>
    <r>
      <rPr>
        <sz val="11"/>
        <color theme="1"/>
        <rFont val="맑은 고딕"/>
        <family val="2"/>
        <charset val="129"/>
        <scheme val="minor"/>
      </rPr>
      <t xml:space="preserve"> 시작</t>
    </r>
  </si>
  <si>
    <r>
      <t xml:space="preserve">오송공장의 </t>
    </r>
    <r>
      <rPr>
        <b/>
        <sz val="11"/>
        <color theme="1"/>
        <rFont val="맑은 고딕"/>
        <family val="3"/>
        <charset val="129"/>
        <scheme val="minor"/>
      </rPr>
      <t>가동률 개선</t>
    </r>
    <r>
      <rPr>
        <sz val="11"/>
        <color theme="1"/>
        <rFont val="맑은 고딕"/>
        <family val="2"/>
        <charset val="129"/>
        <scheme val="minor"/>
      </rPr>
      <t xml:space="preserve">과 </t>
    </r>
    <r>
      <rPr>
        <b/>
        <sz val="11"/>
        <color theme="1"/>
        <rFont val="맑은 고딕"/>
        <family val="3"/>
        <charset val="129"/>
        <scheme val="minor"/>
      </rPr>
      <t>내년 상업 생산 전환</t>
    </r>
    <r>
      <rPr>
        <sz val="11"/>
        <color theme="1"/>
        <rFont val="맑은 고딕"/>
        <family val="2"/>
        <charset val="129"/>
        <scheme val="minor"/>
      </rPr>
      <t xml:space="preserve"> 가능성 확대</t>
    </r>
  </si>
  <si>
    <t>후속 기대</t>
  </si>
  <si>
    <r>
      <t xml:space="preserve">PPQ → 계약 → 2026년 이후 </t>
    </r>
    <r>
      <rPr>
        <b/>
        <sz val="11"/>
        <color theme="1"/>
        <rFont val="맑은 고딕"/>
        <family val="3"/>
        <charset val="129"/>
        <scheme val="minor"/>
      </rPr>
      <t>상업 생산 매출 기여</t>
    </r>
    <r>
      <rPr>
        <sz val="11"/>
        <color theme="1"/>
        <rFont val="맑은 고딕"/>
        <family val="2"/>
        <charset val="129"/>
        <scheme val="minor"/>
      </rPr>
      <t xml:space="preserve"> 본격화</t>
    </r>
  </si>
  <si>
    <t>수주 기반은 탄탄하나 생산은 아직 초기 국면: 대형 고객사향 CDMO 계약이 존재하나 생산량은 제한적이었음.
mRNA 및 저분자 본격 수주 전 준비단계: GMP 기반 생산시설 테스트 및 일부 PPQ(Pilot Production Qualification) 착수.
제네릭 API 매출은 일부 유지되며 안정적 실적 방어.
상반기 실적은 전년 대비 둔화, 다만 후속 수주 매출로 하반기부터 턴어라운드 기대 형성.</t>
    <phoneticPr fontId="1" type="noConversion"/>
  </si>
  <si>
    <t>PPQ 생산 본격화: 상반기 내 고객사 검증용 생산(PPQ)이 다수 수행되어 하반기 본격 매출화의 전제 마련.
신규 수주 확대: 유럽·미국 고객사 대상 CDMO 계약 확장, 특히 올리고 기반 RNA 치료제 수주 다수 확보.
mRNA 위탁생산은 파일럿 진행되며 대량생산 전 단계에서 고객사 시험물질 대응 중심.
제네릭 API 수주 회복: 생산라인 최적화로 고객 대응이 유연해짐.
실적 개선 시작의 분기점.</t>
    <phoneticPr fontId="1" type="noConversion"/>
  </si>
  <si>
    <t>대규모 매출 인식 본격 시작: 상반기 수행한 PPQ 완료 → cGMP 생산 승인 후 제품 출하 개시.
미국 고객사 중심 매출 증가: 희귀질환 치료제, 안과용 저분자 치료제 등 다수 품목에서 출하.
올리고 및 저분자 신약 CMO 사업이 중심축으로 전환.
mRNA는 여전히 소규모 생산 단계지만 하반기 중 기술료 수취 가능성 언급.
영업이익률 개선 본격화 예상.</t>
    <phoneticPr fontId="1" type="noConversion"/>
  </si>
  <si>
    <t>수익성 급등 국면: 고수익 구조의 CDMO 제품군 비중 확대로 이익률 상승.
고객사 파이프라인 상용화 진입 시작: 매출 지속성에 긍정적 시그널.
API 및 mRNA 혼합 매출 구성: 제품 다변화 → 고객 기반 분산 효과.
글로벌 제약사와 추가 수주 협상 중인 것으로 파악.
2026년 실적 가시성 확보에 핵심 분기.</t>
    <phoneticPr fontId="1" type="noConversion"/>
  </si>
  <si>
    <t>2026년</t>
    <phoneticPr fontId="1" type="noConversion"/>
  </si>
  <si>
    <t>CDMO 중심 성장 가속화: 기존 수주 제품의 연간화 + 신규 수주 물량 반영.
mRNA 매출 본격 반영 시작: 초기 임상용 → 후기 임상 또는 상용 전환 품목 확산.
고객사 확대 + 제품 포트폴리오 다양화: 기존 고객사의 반복 수주와 더불어 신규 파이프라인 유입.
유럽·미국 중심 글로벌 CMO 경쟁력 입증: EMA 및 FDA 기준에 부합하는 생산력 검증.
장기 계약 기반 반복 생산체계 확보.</t>
    <phoneticPr fontId="1" type="noConversion"/>
  </si>
  <si>
    <t>에스티팜</t>
    <phoneticPr fontId="1" type="noConversion"/>
  </si>
  <si>
    <t>로보티즈</t>
    <phoneticPr fontId="1" type="noConversion"/>
  </si>
  <si>
    <t>자율주행 물류로봇 사업 호조: 국내외 물류창고(특히 쿠팡 등)에서의 도입 확산이 본격화되며 물류로봇 매출이 성장을 견인함.
美 보스턴다이내믹스에 서보모터 공급 확대: 애초 계획보다 납품량이 증가해 하드웨어 매출 증가에 기여.
로봇 교육 플랫폼 수출 지속: 북미 및 동남아시아 교육시장 향 수출 확대가 유지됨.</t>
    <phoneticPr fontId="1" type="noConversion"/>
  </si>
  <si>
    <t>쿠팡 물류센터 납품 지속: 1분기 수주의 후속 납품 진행, 월별 납품 확대가 예상됨.
아마존 테스트 물량 본격화 가능성: 美 대형 유통사의 테스트 납품이 완료 단계이며, 2분기 중 정식 수주로 전환 가능성 있음.
로봇팔 기반 서비스 확장 시도: 로봇팔을 활용한 음식점·카페 자동화 시범 사업 확대.</t>
    <phoneticPr fontId="1" type="noConversion"/>
  </si>
  <si>
    <t>자율주행 물류로봇 해외 진출 본격화: 일본 및 북미 시장에서의 PoC 완료 후 초기 양산 납품 개시 가능성.
서비스 로봇 플랫폼 신제품 출시: 보급형 소형 자율주행 로봇 출시 예정으로 중소형 고객 확대 기대.
추가적인 전략적 제휴: 소프트웨어 기업과의 협업을 통한 통합 솔루션 패키지 론칭 가능성 언급.</t>
    <phoneticPr fontId="1" type="noConversion"/>
  </si>
  <si>
    <t>하반기 신규 수주 성과 반영: 연초 PoC와 상반기 납품 확대로 확보한 고객 대상 연말 대규모 수주 가능성.
교육용 로봇 연말 수요 증가: 연말 학습 시즌을 타겟으로 하는 교육기관 수주 확대 예상.
전시회 참가 및 해외 고객 확대: 독일·미국 내 국제 로봇박람회 참가로 해외 판로 확대 노림.</t>
    <phoneticPr fontId="1" type="noConversion"/>
  </si>
  <si>
    <t>2026년</t>
    <phoneticPr fontId="1" type="noConversion"/>
  </si>
  <si>
    <t>고성장 구간 진입: 2025년의 PoC 결과들이 2026년 본격 실적에 반영되며 실질적인 고성장 궤도 진입 전망.
플랫폼형 매출 비중 상승: 자율주행 솔루션 판매와 함께 연간 구독형 소프트웨어 모델 도입 확대 예정.
공공/교육 부문 외부 파트너십 강화: 정부 사업, 공공기관 및 교육청 중심 납품처 다각화 기대.</t>
    <phoneticPr fontId="1" type="noConversion"/>
  </si>
  <si>
    <t>DL</t>
    <phoneticPr fontId="1" type="noConversion"/>
  </si>
  <si>
    <t>DL에너지
전력부문 호조: 파워시티(당진·군산 복합화력) 가동률 상승과 전력단가 상승 효과로 전력판매량 및 수익성 동반 개선.
REC 매출 급증: 신재생에너지 공급인증서(REC) 매출 증가 → 높은 단가 수혜.
DL케미칼
Kraton 실적 회복 시작: 미국 중심의 수요 회복, 고수익 제품군(Cariflex 등)의 안정적 매출 유지.
단, 전분기 대비 뚜렷한 턴어라운드는 아님 → 일부 제품 가격 약세 지속.
기타 사업
건설·지주부문 기여도 낮음: DL이앤씨 등 계열 건설 실적은 미미한 기여.</t>
    <phoneticPr fontId="1" type="noConversion"/>
  </si>
  <si>
    <t>DL에너지
전력수요 피크 진입: 여름철로 진입하며 전력 수요 및 단가 모두 상승 가능성.
고마진 전력판매 지속 + LNG벙커링 확대로 에너지 부문 성장세 유지.
DL케미칼
Kraton 실적 본격 회복 예상:
글로벌 합성고무 수요 반등 기대.
전방산업(자동차·건설 등) 회복에 따른 매출 증가 가능성.
Cariflex 등 프리미엄 제품 확대에 따른 수익성 개선.
전사 모멘텀
에너지 중심의 안정적 실적 구조 확립 지속.
건설부문은 기여 미미하나 배당/지분가치 측면에서 하방지지 기대.</t>
    <phoneticPr fontId="1" type="noConversion"/>
  </si>
  <si>
    <t>DL에너지
하반기 전력 성수기 지속: 폭염 등 기후 변수 반영 시 전력매출 추가 상승 여지.
REC단가 하락 리스크 주의 필요, 다만 전체 에너지 실적은 양호할 가능성.
DL케미칼
Kraton 정상화 지속: 유가 안정과 맞물려 제품 스프레드 개선 가능.
Cariflex 매출 비중 증가로 고수익성 구조 강화.
전사 측면
에너지 안정성 + 화학 회복 = 실적 안정적 유지 시나리오 기대.</t>
    <phoneticPr fontId="1" type="noConversion"/>
  </si>
  <si>
    <t>DL에너지
계절적 비수기 진입: 전력 판매량은 감소하나 LNG벙커링과 기타 사업 확장으로 실적 방어.
전력 외 사업(ESS·수소 등) 확장 가능성도 중장기 모멘텀.
DL케미칼
Cariflex의 글로벌 제약·의료용 소재 수요 지속.
Kraton, TPE(열가소성 엘라스토머) 등 제품군 중심으로 수익 기반 확대 전망.
전사
연간 기준 안정적 실적 마무리 전망, 에너지 중심 구조로 기업 체질 전환 뚜렷.</t>
    <phoneticPr fontId="1" type="noConversion"/>
  </si>
  <si>
    <t>모멘텀 요약 (DL에너지 중심)</t>
  </si>
  <si>
    <t>- DL에너지 영업이익 본격화 시작.</t>
  </si>
  <si>
    <t>- 미국 나일즈·페어뷰 발전소 중심의 안정적 용량 시장 수익 발생.</t>
  </si>
  <si>
    <t>- 아직 PJM 용량 단가 인상분은 반영되지 않았음.</t>
  </si>
  <si>
    <r>
      <t xml:space="preserve">- </t>
    </r>
    <r>
      <rPr>
        <b/>
        <sz val="11"/>
        <color theme="1"/>
        <rFont val="맑은 고딕"/>
        <family val="3"/>
        <charset val="129"/>
        <scheme val="minor"/>
      </rPr>
      <t>6월부터 PJM 2025/26년도 Clearing Price 적용 시작 ($270/MW-day).</t>
    </r>
  </si>
  <si>
    <t>- DL에너지의 분기당 약 200억 원 규모 용량 수익 발생 예상.</t>
  </si>
  <si>
    <r>
      <t xml:space="preserve">- </t>
    </r>
    <r>
      <rPr>
        <b/>
        <sz val="11"/>
        <color theme="1"/>
        <rFont val="맑은 고딕"/>
        <family val="3"/>
        <charset val="129"/>
        <scheme val="minor"/>
      </rPr>
      <t>AI 인프라 수요 급증과 전기차 확산</t>
    </r>
    <r>
      <rPr>
        <sz val="11"/>
        <color theme="1"/>
        <rFont val="맑은 고딕"/>
        <family val="2"/>
        <charset val="129"/>
        <scheme val="minor"/>
      </rPr>
      <t>으로 전력 수급 불균형 본격화.</t>
    </r>
  </si>
  <si>
    <r>
      <t xml:space="preserve">- PJM 전력시장 내 공급 부족으로 </t>
    </r>
    <r>
      <rPr>
        <b/>
        <sz val="11"/>
        <color theme="1"/>
        <rFont val="맑은 고딕"/>
        <family val="3"/>
        <charset val="129"/>
        <scheme val="minor"/>
      </rPr>
      <t>Spot 전력판매 수익(+α)</t>
    </r>
    <r>
      <rPr>
        <sz val="11"/>
        <color theme="1"/>
        <rFont val="맑은 고딕"/>
        <family val="2"/>
        <charset val="129"/>
        <scheme val="minor"/>
      </rPr>
      <t xml:space="preserve"> 기대.</t>
    </r>
  </si>
  <si>
    <r>
      <t xml:space="preserve">- PJM 용량 수익이 </t>
    </r>
    <r>
      <rPr>
        <b/>
        <sz val="11"/>
        <color theme="1"/>
        <rFont val="맑은 고딕"/>
        <family val="3"/>
        <charset val="129"/>
        <scheme val="minor"/>
      </rPr>
      <t>전 분기 대비 온전하게 반영되는 첫 분기</t>
    </r>
    <r>
      <rPr>
        <sz val="11"/>
        <color theme="1"/>
        <rFont val="맑은 고딕"/>
        <family val="2"/>
        <charset val="129"/>
        <scheme val="minor"/>
      </rPr>
      <t>.</t>
    </r>
  </si>
  <si>
    <r>
      <t xml:space="preserve">- </t>
    </r>
    <r>
      <rPr>
        <b/>
        <sz val="11"/>
        <color theme="1"/>
        <rFont val="맑은 고딕"/>
        <family val="3"/>
        <charset val="129"/>
        <scheme val="minor"/>
      </rPr>
      <t>전력 Spot 가격 추가 상승 시 추가 이익 본격화</t>
    </r>
    <r>
      <rPr>
        <sz val="11"/>
        <color theme="1"/>
        <rFont val="맑은 고딕"/>
        <family val="2"/>
        <charset val="129"/>
        <scheme val="minor"/>
      </rPr>
      <t>.</t>
    </r>
  </si>
  <si>
    <t>- 미국 발전소 가동률 상승 및 수익 기여 극대화.</t>
  </si>
  <si>
    <t>- DL에너지가 DL 연결 영업이익의 핵심 축으로 자리잡음.</t>
  </si>
  <si>
    <r>
      <t xml:space="preserve">- </t>
    </r>
    <r>
      <rPr>
        <b/>
        <sz val="11"/>
        <color theme="1"/>
        <rFont val="맑은 고딕"/>
        <family val="3"/>
        <charset val="129"/>
        <scheme val="minor"/>
      </rPr>
      <t>PJM 내 수요 초과 지속 시, 26/27년도 가격도 고단가 유지 기대.</t>
    </r>
  </si>
  <si>
    <t>- 6월 확정된 25/26 수익 기반으로 연말까지 안정적 실적 확보.</t>
  </si>
  <si>
    <t>- 겨울철 전력수요 증가에 따라 발전소 가동률·판매단가 개선 모멘텀.</t>
  </si>
  <si>
    <t>건설부문: 대형 프로젝트 완료 및 플랜트 사업부 양도 영향으로 매출 감소. 그러나 원가율 개선으로 이익률은 개선.
글로벌부문: 석유화학 트레이딩 감소 및 초안(산업용 화약) 판매 지연으로 매출·이익 모두 부진.
공통부문: 한화생명 배당 중단으로 배당수익 급감. 다만 브랜드 로열티 수익은 유지.
한화에어로스페이스: 배당 확대와 지상방산 호조, 한화오션 효과로 연결 실적 전반 견인.
주요 이슈: 이라크 BNCP 프로젝트 일부 공사 재개, 여수 질산공장 하반기 가동 예정.</t>
    <phoneticPr fontId="1" type="noConversion"/>
  </si>
  <si>
    <t>건설부문: 수서역 환승센터, 잠실 MICE 등 대형 수주 착공 기대.
글로벌부문: 여수 질산공장 제품 생산 본격화, 매출 기여 시작될 예정.
한화에어로스페이스: 기업가치 제고 계획 발표 예정. 배당 확대 기대.
현금흐름: 자회사 배당 확대 + 이라크 미수금 수령으로 자체 현금흐름 개선 전망.
주주환원정책: 자사주 소각 등 추가 주주친화 정책에 대한 기대 확대.</t>
    <phoneticPr fontId="1" type="noConversion"/>
  </si>
  <si>
    <t>건설: 주요 공공 인프라 프로젝트 본격 반영 → 수익성 개선 유지.
글로벌: 질산공장 효과 반영 가속화, 초안 및 전자뇌관 수출 확대 기대.
지배구조 변화 가능성: 자회사 상장 및 기업 분할 관련 시장 이슈화 가능성 존재.
NAV 할인율: 계열사 주가 반등 지속 시, 지주사 할인율 추가 축소 여지.</t>
    <phoneticPr fontId="1" type="noConversion"/>
  </si>
  <si>
    <t>연간 실적 총정리 국면: 연결 기준 실적은 한화에어로 중심으로 사상 최대 실적 추정.
한화솔루션: 전년 손실 기저효과 종료 후 안정적 흑자 유지.
한화생명: 실적 견조하나 배당 재개 여부가 핵심 변수.
투자자 기대: SRR 강화 여부, 자사주 활용 방안 등 정책 대응 관찰 필요.</t>
    <phoneticPr fontId="1" type="noConversion"/>
  </si>
  <si>
    <t>한화</t>
    <phoneticPr fontId="1" type="noConversion"/>
  </si>
  <si>
    <t>HD현대</t>
    <phoneticPr fontId="1" type="noConversion"/>
  </si>
  <si>
    <t>주요 특징: 전력기기와 조선 부문의 실적 호조로 전사 영업이익이 큰 폭으로 증가.
정유부문: 정제마진 약세로 부진, 석화 적자 확대.
조선부문: 생산성 개선과 고선가 반영, 해양 부문 실적 개선이 긍정적 기여.
전력기기: 북미 수주 증가와 고수익 프로젝트 집중 전략 효과.
선박 A/S 부문: 중형 엔진 및 친환경 프로젝트 수주 증가로 이익률 개선.
로보틱스: 일회성 비용과 광고비 증가로 적자 지속.
전체 평가: 정유 부문 의존도가 낮아지고 있으며, 비정유 포트폴리오가 이익 성장을 견인</t>
    <phoneticPr fontId="1" type="noConversion"/>
  </si>
  <si>
    <t>전망: 정유 및 석화 시황이 1분기와 유사할 것으로 예상되어 해당 부문의 수익성 개선은 제한적.
대응: 원가 절감 및 고마진 제품 확대 전략 지속.
로열티 계약: 상표권 계약 연장 예정이나, 요율 인상 여부는 미정</t>
    <phoneticPr fontId="1" type="noConversion"/>
  </si>
  <si>
    <t>전망: 조선·전력기기·선박 A/S 자회사 중심으로 실적 호조 지속 예상.
조선: 선가 상승분 매출 반영 확대와 공정 안정화로 수익성 개선 전망.
전력기기: 중동, 북미, 유럽에서 다양한 프로젝트와 수요 증가.
A/S (마린솔루션): 환경 규제 강화로 친환경 개조 수요 증가.
정유부문: 유가와 마진 하락세로 실적 부진 예상되나 전체 실적 영향은 제한적</t>
    <phoneticPr fontId="1" type="noConversion"/>
  </si>
  <si>
    <t>포인트: 배당 수익률 유지와 함께 자회사 배당성향 확대 필요성 대두.
주주가치 제고 전략: 자회사 배당 확대를 통해 지주사의 배당 여력 증대 → 저평가 해소를 위한 주요 수단.
NAV 대비 할인율: 여전히 높은 수준 → 적극적인 주주환원이 밸류에이션 개선 열쇠</t>
    <phoneticPr fontId="1" type="noConversion"/>
  </si>
  <si>
    <t>CJ</t>
    <phoneticPr fontId="1" type="noConversion"/>
  </si>
  <si>
    <t xml:space="preserve"> CJ올리브영:
명절 수요, 연말 특수에 따른 소비 증가
IPO 가능성 공식화 여부 주목
🔹 CJ ENM:
티빙 손익분기점 접근 여부, 구조조정 효과 반영 시도
버티컬 광고와 공연 매출 회복 추이 확인 필요
🔹 CJ제일제당:
글로벌 물류 안정화 → 공급망 효율 개선
미국 M&amp;A 가능성 혹은 신규 투자 전략 이슈화 가능
🔹 그룹차원:
CJ 내부 지배구조 재편 기대감 (올리브영과 ENM 합병 or 분할 등)
배당 확대 여부 및 주주친화 정책도 관심</t>
    <phoneticPr fontId="1" type="noConversion"/>
  </si>
  <si>
    <t>🔹 CJ올리브영:
일본 골든위크, 외국인 관광객 증가로 면세점과 유사한 소비 회복 기대.
글로벌몰 매출 확대, 온라인 성장 재개.
🔹 CJ제일제당:
미국 중심의 매출 성장 지속.
다만 바이오 부문 가격 반등은 아직 제한적일 전망.
🔹 CJ ENM:
티빙 적자 지속되나, TV 콘텐츠 라인업 다변화로 광고 회복 기대.
'고려'·'아일랜드2' 등 콘텐츠 편성 전략이 주가 반등의 트리거.
🔹 CJ푸드빌:
미국 조지아 냉동생지 공장 투자비 증가로 단기 이익 감소.</t>
    <phoneticPr fontId="1" type="noConversion"/>
  </si>
  <si>
    <t xml:space="preserve"> CJ올리브영:
국내선공 → 해외매장 확대 전략, 말레이시아·미국 매장 성장 확인
브랜드 가치 상승으로 IPO 기대감 재부각
🔹 CJ ENM:
티빙 중심 스트리밍 수익화 실험 지속
넷플릭스/디즈니와 협업 콘텐츠 수출 가능성 존재
🔹 CJ제일제당:
해외 식품 비중이 국내를 초과하는 구조적 전환 지속
글로벌 인플레 둔화로 원재료 부담 완화 시 수익성 개선 여지
🔹 대한통운:
매일오네(주7일 배송) 확산에 따른 점유율 개선 기대
다만 고정비 증가로 수익성은 단계적 회복 국면</t>
    <phoneticPr fontId="1" type="noConversion"/>
  </si>
  <si>
    <t xml:space="preserve"> CJ제일제당:
식품 부문은 미국·베트남 등 해외 매출 증가에도 불구하고, 원가 부담으로 수익성 감소.
바이오 부문은 핵산 가격 하락 지속으로 이익률 악화.
🔹 CJ ENM:
TV 광고 감소, 티빙 제작비 부담, 네이버 멤버십 종료 등으로 전년 대비 실적 둔화.
영화 '파묘'가 흥행했으나 티켓링크, 티빙 적자 지속.
🔹 CJ올리브영:
유일하게 실적 개선. 매출은 오프라인 중심으로 두 자릿수 증가.
영업이익은 작년 기저효과와 외국인 방문 회복 효과 반영.
🔹 CJ대한통운:
단가 하락과 비용 부담으로 택배 부문 수익성 둔화.
그러나 B2B 물류 확대 및 글로벌 부문은 상대적 안정.</t>
    <phoneticPr fontId="1" type="noConversion"/>
  </si>
  <si>
    <t>기대 효과 / 영향</t>
  </si>
  <si>
    <t>제21대 대통령 선거 후 정권 인수 및 국정과제 추진</t>
  </si>
  <si>
    <t>2025.6.3 이후</t>
  </si>
  <si>
    <t>실손개편, 비급여 관리, 지배구조 개선 등 공약 이행 시작</t>
  </si>
  <si>
    <t>불필요 항목 제외 시 보험료 할인 옵션 제공</t>
  </si>
  <si>
    <t>2025년 하반기 법안 발의 가능성</t>
  </si>
  <si>
    <r>
      <t xml:space="preserve">의료 남용 억제 → </t>
    </r>
    <r>
      <rPr>
        <b/>
        <sz val="11"/>
        <color theme="1"/>
        <rFont val="맑은 고딕"/>
        <family val="3"/>
        <charset val="129"/>
        <scheme val="minor"/>
      </rPr>
      <t>손해율 개선</t>
    </r>
    <r>
      <rPr>
        <sz val="11"/>
        <color theme="1"/>
        <rFont val="맑은 고딕"/>
        <family val="2"/>
        <charset val="129"/>
        <scheme val="minor"/>
      </rPr>
      <t>, 손보사 이익 확대</t>
    </r>
  </si>
  <si>
    <t>도수치료 등 과잉 항목 급여화 또는 기준 강화</t>
  </si>
  <si>
    <r>
      <t xml:space="preserve">보험금 지급 축소 → </t>
    </r>
    <r>
      <rPr>
        <b/>
        <sz val="11"/>
        <color theme="1"/>
        <rFont val="맑은 고딕"/>
        <family val="3"/>
        <charset val="129"/>
        <scheme val="minor"/>
      </rPr>
      <t>보험사 수익성 제고</t>
    </r>
  </si>
  <si>
    <t>고자사주 보유 기업의 ROE 개선 유도</t>
  </si>
  <si>
    <t>정기국회(9~12월) 논의 가능성</t>
  </si>
  <si>
    <r>
      <t>PBR 리레이팅 기대</t>
    </r>
    <r>
      <rPr>
        <sz val="11"/>
        <color theme="1"/>
        <rFont val="맑은 고딕"/>
        <family val="2"/>
        <charset val="129"/>
        <scheme val="minor"/>
      </rPr>
      <t>, 삼성생명·삼성화재 주가 개선 요인</t>
    </r>
  </si>
  <si>
    <t>30조 원 규모 적자국채 발행 예상</t>
  </si>
  <si>
    <r>
      <t xml:space="preserve">국고채 수급 압박 → </t>
    </r>
    <r>
      <rPr>
        <b/>
        <sz val="11"/>
        <color theme="1"/>
        <rFont val="맑은 고딕"/>
        <family val="3"/>
        <charset val="129"/>
        <scheme val="minor"/>
      </rPr>
      <t>장기금리 상승 유도</t>
    </r>
  </si>
  <si>
    <t>국고 10년물 기준 10bp 상승 시</t>
  </si>
  <si>
    <r>
      <t xml:space="preserve">자본비율 개선 → </t>
    </r>
    <r>
      <rPr>
        <b/>
        <sz val="11"/>
        <color theme="1"/>
        <rFont val="맑은 고딕"/>
        <family val="3"/>
        <charset val="129"/>
        <scheme val="minor"/>
      </rPr>
      <t>ROE 상승 + 투자심리 개선</t>
    </r>
  </si>
  <si>
    <t>대선 이후 정책 추진</t>
    <phoneticPr fontId="1" type="noConversion"/>
  </si>
  <si>
    <t>실손보험 선택형 특약 도입</t>
    <phoneticPr fontId="1" type="noConversion"/>
  </si>
  <si>
    <t>비급여 항목 가격 기준 마련</t>
    <phoneticPr fontId="1" type="noConversion"/>
  </si>
  <si>
    <t>자사주 소각 제도화 검토</t>
    <phoneticPr fontId="1" type="noConversion"/>
  </si>
  <si>
    <t>추경 편성, 금리상승</t>
    <phoneticPr fontId="1" type="noConversion"/>
  </si>
  <si>
    <t>ASCO 2025 발표
LCB14 (HER2), LCB84 (TROP2) 관련 글로벌 유방암 치료제 1차 시장 진입 기대감 확대
LNCB74 (B7-H4 ADC) 임상 1상 디자인 공개, 선제적 치료 및 B7-H4 발현도에 따른 코호트 설계
AACR 발표 효과 반영
STING agonist LCB39 전임상 데이터 발표 (Cold tumor를 hot tumor로 전환 가능성 강조)
고형암에서의 효과 확인 및 병용요법 확장 기대</t>
    <phoneticPr fontId="1" type="noConversion"/>
  </si>
  <si>
    <r>
      <rPr>
        <b/>
        <sz val="11"/>
        <color theme="1"/>
        <rFont val="맑은 고딕"/>
        <family val="3"/>
        <charset val="129"/>
        <scheme val="minor"/>
      </rPr>
      <t>LCB71 (ROR1 ADC)
파트너사 씨스톤을 통한 글로벌 기술이전(L/O) 추진 계획
미국 혈액학회(ASH 2025, 12월)에서 임상 1b상 결과 발표 예정</t>
    </r>
    <r>
      <rPr>
        <sz val="11"/>
        <color theme="1"/>
        <rFont val="맑은 고딕"/>
        <family val="2"/>
        <charset val="129"/>
        <scheme val="minor"/>
      </rPr>
      <t xml:space="preserve">
LCB39 / LCB22A / IKS04 (ADC/STING agonist 계열)
AACR에서 비임상 효능 입증 이후 IND 신청 및 임상 1상 개시 기대</t>
    </r>
    <phoneticPr fontId="1" type="noConversion"/>
  </si>
  <si>
    <t>리가켐바이오</t>
    <phoneticPr fontId="1" type="noConversion"/>
  </si>
  <si>
    <r>
      <rPr>
        <b/>
        <sz val="11"/>
        <color theme="1"/>
        <rFont val="맑은 고딕"/>
        <family val="3"/>
        <charset val="129"/>
        <scheme val="minor"/>
      </rPr>
      <t>LCB14 (HER2 ADC)
글로벌 임상 1a상 결과 발표 예정 (ESMO 2025, 10월 17~21일)</t>
    </r>
    <r>
      <rPr>
        <sz val="11"/>
        <color theme="1"/>
        <rFont val="맑은 고딕"/>
        <family val="2"/>
        <charset val="129"/>
        <scheme val="minor"/>
      </rPr>
      <t xml:space="preserve">
HER2+ 유방암 3차 치료제에 대한 중국 조건부 허가 신청 계획
LCB84 (TROP2 ADC)
임상 1상 종료 및 2상 진입 예정, 얀센의 옵션 행사 기대감 상승</t>
    </r>
    <phoneticPr fontId="1" type="noConversion"/>
  </si>
  <si>
    <t>한국항공우주</t>
    <phoneticPr fontId="1" type="noConversion"/>
  </si>
  <si>
    <t>필리핀 FA-50 인도 개시 가능성
KF-21 국내 초도 양산 일부 인도 개시 전망
이집트 FA-50 본계약 가능성 or 협상 가시화
미국 UJTS 사업 경쟁 상황에 대한 중간 발표 가능성</t>
    <phoneticPr fontId="1" type="noConversion"/>
  </si>
  <si>
    <t>보잉·에어버스향 기체부품 출하량 확대 → 민항 부품 회복세 본격화
말레이시아 등 신규 FA-50 수출국 대상 수주 계약 기대
국내 LAH(소형무장헬기) 양산분 일부 인도 가능성
연말 기준 연간 수주 실적 발표 및 2026년 가이던스 발표 가능</t>
    <phoneticPr fontId="1" type="noConversion"/>
  </si>
  <si>
    <t>2026년 (하반기)</t>
    <phoneticPr fontId="1" type="noConversion"/>
  </si>
  <si>
    <t>2026년 (상반기)</t>
    <phoneticPr fontId="1" type="noConversion"/>
  </si>
  <si>
    <t xml:space="preserve"> - KF-21 2차 양산 계약 확대 여부 결정
- 폴란드향 FA-50 후속 옵션 물량 계약 가능성
- 완제기 수출 총액 2조 원 이상 누적 가능성
- 2027년 국방예산 반영 위한 신규 무기체계 개발 과제 수주 기대</t>
    <phoneticPr fontId="1" type="noConversion"/>
  </si>
  <si>
    <t xml:space="preserve"> - KF-21 양산 인도 본격화 시작 (국내 공군 1차 계약 기준)
- 태국, 인도네시아, 콜롬비아 등 FA-50 후속 수출 입찰 진행 가능성
- UAE·사우디 등 중동 수출 계약 체결 가능성 (LAH, 수송기 등)
- 기체부품 실적 증가 지속 (단가 상승 및 점유율 확대)</t>
    <phoneticPr fontId="1" type="noConversion"/>
  </si>
  <si>
    <t>① 완제기 수출</t>
  </si>
  <si>
    <r>
      <t xml:space="preserve">필리핀 본계약 체결 → </t>
    </r>
    <r>
      <rPr>
        <b/>
        <sz val="11"/>
        <color theme="1"/>
        <rFont val="맑은 고딕"/>
        <family val="3"/>
        <charset val="129"/>
        <scheme val="minor"/>
      </rPr>
      <t>후속 수출국 확대</t>
    </r>
    <r>
      <rPr>
        <sz val="11"/>
        <color theme="1"/>
        <rFont val="맑은 고딕"/>
        <family val="2"/>
        <charset val="129"/>
        <scheme val="minor"/>
      </rPr>
      <t xml:space="preserve"> (이집트, 말레이, UAE, 인니 등)</t>
    </r>
  </si>
  <si>
    <t>② KF-21</t>
  </si>
  <si>
    <r>
      <t>양산 승인 → 2025년 말~2026년 인도 본격화</t>
    </r>
    <r>
      <rPr>
        <sz val="11"/>
        <color theme="1"/>
        <rFont val="맑은 고딕"/>
        <family val="2"/>
        <charset val="129"/>
        <scheme val="minor"/>
      </rPr>
      <t>, 국내 안정적 실적 견인</t>
    </r>
  </si>
  <si>
    <t>③ UJTS 미국훈련기</t>
  </si>
  <si>
    <r>
      <t>보잉·록히드마틴과 경쟁</t>
    </r>
    <r>
      <rPr>
        <sz val="11"/>
        <color theme="1"/>
        <rFont val="맑은 고딕"/>
        <family val="2"/>
        <charset val="129"/>
        <scheme val="minor"/>
      </rPr>
      <t>, 하반기 1차 결과 발표 기대</t>
    </r>
  </si>
  <si>
    <t>④ 민수 기체부품</t>
  </si>
  <si>
    <r>
      <t>보잉/에어버스향 공급 증가</t>
    </r>
    <r>
      <rPr>
        <sz val="11"/>
        <color theme="1"/>
        <rFont val="맑은 고딕"/>
        <family val="2"/>
        <charset val="129"/>
        <scheme val="minor"/>
      </rPr>
      <t>, 단가 상승 수혜</t>
    </r>
  </si>
  <si>
    <t>필리핀 FA-50 12기 본계약 체결 (6,000억 원 규모)【언론】
- KF-21 초도 및 2차 선 생산 승인 확인 → 국내 양산 인도 준비 진행 중
- 완제기 수출 인도 물량(폴란드향) 증가 시작 → 3분기부터 실적 본격화 예고
- 미국 UJTS(차세대 고등훈련기 사업) 1단계 평가 중 → 연말 전후 윤곽 가능성
- UAE, 페루, 이집트 등 타 수출국향 수주 협상 계속 진행 중</t>
    <phoneticPr fontId="1" type="noConversion"/>
  </si>
  <si>
    <t>2Q25 실적 구성</t>
  </si>
  <si>
    <t>KF-21 일부 국내 양산 매출 + 폴란드향 FA-50 인도 반영</t>
  </si>
  <si>
    <t>3Q25 실적 구성</t>
  </si>
  <si>
    <t>KF-21 본격 반영 + FA-50 인도 지속 (폴란드)</t>
  </si>
  <si>
    <t>완제기 수출의 효과</t>
  </si>
  <si>
    <t>고단가 + 고마진으로 매출과 OPM 동시 개선 유도</t>
  </si>
  <si>
    <t>중국 단체 관광객 무비자 입국 허용 예정
중국 MASS 고객 비중이 높아 실적 개선 기대
대규모 방문객 유입에 따른 매출 성장과 홀드율 유지</t>
    <phoneticPr fontId="1" type="noConversion"/>
  </si>
  <si>
    <t>전년 대비 매출 감소 예상 (일부 보고서 기준 YoY -3.4%)
인당 드랍액 감소와 매스(MASS) 중심 회복 영향으로 실적 둔화</t>
    <phoneticPr fontId="1" type="noConversion"/>
  </si>
  <si>
    <t>무비자 정책 효과 일부 지속, 성수기 진입</t>
    <phoneticPr fontId="1" type="noConversion"/>
  </si>
  <si>
    <t>GKL</t>
    <phoneticPr fontId="1" type="noConversion"/>
  </si>
  <si>
    <t>호텔신라</t>
    <phoneticPr fontId="1" type="noConversion"/>
  </si>
  <si>
    <t>면세점 부문에서 비효율 도매 축소와 임차료 협상 효과가 반영되기 시작함.
공항점은 국제선 수요 회복과 함께 매출 반등 흐름.
호텔/레저는 비수기 영향 존재하나, 비용 효율화 진행 중.
도매 할인율 축소, TR 구조조정 가속화가 핵심.</t>
    <phoneticPr fontId="1" type="noConversion"/>
  </si>
  <si>
    <t>면세점은 공항점 매출 증가와 함께 흑자 전환 기대.
중국 노선 회복과 외국인 관광객 유입 확대가 실적 회복을 견인.
호텔 부문은 성수기 진입으로 레저 수요 회복.
신규 호텔 오픈 준비와 더불어 TR 사업 구조 최적화 본격화.</t>
    <phoneticPr fontId="1" type="noConversion"/>
  </si>
  <si>
    <t>면세점은 공항점 성장세 지속, 도매는 여전히 제한적.
TR 수익성 중심 전략 지속, 적자 사업 점진적 축소.
호텔/레저는 성수기 종료에 따른 조정 국면이나, 운영 효율성 개선 노력 계속.
SBTM 자산 매각 완료 여부에 따라 재무구조에 긍정적 변화 가능성.</t>
    <phoneticPr fontId="1" type="noConversion"/>
  </si>
  <si>
    <t>코스메카코리아</t>
    <phoneticPr fontId="1" type="noConversion"/>
  </si>
  <si>
    <t>전년 기저 부담으로 매출과 이익은 역성장할 것으로 보이나, QoQ로는 뚜렷한 회복세 시작.
국내 ODM 주요 고객사 재발주 본격화, 신제품 수주 증가, 자외선차단제 수요 증가로 미국 실적 개선.
미국 OTC 브랜드 런칭 본격화, 성수기 효과로 EWL 매출 회복 예상.
실적은 1분기를 저점으로 반등 시작되는 구간.</t>
    <phoneticPr fontId="1" type="noConversion"/>
  </si>
  <si>
    <t>전년 기저효과와 성장 재개 효과가 동시에 작용.
국내 본사 수주 증가 및 주요 브랜드 매출 증가 기대.
미국법인은 OTC 물량 본격 납품되며 영업이익률 회복 예상.
중국은 여전히 불확실하지만 소폭 회복 조짐 보임.
전년 동기 대비 실적 증가 전환 국면 진입.</t>
    <phoneticPr fontId="1" type="noConversion"/>
  </si>
  <si>
    <t>하반기 구조적 개선이 반영되는 구간.
미국 OTC 프로젝트에 기반한 수익성 확대 지속.
국내 신규 브랜드의 성장 효과 지속.
EWLK의 생산 효율 증가, 마진 개선 기대.
연간 실적 기준으로는 정체된 상반기에서 회복된 하반기가 확실히 구분되는 흐름.</t>
    <phoneticPr fontId="1" type="noConversion"/>
  </si>
  <si>
    <t>고객 포트폴리오 다변화 효과 본격화.
미국 OTC 시장 내 점유율 상승, 글로벌 고객사와의 협업 강화.
한국 법인의 카테고리 확장 효과, 색조와 기초 제품 믹스 개선.
중국 시장도 기저효과 및 내수 회복에 따라 점진적 개선 기대.
전사적으로 중장기적인 구조적 성장 기반 마련된 해로 평가.</t>
    <phoneticPr fontId="1" type="noConversion"/>
  </si>
  <si>
    <t>26년</t>
    <phoneticPr fontId="1" type="noConversion"/>
  </si>
  <si>
    <t>HD현대마린엔진</t>
    <phoneticPr fontId="1" type="noConversion"/>
  </si>
  <si>
    <t>26년 상반기</t>
    <phoneticPr fontId="1" type="noConversion"/>
  </si>
  <si>
    <t>고성능 AP 탑재 증가: 갤럭시 S25, 아이폰16e 등 고성능 AP 모델의 출시로 테스트 소켓 수요 증가.
R&amp;D용 소켓 매출 비중 확대: 전체 매출 중 70% 이상이 R&amp;D용 소켓에서 발생하며, 스마트폰 업황과 무관하게 견조한 성장 유지
.
의료기기 매출 안정화: 고단가 유지되며 100억 원대 분기 매출 지속.
고객 다변화 기반 확대: 기존 팹리스 외에도 신규 글로벌 고객사 테스트 수요 확인됨
.
스마트폰 회복 없이도 성장: 세트 수요 부진 우려와 별개로 반도체 테스트용 부품 수요는 안정적으로 유지.</t>
    <phoneticPr fontId="1" type="noConversion"/>
  </si>
  <si>
    <t>신규 고객사 매출 본격화: 상반기 테스트 완료 후, 하반기부터 본격 양산 시작.
AI폰 및 PC, 차량용 반도체 수요 증가: 온디바이스 AI 탑재 확대로 고집적 소켓 수요 증가.
미세공정 대응 소켓 기술 필요성 확대: GAA, BSPDN 등 신공정 대응 필요에 따라 고정밀 소켓 수요 급증.
고부가 소켓 중심 성장세 강화: 포고핀 밀도 증가, 소형화·고정밀화 흐름 지속으로 ASP 상향 압력.</t>
    <phoneticPr fontId="1" type="noConversion"/>
  </si>
  <si>
    <t>신공장 투자 및 양산 준비: 연 9천억 원 수준의 생산능력을 목표로 하여 신공장 증설 중, 일부 장비 설치 시작 예정
.
의료기기 고객 다변화: 미국, 유럽 외 지역 확장 가능성 부각.
고객사별 소켓 인증 완료 후 납품 확산: 3분기 말부터 고객 다변화 효과가 실적에 본격 반영.
정책 수혜 기대: 북미 반도체 패키징 및 후공정 내재화 흐름과 맞물려 추가 수주 가능성.</t>
    <phoneticPr fontId="1" type="noConversion"/>
  </si>
  <si>
    <t>26년 상반기</t>
    <phoneticPr fontId="1" type="noConversion"/>
  </si>
  <si>
    <t>AI 반도체 전방 확산 지속: 스마트폰 외에 서버, 차량용, IoT 등으로 AI 칩 확산 → 전방 소켓 수요 증가.
3나노 이하 미세공정용 소켓 비중 증가: 기술 복잡도 상승에 따른 테스트 공정 강화 수요.
의료기기 고단가 유지 및 추가 고객 확보: ASP가 높게 형성된 상태에서 지속적인 매출 기여.
글로벌 고객사향 소켓 비중 증가: 팹리스 고객 외 IDM 고객 확보 가능성도 열림.</t>
    <phoneticPr fontId="1" type="noConversion"/>
  </si>
  <si>
    <t>26년 하반기</t>
    <phoneticPr fontId="1" type="noConversion"/>
  </si>
  <si>
    <t>신공장 본격 가동: 4분기 중 신공장 이전 완료 예정, 본격적인 생산 가동을 통해 매출 성장 가속화 기대
.
신규 고성능 칩 대응 소켓 출시: 스마트폰·PC·서버용 차세대 AP에 대응하는 고부가 소켓 양산.
CSP 및 로컬 칩 설계사 증가에 따른 수혜: 미국 중심의 AI 반도체 자체 설계 확산이 테스트 수요 유발.
NPU, XR 등 신규 애플리케이션 확대: 고성능 연산 중심 디바이스용 테스트 시장 진입 본격화.</t>
    <phoneticPr fontId="1" type="noConversion"/>
  </si>
  <si>
    <t>1. 단가 상승 (ASP 상승)</t>
  </si>
  <si>
    <r>
      <t>고성능 AP 및 미세공정 확산</t>
    </r>
    <r>
      <rPr>
        <sz val="11"/>
        <color theme="1"/>
        <rFont val="맑은 고딕"/>
        <family val="2"/>
        <charset val="129"/>
        <scheme val="minor"/>
      </rPr>
      <t xml:space="preserve">: GAA, BSPDN 등 미세공정 기반 고성능 칩에 대응하기 위해 </t>
    </r>
    <r>
      <rPr>
        <b/>
        <sz val="11"/>
        <color theme="1"/>
        <rFont val="맑은 고딕"/>
        <family val="3"/>
        <charset val="129"/>
        <scheme val="minor"/>
      </rPr>
      <t>더 정밀하고 고집적된 테스트 소켓</t>
    </r>
    <r>
      <rPr>
        <sz val="11"/>
        <color theme="1"/>
        <rFont val="맑은 고딕"/>
        <family val="2"/>
        <charset val="129"/>
        <scheme val="minor"/>
      </rPr>
      <t xml:space="preserve">이 필요해짐 → </t>
    </r>
    <r>
      <rPr>
        <b/>
        <sz val="11"/>
        <color theme="1"/>
        <rFont val="맑은 고딕"/>
        <family val="3"/>
        <charset val="129"/>
        <scheme val="minor"/>
      </rPr>
      <t>소켓 단가 상승</t>
    </r>
    <r>
      <rPr>
        <sz val="11"/>
        <color theme="1"/>
        <rFont val="맑은 고딕"/>
        <family val="2"/>
        <charset val="129"/>
        <scheme val="minor"/>
      </rPr>
      <t>.</t>
    </r>
  </si>
  <si>
    <r>
      <t>포고핀 밀도 증가</t>
    </r>
    <r>
      <rPr>
        <sz val="11"/>
        <color theme="1"/>
        <rFont val="맑은 고딕"/>
        <family val="2"/>
        <charset val="129"/>
        <scheme val="minor"/>
      </rPr>
      <t>: 포고핀 수가 많고 정밀도가 높을수록 소켓 단가가 높아짐 → 고부가 소켓 위주 매출 구조 강화.</t>
    </r>
  </si>
  <si>
    <r>
      <t>의료기기 부문 고단가 유지</t>
    </r>
    <r>
      <rPr>
        <sz val="11"/>
        <color theme="1"/>
        <rFont val="맑은 고딕"/>
        <family val="2"/>
        <charset val="129"/>
        <scheme val="minor"/>
      </rPr>
      <t>: ASP가 높은 제품군 중심으로 안정적인 매출을 유지하며 수익성에 기여.</t>
    </r>
  </si>
  <si>
    <t>2. 공장 증설 및 생산능력 확대 기대감</t>
  </si>
  <si>
    <r>
      <t>2026년 4분기 신공장 이전 예정</t>
    </r>
    <r>
      <rPr>
        <sz val="11"/>
        <color theme="1"/>
        <rFont val="맑은 고딕"/>
        <family val="2"/>
        <charset val="129"/>
        <scheme val="minor"/>
      </rPr>
      <t xml:space="preserve">: 연간 매출 기준 </t>
    </r>
    <r>
      <rPr>
        <b/>
        <sz val="11"/>
        <color theme="1"/>
        <rFont val="맑은 고딕"/>
        <family val="3"/>
        <charset val="129"/>
        <scheme val="minor"/>
      </rPr>
      <t>9,000억 원 수준의 생산 능력 확보</t>
    </r>
    <r>
      <rPr>
        <sz val="11"/>
        <color theme="1"/>
        <rFont val="맑은 고딕"/>
        <family val="2"/>
        <charset val="129"/>
        <scheme val="minor"/>
      </rPr>
      <t>를 목표로 증설 진행 중.</t>
    </r>
  </si>
  <si>
    <r>
      <t>2025년 하반기부터 장비 반입 시작 → 2026년 본격 가동</t>
    </r>
    <r>
      <rPr>
        <sz val="11"/>
        <color theme="1"/>
        <rFont val="맑은 고딕"/>
        <family val="2"/>
        <charset val="129"/>
        <scheme val="minor"/>
      </rPr>
      <t xml:space="preserve"> 예정.</t>
    </r>
  </si>
  <si>
    <r>
      <t>생산 효율성 제고 + 고객 다변화 대응력 확대</t>
    </r>
    <r>
      <rPr>
        <sz val="11"/>
        <color theme="1"/>
        <rFont val="맑은 고딕"/>
        <family val="2"/>
        <charset val="129"/>
        <scheme val="minor"/>
      </rPr>
      <t xml:space="preserve"> → 중장기 실적 성장 기반 강화.</t>
    </r>
  </si>
  <si>
    <t>1. 전방산업 구조 변화: 고성능·고집적화 가속</t>
  </si>
  <si>
    <t>AI 스마트폰, 온디바이스 AI 확산</t>
  </si>
  <si>
    <t>→ 고성능 AP(예: 애플 A18, 퀄컴 Snapdragon X 등)가 탑재되며 발열·전력관리·테스트 조건 복잡도 상승</t>
  </si>
  <si>
    <r>
      <t xml:space="preserve">→ </t>
    </r>
    <r>
      <rPr>
        <b/>
        <sz val="11"/>
        <color theme="1"/>
        <rFont val="맑은 고딕"/>
        <family val="3"/>
        <charset val="129"/>
        <scheme val="minor"/>
      </rPr>
      <t>정밀도 높은 고부가가치 테스트 소켓 필요</t>
    </r>
  </si>
  <si>
    <t>3나노 이하 미세공정 전환(GAA 등)</t>
  </si>
  <si>
    <t>→ 핀 피치가 작아지고 테스트 난이도 증가</t>
  </si>
  <si>
    <r>
      <t xml:space="preserve">→ </t>
    </r>
    <r>
      <rPr>
        <b/>
        <sz val="11"/>
        <color theme="1"/>
        <rFont val="맑은 고딕"/>
        <family val="3"/>
        <charset val="129"/>
        <scheme val="minor"/>
      </rPr>
      <t>고정밀·고난도 소켓 요구</t>
    </r>
    <r>
      <rPr>
        <sz val="11"/>
        <color theme="1"/>
        <rFont val="맑은 고딕"/>
        <family val="2"/>
        <charset val="129"/>
        <scheme val="minor"/>
      </rPr>
      <t xml:space="preserve"> → 단가 상승 요인</t>
    </r>
  </si>
  <si>
    <t>고속인터페이스·멀티칩 패키지 증가 (HPC, NPU 등)</t>
  </si>
  <si>
    <t>→ 다수의 핀·복잡한 전류/열 조건을 견디는 고사양 소켓 필요</t>
  </si>
  <si>
    <r>
      <t xml:space="preserve">→ </t>
    </r>
    <r>
      <rPr>
        <b/>
        <sz val="11"/>
        <color theme="1"/>
        <rFont val="맑은 고딕"/>
        <family val="3"/>
        <charset val="129"/>
        <scheme val="minor"/>
      </rPr>
      <t>포고핀 수 증가 및 재료비 상승</t>
    </r>
    <r>
      <rPr>
        <sz val="11"/>
        <color theme="1"/>
        <rFont val="맑은 고딕"/>
        <family val="2"/>
        <charset val="129"/>
        <scheme val="minor"/>
      </rPr>
      <t xml:space="preserve"> → 단가 자연스레 높아짐</t>
    </r>
  </si>
  <si>
    <t>2. 전방산업 수요 변화: R&amp;D 확대와 제품 다변화</t>
  </si>
  <si>
    <t>R&amp;D용 소켓 매출 비중 확대 (70% 이상)</t>
  </si>
  <si>
    <r>
      <t xml:space="preserve">→ 초기 양산 전 개발 테스트단계에서 </t>
    </r>
    <r>
      <rPr>
        <b/>
        <sz val="11"/>
        <color theme="1"/>
        <rFont val="맑은 고딕"/>
        <family val="3"/>
        <charset val="129"/>
        <scheme val="minor"/>
      </rPr>
      <t>소량 고단가</t>
    </r>
    <r>
      <rPr>
        <sz val="11"/>
        <color theme="1"/>
        <rFont val="맑은 고딕"/>
        <family val="2"/>
        <charset val="129"/>
        <scheme val="minor"/>
      </rPr>
      <t xml:space="preserve"> 소켓 사용</t>
    </r>
  </si>
  <si>
    <r>
      <t xml:space="preserve">→ 단가가 높고, 재사용률 낮아 </t>
    </r>
    <r>
      <rPr>
        <b/>
        <sz val="11"/>
        <color theme="1"/>
        <rFont val="맑은 고딕"/>
        <family val="3"/>
        <charset val="129"/>
        <scheme val="minor"/>
      </rPr>
      <t>단가 상승의 핵심 기여 요인</t>
    </r>
  </si>
  <si>
    <t>신규 애플리케이션 확산 (XR, 자율주행용 SoC, AI PC)</t>
  </si>
  <si>
    <t>→ 아직 양산 초기 or 테스트 수요 단계</t>
  </si>
  <si>
    <r>
      <t xml:space="preserve">→ R&amp;D 중심 수요가 늘며 </t>
    </r>
    <r>
      <rPr>
        <b/>
        <sz val="11"/>
        <color theme="1"/>
        <rFont val="맑은 고딕"/>
        <family val="3"/>
        <charset val="129"/>
        <scheme val="minor"/>
      </rPr>
      <t>고단가 제품군 비중 커짐</t>
    </r>
  </si>
  <si>
    <t>3. 산업 경쟁 구도: 공급사 진입장벽 상승</t>
  </si>
  <si>
    <t>핀 피치 축소에 따른 제조 난이도 상승</t>
  </si>
  <si>
    <r>
      <t xml:space="preserve">→ </t>
    </r>
    <r>
      <rPr>
        <b/>
        <sz val="11"/>
        <color theme="1"/>
        <rFont val="맑은 고딕"/>
        <family val="3"/>
        <charset val="129"/>
        <scheme val="minor"/>
      </rPr>
      <t>리노공업의 정밀 가공 역량</t>
    </r>
    <r>
      <rPr>
        <sz val="11"/>
        <color theme="1"/>
        <rFont val="맑은 고딕"/>
        <family val="2"/>
        <charset val="129"/>
        <scheme val="minor"/>
      </rPr>
      <t>에 경쟁사 진입 어려움</t>
    </r>
  </si>
  <si>
    <r>
      <t xml:space="preserve">→ </t>
    </r>
    <r>
      <rPr>
        <b/>
        <sz val="11"/>
        <color theme="1"/>
        <rFont val="맑은 고딕"/>
        <family val="3"/>
        <charset val="129"/>
        <scheme val="minor"/>
      </rPr>
      <t>공급 독점성 or 제한적 경쟁</t>
    </r>
    <r>
      <rPr>
        <sz val="11"/>
        <color theme="1"/>
        <rFont val="맑은 고딕"/>
        <family val="2"/>
        <charset val="129"/>
        <scheme val="minor"/>
      </rPr>
      <t xml:space="preserve"> → 가격 결정력 강화</t>
    </r>
  </si>
  <si>
    <t>해외 고객사의 멀티 벤더 전략에도 대응 역량 보유</t>
  </si>
  <si>
    <r>
      <t xml:space="preserve">→ 단순 가격 경쟁보다 </t>
    </r>
    <r>
      <rPr>
        <b/>
        <sz val="11"/>
        <color theme="1"/>
        <rFont val="맑은 고딕"/>
        <family val="3"/>
        <charset val="129"/>
        <scheme val="minor"/>
      </rPr>
      <t>품질·신뢰성 중심 선택</t>
    </r>
  </si>
  <si>
    <r>
      <t xml:space="preserve">→ 리노공업은 가격 인하 압박 없이 </t>
    </r>
    <r>
      <rPr>
        <b/>
        <sz val="11"/>
        <color theme="1"/>
        <rFont val="맑은 고딕"/>
        <family val="3"/>
        <charset val="129"/>
        <scheme val="minor"/>
      </rPr>
      <t>단가 방어 및 인상 가능</t>
    </r>
  </si>
  <si>
    <t>4. 제품군 내 자체 업셀링 구조</t>
  </si>
  <si>
    <t>테스트 소켓 내 상위 제품군(고밀도 포고핀, 더블디자인 등) 비중 확대</t>
  </si>
  <si>
    <t>→ 평균 판매 단가 자연스럽게 상승</t>
  </si>
  <si>
    <r>
      <t xml:space="preserve">→ 고객사별로 </t>
    </r>
    <r>
      <rPr>
        <b/>
        <sz val="11"/>
        <color theme="1"/>
        <rFont val="맑은 고딕"/>
        <family val="3"/>
        <charset val="129"/>
        <scheme val="minor"/>
      </rPr>
      <t>제품 사양 커스터마이징 가능성</t>
    </r>
    <r>
      <rPr>
        <sz val="11"/>
        <color theme="1"/>
        <rFont val="맑은 고딕"/>
        <family val="2"/>
        <charset val="129"/>
        <scheme val="minor"/>
      </rPr>
      <t>도 높아 단가 유연성 확보</t>
    </r>
  </si>
  <si>
    <t xml:space="preserve"> - 고성능 AP 탑재 스마트폰 출시 개시
(갤럭시 S25, 아이폰16e 등)
- 온디바이스 AI 적용 AP 양산 시작
- R&amp;D 소켓 비중 확대
- 전방 수요는 미지근하나 테스트는 견조</t>
    <phoneticPr fontId="1" type="noConversion"/>
  </si>
  <si>
    <t xml:space="preserve"> - AI PC, AI 스마트폰 본격 양산 시작
- CSP(클라우드사) 자체 칩 개발 확대
- GAA 공정/3nm 이하 미세공정 확산
- 차량용 반도체 리커버리 시작</t>
    <phoneticPr fontId="1" type="noConversion"/>
  </si>
  <si>
    <t>1. 삼성전자</t>
  </si>
  <si>
    <t>4. 애플</t>
  </si>
  <si>
    <t>5. 화웨이</t>
  </si>
  <si>
    <r>
      <t>폴더블</t>
    </r>
    <r>
      <rPr>
        <sz val="12"/>
        <color theme="1"/>
        <rFont val="Segoe UI"/>
        <family val="2"/>
      </rPr>
      <t xml:space="preserve"> </t>
    </r>
    <r>
      <rPr>
        <sz val="12"/>
        <color theme="1"/>
        <rFont val="돋움"/>
        <family val="3"/>
        <charset val="129"/>
      </rPr>
      <t>신제품</t>
    </r>
    <r>
      <rPr>
        <sz val="12"/>
        <color theme="1"/>
        <rFont val="Segoe UI"/>
        <family val="2"/>
      </rPr>
      <t xml:space="preserve">: </t>
    </r>
    <r>
      <rPr>
        <sz val="12"/>
        <color theme="1"/>
        <rFont val="돋움"/>
        <family val="3"/>
        <charset val="129"/>
      </rPr>
      <t>하반기</t>
    </r>
    <r>
      <rPr>
        <sz val="12"/>
        <color theme="1"/>
        <rFont val="Segoe UI"/>
        <family val="2"/>
      </rPr>
      <t>(7~8</t>
    </r>
    <r>
      <rPr>
        <sz val="12"/>
        <color theme="1"/>
        <rFont val="돋움"/>
        <family val="3"/>
        <charset val="129"/>
      </rPr>
      <t>월</t>
    </r>
    <r>
      <rPr>
        <sz val="12"/>
        <color theme="1"/>
        <rFont val="Segoe UI"/>
        <family val="2"/>
      </rPr>
      <t xml:space="preserve">) </t>
    </r>
    <r>
      <rPr>
        <sz val="12"/>
        <color theme="1"/>
        <rFont val="돋움"/>
        <family val="3"/>
        <charset val="129"/>
      </rPr>
      <t>갤럭시</t>
    </r>
    <r>
      <rPr>
        <sz val="12"/>
        <color theme="1"/>
        <rFont val="Segoe UI"/>
        <family val="2"/>
      </rPr>
      <t xml:space="preserve"> Z </t>
    </r>
    <r>
      <rPr>
        <sz val="12"/>
        <color theme="1"/>
        <rFont val="돋움"/>
        <family val="3"/>
        <charset val="129"/>
      </rPr>
      <t>폴드</t>
    </r>
    <r>
      <rPr>
        <sz val="12"/>
        <color theme="1"/>
        <rFont val="Segoe UI"/>
        <family val="2"/>
      </rPr>
      <t>/</t>
    </r>
    <r>
      <rPr>
        <sz val="12"/>
        <color theme="1"/>
        <rFont val="돋움"/>
        <family val="3"/>
        <charset val="129"/>
      </rPr>
      <t>플립</t>
    </r>
    <r>
      <rPr>
        <sz val="12"/>
        <color theme="1"/>
        <rFont val="Segoe UI"/>
        <family val="2"/>
      </rPr>
      <t xml:space="preserve"> </t>
    </r>
    <r>
      <rPr>
        <sz val="12"/>
        <color theme="1"/>
        <rFont val="돋움"/>
        <family val="3"/>
        <charset val="129"/>
      </rPr>
      <t>신제품이</t>
    </r>
    <r>
      <rPr>
        <sz val="12"/>
        <color theme="1"/>
        <rFont val="Segoe UI"/>
        <family val="2"/>
      </rPr>
      <t xml:space="preserve"> </t>
    </r>
    <r>
      <rPr>
        <sz val="12"/>
        <color theme="1"/>
        <rFont val="돋움"/>
        <family val="3"/>
        <charset val="129"/>
      </rPr>
      <t>출시될</t>
    </r>
    <r>
      <rPr>
        <sz val="12"/>
        <color theme="1"/>
        <rFont val="Segoe UI"/>
        <family val="2"/>
      </rPr>
      <t xml:space="preserve"> </t>
    </r>
    <r>
      <rPr>
        <sz val="12"/>
        <color theme="1"/>
        <rFont val="돋움"/>
        <family val="3"/>
        <charset val="129"/>
      </rPr>
      <t>예정입니다</t>
    </r>
    <r>
      <rPr>
        <sz val="12"/>
        <color theme="1"/>
        <rFont val="Segoe UI"/>
        <family val="2"/>
      </rPr>
      <t xml:space="preserve">. </t>
    </r>
    <r>
      <rPr>
        <sz val="12"/>
        <color theme="1"/>
        <rFont val="돋움"/>
        <family val="3"/>
        <charset val="129"/>
      </rPr>
      <t>폴더블</t>
    </r>
    <r>
      <rPr>
        <sz val="12"/>
        <color theme="1"/>
        <rFont val="Segoe UI"/>
        <family val="2"/>
      </rPr>
      <t xml:space="preserve"> </t>
    </r>
    <r>
      <rPr>
        <sz val="12"/>
        <color theme="1"/>
        <rFont val="돋움"/>
        <family val="3"/>
        <charset val="129"/>
      </rPr>
      <t>라인업은</t>
    </r>
    <r>
      <rPr>
        <sz val="12"/>
        <color theme="1"/>
        <rFont val="Segoe UI"/>
        <family val="2"/>
      </rPr>
      <t xml:space="preserve"> AI </t>
    </r>
    <r>
      <rPr>
        <sz val="12"/>
        <color theme="1"/>
        <rFont val="돋움"/>
        <family val="3"/>
        <charset val="129"/>
      </rPr>
      <t>기반</t>
    </r>
    <r>
      <rPr>
        <sz val="12"/>
        <color theme="1"/>
        <rFont val="Segoe UI"/>
        <family val="2"/>
      </rPr>
      <t xml:space="preserve"> </t>
    </r>
    <r>
      <rPr>
        <sz val="12"/>
        <color theme="1"/>
        <rFont val="돋움"/>
        <family val="3"/>
        <charset val="129"/>
      </rPr>
      <t>카메라</t>
    </r>
    <r>
      <rPr>
        <sz val="12"/>
        <color theme="1"/>
        <rFont val="Segoe UI"/>
        <family val="2"/>
      </rPr>
      <t xml:space="preserve">, </t>
    </r>
    <r>
      <rPr>
        <sz val="12"/>
        <color theme="1"/>
        <rFont val="돋움"/>
        <family val="3"/>
        <charset val="129"/>
      </rPr>
      <t>실시간</t>
    </r>
    <r>
      <rPr>
        <sz val="12"/>
        <color theme="1"/>
        <rFont val="Segoe UI"/>
        <family val="2"/>
      </rPr>
      <t xml:space="preserve"> </t>
    </r>
    <r>
      <rPr>
        <sz val="12"/>
        <color theme="1"/>
        <rFont val="돋움"/>
        <family val="3"/>
        <charset val="129"/>
      </rPr>
      <t>번역</t>
    </r>
    <r>
      <rPr>
        <sz val="12"/>
        <color theme="1"/>
        <rFont val="Segoe UI"/>
        <family val="2"/>
      </rPr>
      <t xml:space="preserve">, </t>
    </r>
    <r>
      <rPr>
        <sz val="12"/>
        <color theme="1"/>
        <rFont val="돋움"/>
        <family val="3"/>
        <charset val="129"/>
      </rPr>
      <t>배터리</t>
    </r>
    <r>
      <rPr>
        <sz val="12"/>
        <color theme="1"/>
        <rFont val="Segoe UI"/>
        <family val="2"/>
      </rPr>
      <t xml:space="preserve"> </t>
    </r>
    <r>
      <rPr>
        <sz val="12"/>
        <color theme="1"/>
        <rFont val="돋움"/>
        <family val="3"/>
        <charset val="129"/>
      </rPr>
      <t>최적화</t>
    </r>
    <r>
      <rPr>
        <sz val="12"/>
        <color theme="1"/>
        <rFont val="Segoe UI"/>
        <family val="2"/>
      </rPr>
      <t xml:space="preserve"> </t>
    </r>
    <r>
      <rPr>
        <sz val="12"/>
        <color theme="1"/>
        <rFont val="돋움"/>
        <family val="3"/>
        <charset val="129"/>
      </rPr>
      <t>등</t>
    </r>
    <r>
      <rPr>
        <sz val="12"/>
        <color theme="1"/>
        <rFont val="Segoe UI"/>
        <family val="2"/>
      </rPr>
      <t xml:space="preserve"> </t>
    </r>
    <r>
      <rPr>
        <sz val="12"/>
        <color theme="1"/>
        <rFont val="돋움"/>
        <family val="3"/>
        <charset val="129"/>
      </rPr>
      <t>실사용</t>
    </r>
    <r>
      <rPr>
        <sz val="12"/>
        <color theme="1"/>
        <rFont val="Segoe UI"/>
        <family val="2"/>
      </rPr>
      <t xml:space="preserve"> </t>
    </r>
    <r>
      <rPr>
        <sz val="12"/>
        <color theme="1"/>
        <rFont val="돋움"/>
        <family val="3"/>
        <charset val="129"/>
      </rPr>
      <t>중심의</t>
    </r>
    <r>
      <rPr>
        <sz val="12"/>
        <color theme="1"/>
        <rFont val="Segoe UI"/>
        <family val="2"/>
      </rPr>
      <t xml:space="preserve"> AI </t>
    </r>
    <r>
      <rPr>
        <sz val="12"/>
        <color theme="1"/>
        <rFont val="돋움"/>
        <family val="3"/>
        <charset val="129"/>
      </rPr>
      <t>기능이</t>
    </r>
    <r>
      <rPr>
        <sz val="12"/>
        <color theme="1"/>
        <rFont val="Segoe UI"/>
        <family val="2"/>
      </rPr>
      <t xml:space="preserve"> </t>
    </r>
    <r>
      <rPr>
        <sz val="12"/>
        <color theme="1"/>
        <rFont val="돋움"/>
        <family val="3"/>
        <charset val="129"/>
      </rPr>
      <t>더욱</t>
    </r>
    <r>
      <rPr>
        <sz val="12"/>
        <color theme="1"/>
        <rFont val="Segoe UI"/>
        <family val="2"/>
      </rPr>
      <t xml:space="preserve"> </t>
    </r>
    <r>
      <rPr>
        <sz val="12"/>
        <color theme="1"/>
        <rFont val="돋움"/>
        <family val="3"/>
        <charset val="129"/>
      </rPr>
      <t>강화됩니다</t>
    </r>
    <r>
      <rPr>
        <sz val="12"/>
        <color theme="1"/>
        <rFont val="Segoe UI"/>
        <family val="2"/>
      </rPr>
      <t xml:space="preserve">. </t>
    </r>
    <r>
      <rPr>
        <sz val="12"/>
        <color theme="1"/>
        <rFont val="돋움"/>
        <family val="3"/>
        <charset val="129"/>
      </rPr>
      <t>삼성은</t>
    </r>
    <r>
      <rPr>
        <sz val="12"/>
        <color theme="1"/>
        <rFont val="Segoe UI"/>
        <family val="2"/>
      </rPr>
      <t xml:space="preserve"> </t>
    </r>
    <r>
      <rPr>
        <sz val="12"/>
        <color theme="1"/>
        <rFont val="돋움"/>
        <family val="3"/>
        <charset val="129"/>
      </rPr>
      <t>폴더블</t>
    </r>
    <r>
      <rPr>
        <sz val="12"/>
        <color theme="1"/>
        <rFont val="Segoe UI"/>
        <family val="2"/>
      </rPr>
      <t xml:space="preserve"> </t>
    </r>
    <r>
      <rPr>
        <sz val="12"/>
        <color theme="1"/>
        <rFont val="돋움"/>
        <family val="3"/>
        <charset val="129"/>
      </rPr>
      <t>제품군을</t>
    </r>
    <r>
      <rPr>
        <sz val="12"/>
        <color theme="1"/>
        <rFont val="Segoe UI"/>
        <family val="2"/>
      </rPr>
      <t xml:space="preserve"> </t>
    </r>
    <r>
      <rPr>
        <sz val="12"/>
        <color theme="1"/>
        <rFont val="돋움"/>
        <family val="3"/>
        <charset val="129"/>
      </rPr>
      <t>슬림화</t>
    </r>
    <r>
      <rPr>
        <sz val="12"/>
        <color theme="1"/>
        <rFont val="Segoe UI"/>
        <family val="2"/>
      </rPr>
      <t>·</t>
    </r>
    <r>
      <rPr>
        <sz val="12"/>
        <color theme="1"/>
        <rFont val="돋움"/>
        <family val="3"/>
        <charset val="129"/>
      </rPr>
      <t>경량화하고</t>
    </r>
    <r>
      <rPr>
        <sz val="12"/>
        <color theme="1"/>
        <rFont val="Segoe UI"/>
        <family val="2"/>
      </rPr>
      <t xml:space="preserve">, </t>
    </r>
    <r>
      <rPr>
        <sz val="12"/>
        <color theme="1"/>
        <rFont val="돋움"/>
        <family val="3"/>
        <charset val="129"/>
      </rPr>
      <t>진입장벽을</t>
    </r>
    <r>
      <rPr>
        <sz val="12"/>
        <color theme="1"/>
        <rFont val="Segoe UI"/>
        <family val="2"/>
      </rPr>
      <t xml:space="preserve"> </t>
    </r>
    <r>
      <rPr>
        <sz val="12"/>
        <color theme="1"/>
        <rFont val="돋움"/>
        <family val="3"/>
        <charset val="129"/>
      </rPr>
      <t>낮춘</t>
    </r>
    <r>
      <rPr>
        <sz val="12"/>
        <color theme="1"/>
        <rFont val="Segoe UI"/>
        <family val="2"/>
      </rPr>
      <t xml:space="preserve"> </t>
    </r>
    <r>
      <rPr>
        <sz val="12"/>
        <color theme="1"/>
        <rFont val="돋움"/>
        <family val="3"/>
        <charset val="129"/>
      </rPr>
      <t>중저가</t>
    </r>
    <r>
      <rPr>
        <sz val="12"/>
        <color theme="1"/>
        <rFont val="Segoe UI"/>
        <family val="2"/>
      </rPr>
      <t xml:space="preserve"> </t>
    </r>
    <r>
      <rPr>
        <sz val="12"/>
        <color theme="1"/>
        <rFont val="돋움"/>
        <family val="3"/>
        <charset val="129"/>
      </rPr>
      <t>모델도</t>
    </r>
    <r>
      <rPr>
        <sz val="12"/>
        <color theme="1"/>
        <rFont val="Segoe UI"/>
        <family val="2"/>
      </rPr>
      <t xml:space="preserve"> </t>
    </r>
    <r>
      <rPr>
        <sz val="12"/>
        <color theme="1"/>
        <rFont val="돋움"/>
        <family val="3"/>
        <charset val="129"/>
      </rPr>
      <t>확대할</t>
    </r>
    <r>
      <rPr>
        <sz val="12"/>
        <color theme="1"/>
        <rFont val="Segoe UI"/>
        <family val="2"/>
      </rPr>
      <t xml:space="preserve"> </t>
    </r>
    <r>
      <rPr>
        <sz val="12"/>
        <color theme="1"/>
        <rFont val="돋움"/>
        <family val="3"/>
        <charset val="129"/>
      </rPr>
      <t>계획입니다</t>
    </r>
    <r>
      <rPr>
        <sz val="12"/>
        <color theme="1"/>
        <rFont val="Segoe UI"/>
        <family val="2"/>
      </rPr>
      <t>.</t>
    </r>
  </si>
  <si>
    <r>
      <t>갤럭시</t>
    </r>
    <r>
      <rPr>
        <sz val="12"/>
        <color theme="1"/>
        <rFont val="Segoe UI"/>
        <family val="2"/>
      </rPr>
      <t xml:space="preserve"> S25 </t>
    </r>
    <r>
      <rPr>
        <sz val="12"/>
        <color theme="1"/>
        <rFont val="돋움"/>
        <family val="3"/>
        <charset val="129"/>
      </rPr>
      <t>시리즈</t>
    </r>
    <r>
      <rPr>
        <sz val="12"/>
        <color theme="1"/>
        <rFont val="Segoe UI"/>
        <family val="2"/>
      </rPr>
      <t>: 2025</t>
    </r>
    <r>
      <rPr>
        <sz val="12"/>
        <color theme="1"/>
        <rFont val="돋움"/>
        <family val="3"/>
        <charset val="129"/>
      </rPr>
      <t>년</t>
    </r>
    <r>
      <rPr>
        <sz val="12"/>
        <color theme="1"/>
        <rFont val="Segoe UI"/>
        <family val="2"/>
      </rPr>
      <t xml:space="preserve"> </t>
    </r>
    <r>
      <rPr>
        <sz val="12"/>
        <color theme="1"/>
        <rFont val="돋움"/>
        <family val="3"/>
        <charset val="129"/>
      </rPr>
      <t>상반기에</t>
    </r>
    <r>
      <rPr>
        <sz val="12"/>
        <color theme="1"/>
        <rFont val="Segoe UI"/>
        <family val="2"/>
      </rPr>
      <t xml:space="preserve"> </t>
    </r>
    <r>
      <rPr>
        <sz val="12"/>
        <color theme="1"/>
        <rFont val="돋움"/>
        <family val="3"/>
        <charset val="129"/>
      </rPr>
      <t>이미</t>
    </r>
    <r>
      <rPr>
        <sz val="12"/>
        <color theme="1"/>
        <rFont val="Segoe UI"/>
        <family val="2"/>
      </rPr>
      <t xml:space="preserve"> </t>
    </r>
    <r>
      <rPr>
        <sz val="12"/>
        <color theme="1"/>
        <rFont val="돋움"/>
        <family val="3"/>
        <charset val="129"/>
      </rPr>
      <t>출시되었으나</t>
    </r>
    <r>
      <rPr>
        <sz val="12"/>
        <color theme="1"/>
        <rFont val="Segoe UI"/>
        <family val="2"/>
      </rPr>
      <t xml:space="preserve">, </t>
    </r>
    <r>
      <rPr>
        <sz val="12"/>
        <color theme="1"/>
        <rFont val="돋움"/>
        <family val="3"/>
        <charset val="129"/>
      </rPr>
      <t>하반기에는</t>
    </r>
    <r>
      <rPr>
        <sz val="12"/>
        <color theme="1"/>
        <rFont val="Segoe UI"/>
        <family val="2"/>
      </rPr>
      <t xml:space="preserve"> S25 </t>
    </r>
    <r>
      <rPr>
        <sz val="12"/>
        <color theme="1"/>
        <rFont val="돋움"/>
        <family val="3"/>
        <charset val="129"/>
      </rPr>
      <t>기반의</t>
    </r>
    <r>
      <rPr>
        <sz val="12"/>
        <color theme="1"/>
        <rFont val="Segoe UI"/>
        <family val="2"/>
      </rPr>
      <t xml:space="preserve"> </t>
    </r>
    <r>
      <rPr>
        <sz val="12"/>
        <color theme="1"/>
        <rFont val="돋움"/>
        <family val="3"/>
        <charset val="129"/>
      </rPr>
      <t>파생</t>
    </r>
    <r>
      <rPr>
        <sz val="12"/>
        <color theme="1"/>
        <rFont val="Segoe UI"/>
        <family val="2"/>
      </rPr>
      <t xml:space="preserve"> </t>
    </r>
    <r>
      <rPr>
        <sz val="12"/>
        <color theme="1"/>
        <rFont val="돋움"/>
        <family val="3"/>
        <charset val="129"/>
      </rPr>
      <t>모델이나</t>
    </r>
    <r>
      <rPr>
        <sz val="12"/>
        <color theme="1"/>
        <rFont val="Segoe UI"/>
        <family val="2"/>
      </rPr>
      <t xml:space="preserve"> </t>
    </r>
    <r>
      <rPr>
        <sz val="12"/>
        <color theme="1"/>
        <rFont val="돋움"/>
        <family val="3"/>
        <charset val="129"/>
      </rPr>
      <t>한정판</t>
    </r>
    <r>
      <rPr>
        <sz val="12"/>
        <color theme="1"/>
        <rFont val="Segoe UI"/>
        <family val="2"/>
      </rPr>
      <t xml:space="preserve">, </t>
    </r>
    <r>
      <rPr>
        <sz val="12"/>
        <color theme="1"/>
        <rFont val="돋움"/>
        <family val="3"/>
        <charset val="129"/>
      </rPr>
      <t>혹은</t>
    </r>
    <r>
      <rPr>
        <sz val="12"/>
        <color theme="1"/>
        <rFont val="Segoe UI"/>
        <family val="2"/>
      </rPr>
      <t xml:space="preserve"> AI </t>
    </r>
    <r>
      <rPr>
        <sz val="12"/>
        <color theme="1"/>
        <rFont val="돋움"/>
        <family val="3"/>
        <charset val="129"/>
      </rPr>
      <t>소프트웨어</t>
    </r>
    <r>
      <rPr>
        <sz val="12"/>
        <color theme="1"/>
        <rFont val="Segoe UI"/>
        <family val="2"/>
      </rPr>
      <t xml:space="preserve"> </t>
    </r>
    <r>
      <rPr>
        <sz val="12"/>
        <color theme="1"/>
        <rFont val="돋움"/>
        <family val="3"/>
        <charset val="129"/>
      </rPr>
      <t>업그레이드가</t>
    </r>
    <r>
      <rPr>
        <sz val="12"/>
        <color theme="1"/>
        <rFont val="Segoe UI"/>
        <family val="2"/>
      </rPr>
      <t xml:space="preserve"> </t>
    </r>
    <r>
      <rPr>
        <sz val="12"/>
        <color theme="1"/>
        <rFont val="돋움"/>
        <family val="3"/>
        <charset val="129"/>
      </rPr>
      <t>추가될</t>
    </r>
    <r>
      <rPr>
        <sz val="12"/>
        <color theme="1"/>
        <rFont val="Segoe UI"/>
        <family val="2"/>
      </rPr>
      <t xml:space="preserve"> </t>
    </r>
    <r>
      <rPr>
        <sz val="12"/>
        <color theme="1"/>
        <rFont val="돋움"/>
        <family val="3"/>
        <charset val="129"/>
      </rPr>
      <t>수</t>
    </r>
    <r>
      <rPr>
        <sz val="12"/>
        <color theme="1"/>
        <rFont val="Segoe UI"/>
        <family val="2"/>
      </rPr>
      <t xml:space="preserve"> </t>
    </r>
    <r>
      <rPr>
        <sz val="12"/>
        <color theme="1"/>
        <rFont val="돋움"/>
        <family val="3"/>
        <charset val="129"/>
      </rPr>
      <t>있습니다</t>
    </r>
    <r>
      <rPr>
        <sz val="12"/>
        <color theme="1"/>
        <rFont val="Segoe UI"/>
        <family val="2"/>
      </rPr>
      <t>.</t>
    </r>
  </si>
  <si>
    <r>
      <t xml:space="preserve">2. </t>
    </r>
    <r>
      <rPr>
        <sz val="12"/>
        <color theme="1"/>
        <rFont val="돋움"/>
        <family val="3"/>
        <charset val="129"/>
      </rPr>
      <t>구글</t>
    </r>
  </si>
  <si>
    <t>픽셀 10 시리즈: 2025년 하반기(9~10월) 출시 예정. 픽셀 10, 10 프로, 10 프로 XL, 10 프로 폴드 등 다양한 라인업이 준비되어 있습니다. TSMC 3나노 공정의 텐서 G5 칩셋을 탑재해 전력 효율과 발열 관리가 개선되며, 제미나이 기반의 AI 카메라, 인물 보정, 실시간 번역, 야간 모드 등 AI 기능이 대폭 강화됩니다.</t>
  </si>
  <si>
    <r>
      <t xml:space="preserve">3. </t>
    </r>
    <r>
      <rPr>
        <sz val="12"/>
        <color theme="1"/>
        <rFont val="돋움"/>
        <family val="3"/>
        <charset val="129"/>
      </rPr>
      <t>샤오미</t>
    </r>
  </si>
  <si>
    <t>미믹스 플립: 2025년 8월 중국 출시 예정. 플립 스타일 폴더블로 초슬림 디자인, 200MP 카메라, AI 기반 사진·영상 편집 기능이 특징입니다.</t>
  </si>
  <si>
    <t>샤오미 15 울트라: 1분기 중국 출시 후, 하반기 글로벌 론칭 가능성. AI 카메라, 자동 편집, 실시간 번역 등 AI 기능이 대폭 강화될 전망입니다.</t>
  </si>
  <si>
    <t>아이폰 17 시리즈: 2025년 하반기 출시 예정. 다만, AI 경쟁력 면에서 삼성·구글 대비 다소 뒤처졌다는 평가가 많으며, 초박형 ‘에어’ 모델 등 디자인 혁신에 집중할 것으로 보입니다.</t>
  </si>
  <si>
    <t>메이트 XT 얼티메이트: 세계 최초 3단 폴더블폰으로 하반기 출시 예정. AI 기반 멀티태스킹, 카메라 기능이 강화될 전망입니다.</t>
  </si>
  <si>
    <t>리노공업</t>
    <phoneticPr fontId="1" type="noConversion"/>
  </si>
  <si>
    <t>https://www.vietnam.vn/ko/thay-doi-lon-nhat-tren-smartphone-nua-cuoi-2025</t>
    <phoneticPr fontId="1" type="noConversion"/>
  </si>
  <si>
    <t>이오테크닉스</t>
    <phoneticPr fontId="1" type="noConversion"/>
  </si>
  <si>
    <t>트리플 스태킹 NAND향 어닐링 장비 수주 개시 기대
레이저 커팅 장비 시장 확대 대비:
Stealth Dicing 대신 Femto 기반 Full Cutting 본격 개화 전망
동사의 Femto 레이저 경쟁력 부각
디스플레이 장비 소폭 회복: 전분기 대비 Display 관련 수주 일부 회복 시도</t>
    <phoneticPr fontId="1" type="noConversion"/>
  </si>
  <si>
    <t>트리플 스태킹 NAND 관련 매출 실현: 2025년 하반기 수주→26년 상반기 매출로 반영
미국 DRAM 신규 고객사 향 본격 양산 가능성: 평가 완료 후 실제 매출 발생기 기대
커팅 장비 확대: Grooving 외 Full Cutting 신규 진입 가능성 증가</t>
    <phoneticPr fontId="1" type="noConversion"/>
  </si>
  <si>
    <t>레이저 디본더 장비 확산: Foundry·OSAT로 고객 다변화 확대 전망
NAND향 어닐링 장비 본격 진입 여부 주목: V10부터 하이브리드 본딩 확산에 따라 신규 채택 기대
전체 반도체 장비 부문 견조한 성장 지속: 수율 개선과 공정 미세화 대응 장비의 기술 경쟁력 강화</t>
    <phoneticPr fontId="1" type="noConversion"/>
  </si>
  <si>
    <t xml:space="preserve">25년 반도체 장비비중 매출 비중 증가. 미세화트렌드 레이저 어닐링 커팅 장비 증가 </t>
    <phoneticPr fontId="1" type="noConversion"/>
  </si>
  <si>
    <t>반도체 장비 비중 66%까지 증가: 고마진 제품 중심으로 영업이익률(O.P.M) 상승 (17.8%)
레이저 어닐링·커팅 매출 급증:
어닐링: DRAM 1b, 1c 전환 수혜, 미국 애플 m5 칩 패키징에 펨토초 레이저 그루빙 공급 시작
커팅(Grooving): HBM향 양산 본격화, OSAT 고객사 출하 확대
수익성 개선: 반도체 장비의 높은 이익률 기여로 영업이익 YoY +144%
디스플레이·Driller 부문은 부진: 디스플레이 장비 및 UV Driller 매출 회복 지연</t>
    <phoneticPr fontId="1" type="noConversion"/>
  </si>
  <si>
    <t>반도체 장비 수주 및 출하 지속 확대:
마커 장비: 글로벌 웨이퍼 투입량 증가 및 미국·중국 고객 확보
어닐링 장비: 기존 DRAM 고객사 외 마이크론 향 DRAM 고객사로부터 양산 수주 가시화
풀 다이싱 장비 수요 증가: HBM4 생산 대응 장비로서 신규 수주 확보
영업이익률 20% 돌파 전망: 제품믹스 개선 지속</t>
    <phoneticPr fontId="1" type="noConversion"/>
  </si>
  <si>
    <t>ASP 상승 요인:
애플 M5향 펨토초 그루빙 장비 출하 시작
→ 기존 대비 단가 2배 이상 높은 고사양 장비
삼성향 HBM용 Full Cutting 수주 본격화
미국 DRAM 고객사 대상 어닐링 장비 평가 완료 후 공급 테스트</t>
    <phoneticPr fontId="1" type="noConversion"/>
  </si>
  <si>
    <t>ASP 상승 요인:
OSAT향 펨토초 장비 매출 증가 (ASE·Amkor 등)
삼성 외 중국·미국 신규 고객 마커 장비 공급
마이크론 DRAM 고객사 → 양산 전환 가능성↑</t>
    <phoneticPr fontId="1" type="noConversion"/>
  </si>
  <si>
    <t>ASP 상승 요인:
Triple Stacking NAND 향 어닐링 장비 수주 개시
→ 기존 DRAM 대비 기술 스펙↑, ASP도 동반 상승
마이크론 향 양산 물량 확대 시 매출 실현 개시 가능성</t>
    <phoneticPr fontId="1" type="noConversion"/>
  </si>
  <si>
    <t>핵심 기술 변화</t>
  </si>
  <si>
    <t>주요 고객 확장</t>
  </si>
  <si>
    <t>ASP 상승 포인트</t>
  </si>
  <si>
    <t>펨토초 그루빙 출하</t>
  </si>
  <si>
    <t>삼성, 애플</t>
  </si>
  <si>
    <t>최초 Femto 장비 상용화</t>
  </si>
  <si>
    <t>OSAT향 확산</t>
  </si>
  <si>
    <t>ASE, Amkor 등</t>
  </si>
  <si>
    <t>고사양 마커·컷팅 확대</t>
  </si>
  <si>
    <t>NAND향 어닐링 수주</t>
  </si>
  <si>
    <t>미국 DRAM</t>
  </si>
  <si>
    <t>ASP 높은 제품 매출 가시화</t>
  </si>
  <si>
    <t>1H26</t>
  </si>
  <si>
    <t>미국 DRAM 매출화</t>
  </si>
  <si>
    <t>Micron 추정</t>
  </si>
  <si>
    <t>다국적 DRAM 라인 확대</t>
  </si>
  <si>
    <t>2H26</t>
  </si>
  <si>
    <t>Full Cutting 시장 진입</t>
  </si>
  <si>
    <t>OSAT 전방위</t>
  </si>
  <si>
    <t>펨토 기반 장비 ASP 고정화</t>
  </si>
  <si>
    <t>고객사</t>
  </si>
  <si>
    <t>적용 기술</t>
  </si>
  <si>
    <t>시기 및 상태</t>
  </si>
  <si>
    <t>애플 M5</t>
  </si>
  <si>
    <t>ASE/Amkor/JCET</t>
  </si>
  <si>
    <r>
      <t xml:space="preserve">펨토초 </t>
    </r>
    <r>
      <rPr>
        <b/>
        <sz val="11"/>
        <color theme="1"/>
        <rFont val="맑은 고딕"/>
        <family val="3"/>
        <charset val="129"/>
        <scheme val="minor"/>
      </rPr>
      <t>그루빙</t>
    </r>
  </si>
  <si>
    <t>삼성 HBM/DRAM</t>
  </si>
  <si>
    <t>삼성전자</t>
  </si>
  <si>
    <r>
      <t xml:space="preserve">펨토초 </t>
    </r>
    <r>
      <rPr>
        <b/>
        <sz val="11"/>
        <color theme="1"/>
        <rFont val="맑은 고딕"/>
        <family val="3"/>
        <charset val="129"/>
        <scheme val="minor"/>
      </rPr>
      <t>풀 커팅(그루빙 포함)</t>
    </r>
  </si>
  <si>
    <r>
      <t xml:space="preserve">2025년부터 기술 적용 확대 </t>
    </r>
    <r>
      <rPr>
        <i/>
        <sz val="11"/>
        <color theme="1"/>
        <rFont val="맑은 고딕"/>
        <family val="3"/>
        <charset val="129"/>
        <scheme val="minor"/>
      </rPr>
      <t>진행 중</t>
    </r>
  </si>
  <si>
    <r>
      <t xml:space="preserve">2025년 2분기부터 </t>
    </r>
    <r>
      <rPr>
        <b/>
        <sz val="11"/>
        <color theme="1"/>
        <rFont val="맑은 고딕"/>
        <family val="3"/>
        <charset val="129"/>
        <scheme val="minor"/>
      </rPr>
      <t>확정 출하·가동 중</t>
    </r>
    <r>
      <rPr>
        <sz val="11"/>
        <color theme="1"/>
        <rFont val="맑은 고딕"/>
        <family val="2"/>
        <charset val="129"/>
        <scheme val="minor"/>
      </rPr>
      <t xml:space="preserve"> </t>
    </r>
    <phoneticPr fontId="1" type="noConversion"/>
  </si>
  <si>
    <t>고객사 확대 포인트</t>
  </si>
  <si>
    <r>
      <t xml:space="preserve">🔹 </t>
    </r>
    <r>
      <rPr>
        <b/>
        <sz val="11"/>
        <color theme="1"/>
        <rFont val="맑은 고딕"/>
        <family val="3"/>
        <charset val="129"/>
        <scheme val="minor"/>
      </rPr>
      <t>펨토초 레이저 장비 상용화 시작</t>
    </r>
  </si>
  <si>
    <t>🔹 Grooving 장비 단가 상승 → 기존 블레이드 대비 2배 이상 ASP</t>
  </si>
  <si>
    <r>
      <t xml:space="preserve">✅ </t>
    </r>
    <r>
      <rPr>
        <b/>
        <sz val="11"/>
        <color theme="1"/>
        <rFont val="맑은 고딕"/>
        <family val="3"/>
        <charset val="129"/>
        <scheme val="minor"/>
      </rPr>
      <t>애플 M5용 Femto 그루빙 장비 출하 시작</t>
    </r>
  </si>
  <si>
    <t>✅ OSAT (ASE·Amkor) 라인 10대 이상 설치</t>
  </si>
  <si>
    <r>
      <t xml:space="preserve">✅ </t>
    </r>
    <r>
      <rPr>
        <b/>
        <sz val="11"/>
        <color theme="1"/>
        <rFont val="맑은 고딕"/>
        <family val="3"/>
        <charset val="129"/>
        <scheme val="minor"/>
      </rPr>
      <t>삼성 HBM용 Femto 커팅 진입 본격화</t>
    </r>
  </si>
  <si>
    <r>
      <t xml:space="preserve">🔹 </t>
    </r>
    <r>
      <rPr>
        <b/>
        <sz val="11"/>
        <color theme="1"/>
        <rFont val="맑은 고딕"/>
        <family val="3"/>
        <charset val="129"/>
        <scheme val="minor"/>
      </rPr>
      <t>Full Cutting 수요 증가</t>
    </r>
  </si>
  <si>
    <t>🔹 고정밀 Femto 장비 확대 → 기존 대비 ASP 고정화</t>
  </si>
  <si>
    <r>
      <t xml:space="preserve">✅ </t>
    </r>
    <r>
      <rPr>
        <b/>
        <sz val="11"/>
        <color theme="1"/>
        <rFont val="맑은 고딕"/>
        <family val="3"/>
        <charset val="129"/>
        <scheme val="minor"/>
      </rPr>
      <t>OSAT향 출하 지속 확대</t>
    </r>
  </si>
  <si>
    <t>✅ 애플향 장비 추가 증설 가능성</t>
  </si>
  <si>
    <r>
      <t xml:space="preserve">✅ </t>
    </r>
    <r>
      <rPr>
        <b/>
        <sz val="11"/>
        <color theme="1"/>
        <rFont val="맑은 고딕"/>
        <family val="3"/>
        <charset val="129"/>
        <scheme val="minor"/>
      </rPr>
      <t>미국 DRAM 고객사(마이크론 추정)</t>
    </r>
    <r>
      <rPr>
        <sz val="11"/>
        <color theme="1"/>
        <rFont val="맑은 고딕"/>
        <family val="2"/>
        <charset val="129"/>
        <scheme val="minor"/>
      </rPr>
      <t xml:space="preserve"> 양산 검토</t>
    </r>
  </si>
  <si>
    <r>
      <t xml:space="preserve">🔹 </t>
    </r>
    <r>
      <rPr>
        <b/>
        <sz val="11"/>
        <color theme="1"/>
        <rFont val="맑은 고딕"/>
        <family val="3"/>
        <charset val="129"/>
        <scheme val="minor"/>
      </rPr>
      <t>Triple Stacking NAND용 어닐링 수주 개시</t>
    </r>
  </si>
  <si>
    <t>🔹 어닐링 장비 ASP ↑ (DRAM보다 고사양)</t>
  </si>
  <si>
    <r>
      <t xml:space="preserve">✅ </t>
    </r>
    <r>
      <rPr>
        <b/>
        <sz val="11"/>
        <color theme="1"/>
        <rFont val="맑은 고딕"/>
        <family val="3"/>
        <charset val="129"/>
        <scheme val="minor"/>
      </rPr>
      <t>미국 DRAM사 양산 진입 가능성</t>
    </r>
  </si>
  <si>
    <t>✅ 삼성 NAND 공정 대응 장비 테스트 시작 가능성</t>
  </si>
  <si>
    <r>
      <t xml:space="preserve">🔹 </t>
    </r>
    <r>
      <rPr>
        <b/>
        <sz val="11"/>
        <color theme="1"/>
        <rFont val="맑은 고딕"/>
        <family val="3"/>
        <charset val="129"/>
        <scheme val="minor"/>
      </rPr>
      <t>V10급 NAND용 Hybrid Bonding 대응 어닐링</t>
    </r>
  </si>
  <si>
    <t>🔹 디본더·Femto 커팅 비중 확대로 전체 ASP 구조 상향</t>
  </si>
  <si>
    <r>
      <t xml:space="preserve">✅ </t>
    </r>
    <r>
      <rPr>
        <b/>
        <sz val="11"/>
        <color theme="1"/>
        <rFont val="맑은 고딕"/>
        <family val="3"/>
        <charset val="129"/>
        <scheme val="minor"/>
      </rPr>
      <t>마이크론향 어닐링 매출 실현 가시화</t>
    </r>
  </si>
  <si>
    <r>
      <t xml:space="preserve">✅ </t>
    </r>
    <r>
      <rPr>
        <b/>
        <sz val="11"/>
        <color theme="1"/>
        <rFont val="맑은 고딕"/>
        <family val="3"/>
        <charset val="129"/>
        <scheme val="minor"/>
      </rPr>
      <t>OSAT + DRAM + NAND 고객군 다변화</t>
    </r>
    <r>
      <rPr>
        <sz val="11"/>
        <color theme="1"/>
        <rFont val="맑은 고딕"/>
        <family val="2"/>
        <charset val="129"/>
        <scheme val="minor"/>
      </rPr>
      <t xml:space="preserve"> 가시화</t>
    </r>
  </si>
  <si>
    <t>2026년 하반기</t>
  </si>
  <si>
    <r>
      <t xml:space="preserve">🔹 </t>
    </r>
    <r>
      <rPr>
        <b/>
        <sz val="11"/>
        <color theme="1"/>
        <rFont val="맑은 고딕"/>
        <family val="3"/>
        <charset val="129"/>
        <scheme val="minor"/>
      </rPr>
      <t>Femto Full Cutting 시장 개화 본격화</t>
    </r>
  </si>
  <si>
    <t>🔹 기존 장비 대비 ASP 2~3배 정착</t>
  </si>
  <si>
    <r>
      <t xml:space="preserve">✅ </t>
    </r>
    <r>
      <rPr>
        <b/>
        <sz val="11"/>
        <color theme="1"/>
        <rFont val="맑은 고딕"/>
        <family val="3"/>
        <charset val="129"/>
        <scheme val="minor"/>
      </rPr>
      <t>OSAT 전방위 확대 (JCET 등)</t>
    </r>
  </si>
  <si>
    <t>✅ 삼성 외 고객 수주 비중 상승 → 삼성 단일 리스크 해소</t>
  </si>
  <si>
    <t>현대마린솔루션</t>
    <phoneticPr fontId="1" type="noConversion"/>
  </si>
  <si>
    <t>고영</t>
    <phoneticPr fontId="1" type="noConversion"/>
  </si>
  <si>
    <t xml:space="preserve"> 미국 50개주 병원 확대 공략 시작
- 일본 내 의료기기 유통망 구축 가속</t>
    <phoneticPr fontId="1" type="noConversion"/>
  </si>
  <si>
    <t>2026년 상반기</t>
    <phoneticPr fontId="1" type="noConversion"/>
  </si>
  <si>
    <t>2026년 하반기</t>
    <phoneticPr fontId="1" type="noConversion"/>
  </si>
  <si>
    <t xml:space="preserve"> - 중국 허가 승인 가능성 (’25년 4분기 신청 → ’26년 4분기 승인 목표)
- 글로벌 수술로봇 시장 진입 본격화</t>
    <phoneticPr fontId="1" type="noConversion"/>
  </si>
  <si>
    <t>- 일본 PMDA 승인 예상 (7~9월)
- 일본 내 3대 이상 납품 가능성</t>
    <phoneticPr fontId="1" type="noConversion"/>
  </si>
  <si>
    <t>- 중국 NMPA 허가 신청 예정 (10월)
- 미국 병원 판매 5대 이상 예상
- 초기 미국 레퍼런스 확보 본격화</t>
    <phoneticPr fontId="1" type="noConversion"/>
  </si>
  <si>
    <t>- FDA 승인 후 첫 미국 설치 개시 (SAB 병원 중 한 곳)
- 미국 AANS 학회 참가, 의사 대상 데모
- 국내 누적 수술 500례 돌파</t>
    <phoneticPr fontId="1" type="noConversion"/>
  </si>
  <si>
    <t>관련 근거</t>
  </si>
  <si>
    <t>1. Nexledger 플랫폼</t>
  </si>
  <si>
    <t>삼성SDS가 자체 개발한 Permissioned 블록체인 기반 플랫폼 (금융·물류·제조 등 다목적)</t>
  </si>
  <si>
    <t>2. 주요 솔루션</t>
  </si>
  <si>
    <t>• Digital Identity (블록체인 기반 신원 인증)</t>
  </si>
  <si>
    <t>• Digital Payment (P2P 지급결제, 포인트·송금)</t>
  </si>
  <si>
    <t>• Digital Stamping (전자문서 타임스탬프)</t>
  </si>
  <si>
    <t>Whitepaper 및 공식 자료</t>
  </si>
  <si>
    <t>3. 금융권 블록체인 협업 사례</t>
  </si>
  <si>
    <t>• 은행연합회 통합인증 시스템 (18개 은행 참여)</t>
  </si>
  <si>
    <t>• 해운물류컨소시엄, MS·JP모건 등 국제 협업</t>
  </si>
  <si>
    <t>한국은행 CBDC 조건에도 유효한 인증/트랜잭션 인프라</t>
  </si>
  <si>
    <t>4. 한국은행 CBDC 사업 연계</t>
  </si>
  <si>
    <t>• ‘한강 CBDC 모의실험’ 연구용역 입찰 자문 참여 (≈496백만 원 규모)</t>
  </si>
  <si>
    <t>• 한국판 디지털자산기본법 발의 흐름 속 수혜 기대</t>
  </si>
  <si>
    <t>정부 사업과 법제도 변화 연결</t>
  </si>
  <si>
    <t>가트너·포레스터·포브스 등 글로벌 기관 주목</t>
    <phoneticPr fontId="1" type="noConversion"/>
  </si>
  <si>
    <t>1. 정부 주도 AI 인프라 프로젝트 수주</t>
  </si>
  <si>
    <t>행정안전부 주관 ‘범정부 초거대 AI 공통기반 구현 사업’(약 90억 원) 우선협상대상 선정&lt;br&gt;- 종합평점 99.9906점으로 LG CNS·KT 제치고 1위 수행 권한 획득</t>
  </si>
  <si>
    <t>2. 클라우드·GPU 서버 확대</t>
  </si>
  <si>
    <t>대구 PPP센터 등에서 클라우드 기반 AI 플랫폼 ‘FabriX’·GPU 인프라 제공</t>
  </si>
  <si>
    <t>- CSP, MSP, SaaS 결합형 서비스 → 공공·금융 부문 AI 인프라 수요 대응</t>
  </si>
  <si>
    <t>GPUaaS 확대 기대, 매출 성장 가능성</t>
  </si>
  <si>
    <t>3. 정부의 AI 정책 지원 강화</t>
  </si>
  <si>
    <t>‘AI 세계 3대 강국’ 전략, 국가 AI 위원회 설립, 2027년까지 AI 9.4조 원 투자 등 범정부 추진 정책</t>
  </si>
  <si>
    <t>대통령 주도 AI 전환 정책과 연계</t>
  </si>
  <si>
    <t>4. AI 플랫폼 경쟁력 확보</t>
  </si>
  <si>
    <t>삼성SDS 생성형 AI 플랫폼 ‘FabriX’, ‘Brity Copilot’ 보유</t>
  </si>
  <si>
    <t>- 공공·금융 기관 대상 SaaS 모델로 공급 중 (18만 사용자, 연 100억 매출 돌파)</t>
  </si>
  <si>
    <t>기업용 AI 플랫폼 강점 부각</t>
  </si>
  <si>
    <t>5. 시장 기대 및 주가 반응</t>
  </si>
  <si>
    <t>정부 AI 사업 수주 소식 → AI 관련 테마주로 부각</t>
  </si>
  <si>
    <t>- 업계와 증권사에서 정책 수혜 기대, 수주→매출→이익 기대감</t>
  </si>
  <si>
    <t xml:space="preserve">삼성SDS 기술·가격 모두 우수 평가 </t>
    <phoneticPr fontId="1" type="noConversion"/>
  </si>
  <si>
    <t>삼성SDS</t>
  </si>
  <si>
    <t>카카오페이</t>
  </si>
  <si>
    <t>1. 스테이블코인 연관성</t>
  </si>
  <si>
    <t>• 블록체인 인프라 제공자 (Nexledger): 인증·결제·문서 기록 등 백엔드 역할&lt;br&gt;• 직접 발행은 없음—기술 수혜 기대 중심</t>
  </si>
  <si>
    <t>→ 스테이블코인 관련성 평가</t>
  </si>
  <si>
    <r>
      <t xml:space="preserve">기술 인프라 제공자로 </t>
    </r>
    <r>
      <rPr>
        <b/>
        <sz val="11"/>
        <color theme="1"/>
        <rFont val="맑은 고딕"/>
        <family val="3"/>
        <charset val="129"/>
        <scheme val="minor"/>
      </rPr>
      <t>간접적 수혜 기대</t>
    </r>
  </si>
  <si>
    <r>
      <t xml:space="preserve">실제 발행 추진 및 플랫폼 준비로 </t>
    </r>
    <r>
      <rPr>
        <b/>
        <sz val="11"/>
        <color theme="1"/>
        <rFont val="맑은 고딕"/>
        <family val="3"/>
        <charset val="129"/>
        <scheme val="minor"/>
      </rPr>
      <t>직접 관련성 높음</t>
    </r>
  </si>
  <si>
    <t>2. 정부 AI 정책 수혜</t>
  </si>
  <si>
    <t>• 범정부 AI 인프라 수주 (초거대 AI 플랫폼 사업 등)</t>
  </si>
  <si>
    <t>• 클라우드·GPU 기반 AI 서비스 확대 (‘FabriX’, Brity Copilot) 등</t>
  </si>
  <si>
    <t>→ AI 수혜 평가</t>
  </si>
  <si>
    <r>
      <t xml:space="preserve">정부 공공 AI 사업 중심 </t>
    </r>
    <r>
      <rPr>
        <b/>
        <sz val="11"/>
        <color theme="1"/>
        <rFont val="맑은 고딕"/>
        <family val="3"/>
        <charset val="129"/>
        <scheme val="minor"/>
      </rPr>
      <t>수주·인프라 확장 수혜</t>
    </r>
  </si>
  <si>
    <r>
      <t xml:space="preserve">민간 중심 </t>
    </r>
    <r>
      <rPr>
        <b/>
        <sz val="11"/>
        <color theme="1"/>
        <rFont val="맑은 고딕"/>
        <family val="3"/>
        <charset val="129"/>
        <scheme val="minor"/>
      </rPr>
      <t>서비스 고도화 → 사용자 경험 및 시장 확대 수혜</t>
    </r>
  </si>
  <si>
    <t xml:space="preserve">• “원화 스테이블코인 도입” 발표, 금융위 협의 중 블록체인 지갑·QR결제 기반, 정책 발표 이후 주가 급등 </t>
    <phoneticPr fontId="1" type="noConversion"/>
  </si>
  <si>
    <t>• OpenAI와 전략적 제휴, Kanana 등 통합 AI 브랜드 적극 추진
 자체 AI 금융비서(KP‑AI), 음성 상담 챗봇, AI 해커톤 등 추진 중</t>
    <phoneticPr fontId="1" type="noConversion"/>
  </si>
  <si>
    <t>주요 흐름</t>
  </si>
  <si>
    <t>삼성SDS 수혜 요인</t>
  </si>
  <si>
    <t>1. 공공기관 클라우드 전환 가속화</t>
  </si>
  <si>
    <t>2024년부터 행정안전부, 대법원 등 주요 공공기관의 클라우드 네이티브 시스템 발주 증가</t>
  </si>
  <si>
    <t>2. GPU 기반 AI 수요 급증</t>
  </si>
  <si>
    <t>정부 1.5조원 추경으로 1만 장 GPU 도입 추진, 국가 AI센터(2027년 완공 예정)</t>
  </si>
  <si>
    <t>- 기존 데이터센터(GPUaaS) 고도화</t>
  </si>
  <si>
    <t>- 동탄센터 서관에 추가 GPU 설치 예정</t>
  </si>
  <si>
    <t>- FabriX·Brity Copilot 기반 AI 플랫폼 강화</t>
  </si>
  <si>
    <t>3. 클라우드·AI 매출 급성장</t>
  </si>
  <si>
    <t>1분기 클라우드 매출 6,529억(+23%), 전체 IT서비스 내 비중 40% 돌파</t>
  </si>
  <si>
    <t>- CSP 매출 42% 성장, MSP 12% 성장</t>
  </si>
  <si>
    <t>- 영업이익 2,685억(+18.9%) 기록</t>
  </si>
  <si>
    <t>4. 데이터센터 가동률 증가</t>
  </si>
  <si>
    <t>모든 센터 가동률 상승 중, GPU 확대 후 추가 성장 동력 확보</t>
  </si>
  <si>
    <t>- GPU 설치 전 동탄 서관 가동 준비 중</t>
  </si>
  <si>
    <t>- 하반기부터 GPUaaS 매출 추가 확대 기대</t>
  </si>
  <si>
    <t>CSP/MSP/SaaS 토털 클라우드 생태계 구축
, 5개 데이터센터 가동률 상승, 
- 대구·세종·동탄 등 민관협력 기반 가동 확대</t>
    <phoneticPr fontId="1" type="noConversion"/>
  </si>
  <si>
    <t>지니언트 크래니얼 (글로벌용 이름) / 국내명 ‘카이메로’</t>
  </si>
  <si>
    <t>FDA 인증</t>
  </si>
  <si>
    <t>2025년 1월 미국 FDA 510(k) 승인 획득</t>
  </si>
  <si>
    <t>미국 시장 진출</t>
  </si>
  <si>
    <t>2025년 상반기부터 미국 주요 병원에 제품 설치 시작 (10대 이상 예상)</t>
  </si>
  <si>
    <t>일본 PMDA 인증 목표 시점</t>
  </si>
  <si>
    <t>2025년 7월 내 PMDA 승인 완료 및 판매 허가 목표</t>
  </si>
  <si>
    <t>일본 시장 규모</t>
  </si>
  <si>
    <t>신경외과 가능한 병원 약 1,750곳 → 올해 5대 이상 설치 전망</t>
  </si>
  <si>
    <t>향후 계획</t>
  </si>
  <si>
    <t>2025년 연간 일본 5대, 미국 포함 글로벌 총 20대 이상 설치 목표</t>
  </si>
  <si>
    <t>중국 NMPA 인증은 10월 예정</t>
  </si>
  <si>
    <t>기술 및 시장 경쟁력</t>
  </si>
  <si>
    <t>세계 최초 침대부착형 모델 + 광학 센서 기반 실시간 위치 추적 → 수술 정확도 및 환자 안전성 ↑</t>
  </si>
  <si>
    <t>달바글로벌</t>
    <phoneticPr fontId="1" type="noConversion"/>
  </si>
  <si>
    <t>일본, 북미, 러시아 등 주요 시장에서 핵심 SKU 매출 급증 지속.
아마존, 틱톡샵 등 온라인 판매 확대와 초기 오프라인 입점 효과 일부 시작.
중화권은 티몰·도우인 통해 매출 본격 증가 구간 진입.
동남아 지역에서 쇼피, 틱톡을 통한 인지도 확장으로 시장 초기 성과 본격화.</t>
    <phoneticPr fontId="1" type="noConversion"/>
  </si>
  <si>
    <t>스페인, 캐나다, 영국, 미국 등 오프라인 유통 채널 협의 완료 후 실제 매출 발생 본격화 예상.
오프라인 비중이 확대되며 영업이익률이 전분기 대비 개선될 가능성.
중화권 및 동남아는 디지털 채널 성과 누적되며 추가 국가별 현지화 제품군 검토 단계로 진입.
핵심 SKU 전략을 지속해 광고 효율성과 유통 협상력을 강화.</t>
    <phoneticPr fontId="1" type="noConversion"/>
  </si>
  <si>
    <t>주요 선진국 오프라인 채널 매출이 가시적으로 기여, 전체 매출 성장 가속화 예상.
일본·북미의 오프라인 매장 수 확대와 기존 입점 매장의 매출 성장으로 오프라인 기여도가 빠르게 상승.
동남아, 중화권 등에서는 현지 니즈 맞춤 제품군을 순차적으로 투입 시작.
글로벌 핵심 시장에서의 인지도 상승으로 신흥시장 진입 교두보 마련.</t>
    <phoneticPr fontId="1" type="noConversion"/>
  </si>
  <si>
    <t>미국, 유럽 주요국 오프라인 판매망 확장으로 오프라인 비중 증가 지속.
오프라인 비중 상승에 따른 수익성(영업이익률) 추가 개선 기대.
핵심 SKU를 넘어 신규 라인업(립컬러, 바디·핸드케어 등) 준비 및 테스트 마케팅 시작.</t>
    <phoneticPr fontId="1" type="noConversion"/>
  </si>
  <si>
    <t>전체 매출에서 오프라인 비중이 30% 이상으로 증가 예상, 오프라인이 외형 성장의 핵심 동력으로 자리잡는 구간.
중화권, 동남아, 인도 등 Tier2 지역에 현지화 제품 투입 및 본격 오프라인 입점 진행.
중동·남미 지역에 아마존·쇼피 등 온라인 브랜드몰 구축 완료 단계로, 초기 매출 기여 가능성 가시화.
오프라인 확대에 따라 글로벌 프리미엄 브랜드로의 입지 강화 본격화.</t>
    <phoneticPr fontId="1" type="noConversion"/>
  </si>
  <si>
    <t>26년 상반기</t>
    <phoneticPr fontId="1" type="noConversion"/>
  </si>
  <si>
    <t>26년 하반기</t>
    <phoneticPr fontId="1" type="noConversion"/>
  </si>
  <si>
    <t>1) 오프라인 채널 진출 본격화</t>
  </si>
  <si>
    <t>지금까지는 아마존, 쇼피 등 온라인 중심 성장이었지만,</t>
  </si>
  <si>
    <t>스페인·영국·캐나다·미국 등 주요 국가 오프라인 매출이 실제로 발생하면서 매출과 영업이익률 모두 한 단계 상승이 예상됩니다.</t>
  </si>
  <si>
    <t>특히 온라인으로 쌓은 브랜드 인지도를 기반으로 한 오프라인 확장은 단기간에 매출 레버리지를 극대화할 수 있는 핵심 모멘텀입니다.</t>
  </si>
  <si>
    <t>기존에는 미스트·선크림 등 소수 핵심 SKU에 집중했으나,</t>
  </si>
  <si>
    <t>립, 바디·핸드케어, 뷰티 디바이스, 비건 이너뷰티 등으로 제품 라인업을 넓혀 객단가 상승과 소비자 접점을 다변화하려는 전략을 본격적으로 추진합니다.</t>
  </si>
  <si>
    <t>이로 인해 오프라인 채널 협상력이 강화되고, 각국 현지화 전략도 더욱 용이해질 것으로 기대됩니다.</t>
  </si>
  <si>
    <r>
      <t xml:space="preserve"> </t>
    </r>
    <r>
      <rPr>
        <b/>
        <sz val="11"/>
        <color theme="1"/>
        <rFont val="맑은 고딕"/>
        <family val="3"/>
        <charset val="129"/>
        <scheme val="minor"/>
      </rPr>
      <t>2) 품목(SKU) 확대 시작</t>
    </r>
    <phoneticPr fontId="1" type="noConversion"/>
  </si>
  <si>
    <t>풍산</t>
    <phoneticPr fontId="1" type="noConversion"/>
  </si>
  <si>
    <t>방산 부문 수출이 기수주 물량 납품으로 전분기 대비 큰 폭 증가.
방산 영업이익률은 해외 수출 비중 확대로 높은 수준 유지 예상.
구리가격 상승(LME 기준 평균가격 전분기비 소폭 상승)으로 신동부문 마진 개선 가능성.
2분기 전체 영업이익은 시장 기대치를 상회할 것으로 예상되며, 방산 수출 효과가 성수기 신동 판매량과 함께 실적에 기여.
목표주가 상향과 함께 저평가 해소 본격화 구간으로 분석됨.</t>
    <phoneticPr fontId="1" type="noConversion"/>
  </si>
  <si>
    <t>155mm 신규 증설분 가동률 상승이 본격 반영될 시점.
폴란드향 2차 무기 계약 수주 가능성이 지속 부각되며 시장 기대치 유지.
중동, 유럽 등 신규 지역 향 수출 교두보 확보 가능성에 대한 기대감이 커짐.
구리 가격 강세 기조가 지속되면 신동 부문 수익성 추가 개선 전망.</t>
    <phoneticPr fontId="1" type="noConversion"/>
  </si>
  <si>
    <t>155mm 증설 효과가 분기 실적에 온전히 반영되는 시점으로 예상.
추가 탄약 수주 성사 여부가 핵심 관심사로 부각될 전망.
방산 영업이익률은 지속적으로 높게 유지되며, 구리가격 영향으로 신동부문 마진도 견조할 가능성.
글로벌 지정학적 리스크 지속으로 탄약 수요 우호적 환경 유지 예상.</t>
    <phoneticPr fontId="1" type="noConversion"/>
  </si>
  <si>
    <t>방산 매출액이 연간 기준으로 2조원대에 근접할 것으로 기대되는 초기 구간.
공장 증설 및 이전을 통한 생산능력 확대가 점진적으로 반영되기 시작.
중동 지역 향 추가 수출 계약 체결 여부가 단기 주가 방향성에 중요한 변수로 작용.
동 가격 강세가 신동부문 실적에 긍정적으로 작용.</t>
    <phoneticPr fontId="1" type="noConversion"/>
  </si>
  <si>
    <t>부산공장 이전 구체화 진행 → 향후 막대한 부동산 차익 실현 기대감이 반영될 가능성.
방산 부문은 유럽·중동 등 신규 지역 본격 매출 발생이 예상되며, 글로벌 탄약 수요 증가로 수출 확대세 지속.
경주공장의 병목 해소 및 추가 증설 여력으로 방산 매출 3조원대 중장기 목표 달성을 위한 기반 마련.</t>
    <phoneticPr fontId="1" type="noConversion"/>
  </si>
  <si>
    <t>한화에어로스페이스</t>
    <phoneticPr fontId="1" type="noConversion"/>
  </si>
  <si>
    <t>폴란드 K9·천무 인도 지속, 반복생산 효과로 생산성 개선.
중동과 유럽 현지 생산공장 계획이 발표되며 글로벌 방산 파이프라인 강화.
사우디와 방산협력 JV, 중동 안보위기 등으로 무기계약 협상 속도 빨라질 전망.
영업이익은 시장 기대치를 상회할 것으로 예상되며, 지상방산 부문이 실적 견인.</t>
    <phoneticPr fontId="1" type="noConversion"/>
  </si>
  <si>
    <t>K9·천무 등 주력 제품의 추가 인도 및 신규 수주 가능성 부각.
루마니아 현지 생산 거점 구축 본격화, JV 설립 통해 유럽 시장 공급망 확대 예상.
미국 SPH-M 자주포 현대화 사업 참여로 미국 수출 기대감 지속.
글로벌 지정학적 긴장감 지속으로 글로벌 방산 수요 환경 우호적.</t>
    <phoneticPr fontId="1" type="noConversion"/>
  </si>
  <si>
    <t>미국 현지 155mm 추진장약 스마트팩토리 착공 준비 → 미국 장약시장 진출 가시화.
중동 JV 협상 진전 여부가 단기 모멘텀 핵심 변수로 작용할 전망.
폴란드 및 동유럽향 추가 무기 공급 여부가 주가 방향성에 영향 예상.</t>
    <phoneticPr fontId="1" type="noConversion"/>
  </si>
  <si>
    <t>루마니아 현지 공장 건설, 폴란드향 천무 유도탄 합작법인 성과 점검 구간.
사우디 JV 구체적 사업 협력 내용이 공개될 경우 신규 모멘텀 발생 가능성.
NATO 회원국 탄약부족 이슈 지속, 글로벌 장약 공급망 선점 효과 본격화.</t>
    <phoneticPr fontId="1" type="noConversion"/>
  </si>
  <si>
    <t>미국 추진장약 스마트팩토리 생산능력 확대 효과 일부 반영 시작.
미국 SPH-M 차세대 자주포 K9A2 선정 여부가 중장기 실적과 기업가치에 결정적.
루마니아·폴란드 현지화 생산라인 가동에 따라 유럽 매출 본격 기여 예상.
글로벌 현지화 전략이 필수로 자리잡으며 방산 사업의 안정적 성장 구간 진입.</t>
    <phoneticPr fontId="1" type="noConversion"/>
  </si>
  <si>
    <t>현대로템</t>
    <phoneticPr fontId="1" type="noConversion"/>
  </si>
  <si>
    <t>폴란드향 K2 전차 대규모 인도로 사상 최대 분기 영업이익 경신 예상.
폴란드 2차 계약 체결이 임박, 직수출 물량 비중이 높아지며 높은 마진 유지 기대.
중동(KSA·UAE 등) 전차 교체수요와 협상 속도 빨라질 것으로 예상되며, 중동 수주 기대감 확대.
철도·플랜트 부문은 영업이익 소폭 증가, 전차 중심으로 실적 모멘텀 집중.</t>
    <phoneticPr fontId="1" type="noConversion"/>
  </si>
  <si>
    <t>폴란드 2차 계약 체결 후 생산 착수 가능성, 수출 공백 최소화하며 연속 생산 체계 유지.
슬로바키아, 루마니아 등 동유럽 국가들과의 협상이 구체화되며 신규 수주 모멘텀 강화.
K2 전차 생산능력 증설 진행 본격화 → 연간 200대 이상 생산 체제 준비.
글로벌 지정학적 리스크와 NATO 방위비 증가 기조로 K2 전차 수요 환경 지속 우호적.</t>
    <phoneticPr fontId="1" type="noConversion"/>
  </si>
  <si>
    <t>폴란드 2차 계약 초기분 출고 가능성, 연말까지 수출 물량 확보로 매출 성장세 유지 예상.
슬로바키아·루마니아 신규 계약 체결 시점과 계약 규모가 주요 주가 모멘텀.
K2 전차 중동 맞춤형 모델(사막 기후용) 개발·인증 진행 → 중동 수주 확정 시 성장 가속.</t>
    <phoneticPr fontId="1" type="noConversion"/>
  </si>
  <si>
    <t>K2 전차 글로벌 수출 본격화 구간, 루마니아·슬로바키아 등 동유럽향 매출 본격 반영.
중동 지역 K2 전차 대규모 수주 계약 체결 가능성 부각 → 사우디·UAE 등 계약 규모 수백대 이상으로 예상.
국내 K2 4차 양산물량 본격 인식으로 방산 부문 실적 안정성 강화.</t>
    <phoneticPr fontId="1" type="noConversion"/>
  </si>
  <si>
    <t>K2 전차와 장갑차 등 방산 부문 신규 계약 체결 여부가 핵심 변수.
폴란드 현지 생산공장 완공 시점 도래 → 유럽향 현지조립 방식으로 공급 안정성·마진 개선 기대.
중동 및 아시아 국가들과의 추가 협상 진행, 글로벌 전차 교체 수요 지속 확대 국면 진입.</t>
    <phoneticPr fontId="1" type="noConversion"/>
  </si>
  <si>
    <t>삼양식품</t>
    <phoneticPr fontId="1" type="noConversion"/>
  </si>
  <si>
    <t>미국, 중국 등 주요 시장에서 초과수요 지속, 기존 설비 한계에도 2Q25부터 밀양2공장 가동 개시로 CAPA 증가 효과 시작.
코첼라 팝업, 공격적 마케팅비 집행에도 수출 성장 레버리지로 영업이익률 24%대 유지 예상.
4~5월 라면 수출금액 전년 동기 대비 30% 이상 증가, 소스 매출도 기존 대비 2배 수준으로 확대.
원/달러 환율 상승 효과로 ASP 유지 및 원가율 개선 지속.</t>
    <phoneticPr fontId="1" type="noConversion"/>
  </si>
  <si>
    <t>밀양2공장 가동률 상승 구간, CAPA가 본격 반영되며 공급부족 해소 → 매출 성장 탄력 증가 예상.
미국·중국향 라면 및 소스 수출이 실적 성장의 주요 견인차 역할 지속.
동남아, 유럽 등 해외 판매법인의 매출도 증가세 유지되며, 글로벌 초과수요 스토리가 이어질 전망.
미국 주요 대형 유통 채널(Costco, Target 등) 입점률 증가로 유통망 강화.</t>
    <phoneticPr fontId="1" type="noConversion"/>
  </si>
  <si>
    <t>CAPA 풀가동 달성 목표 시점으로, 월별 수출물량 최대치 갱신 가능성.
주요 원재료(소맥, 알루미늄) 가격 안정화가 마진 개선에 기여할 전망.
중국 및 동남아 권역에 신규 판매채널 확대, 특히 중국 대학가, 유럽 메인스트림 채널 확대 모멘텀 부각.
글로벌 가격 인상 가능성 언급, ASP 추가 상승 기대감 유효.</t>
    <phoneticPr fontId="1" type="noConversion"/>
  </si>
  <si>
    <t>26년 상반기</t>
    <phoneticPr fontId="1" type="noConversion"/>
  </si>
  <si>
    <t>26년 하반기</t>
    <phoneticPr fontId="1" type="noConversion"/>
  </si>
  <si>
    <t>CAPA 완전 반영 효과로 분기당 최대 생산물량 달성, 초과수요에 대한 충분한 대응 가능.
미국 불닭볶음면 시장점유율 지속 상승, 소스 등 고마진 품목 판매비중 확대 → 수익성 질적 개선 구간.
유럽 대형 유통망 내 입점률 확대가 가시화되며 글로벌 프리미엄 라면 브랜드로 자리매김.</t>
    <phoneticPr fontId="1" type="noConversion"/>
  </si>
  <si>
    <t>중국 공장 완공 임박 구간으로, 중국 내 현지 생산 전환 효과 기대 → 물류·관세비 절감 → ASP 방어력 강화.
밀양2공장 + 중국공장으로 연간 CAPA 34억식 이상 확보, 글로벌 주요 시장 점유율 확대 본격화.
글로벌 인플레이션 완화 구간에서도 브랜드 파워 기반 가격 정책 유지 가능성, 경쟁사 대비 우위 지속.</t>
    <phoneticPr fontId="1" type="noConversion"/>
  </si>
  <si>
    <t>4. 동방메디컬</t>
    <phoneticPr fontId="1" type="noConversion"/>
  </si>
  <si>
    <t>4월 중국·인도네시아에서 리도카인 함유 HA필러 허가 획득, 기존 대비 18% 높은 판가로 믹스 개선 효과.
허가 직후 신양그룹향 중국 주문 발생 → 2분기부터 중국향 필러 매출 급증 예상.
한방부문(한방침·부항컵)은 생산 효율 회복으로 2분기부터 OPM(영업이익률) 개선.
미국, 동남아, 유럽권 필러 수출도 상승세를 보여 실적 컨센서스 상회 기대.</t>
    <phoneticPr fontId="1" type="noConversion"/>
  </si>
  <si>
    <t>브라질 ANVISA 승인으로 브라질향 필러 본격 출하 → JV 설립 후 현지 생산 개시 가능성.
미국, 러시아, UAE 등 계약된 주요국 향 물량 공급 본격화 → 4분기부터 해외 매출 급증 구간 돌입.
미용 부문 매출 비중 70% 돌파 전망, 고마진 체질 강화.</t>
    <phoneticPr fontId="1" type="noConversion"/>
  </si>
  <si>
    <t>중국·브라질 양대 시장에서 현지 매출 기여 가시화 → 글로벌 매출 레버리지 구간 진입.
기존 주요국 파트너십 물량 확대로 연간 필러·리프팅실 생산량 목표 상향 가능성.
한방부문은 효율화 완료로 수익성 정상화 → 한방 OPM 15% 이상 회복 구간 예상.</t>
    <phoneticPr fontId="1" type="noConversion"/>
  </si>
  <si>
    <t>jV 현지공장 본격 가동, 중국·브라질 내 현지 생산체계 완성 → 물류·관세 절감, ASP 유지력 강화.
주요국(중국, 브라질, 러시아, 미국) 연간 공급계약 이행으로 수출 매출 안정화 구간.
51개국 이상으로 인허가 국가 확장 지속, 동남아·중동 추가 국가 신규 파트너 발굴 기대.</t>
    <phoneticPr fontId="1" type="noConversion"/>
  </si>
  <si>
    <t>jyp</t>
    <phoneticPr fontId="1" type="noConversion"/>
  </si>
  <si>
    <t>스트레이키즈 월드투어(북미/일본 중심)가 핵심 모멘텀. 2분기에만 23회 이상 대규모 공연을 소화하며 역대 최대 분기 공연 실적 예상됨.
공연과 연계된 MD 매출 급증. 특히 일본 투어 MD, 북미 투어 MD는 로열티 구조로 수익성이 높음.
1분기 온라인 판매 MD 매출은 배송 시점인 2분기에 인식되어 실적 기여.
트와이스 캐릭터(Lovelys) 팝업, SKZOO 팝업, 반다이남코와의 협업 굿즈, 랜덤 토이 등 MD 관련 이벤트도 활발.
MD 전략 개편(온라인 중심 수요 예측 및 FANS SHOP 운영)으로 구조적 매출/수익성 개선 기대.
공연 원가율은 재계약 이후 상승했으나, 대규모 모객에 따른 레버리지 효과로 수익성 방어.
초과수익 정산은 하반기(3~4분기)에 인식될 예정.</t>
    <phoneticPr fontId="1" type="noConversion"/>
  </si>
  <si>
    <t>트와이스 일본 돔 투어 시작, 월드투어 본격화. 북미 투어 일정 추가 발표 가능성이 남아 있어 추가 상향 요인으로 작용.
스트레이키즈 북미 투어 초과수익 정산이 3분기부터 반영될 예정.
엔믹스 첫 투어 개시(하반기 신보 발매 이후).
트와이스 LOVELYS와 반다이남코 협업을 통한 추가 굿즈 판매, 가샤폰 신제품 출시.
킥플립은 롤라팔루자 등 글로벌 대형 페스티벌 참여로 팬덤 확장 기대.
일본 및 해외 MD 매출 지속 증가, 캐릭터 콜라보 및 팝업스토어 이벤트 강화.</t>
    <phoneticPr fontId="1" type="noConversion"/>
  </si>
  <si>
    <t>트와이스 월드투어 지속(북미 추가 일정 가능성 주목).
스트레이키즈 및 트와이스 신보 발매로 음반/MD 매출 기여 확대.
중국 보이그룹 CIIU 정식 데뷔 예정 → 신규 성장 모멘텀.
4분기 MD는 연말 시즌 특수, 캐릭터/팝업/협업 제품 출시 등으로 매출 기여.
연간 공연 초과수익 정산이 마무리되며 실적에 추가 기여 예상.</t>
    <phoneticPr fontId="1" type="noConversion"/>
  </si>
  <si>
    <t>4년 후 유리한 이유</t>
  </si>
  <si>
    <t>‘불확실성 제거’ 및 세대교체 가속</t>
  </si>
  <si>
    <t>상속받은 자산이 로빈후드와 같은 모바일 브로커로 이동하는 흐름 강화</t>
  </si>
  <si>
    <t>수년간 신규 계좌 형성 → 거래량·고객기반 안정 증가</t>
  </si>
  <si>
    <t>TOD·신탁·자산관리·AI기반 운용툴 서비스 출시</t>
  </si>
  <si>
    <t>유산 이후에도 플랫폼에 자산 유지 → 락인 효과</t>
  </si>
  <si>
    <t>향후 ‘Great Wealth Transfer’ 규모 수백억 단위 자산이동 장기화 예측</t>
  </si>
  <si>
    <t>자금 유입이 지속 → 시계열상 성장 모멘텀 유지 가능</t>
  </si>
  <si>
    <t>법안 통과 시점(2025–26)</t>
    <phoneticPr fontId="1" type="noConversion"/>
  </si>
  <si>
    <t>젊은층 자산이전 → 플랫폼 유입</t>
    <phoneticPr fontId="1" type="noConversion"/>
  </si>
  <si>
    <t>플랫폼내 기능 강화</t>
    <phoneticPr fontId="1" type="noConversion"/>
  </si>
  <si>
    <t>매크로 트렌드 &amp; 장기 전망</t>
    <phoneticPr fontId="1" type="noConversion"/>
  </si>
  <si>
    <t>투자포인트 요약</t>
  </si>
  <si>
    <t>로빈후드 평균 사용자 35세, 43세 이하가 75%</t>
  </si>
  <si>
    <t>상속받은 자산을 직접 운용할 가능성 높은 젊은 세대가 주 고객층</t>
  </si>
  <si>
    <t>2025년 개인 $13.99M → 2026년부터 $15M으로 영구 상향</t>
  </si>
  <si>
    <t>상속세 부담 완화로 상속 및 증여 활성화 → 젊은층 자산 이전 확대</t>
  </si>
  <si>
    <t>고액 자산 → 젊은 세대로 대규모 이전 진행 중 (84조 달러 예상 규모)</t>
  </si>
  <si>
    <t>로빈후드 고객 기반 확장 기회 (세대교체로 신규자금 유입 가능성)</t>
  </si>
  <si>
    <t>TOD, 신탁 수혜자 지정, AI 자산관리 등 상속·유산 관련 기능 강화</t>
  </si>
  <si>
    <t>상속 이후 자산 유지·운용 플랫폼으로 자리잡아 고객 락인 효과 기대</t>
  </si>
  <si>
    <t>전통 증권사 중심 → 모바일·디지털 브로커로 자산 흐름 이동</t>
  </si>
  <si>
    <t>로빈후드가 자산관리 플랫폼으로 성장하며 장기 모멘텀 확보 가능</t>
  </si>
  <si>
    <t>평균 사용자 연령</t>
    <phoneticPr fontId="1" type="noConversion"/>
  </si>
  <si>
    <t>상속세 한도</t>
    <phoneticPr fontId="1" type="noConversion"/>
  </si>
  <si>
    <t>자산 이동 흐름</t>
    <phoneticPr fontId="1" type="noConversion"/>
  </si>
  <si>
    <t>플랫폼 서비스</t>
    <phoneticPr fontId="1" type="noConversion"/>
  </si>
  <si>
    <t>시장 구조 변화</t>
    <phoneticPr fontId="1" type="noConversion"/>
  </si>
  <si>
    <t>로빈후드</t>
    <phoneticPr fontId="1" type="noConversion"/>
  </si>
  <si>
    <r>
      <t xml:space="preserve">상속세 면제 한도를 </t>
    </r>
    <r>
      <rPr>
        <sz val="11"/>
        <color theme="1"/>
        <rFont val="맑은 고딕"/>
        <family val="2"/>
        <charset val="129"/>
        <scheme val="minor"/>
      </rPr>
      <t xml:space="preserve">영구적으로 $15M/$30M으로 인상·연장 </t>
    </r>
    <phoneticPr fontId="1" type="noConversion"/>
  </si>
  <si>
    <t>밀양2공장 등 기존 설비 풀가동에 가까운 CAPA 운영으로 필러·리프팅실 생산 증가.
중국 JV(아이메이커) 통한 리프팅실 NMPA 인허가 완료 예상 → 허가 즉시 매출 본격 발생 기대.
브라질 PHD와의 JV를 통한 현지 필러·리프팅실 생산 준비 → 하반기 계약 기반 매출 기여 확대.
미용 부문 비중 증가로 전체 OPM 상승 지속 구간 예상.</t>
    <phoneticPr fontId="1" type="noConversion"/>
  </si>
  <si>
    <t>파마리서치</t>
    <phoneticPr fontId="1" type="noConversion"/>
  </si>
  <si>
    <t>내수 의료기기 매출 고성장
외국인 의료관광 수요 증가로 분기 내수 매출 증가율 가속
피부과 시술 수요 강세 지속
수출 의료기기 매출 급증
일본, 중국 중심으로 수출 호조
강릉 필러 수출, 인도네시아·중동향 수출 확대
리쥬란 소비 회복세
구글 트렌드 지수 100 도달, 과거 최고 수준
리쥬란 브랜드에 대한 글로벌 관심 고조
화장품 부문도 동반 성장
내수·수출 모두 증가세</t>
    <phoneticPr fontId="1" type="noConversion"/>
  </si>
  <si>
    <t>유럽 파트너십 계약 체결 예정
현지 마케팅 공동 진행으로 브랜드 통제력 강화
기존 판매체제 문제 보완, 유럽 시장 본격화
리쥬란 제품군 번들링 확대
PLLA 필러 ‘에버클’ 출시로 제품군 확장
에스테틱 시술 병행 판매 기대
내수 매출 성장 지속 전망
의료관광 및 복합시술 수요 지속</t>
    <phoneticPr fontId="1" type="noConversion"/>
  </si>
  <si>
    <t>리쥬란 수출 확대 지속
유럽 초기 물량 수출 시작
브랜드 통제 전략 성과 가시화 예상
리쥬란 코스메틱 직판 전환 논의 중
해외 리테일 유통망과 협의
CVC와 협업 통해 B2C 확대 기반 마련
화장품 부문 분기별 실적 개선 예상
의료기기 대비 비중은 작지만 수익성 기여 점차 확대</t>
    <phoneticPr fontId="1" type="noConversion"/>
  </si>
  <si>
    <t>디앤디파마텍</t>
    <phoneticPr fontId="1" type="noConversion"/>
  </si>
  <si>
    <t>보로노이</t>
    <phoneticPr fontId="1" type="noConversion"/>
  </si>
  <si>
    <t>코어위브</t>
    <phoneticPr fontId="1" type="noConversion"/>
  </si>
  <si>
    <t>- 3월 나스닥 상장(CRWV)
- OpenAI와 119억 달러 규모의 5년 장기 GPU 인프라 계약 체결
- 계약 발표 이후 AI 수요 기대감으로 주가 급등</t>
    <phoneticPr fontId="1" type="noConversion"/>
  </si>
  <si>
    <t>IPO + OpenAI 계약</t>
    <phoneticPr fontId="1" type="noConversion"/>
  </si>
  <si>
    <t>데이터센터 투자 + 최신 GPU 도입</t>
    <phoneticPr fontId="1" type="noConversion"/>
  </si>
  <si>
    <t>- 펜실베이니아에 60억 달러 규모 AI 데이터센터 투자 발표 (최대 300MW)
- IBM 등 대형 고객 대상 GB200·NVL72 등 최신 NVIDIA GPU 제공 개시
- 대형 고객 확보 및 수용 용량 확대로 매출 성장 기대</t>
    <phoneticPr fontId="1" type="noConversion"/>
  </si>
  <si>
    <t>Core Scientific 인수 발표</t>
    <phoneticPr fontId="1" type="noConversion"/>
  </si>
  <si>
    <t>- Core Scientific(1.3GW 전력·데이터센터 운영사) 90억 달러 규모 인수 발표 (all-stock 딜)
- 리스 해소(약 100억 USD) 및 연간 5억 USD 비용 절감 기대
- 다만 주식 희석 우려 및 단기 실적 부담으로 주가 20% 이상 조정</t>
    <phoneticPr fontId="1" type="noConversion"/>
  </si>
  <si>
    <r>
      <rPr>
        <sz val="11"/>
        <color theme="1"/>
        <rFont val="맑은 고딕"/>
        <family val="2"/>
        <charset val="129"/>
        <scheme val="minor"/>
      </rPr>
      <t>- Core Scientific 인수 Q4 내 마감 예정
- 인수 완료 시 약 2.6GW 규모 전력·데이터센터 자산 확보
- 기존 임차 인프라 → 자체 보유 자산으로 전환, 원가절감 및 대형 AI 고객 유치 가속 기대</t>
    </r>
    <phoneticPr fontId="1" type="noConversion"/>
  </si>
  <si>
    <t>인수 완료 및 인프라 통합</t>
    <phoneticPr fontId="1" type="noConversion"/>
  </si>
  <si>
    <r>
      <t>GPU 기반 최적화</t>
    </r>
    <r>
      <rPr>
        <sz val="11"/>
        <color theme="1"/>
        <rFont val="맑은 고딕"/>
        <family val="2"/>
        <charset val="129"/>
        <scheme val="minor"/>
      </rPr>
      <t>: 코어위브는 엔비디아의 최신 GPU (A100, H100, B100, GB200 등)에 최적화된 인프라를 제공.</t>
    </r>
  </si>
  <si>
    <t>일반 클라우드보다 빠르고 저렴함</t>
  </si>
  <si>
    <t>특히 LLM(대형 언어모델) 학습, 추론, 렌더링에 강함.</t>
  </si>
  <si>
    <t>최대 35배 빠르고 80% 저렴 (vs 전통적인 퍼블릭 클라우드)</t>
  </si>
  <si>
    <t>2. 엔비디아와의 긴밀한 관계</t>
  </si>
  <si>
    <r>
      <t xml:space="preserve">엔비디아가 지분을 보유한 </t>
    </r>
    <r>
      <rPr>
        <b/>
        <sz val="11"/>
        <color theme="1"/>
        <rFont val="맑은 고딕"/>
        <family val="3"/>
        <charset val="129"/>
        <scheme val="minor"/>
      </rPr>
      <t>전략적 파트너사</t>
    </r>
    <r>
      <rPr>
        <sz val="11"/>
        <color theme="1"/>
        <rFont val="맑은 고딕"/>
        <family val="2"/>
        <charset val="129"/>
        <scheme val="minor"/>
      </rPr>
      <t>.</t>
    </r>
  </si>
  <si>
    <r>
      <t xml:space="preserve">엔비디아의 최신 GPU 공급을 </t>
    </r>
    <r>
      <rPr>
        <b/>
        <sz val="11"/>
        <color theme="1"/>
        <rFont val="맑은 고딕"/>
        <family val="3"/>
        <charset val="129"/>
        <scheme val="minor"/>
      </rPr>
      <t>우선적으로 받는 구조</t>
    </r>
    <r>
      <rPr>
        <sz val="11"/>
        <color theme="1"/>
        <rFont val="맑은 고딕"/>
        <family val="2"/>
        <charset val="129"/>
        <scheme val="minor"/>
      </rPr>
      <t>.</t>
    </r>
  </si>
  <si>
    <t>GB200 및 Blackwell 기반 차세대 AI 슈퍼컴 구축에 참여 중.</t>
  </si>
  <si>
    <t>1. AI 워크로드 특화 클라우드</t>
    <phoneticPr fontId="1" type="noConversion"/>
  </si>
  <si>
    <r>
      <t xml:space="preserve">미국과 유럽에 </t>
    </r>
    <r>
      <rPr>
        <b/>
        <sz val="11"/>
        <color theme="1"/>
        <rFont val="맑은 고딕"/>
        <family val="3"/>
        <charset val="129"/>
        <scheme val="minor"/>
      </rPr>
      <t>30개 이상 데이터센터</t>
    </r>
    <r>
      <rPr>
        <sz val="11"/>
        <color theme="1"/>
        <rFont val="맑은 고딕"/>
        <family val="2"/>
        <charset val="129"/>
        <scheme val="minor"/>
      </rPr>
      <t xml:space="preserve"> 운영.</t>
    </r>
  </si>
  <si>
    <t>텍사스 플라노에 세계 최대 AI 슈퍼컴 클러스터 구축.</t>
  </si>
  <si>
    <r>
      <t xml:space="preserve">2025년까지 </t>
    </r>
    <r>
      <rPr>
        <b/>
        <sz val="11"/>
        <color theme="1"/>
        <rFont val="맑은 고딕"/>
        <family val="3"/>
        <charset val="129"/>
        <scheme val="minor"/>
      </rPr>
      <t>펜실베이니아에 $60억 규모 투자 계획</t>
    </r>
    <r>
      <rPr>
        <sz val="11"/>
        <color theme="1"/>
        <rFont val="맑은 고딕"/>
        <family val="2"/>
        <charset val="129"/>
        <scheme val="minor"/>
      </rPr>
      <t xml:space="preserve"> 발표.</t>
    </r>
  </si>
  <si>
    <t>3. 급속한 데이터센터 확장</t>
    <phoneticPr fontId="1" type="noConversion"/>
  </si>
  <si>
    <t>엔비디아 GPU(H100, Blackwell, GB200 등)에 최적화된 대규모 분산 GPU 컴퓨팅 클라우드를 운영
기존 공용 클라우드 대비 최대 35배 빠르고 80% 저렴한 성능을 내는 것이 특징
미국과 유럽에 30여 개 이상의 데이터센터를 운영하며, 플라노(텍사스)에 세계 최고 수준의 AI 슈퍼컴퓨터도 구축</t>
    <phoneticPr fontId="1" type="noConversion"/>
  </si>
  <si>
    <t>3Q25</t>
    <phoneticPr fontId="1" type="noConversion"/>
  </si>
  <si>
    <t>2Q25</t>
    <phoneticPr fontId="1" type="noConversion"/>
  </si>
  <si>
    <t>SK바이오팜</t>
    <phoneticPr fontId="1" type="noConversion"/>
  </si>
  <si>
    <t>올릭스</t>
    <phoneticPr fontId="1" type="noConversion"/>
  </si>
  <si>
    <t>SMR 관련 모멘텀</t>
  </si>
  <si>
    <t>바이오 관련 모멘텀</t>
  </si>
  <si>
    <t>- NuScale이 **미국 NRC로부터 표준설계인증(5월 29일)**을 획득해 루마니아 Ro Power 프로젝트 속도 증가 기대</t>
  </si>
  <si>
    <t>- 삼성물산은 NuScale과 FEED 2단계 진행 중</t>
  </si>
  <si>
    <t>- GVH(GE Vernova-Hitachi)와 에스토니아(페르미), 스웨덴(칸풀 넥스트)에서 SMR 협업 MOU 이어감</t>
  </si>
  <si>
    <t>- 삼성바이오로직스 인적분할 시나리오 수면 위로 부상</t>
  </si>
  <si>
    <r>
      <t xml:space="preserve">- 삼성물산 보유지분 일부 매각 또는 현물출자 없이 보유 시 </t>
    </r>
    <r>
      <rPr>
        <b/>
        <sz val="11"/>
        <color theme="1"/>
        <rFont val="맑은 고딕"/>
        <family val="3"/>
        <charset val="129"/>
        <scheme val="minor"/>
      </rPr>
      <t>21조 자금 확보 가능성</t>
    </r>
    <r>
      <rPr>
        <sz val="11"/>
        <color theme="1"/>
        <rFont val="맑은 고딕"/>
        <family val="2"/>
        <charset val="129"/>
        <scheme val="minor"/>
      </rPr>
      <t xml:space="preserve"> 시장 부각</t>
    </r>
  </si>
  <si>
    <t>→ 바이오 지배력 확대 기대감 초기 형성</t>
  </si>
  <si>
    <r>
      <t xml:space="preserve">- SMR 프로젝트가 EPC 포지셔닝에서 </t>
    </r>
    <r>
      <rPr>
        <b/>
        <sz val="11"/>
        <color theme="1"/>
        <rFont val="맑은 고딕"/>
        <family val="3"/>
        <charset val="129"/>
        <scheme val="minor"/>
      </rPr>
      <t>전략자산</t>
    </r>
    <r>
      <rPr>
        <sz val="11"/>
        <color theme="1"/>
        <rFont val="맑은 고딕"/>
        <family val="2"/>
        <charset val="129"/>
        <scheme val="minor"/>
      </rPr>
      <t>으로 시장에 인식</t>
    </r>
  </si>
  <si>
    <t>- 루마니아 프로젝트 외 유럽 협력국들과의 진행 본격화 조짐</t>
  </si>
  <si>
    <t>- 분할 기대감 가속화</t>
  </si>
  <si>
    <r>
      <t xml:space="preserve">- DS투자증권 등은 “삼성물산이 바이오 자회사 상장을 통해 </t>
    </r>
    <r>
      <rPr>
        <b/>
        <sz val="11"/>
        <color theme="1"/>
        <rFont val="맑은 고딕"/>
        <family val="3"/>
        <charset val="129"/>
        <scheme val="minor"/>
      </rPr>
      <t>현금 유입 + 밸류에이션 확대</t>
    </r>
    <r>
      <rPr>
        <sz val="11"/>
        <color theme="1"/>
        <rFont val="맑은 고딕"/>
        <family val="2"/>
        <charset val="129"/>
        <scheme val="minor"/>
      </rPr>
      <t>” 병행 가능성 언급</t>
    </r>
  </si>
  <si>
    <t>- 중장기 바이오 상장 시 물산 시총 리레이팅 기대</t>
  </si>
  <si>
    <t>2026년 1분기</t>
  </si>
  <si>
    <r>
      <t xml:space="preserve">- 미국 외 SMR 수요 확산: 스웨덴·에스토니아 등 </t>
    </r>
    <r>
      <rPr>
        <b/>
        <sz val="11"/>
        <color theme="1"/>
        <rFont val="맑은 고딕"/>
        <family val="3"/>
        <charset val="129"/>
        <scheme val="minor"/>
      </rPr>
      <t>북유럽 프로젝트 실현 가능성</t>
    </r>
    <r>
      <rPr>
        <sz val="11"/>
        <color theme="1"/>
        <rFont val="맑은 고딕"/>
        <family val="2"/>
        <charset val="129"/>
        <scheme val="minor"/>
      </rPr>
      <t xml:space="preserve"> 높아짐</t>
    </r>
  </si>
  <si>
    <t>- 2030~2035년 완공 목표 프로젝트들 선점 지속</t>
  </si>
  <si>
    <r>
      <t xml:space="preserve">- </t>
    </r>
    <r>
      <rPr>
        <b/>
        <sz val="11"/>
        <color theme="1"/>
        <rFont val="맑은 고딕"/>
        <family val="3"/>
        <charset val="129"/>
        <scheme val="minor"/>
      </rPr>
      <t>분할 후 구조 정착</t>
    </r>
    <r>
      <rPr>
        <sz val="11"/>
        <color theme="1"/>
        <rFont val="맑은 고딕"/>
        <family val="2"/>
        <charset val="129"/>
        <scheme val="minor"/>
      </rPr>
      <t xml:space="preserve"> 시작</t>
    </r>
  </si>
  <si>
    <r>
      <t xml:space="preserve">- 바이오 자산 직접보유 or 자회사 상장 가능성 확대되며 </t>
    </r>
    <r>
      <rPr>
        <b/>
        <sz val="11"/>
        <color theme="1"/>
        <rFont val="맑은 고딕"/>
        <family val="3"/>
        <charset val="129"/>
        <scheme val="minor"/>
      </rPr>
      <t>SOTP 가치에 바이오 리스크 프리미엄</t>
    </r>
    <r>
      <rPr>
        <sz val="11"/>
        <color theme="1"/>
        <rFont val="맑은 고딕"/>
        <family val="2"/>
        <charset val="129"/>
        <scheme val="minor"/>
      </rPr>
      <t xml:space="preserve"> 반영되기 시작</t>
    </r>
  </si>
  <si>
    <t>2026년 2분기</t>
  </si>
  <si>
    <r>
      <t xml:space="preserve">- SMR EPC 매출 기여는 아직 작지만, </t>
    </r>
    <r>
      <rPr>
        <b/>
        <sz val="11"/>
        <color theme="1"/>
        <rFont val="맑은 고딕"/>
        <family val="3"/>
        <charset val="129"/>
        <scheme val="minor"/>
      </rPr>
      <t>기술 검증 + 현지협력 계약 체결</t>
    </r>
    <r>
      <rPr>
        <sz val="11"/>
        <color theme="1"/>
        <rFont val="맑은 고딕"/>
        <family val="2"/>
        <charset val="129"/>
        <scheme val="minor"/>
      </rPr>
      <t xml:space="preserve"> 본격화</t>
    </r>
  </si>
  <si>
    <t>- 경쟁 EPC 업체들과의 차별화(복수 노형 대응 가능) 부각</t>
  </si>
  <si>
    <r>
      <t xml:space="preserve">- 바이오사업 지분 직접 보유 시, </t>
    </r>
    <r>
      <rPr>
        <b/>
        <sz val="11"/>
        <color theme="1"/>
        <rFont val="맑은 고딕"/>
        <family val="3"/>
        <charset val="129"/>
        <scheme val="minor"/>
      </rPr>
      <t>삼성물산이 그룹 바이오사업의 정점에 있는 구조 확정</t>
    </r>
  </si>
  <si>
    <t>- 삼성전자와의 교차 지분 구조 가능성(전자가 에피스 홀딩스 지분을 넘기는 시나리오 등) 부각</t>
  </si>
  <si>
    <t>2026년 3분기</t>
  </si>
  <si>
    <r>
      <t xml:space="preserve">- 글로벌 EPC사들과의 </t>
    </r>
    <r>
      <rPr>
        <b/>
        <sz val="11"/>
        <color theme="1"/>
        <rFont val="맑은 고딕"/>
        <family val="3"/>
        <charset val="129"/>
        <scheme val="minor"/>
      </rPr>
      <t>SMR 레퍼런스 수주 경쟁 본격화</t>
    </r>
  </si>
  <si>
    <r>
      <t xml:space="preserve">- 삼성물산은 GVH·NuScale 모두와 프로젝트 확보 중 → </t>
    </r>
    <r>
      <rPr>
        <b/>
        <sz val="11"/>
        <color theme="1"/>
        <rFont val="맑은 고딕"/>
        <family val="3"/>
        <charset val="129"/>
        <scheme val="minor"/>
      </rPr>
      <t>가장 유연한 플레이어로 부각</t>
    </r>
  </si>
  <si>
    <t>- 바이오 사업 본격 가치 반영</t>
  </si>
  <si>
    <r>
      <t xml:space="preserve">- 삼성바이오에피스 상장 가능성 언급되며 </t>
    </r>
    <r>
      <rPr>
        <b/>
        <sz val="11"/>
        <color theme="1"/>
        <rFont val="맑은 고딕"/>
        <family val="3"/>
        <charset val="129"/>
        <scheme val="minor"/>
      </rPr>
      <t>자회사 상장에 따른 지분 가치 재평가</t>
    </r>
    <r>
      <rPr>
        <sz val="11"/>
        <color theme="1"/>
        <rFont val="맑은 고딕"/>
        <family val="2"/>
        <charset val="129"/>
        <scheme val="minor"/>
      </rPr>
      <t xml:space="preserve"> 시동</t>
    </r>
  </si>
  <si>
    <t>- 지분가치 증가에 따른 삼성물산 시총 확장 기대</t>
  </si>
  <si>
    <t>2026년 4분기</t>
  </si>
  <si>
    <r>
      <t xml:space="preserve">- 루마니아·에스토니아 등 초기 SMR 프로젝트들에서 </t>
    </r>
    <r>
      <rPr>
        <b/>
        <sz val="11"/>
        <color theme="1"/>
        <rFont val="맑은 고딕"/>
        <family val="3"/>
        <charset val="129"/>
        <scheme val="minor"/>
      </rPr>
      <t>설계단계 종료 및 공사 착수 준비</t>
    </r>
    <r>
      <rPr>
        <sz val="11"/>
        <color theme="1"/>
        <rFont val="맑은 고딕"/>
        <family val="2"/>
        <charset val="129"/>
        <scheme val="minor"/>
      </rPr>
      <t xml:space="preserve"> 가능성</t>
    </r>
  </si>
  <si>
    <r>
      <t xml:space="preserve">- SMR 사업이 실적보단 </t>
    </r>
    <r>
      <rPr>
        <b/>
        <sz val="11"/>
        <color theme="1"/>
        <rFont val="맑은 고딕"/>
        <family val="3"/>
        <charset val="129"/>
        <scheme val="minor"/>
      </rPr>
      <t>밸류에이션 상 레버리지 자산</t>
    </r>
    <r>
      <rPr>
        <sz val="11"/>
        <color theme="1"/>
        <rFont val="맑은 고딕"/>
        <family val="2"/>
        <charset val="129"/>
        <scheme val="minor"/>
      </rPr>
      <t>으로 기능</t>
    </r>
  </si>
  <si>
    <t>- 바이오 지배구조 완성 시점 근접</t>
  </si>
  <si>
    <r>
      <t xml:space="preserve">- 삼성바이오로직스/에피스 실적 성장 → 삼성물산의 </t>
    </r>
    <r>
      <rPr>
        <b/>
        <sz val="11"/>
        <color theme="1"/>
        <rFont val="맑은 고딕"/>
        <family val="3"/>
        <charset val="129"/>
        <scheme val="minor"/>
      </rPr>
      <t>순자산가치 급등 요인으로 정착</t>
    </r>
  </si>
  <si>
    <t>- 분할 시 시총 50조 이상 삼성바이오 가치의 일부를 직접 반영</t>
  </si>
  <si>
    <t xml:space="preserve"> - 다양한 유형의 SMR 가증</t>
    <phoneticPr fontId="1" type="noConversion"/>
  </si>
  <si>
    <t>2026년 1분기</t>
    <phoneticPr fontId="1" type="noConversion"/>
  </si>
  <si>
    <t>2026년 2분기</t>
    <phoneticPr fontId="1" type="noConversion"/>
  </si>
  <si>
    <t>AI 가속기용·800G 네트워크용 하이엔드 CCL 비중 확대 (비중 80% 돌파).
두산에너빌리티: 중동·베트남 발전소 수주 등으로 실적 턴어라운드 지속.
전사 OPM(영업이익률): 약 30%에 근접하며 구조적 체질 개선 확인.</t>
    <phoneticPr fontId="1" type="noConversion"/>
  </si>
  <si>
    <t>GB300 단독 공급 지속: 차세대 AI GPU(GB200 후속)용 CCL 공급으로 ASP 유지.
ASIC 및 AI 고객 다변화: 신규 고객 확보로 성장 기반 다져짐.
두산에너빌리티: 체코·UAE 등 원전 프로젝트 입찰 기대감 유지.
전자BG 이익률: 30%대 유지 예상, 수익성 중심 성장.</t>
    <phoneticPr fontId="1" type="noConversion"/>
  </si>
  <si>
    <t>Q Glass 기반 M9급 CCL 테스트 마무리 및 상업화 준비 단계 진입.
Rubin 아키텍처 양산 확산 전초기로, 대면적 기판 수요 증가 예상.
800G 네트워크·AI 반도체 투자 지속: 고객사 생산 계획 확대가 매출로 연결.
전자BG YoY 실적 성장률은 둔화될 수 있으나 여전히 높은 수익성 유지.</t>
    <phoneticPr fontId="1" type="noConversion"/>
  </si>
  <si>
    <t>Q Glass 본격 도입: 고단가 기판 매출 확대, M9급 CCL ASP 상승.
Rubin 아키텍처 양산 본격화: 대면적화로 면적당 매출 확대.
ASIC 진입 가시화: 기존 AI GPU 외에 특화된 AI용 SoC 시장 진출 시작.</t>
    <phoneticPr fontId="1" type="noConversion"/>
  </si>
  <si>
    <t>ASIC·800G 고성능 제품 출하 본격화, 다양한 서버·클라우드 고객 대응.
전자BG 고마진 유지: Q Glass 및 대면적 제품 중심으로 30% 이상 OPM 가능.
두산에너빌리티: 수소·소형원전(SMR) 프로젝트 가시화 가능성 존재.</t>
    <phoneticPr fontId="1" type="noConversion"/>
  </si>
  <si>
    <t>전자BG 매출 성장 지속: GB300 및 후속 AI 가속기 수요 유지.
신규 고객 확대로 제품 포트폴리오 다변화.
두산에너빌리티: 체코 원전 본계약 여부 및 신규 중동 수주 체크 포인트.</t>
    <phoneticPr fontId="1" type="noConversion"/>
  </si>
  <si>
    <t>2026년 3분기</t>
    <phoneticPr fontId="1" type="noConversion"/>
  </si>
  <si>
    <t>전자BG 영업이익 YoY +16.4% 증가 전망: Q Glass 및 Rubin 효과 누적.
ASIC·AI 고성능 네트워크향 수요 정점 구간 도달 가능성.
자회사 실적 기여도 증가: 로보틱스·에너빌리티가 외형 성장 견인.</t>
    <phoneticPr fontId="1" type="noConversion"/>
  </si>
  <si>
    <t>2026년 4분기</t>
    <phoneticPr fontId="1" type="noConversion"/>
  </si>
  <si>
    <t>2026년 1분기</t>
    <phoneticPr fontId="1" type="noConversion"/>
  </si>
  <si>
    <t>사우디 화공 프로젝트 매출 본격 반영:
상반기에 수주한 사우디 암모니아·석유화학 공사들이 이제 실제로 착공되어 매출로 인식되기 시작함. 이 때문에 화공 부문 매출이 전분기보다 크게 증가함.
수익성은 일시적으로 둔화:
자재비(후판 등)가 오른 영향으로 공사 원가 부담이 커져서, 수익성은 잠시 주춤. 영업이익률은 전분기 대비 소폭 하락.
중동 외 지역도 수주 기회 확대:
사우디 외에도 UAE 등 중동 발주처들이 발주를 늘리는 분위기. 향후 신규 수주 기대감도 긍정적.</t>
    <phoneticPr fontId="1" type="noConversion"/>
  </si>
  <si>
    <t>화공 매출 폭증 → 실적 레벨업:
사우디 중심의 화공 프로젝트들이 공정률이 빠르게 진척되며 대규모 매출 발생. 화공 매출만 약 1.8조원에 달해 분기 실적에 강하게 기여함.
수익성 회복세 진입:
고마진 프로젝트 중심으로 매출이 늘면서 영업이익률이 7.7%까지 회복. 이익도 눈에 띄게 늘어남.
2026년 실적 성장 기반 다져짐:
이 시기에 본격 착공된 프로젝트들이 2026년 연간 실적을 끌어올리는 기반이 됨.</t>
    <phoneticPr fontId="1" type="noConversion"/>
  </si>
  <si>
    <t>비화공(반도체·전기차 설비) 안정적 기여:
삼성전자 평택, 현대차 전기차 북미 공장 등 수익성이 높은 국내외 프로젝트가 안정적으로 진행되며 실적에 꾸준히 반영됨.
화공은 매출 확대 초입:
작년 하반기 수주한 사우디·UAE 프로젝트들이 본격적으로 매출 반영을 시작하면서 외형 성장에 기여.
영업이익률 방어 가능:
원가 부담이 일부 있지만, 수익성 높은 프로젝트 비중이 많아 OPM은 일정 수준 이상 유지될 것으로 예상됨.</t>
    <phoneticPr fontId="1" type="noConversion"/>
  </si>
  <si>
    <t>화공 매출 계속 확대:
중동의 고부가 화공 설비들(예: 수소·암모니아 설비 등)이 공정률 20~40% 수준으로 올라가며 본격적인 실적 기여 구간에 들어섬.
비화공도 반도체 수주 기대:
국내 반도체 업체의 신규 투자에 따라 하반기 신규 수주도 기대되는 분위기.
마진 개선 시작 구간:
수익성이 높은 프로젝트들이 매출 구성 비중을 늘리면서 점진적인 수익성 개선이 시작됨.</t>
    <phoneticPr fontId="1" type="noConversion"/>
  </si>
  <si>
    <t>2026년 2분기</t>
    <phoneticPr fontId="1" type="noConversion"/>
  </si>
  <si>
    <t>수익성 본격 개선 시기:
상반기까지는 매출 비중만 커졌던 프로젝트들이 이제 공정률도 크게 진척되며, 마진이 높게 반영되기 시작.
화공 매출 피크 근접:
사우디와 UAE 중심 대형 공사들이 매출 기준으로 최고 구간 진입.
Backlog 기반 실적 안정성 확보:
신규 수주도 이어지며, 실적 피크 이후에도 일정 수준 유지 가능한 흐름 형성.</t>
    <phoneticPr fontId="1" type="noConversion"/>
  </si>
  <si>
    <t>2026년 3분기</t>
    <phoneticPr fontId="1" type="noConversion"/>
  </si>
  <si>
    <t>연간 실적 정점 시기 예상:
화공과 비화공 모두 공정률 고점에 도달한 프로젝트들이 실적에 정점을 찍음. 연간 기준으로도 사상 최대 실적 기대 가능.
수익성도 최고치 가능성:
원가 안정 + 고부가 EPC 프로젝트 집중 → 영업이익률 9%대 접근 가능.
신사업(탄소중립·SMR 등) 수주 이슈 부각:
소형모듈원자로(SMR), 수소·CCUS EPC 등 친환경 신규 수주가 가시화될 경우 향후 밸류에이션도 재평가 가능성 존재.</t>
    <phoneticPr fontId="1" type="noConversion"/>
  </si>
  <si>
    <t>2026년 4분기</t>
    <phoneticPr fontId="1" type="noConversion"/>
  </si>
  <si>
    <t>삼성 E&amp;A</t>
    <phoneticPr fontId="1" type="noConversion"/>
  </si>
  <si>
    <t>실적관련</t>
    <phoneticPr fontId="1" type="noConversion"/>
  </si>
  <si>
    <t>수주관련</t>
    <phoneticPr fontId="1" type="noConversion"/>
  </si>
  <si>
    <t>① 사우디 Ras Al Khair 2단계 암모니아/가스 EPC
아람코 발주 예정
삼성E&amp;A가 1단계 시공사 → 2단계 우선 협상자 가능성
발주 시기: 2025년 3~4분기 중 유력
예상 규모: 2~3조 원
② UAE ADNOC 블루암모니아/수소 설비 사전 수주
탈탄소 연계 EPC
입찰 참여사 확정 및 낙찰자 선정 가능성
예상 규모: 1조 원+</t>
    <phoneticPr fontId="1" type="noConversion"/>
  </si>
  <si>
    <t>① 사우디 Jafurah 가스처리 시설 발주
삼성E&amp;A는 FEED 이후 EPC 수주 가능성 언급
EPC 본계약 발주 시기 근접
예상 규모: 2~4조 원
② 미국 현대차 EV 공장 EPC 추가 설비
1단계 이후 부지 내 2단계 공사 가능성 제기
IRA 연계로 EPC 발주 조기화 가능성
예상 규모: 수천억~1조 원</t>
    <phoneticPr fontId="1" type="noConversion"/>
  </si>
  <si>
    <t>① 삼성전자 평택 P5~P6 설비 EPC 착수
배관/전력/소방 설비 중심
고마진 내수 비화공 수주
P4 완공 이후 시차 없이 발주 예상
예상 규모: 1~2조 원+
② UAE ADNOC CCS 플랜트 EPC 본계약 체결 가능성
사전 LOI 체결 후 본계약 시점으로 가시화 가능성
삼성E&amp;A 참여 확률 높음</t>
    <phoneticPr fontId="1" type="noConversion"/>
  </si>
  <si>
    <t>① 북미 삼성전자 후속 반도체 라인 (오스틴/테일러)
미국 내 삼성전자 설비 확장 가능성
반도체 Cycle 회복에 따라 조기 착공 가능성
예상 규모: 1.5~2조 원
② 미국/체코 SMR EPC 컨소시엄 수주 본격화
국내 SMR 연합체 일원 (삼성물산·두산 등과 연계)
본공사 전 단계 EPC 참여 가능성</t>
    <phoneticPr fontId="1" type="noConversion"/>
  </si>
  <si>
    <t>① 사우디 추가 석유화학 프로젝트 신규 발주
Ras Al Khair·Jafurah 외 3차 플랜트 전망
중동 내 지속 발주 예상
② LNG·수소 기반 EPC 유럽/동남아 수주 가능성
ESG 기반 신규 발주 가능성 (노르웨이·인니 등)</t>
    <phoneticPr fontId="1" type="noConversion"/>
  </si>
  <si>
    <t>① 글로벌 대형 친환경 프로젝트 가시화
CCUS, 블루수소, 그린암모니아 EPC
삼성E&amp;A는 각국 탄소중립 프로젝트 초기 참여 중
수주 발표는 연말~2027년 초 예상</t>
    <phoneticPr fontId="1" type="noConversion"/>
  </si>
  <si>
    <t>UAE 천궁-II 수출 매출이 본격화됨: 전년 대비 수출이 대폭 증가하며 이익률 개선을 주도.
내수 양산 매출 견조: 양산 비중 70% 수준으로 유지되며 안정적인 국내 매출 기반 확보.
전체 수출 비중 증가 시점: 수출 매출이 전년 대비 큰 폭으로 확대되며 분기 기준 20% 초중반 진입.</t>
    <phoneticPr fontId="1" type="noConversion"/>
  </si>
  <si>
    <t xml:space="preserve">이라크 천궁-II 초도 물량 인도 가능성: 수령 및 진행률 기반 매출 인식 시 추가 실적 상향 여지 존재.
수출 비중 30% 근접 예상: 연내 사우디, 이라크 등지 수출 확대로 매출 내 수출 비중 점진 확대.
정밀타격·지휘통제·항공전자 등 주요 부문 매출 동반 증가: 사업 포트폴리오 다변화로 실적 안정성 확보.
비공개 수출 물량 주목: 반복 수요성 높은 훈련탄·정비계약 기반의 실적 기여도 점차 확대 중
</t>
    <phoneticPr fontId="1" type="noConversion"/>
  </si>
  <si>
    <t>이라크 및 중동 지역 추가 매출 본격 반영 예상: 순차적으로 계약 물량이 인식되며 외형 성장 기여.
해외 매출이 국내 매출 성장률을 추월할 가능성: 중동 수출과 비공개 수출 물량이 누적 반영되기 시작.
방공망 수요 증가에 따른 수출 기대감 확산: 글로벌 공급망 재편 속에서 한국산 중거리 방공체계 경쟁력 부각.
내수 감소 우려에 대한 수출 매출 대체 효과 발생.</t>
    <phoneticPr fontId="1" type="noConversion"/>
  </si>
  <si>
    <t>사우디아라비아 천궁-II 사업 매출 인식 시작: 매출 및 이익 기여 본격화, 수익성 강화.
이라크 수출 매출 본격 반영 지속: 초기 수출 성공 기반으로 안정적인 반복 매출 창출.
수출 중심 체제로 전환 가속화: 내수 매출 비중 감소세 속 수출 확대가 전체 실적을 견인.
고마진 사업 비중 확대: 전체 영업이익률이 두 자릿수 유지하며 이익 체력 상승.</t>
    <phoneticPr fontId="1" type="noConversion"/>
  </si>
  <si>
    <t>UAE·사우디·이라크 향 천궁-II 양산 매출 동시 반영 구간 진입: 수출 비중이 30%를 상회하는 결정적 시점.
천궁-II 외의 신규 수출 계약 논의 확대: 미국향 비궁, 중동향 L-SAM, 추가 천궁-II 계약 모멘텀 부각.
해외 고정 수요 기반 사업군 성장 지속: 창정비, 훈련탄 등 반복 매출 기반 확대.
중장기적 글로벌 공급망 내 입지 강화: 이스라엘·미국·유럽 방산업체들과의 경쟁력 제고로 전략적 파트너십 확대 가능성.</t>
    <phoneticPr fontId="1" type="noConversion"/>
  </si>
  <si>
    <t>삼성중공업</t>
    <phoneticPr fontId="1" type="noConversion"/>
  </si>
  <si>
    <t>영업이익률이 10년 만에 최고 수준을 기록하며 이익 체력의 반등을 증명.
FLNG (부유식 LNG 생산설비) 관련 매출 본격 반영 시작: Cedar FLNG의 착공으로 고수익성 해양 매출 증가.
2023년 고가 수주 선박이 순차적으로 인도되며 상선 수익성 개선.
조업일수 증가와 컨테이너선 비중 축소로 제품 믹스가 개선되어 전체 수익성에 기여.
LNG선 및 FLNG 위주의 친환경 수주로 수주잔고 질 개선.</t>
    <phoneticPr fontId="1" type="noConversion"/>
  </si>
  <si>
    <t>모잠비크 Coral FLNG 2호기 본계약 체결 예상.
미국 및 아프리카 지역의 FLNG 발주 프로젝트 참여.
친환경 컨테이너선 교체 발주 확대 예상.
미국 LNG선 발주 재개 기대감 확산.
제품별 수익성 차별화 유지로 영업이익률 유지 또는 개선 전망.</t>
    <phoneticPr fontId="1" type="noConversion"/>
  </si>
  <si>
    <t>25년 2분기</t>
    <phoneticPr fontId="1" type="noConversion"/>
  </si>
  <si>
    <t>25년 3분기</t>
    <phoneticPr fontId="1" type="noConversion"/>
  </si>
  <si>
    <t>25년 4분기</t>
    <phoneticPr fontId="1" type="noConversion"/>
  </si>
  <si>
    <t>2022년 저가 수주물량 완전 종료, 고선가 선박이 주력 매출을 구성.
FLNG 본계약 물량이 건조로 연결되며 해양 부문 매출 급증.
Cedar FLNG, Coral FLNG 등에서 구조 제작 및 블록 조립 공정 진행.
전체 선박 매출 중 2023년 이후 수주분의 비중이 빠르게 증가 → 상선 OPM 추가 개선 가능.
연간 수주 목표 초과 달성 가시화 및 신규 파트너 조선사와의 협력 구조 구체화.</t>
    <phoneticPr fontId="1" type="noConversion"/>
  </si>
  <si>
    <t>26년 상반기</t>
    <phoneticPr fontId="1" type="noConversion"/>
  </si>
  <si>
    <t>26년 하반기</t>
    <phoneticPr fontId="1" type="noConversion"/>
  </si>
  <si>
    <t>2023년 수주한 고선가 선박들이 본격 인도되며 매출과 수익성 동반 성장.
상선 부문에서도 고부가가치 LNG선과 컨테이너선 비중 확대 지속.
FLNG 사업의 구조 제작 및 해상 설치 작업 진입.
인건비 및 자재비 부담은 낮고, 판가(선박가격)는 높은 구조가 실적에 반영.</t>
    <phoneticPr fontId="1" type="noConversion"/>
  </si>
  <si>
    <t>FLNG 매출 본격화, 전체 실적 기여도 상승.
Eni Coral FLNG 외에도 Golar, Delfin 등 복수 FLNG 프로젝트 매출화 진행.
상선 부문에서도 고수익 선박 위주 인도 지속 → 영업이익률이 업계 상위권에 근접.
조선소 블록화 및 자동화 생산 설비 확대로 마진 개선 가능성.
중장기적으로 미국과의 기술협력 확대 및 ESG 대응 가능성이 반영될 시점.</t>
    <phoneticPr fontId="1" type="noConversion"/>
  </si>
  <si>
    <t>hd현대인프라코어</t>
    <phoneticPr fontId="1" type="noConversion"/>
  </si>
  <si>
    <t>실적 서프라이즈: 전 지역(북미 제외)에서 건설기계 판매가 증가하며 7분기 만에 매출 성장 전환, 영업이익이 시장 기대치 대비 30% 이상 상회.
수익성 개선 요인: 판가 인상, 판촉비 절감, 고마진 제품·지역 비중 확대, 환율 효과.
엔진 사업 호조: 발전기용·방산 엔진 판매 확대로 영업이익률이 20%대 진입.</t>
    <phoneticPr fontId="1" type="noConversion"/>
  </si>
  <si>
    <t>유럽·신흥국 수요 지속: ECB·영란은행 금리 인하 효과에 따른 유럽 건설기계 수요 회복, 아프리카·중남미의 마이닝(광산) 장비 수요 확대.
제품 믹스 개선: 중대형 건설기계 판매 증가로 수익성 강화.
엔진 부문 안정: 발전용·방산용 엔진 판매가 꾸준히 증가, 고마진 구조 유지.</t>
    <phoneticPr fontId="1" type="noConversion"/>
  </si>
  <si>
    <t>북미·유럽 재고 정상화 시작 조짐: 유럽은 통합센터 안정화와 금리 인하 효과로 딜러 백오더 확대, 북미는 재고 조정이 여전히 과제지만 점진적 회복 가능성.
광산 장비 수요 유지: 금·구리 등 원자재 가격 흐름에 기반한 마이닝 장비 수요 지속.
엔진 부문 성장세 유지: 전력 수요 강세에 따른 비상 발전기 수요 확대.</t>
    <phoneticPr fontId="1" type="noConversion"/>
  </si>
  <si>
    <t>북미 회복 본격화 가능성: 관세·금리 불확실성 완화 시 북미 시장 판매 증가.
글로벌 건설기계 업황 전환기: 2021년 고점 이후 하락 사이클 종료, 완만한 상승 사이클 진입 가능성.
엔진 사업 확장: 발전기·방산 엔진의 해외 수요 확대, 방산 분야는 지정학적 리스크로 수요 견조.
합병 효과 가시화: HD현대건설기계와의 합병으로 제품·지역 라인업 강화, 영업·구매 시너지 발현.</t>
    <phoneticPr fontId="1" type="noConversion"/>
  </si>
  <si>
    <t>딜러 재고 정상화 완료 예상: 주요 시장에서 재고 수준이 평균 범위로 복귀, 판매 회전율 개선.
수익성 구조 고도화: 고마진 제품 비중 확대, 생산효율 향상에 따른 영업 레버리지 효과.
신흥국 성장 지속: 인프라 투자와 광산 개발 프로젝트 지속, 대형 장비 수요 유지.
방산 엔진 수출 확대: 기존 공급국 외 신규 시장 진출 기회.</t>
    <phoneticPr fontId="1" type="noConversion"/>
  </si>
  <si>
    <t>한중엔시에스</t>
    <phoneticPr fontId="1" type="noConversion"/>
  </si>
  <si>
    <t>미국 ESS 시장 확대와 북미 고객사 수주 활동 본격화.
차세대 수냉식 ESS 냉각시스템 개발 가속화.
삼성SDI와의 협력 강화, LFP 기반 ESS 제품 준비.
중국 법인 생산라인 ESS 전환 완료, 글로벌 공급망 재편.
미국 법인 설립에 따른 초기 인프라 구축.</t>
    <phoneticPr fontId="1" type="noConversion"/>
  </si>
  <si>
    <t>북미 ESS 대규모 입찰 참여 후 후속 계약 기대.
전기차·ESS 겸용 Cooling Plate 등 신규 제품 양산 준비.
EV·ESS 수요 확대에 따른 글로벌 신규 진입 시장 개척.
글로벌 전력수급 불균형과 AI·데이터센터 전력 수요 증가에 따른 냉각솔루션 수요 상승.
ESS용 HVAC 및 Chiller 고효율·저전력 설계 기술 상용화.</t>
    <phoneticPr fontId="1" type="noConversion"/>
  </si>
  <si>
    <t>미국 신규 ESS 생산거점 설비 구축 마무리 단계 진입.
북미 LFP 배터리 기반 ESS 상용화 초기 성과 가시화.
글로벌 재생에너지 확대 정책에 따른 수주 확대 가능성.
EV Cooling Plate 제품 라인업 확충 및 해외 완성차 공급 확대.</t>
    <phoneticPr fontId="1" type="noConversion"/>
  </si>
  <si>
    <t>2026년 상반기</t>
    <phoneticPr fontId="1" type="noConversion"/>
  </si>
  <si>
    <t>2026년 하반기</t>
    <phoneticPr fontId="1" type="noConversion"/>
  </si>
  <si>
    <t>미국 신규 공장에서 본격 양산 돌입, 매출 기여 본격화.
글로벌 Top-tier ESS·EV 부품 파트너 지위 강화.
AI·데이터센터·전기차 확산에 따른 장기 성장 모멘텀 실현.
LFP 기반 ESS 냉각솔루션 글로벌 레퍼런스 확보.
2030년 매출 및 기업가치 목표 달성을 위한 중장기 성장 궤도 진입.</t>
    <phoneticPr fontId="1" type="noConversion"/>
  </si>
  <si>
    <t>미국 생산거점 시범가동 및 파일럿 생산 진행.
북미 ESS·EV 고객사 양산 인증 획득 및 초기 공급 개시.
수냉식 냉각시스템 제품군 확대, 산업용·상업용 시장 동시 공략.
글로벌 전력 인프라 확충 트렌드에 따른 ESS 수요 지속 증가.
중국·미국·유럽을 잇는 다지역 생산체계 안정화.</t>
    <phoneticPr fontId="1" type="noConversion"/>
  </si>
  <si>
    <t>코미코</t>
    <phoneticPr fontId="1" type="noConversion"/>
  </si>
  <si>
    <t>대덕전자</t>
    <phoneticPr fontId="1" type="noConversion"/>
  </si>
  <si>
    <t>stx엔진</t>
    <phoneticPr fontId="1" type="noConversion"/>
  </si>
  <si>
    <t>어닝 서프라이즈 달성
민수·특수사업부 모두 호조, 특히 발전기·방산 엔진 수출 증가로 실적 급증 
민수사업 호황
선박·육상 발전용 디젤엔진과 유지보수 매출 확대, HD현대 수주로 엔진사업 회복세 강화
방산 엔진 안정화
폴란드·이집트 K9 자주포, 호주 레드백 장갑차용 엔진 공급 확대 → 이익률 개선</t>
    <phoneticPr fontId="1" type="noConversion"/>
  </si>
  <si>
    <t>민수 매출 둔화 가능성
2분기 대규모 수주 효과 기저로 모멘텀은 다소 약화 전망.
방산 매출은 견조
K9 자주포 국산 엔진 이집트향 본격 공급 → 특수사업 실적 유지.
엔진 신규수주 흐름 관건
이중연료 발전기 신규계약 추가 여부가 핵심 변수.</t>
    <phoneticPr fontId="1" type="noConversion"/>
  </si>
  <si>
    <t>선박용 엔진 신규수주 효과 가시화
HD현대중공업·삼호중공업 계약분 매출화 시작 → 민수 매출 방어.
방산 엔진 공급 지속
K9·레드백 프로그램 유지로 특수사업 안정적 성장.
실적 기저효과 완화
2분기 대비 수익성은 낮지만 안정적 이익률 구조 유지.</t>
    <phoneticPr fontId="1" type="noConversion"/>
  </si>
  <si>
    <t>조선에서 군함등 드라이브 거는경우 결국 stx엔진의 매출비중이 특수엔진이 많아서 수혜로 부각 가능</t>
    <phoneticPr fontId="1" type="noConversion"/>
  </si>
  <si>
    <t>한화엔진</t>
    <phoneticPr fontId="1" type="noConversion"/>
  </si>
  <si>
    <t>서프라이즈 실적: 엔진 납품 물량이 집중되면서 매출과 영업이익이 컨센서스를 크게 상회 
ASP(평균판매단가) 상승: 선박 엔진 ASP가 100억 원에 근접, 수익성 개선세 확고
수주 강세: 신규 수주가 분기 매출액을 웃돌며, 수주잔고가 꾸준히 증가 .</t>
    <phoneticPr fontId="1" type="noConversion"/>
  </si>
  <si>
    <t>실적 정상화: 2분기 대비 물량은 줄지만 여전히 양호한 수준 유지
가격 효과 지속: 선박 엔진 ASP가 견조해 수익성은 개선 기조 유지
비선박 엔진 회복: 일부 비선박 부문에서 점진적 매출 증가 예상</t>
    <phoneticPr fontId="1" type="noConversion"/>
  </si>
  <si>
    <t>수익성 개선 가속화: 고객 조선소 건조선가 상승을 후행하며 영업이익률 추가 개선
AM(애프터마켓) 사업 기반 확대: 단기 성장은 제한적이지만, 납품 엔진 기반 확대에 따라 향후 교체 수요 기대</t>
    <phoneticPr fontId="1" type="noConversion"/>
  </si>
  <si>
    <t>생산능력 확충 효과: 2025년 발표된 신규 생산설비 투자(’26년 3Q까지) 진행으로 중장기 CAPA 확대 기대 .
이익률 10%대 진입: 엔진 믹스 개선과 ASP 상승 효과가 반영되며 영업이익률 두 자릿수에 안착 .
수주잔고 소진 가속화: 2028년까지 제작 슬롯이 대부분 채워질 것으로 예상, 안정적 매출 기반 확보</t>
    <phoneticPr fontId="1" type="noConversion"/>
  </si>
  <si>
    <t>CAPA 본격 반영: 3분기까지 이어지는 신규 설비 투자 완료 후, 생산능력 확장 효과 가시화 .
수익성 체력 강화: 영업이익률이 11% 이상으로 개선, 글로벌 조선사 수주 확대의 직접적 수혜
친환경 엔진 수요 확대: LNG·이중연료 추진 엔진 비중이 빠르게 상승, 시장 점유율 개선 모멘텀 지속</t>
    <phoneticPr fontId="1" type="noConversion"/>
  </si>
  <si>
    <t>실적 서프라이즈: 매출·이익 모두 컨센서스를 크게 상회
ASP(단가) 상승 &amp; 제품 믹스 개선: ‘22년 저가 수주분 소진 후, ‘23~24년 고마진 물량 납품 시작
부품사업 호조: 크랭크샤프트 대형기종 매출 증가, 믹스 개선 효과
일회성 효과 일부 존재: 장기재고 엔진 판매(약 20억 환입), 이를 제외해도 OPM 15% 이상</t>
    <phoneticPr fontId="1" type="noConversion"/>
  </si>
  <si>
    <t>안정적 성장: 고마진 수주물량 비중 확대 → 수익성 유지
OEM 물량 소화 중: HD현대중공업 OEM 물량 위주로 가동률 상승, 터보차저는 아직 낮지만 개선 조짐
부품부문 외부 납품 확대: 엔진사 외부향 크랭크샤프트 납품 증가로 마진 기여</t>
    <phoneticPr fontId="1" type="noConversion"/>
  </si>
  <si>
    <t>가동률 90% 상회 전망: 박용엔진 기준, 고정비 레버리지 효과 확대
고마진 수주 본격 반영: ‘23~24년 수주분 납품 확대, 영업이익률 16% 내외 예상
AM(애프터마켓) 사업 확대: D/F(이중연료) 엔진 확대로 블랙마켓 의존도 축소, 그룹사 시너지 기대</t>
    <phoneticPr fontId="1" type="noConversion"/>
  </si>
  <si>
    <t>직접 수주 물량 반영 시작: 2026년부터 HD현대미포 등 직접계약 납품 개시
가동률 극대화: 90% 이상 유지, 원가절감 및 고정비 부담 완화 → 마진 추가 개선
제품믹스 개선 심화: D/F 엔진 비중 증가로 수익성 개선 속도 가팔라짐</t>
    <phoneticPr fontId="1" type="noConversion"/>
  </si>
  <si>
    <t>실적 레벨업: 직접 수주 + 고마진 물량 확대 → 큰 폭의 매출·이익 성장
OPM 20%대 진입: 영업이익률이 20%를 넘어서며 글로벌 경쟁사 대비 빠른 수익성 개선
증설 필요성 부각 가능성: 수주잔고 증가 속도가 빠르면 유휴 부지를 활용한 증설 논의 가능</t>
    <phoneticPr fontId="1" type="noConversion"/>
  </si>
  <si>
    <t>snt다이내믹스</t>
    <phoneticPr fontId="1" type="noConversion"/>
  </si>
  <si>
    <t>현대오토에버</t>
    <phoneticPr fontId="1" type="noConversion"/>
  </si>
  <si>
    <t>상반기 성장은 전사 모든 사업부 매출 증가로 입증됨.
SI(시스템 통합), ITO(아웃소싱) 모두 그룹사 투자 확대 수혜를 받으며 안정적인 성장세 유지.
차량SW는 성장 둔화가 나타났지만 지연된 계약 매출 이월 효과로 부분적 회복.
영업이익률 개선이 확인되며 체력 입증 구간</t>
    <phoneticPr fontId="1" type="noConversion"/>
  </si>
  <si>
    <t>현대차/모비스 CID(CEO Investor Day) 개최 예정으로 로보틱스 관련 모멘텀 부각 가능.
자동차 업황 둔화로 차량SW 성장은 제한적이지만, 클라우드·ERP 등 고부가 IT사업이 실적을 방어.
ITO 단가 협상 지연분이 하반기에 반영될 가능성 있어 실적 변동성 존재</t>
    <phoneticPr fontId="1" type="noConversion"/>
  </si>
  <si>
    <t>북미 메타플랜트 휴머노이드 로봇 투입이 시작되며, 현대오토에버의 관제·트레이닝(딥러닝) 역할이 주목될 전망.
연말까지 SI/ITO 고부가 프로젝트 매출이 누적 반영되며 하반기 실적 피크 구간으로 평가.
시장에서는 밸류에이션 리레이팅 기대감이 높아질 수 있음</t>
    <phoneticPr fontId="1" type="noConversion"/>
  </si>
  <si>
    <t>클라우드·ERP 고성장이 계속되며, 그룹사 외부 비즈니스 확장(특히 CCS, 커넥티드카 서비스)을 통해 안정적 성장 가능.
차량SW는 선진국 시장 포화로 성장 둔화가 이어지지만, 신흥국(동남아 등) 확장과 차세대 SDV 아키텍처 전환이 중장기 성장 동력으로 작용.
인건비 증가 요인이 완화되면서 수익성 점진적 개선이 나타날 전망</t>
    <phoneticPr fontId="1" type="noConversion"/>
  </si>
  <si>
    <t>현대차그룹의 자율주행 및 로봇 훈련용 데이터센터 수요 확대가 본격화. 현대오토에버는 그룹과 클라우드 사업자 사이의 중개 및 관리 역할을 강화.
GPU 기반 데이터센터 구축, AI·로봇 훈련 서비스 등 신규 사업이 구체화되며 성장 가시성이 확대됨.
글로벌 OEM 대상 클라우드/네비게이션 사업 확장 기대감도 커지며 외부 매출 비중 증가가 주목될 시기</t>
    <phoneticPr fontId="1" type="noConversion"/>
  </si>
  <si>
    <t>회사</t>
  </si>
  <si>
    <t>투자 대상</t>
  </si>
  <si>
    <t>규모/목표</t>
  </si>
  <si>
    <t>발주 시점(추론)</t>
  </si>
  <si>
    <t>반입·설치</t>
  </si>
  <si>
    <t>평택 P4 (1c DRAM)</t>
  </si>
  <si>
    <t>월 6만장</t>
  </si>
  <si>
    <t>2025년 하반기부터 순차 반입</t>
  </si>
  <si>
    <t>기사: “하반기부터 장비 반입 시작”</t>
  </si>
  <si>
    <t>SK하이닉스</t>
  </si>
  <si>
    <t>청주 M15X (1b DRAM) 1차</t>
  </si>
  <si>
    <t>월 9만장 중 10K</t>
  </si>
  <si>
    <t>2025년 10월 반입 → 11월 가동</t>
  </si>
  <si>
    <t>기사: 장비 반입 시점 12월→10월로 앞당김</t>
  </si>
  <si>
    <t>청주 M15X (1b DRAM) 2차</t>
  </si>
  <si>
    <t>나머지 60K (총 90K 완성)</t>
  </si>
  <si>
    <r>
      <t>2026년 1~2분기</t>
    </r>
    <r>
      <rPr>
        <sz val="11"/>
        <color theme="1"/>
        <rFont val="맑은 고딕"/>
        <family val="2"/>
        <charset val="129"/>
        <scheme val="minor"/>
      </rPr>
      <t xml:space="preserve"> 본격 발주 (전공정 중심)</t>
    </r>
  </si>
  <si>
    <t>2026년 상·하반기 순차 반입</t>
  </si>
  <si>
    <t>초기 10K 안정화 후 대규모 증설 진행</t>
  </si>
  <si>
    <r>
      <t>2025년 3분기</t>
    </r>
    <r>
      <rPr>
        <sz val="11"/>
        <color theme="1"/>
        <rFont val="맑은 고딕"/>
        <family val="2"/>
        <charset val="129"/>
        <scheme val="minor"/>
      </rPr>
      <t xml:space="preserve"> 전공정 장비 1차 발주</t>
    </r>
    <phoneticPr fontId="1" type="noConversion"/>
  </si>
  <si>
    <r>
      <t>2025년 3분기</t>
    </r>
    <r>
      <rPr>
        <sz val="11"/>
        <color theme="1"/>
        <rFont val="맑은 고딕"/>
        <family val="2"/>
        <charset val="129"/>
        <scheme val="minor"/>
      </rPr>
      <t xml:space="preserve"> 주요 전공정 발주</t>
    </r>
    <phoneticPr fontId="1" type="noConversion"/>
  </si>
  <si>
    <t>에이비엘바이오</t>
    <phoneticPr fontId="1" type="noConversion"/>
  </si>
  <si>
    <t>4분기 모멘텀</t>
  </si>
  <si>
    <t>약 특징</t>
  </si>
  <si>
    <t>시장/의미</t>
  </si>
  <si>
    <t>이뮨온시아</t>
  </si>
  <si>
    <t>IMC-001 (PD-L1 항체)</t>
  </si>
  <si>
    <t>- 임상 2상 결과보고서(CSR) 확보</t>
  </si>
  <si>
    <t>- 희귀 혈액암(NK/T세포 림프종) 대상</t>
  </si>
  <si>
    <r>
      <t xml:space="preserve">- 시장 규모는 작지만 </t>
    </r>
    <r>
      <rPr>
        <b/>
        <sz val="11"/>
        <color theme="1"/>
        <rFont val="맑은 고딕"/>
        <family val="3"/>
        <charset val="129"/>
        <scheme val="minor"/>
      </rPr>
      <t>희귀약 프리미엄</t>
    </r>
    <r>
      <rPr>
        <sz val="11"/>
        <color theme="1"/>
        <rFont val="맑은 고딕"/>
        <family val="2"/>
        <charset val="129"/>
        <scheme val="minor"/>
      </rPr>
      <t xml:space="preserve"> (고가격·독점권)</t>
    </r>
  </si>
  <si>
    <t>- 10월 국내 희귀의약품 지정 신청</t>
  </si>
  <si>
    <t>- ORR 79%, CR 58%, PFS 30개월</t>
  </si>
  <si>
    <t>- 빠른 사업화 + 기술이전 기대</t>
  </si>
  <si>
    <t>- 글로벌 기술이전 협상 추진</t>
  </si>
  <si>
    <t>- 부작용 경미, 장기투약 가능</t>
  </si>
  <si>
    <t>IMC-002 (CD47 항체)</t>
  </si>
  <si>
    <t>- 임상 1b상 중간 데이터 학회 발표 (ASCO 등)</t>
  </si>
  <si>
    <t>- “don’t eat me” 신호 차단</t>
  </si>
  <si>
    <r>
      <t xml:space="preserve">- </t>
    </r>
    <r>
      <rPr>
        <b/>
        <sz val="11"/>
        <color theme="1"/>
        <rFont val="맑은 고딕"/>
        <family val="3"/>
        <charset val="129"/>
        <scheme val="minor"/>
      </rPr>
      <t>대형 면역항암제 시장(수십조 원)</t>
    </r>
    <r>
      <rPr>
        <sz val="11"/>
        <color theme="1"/>
        <rFont val="맑은 고딕"/>
        <family val="2"/>
        <charset val="129"/>
        <scheme val="minor"/>
      </rPr>
      <t xml:space="preserve"> 도전</t>
    </r>
  </si>
  <si>
    <t>- 병용요법 효과 검증 단계</t>
  </si>
  <si>
    <t>- 혈액독성 문제 개선 설계</t>
  </si>
  <si>
    <t>- 고형암 병용요법 확장성 큼</t>
  </si>
  <si>
    <t>- ORR 30%, DCR 80%</t>
  </si>
  <si>
    <t>큐리언트</t>
  </si>
  <si>
    <t>QP101 (HER2 듀얼 페이로드 ADC)</t>
  </si>
  <si>
    <t>- 비임상 데이터 학회 발표 예정</t>
  </si>
  <si>
    <t>- 기존 ADC 내성·부작용 극복</t>
  </si>
  <si>
    <r>
      <t xml:space="preserve">- </t>
    </r>
    <r>
      <rPr>
        <b/>
        <sz val="11"/>
        <color theme="1"/>
        <rFont val="맑은 고딕"/>
        <family val="3"/>
        <charset val="129"/>
        <scheme val="minor"/>
      </rPr>
      <t>HER2 ADC 시장(수조 원)</t>
    </r>
    <r>
      <rPr>
        <sz val="11"/>
        <color theme="1"/>
        <rFont val="맑은 고딕"/>
        <family val="2"/>
        <charset val="129"/>
        <scheme val="minor"/>
      </rPr>
      <t xml:space="preserve"> 진입 가능</t>
    </r>
  </si>
  <si>
    <t>- CDK7 억제제 + 엑사테칸 듀얼 페이로드</t>
  </si>
  <si>
    <t>- 빅파마 L/O 협상 카드</t>
  </si>
  <si>
    <t>Q702 (cGvHD 치료제)</t>
  </si>
  <si>
    <t>- 첫 환자 투약 개시</t>
  </si>
  <si>
    <t>- 경구제 면역억제제</t>
  </si>
  <si>
    <r>
      <t xml:space="preserve">- </t>
    </r>
    <r>
      <rPr>
        <b/>
        <sz val="11"/>
        <color theme="1"/>
        <rFont val="맑은 고딕"/>
        <family val="3"/>
        <charset val="129"/>
        <scheme val="minor"/>
      </rPr>
      <t>이식편대숙주병 시장</t>
    </r>
    <r>
      <rPr>
        <sz val="11"/>
        <color theme="1"/>
        <rFont val="맑은 고딕"/>
        <family val="2"/>
        <charset val="129"/>
        <scheme val="minor"/>
      </rPr>
      <t xml:space="preserve"> (희귀·고가치)</t>
    </r>
  </si>
  <si>
    <t>- 경쟁약 대비 복용 편의성↑</t>
  </si>
  <si>
    <t>- 26년 상반기 데이터 → L/O 가능</t>
  </si>
  <si>
    <t>QLi5 (신규 ADC 페이로드)</t>
  </si>
  <si>
    <t>- 신규 데이터 학회 발표 예정</t>
  </si>
  <si>
    <t>- 프로테아좀 저해제 기반 새 페이로드</t>
  </si>
  <si>
    <t>- ADC 플랫폼 확장 → 기술이전 잠재</t>
  </si>
  <si>
    <t>큐리언트 2025년 4분기 모멘텀 정리</t>
  </si>
  <si>
    <t>1) QP101 (HER2 듀얼 페이로드 ADC)</t>
  </si>
  <si>
    <t>학회에서 비임상 데이터 발표 예정.</t>
  </si>
  <si>
    <t>HER2 표적 ADC 시장(수조 원대, 대표: Enhertu)에 진입할 수 있는 후보.</t>
  </si>
  <si>
    <t>기존 ADC 내성·부작용 문제를 개선할 수 있다는 점이 핵심 → 빅파마 관심 촉발 포인트.</t>
  </si>
  <si>
    <t>시장성 가장 큰 모멘텀.</t>
  </si>
  <si>
    <t>2) Q702 (cGvHD 치료제, 경구제)</t>
  </si>
  <si>
    <t>첫 환자 투약 개시.</t>
  </si>
  <si>
    <t>경쟁약(악사틸리맙)은 이미 FDA 승인 → 타깃 타당성 검증됨.</t>
  </si>
  <si>
    <t>약 10명 중간데이터 확보 후 26년 상반기 기술이전(L/O) 논의 가능.</t>
  </si>
  <si>
    <t>임상 진입 모멘텀.</t>
  </si>
  <si>
    <t>3) QLi5 (신규 ADC 페이로드)</t>
  </si>
  <si>
    <t>신규 페이로드 비임상 데이터 학회 발표 예정.</t>
  </si>
  <si>
    <t>차세대 ADC 페이로드 플랫폼으로, 직접 시장보다는 기술이전 가능성에 의미.</t>
  </si>
  <si>
    <t>플랫폼 확장 모멘텀.</t>
  </si>
  <si>
    <t>QP101 (큐리언트 HER2 듀얼 페이로드 ADC)</t>
  </si>
  <si>
    <t>1) ADC(항체-약물 접합체)란?</t>
  </si>
  <si>
    <t>암세포 표면에 있는 특정 단백질(HER2 등)에 달라붙는 항체 + 세포를 죽이는 **독성 약물(페이로드)**을 합쳐놓은 형태.</t>
  </si>
  <si>
    <t>항체가 암세포만 골라서 약물을 배달 → 정상세포 피해 줄이고, 암세포만 강력하게 공격.</t>
  </si>
  <si>
    <t>2) QP101의 차별점</t>
  </si>
  <si>
    <t>보통 ADC는 페이로드 1개를 붙임.</t>
  </si>
  <si>
    <t>QP101은 **두 가지 약물(듀얼 페이로드)**을 동시에 탑재.</t>
  </si>
  <si>
    <t>CDK7 억제제(Q901 기반) → 암세포의 유전자 전사·DNA 복구를 막아 항암제 내성 억제.</t>
  </si>
  <si>
    <t>Topoisomerase I 억제제(엑사테칸 계열) → DNA 복제를 방해해 암세포 사멸 유도.</t>
  </si>
  <si>
    <t>효과: 서로 다른 기전이 합쳐져 내성 극복 + 더 낮은 용량으로도 효과 가능성.</t>
  </si>
  <si>
    <t>기존 ADC(Enhertu 같은 대형 약)도 뛰어나지만, 내성 문제 때문에 추가 옵션이 필요했는데, QP101이 그 해법이 될 수 있어요.</t>
  </si>
  <si>
    <t>3) 시장 관점</t>
  </si>
  <si>
    <t>HER2 표적 항암제는 이미 수조 원대 시장.</t>
  </si>
  <si>
    <t>Enhertu(다이이찌 산쿄·아스트라제네카)는 2023년 매출만 4조 원 이상.</t>
  </si>
  <si>
    <t>만약 QP101이 “Enhertu 내성 환자” 같은 틈새시장을 공략하거나, 더 낮은 독성·더 강한 효과를 보여주면 → 직접 경쟁 혹은 병용 옵션으로 자리 잡을 수 있음.</t>
  </si>
  <si>
    <t>4) 왜 대단한가?</t>
  </si>
  <si>
    <t>세계 최초급 듀얼 페이로드 ADC 중 하나.</t>
  </si>
  <si>
    <t>내성 환자 치료 옵션 확장이라는 미충족 수요에 대응.</t>
  </si>
  <si>
    <t>글로벌 빅파마들이 ADC에 큰돈(수조 원 규모) 계약을 하고 있는 상황에서, QP101은 기술이전/파트너십 협상력이 매우 높은 카드.</t>
  </si>
  <si>
    <t>정리:</t>
  </si>
  <si>
    <t>QP101은 기존 ADC 시장(수조 원 규모)에서 내성 문제를 해결할 가능성이 있는 “차세대 ADC 후보”라서 대단하다는 평가를 받는 겁니다.</t>
  </si>
  <si>
    <t>25년 4분기 모멘텀</t>
  </si>
  <si>
    <t>■ IMC-001 (PD-L1 항체, NK/T세포 림프종)</t>
  </si>
  <si>
    <t>임상 2상 결과보고서(CSR) 확보 (ORR 79%, CR 58%, PFS 중앙값 30개월 등 탁월한 성과).</t>
  </si>
  <si>
    <t>2025년 10월 국내 희귀의약품 지정 신청 예정 → 지정 시 규제 혜택 및 상업화 속도 ↑.</t>
  </si>
  <si>
    <t>글로벌 기술이전 협상 본격화 예정 (빅파마와 협상 카드).</t>
  </si>
  <si>
    <t>■ IMC-002 (CD47 항체, 고형암)</t>
  </si>
  <si>
    <t>임상 1b상 중간 데이터 ASCO 등 학회 발표 (안전성 양호, PR 30%, DCR 80%, PFS 8.3개월).</t>
  </si>
  <si>
    <t>병용 요법(렌바티닙 등) 효과성 확인 단계.</t>
  </si>
  <si>
    <t>후속 학회/데이터 업데이트 기대 → 기술이전 협상 가속 기반.</t>
  </si>
  <si>
    <t>IMC-001</t>
  </si>
  <si>
    <t>기전: PD-L1 항체 (면역관문억제제).</t>
  </si>
  <si>
    <t>차별점: 희귀 혈액암 NK/T세포 림프종에서 단독요법으로도 강력한 반응률.</t>
  </si>
  <si>
    <t>데이터 강점: ORR 79%, CR 58% → 기존 치료 옵션 거의 없는 영역에서 의미 큼.</t>
  </si>
  <si>
    <t>안전성: 장기 투약 가능, 부작용 경미.</t>
  </si>
  <si>
    <t>IMC-002</t>
  </si>
  <si>
    <t>기전: CD47 항체 (“don’t eat me” 신호 차단 → 대식세포가 암세포를 제거).</t>
  </si>
  <si>
    <t>차별점: 기존 CD47 약물이 가진 빈혈·혈액독성 문제를 최소화하도록 설계.</t>
  </si>
  <si>
    <t>데이터 강점: 고형암 병용요법에서 객관적 반응률 30%, 질병조절률 80%.</t>
  </si>
  <si>
    <t>바이오마커: CD47 고발현 환자에서 반응률 ↑ (환자 선별 전략 가능).</t>
  </si>
  <si>
    <t>IMC-001 (NK/T세포 림프종)</t>
  </si>
  <si>
    <t>NK/T세포 림프종은 희귀 혈액암. 글로벌 환자 수는 많지 않지만 치료제 부재 → 희귀의약품 프리미엄.</t>
  </si>
  <si>
    <t>희귀의약품 지정 시, 시장 독점권(7년~10년), 가격 책정 유리.</t>
  </si>
  <si>
    <t>시장 규모는 수천억 원대로 제한적일 수 있으나, **희귀의약품 매출 구조(고가격, 낮은 마케팅 비용)**로 기업가치 영향 큼.</t>
  </si>
  <si>
    <t>IMC-002 (CD47 항체, 고형암)</t>
  </si>
  <si>
    <t>CD47 타깃 시장은 글로벌 빅파마들이 경쟁 중.</t>
  </si>
  <si>
    <t>면역관문억제제 시장 자체는 연간 50조 원 이상 (PD-1/PD-L1 포함).</t>
  </si>
  <si>
    <t>CD47 계열만 놓고도 수조 원 잠재시장.</t>
  </si>
  <si>
    <t>병용요법 성공 시 간암·기타 고형암 시장까지 확대 가능.</t>
  </si>
  <si>
    <t>2025 4Q</t>
  </si>
  <si>
    <t>2026 1Q</t>
  </si>
  <si>
    <t>2026 2Q</t>
  </si>
  <si>
    <t>2026 3Q</t>
  </si>
  <si>
    <t>2026 4Q</t>
  </si>
  <si>
    <t>핵심 모멘텀(한 줄 요약)</t>
  </si>
  <si>
    <t>상세 포인트(신규장비·고객사 중심)</t>
  </si>
  <si>
    <t>HBM4 시대 펨토초 커팅 본격 도입</t>
  </si>
  <si>
    <t>16단 HBM용 레이저 풀커팅 채택 확대, 신규 장비 수요 시작</t>
  </si>
  <si>
    <t>삼성 P5 장비 기대감 확대</t>
  </si>
  <si>
    <t>삼성 메모리 라인 신규 Marker·Annealing 채택 지속</t>
  </si>
  <si>
    <t>1c DRAM·V10 NAND 투자 출하 초입</t>
  </si>
  <si>
    <t>실제 출하 시작 구간, 기존 고객사 투자 집행 구간</t>
  </si>
  <si>
    <t>신규 고객사 평가(해외 메모리·OSAT)</t>
  </si>
  <si>
    <t>TSMC·앰코 등 추가 고객 대상 장비 Qualification 진행</t>
  </si>
  <si>
    <t>HBM4·HBM4E 커팅 채택 확산</t>
  </si>
  <si>
    <t>펨토초 커팅 양산라인 적용 확대, 신규 장비 채용 증가</t>
  </si>
  <si>
    <t>V10 NAND 장비 적용 증가 가능성</t>
  </si>
  <si>
    <t>NAND 신세대 공정에서 Annealing 채택 범위 증가</t>
  </si>
  <si>
    <t>DRAM·파운드리 CAPEX 동시 리바운드</t>
  </si>
  <si>
    <t>삼성·하닉·TSMC 투자 반등 → 고객사 확대 효과 본격화</t>
  </si>
  <si>
    <t>펨토초 커팅 매출 증가 구간</t>
  </si>
  <si>
    <t>OSAT·파운드리에서 장비 발주 증가, 적용 라인 확대</t>
  </si>
  <si>
    <t>연중 최대 장비 출하(피크)</t>
  </si>
  <si>
    <t>DRAM+파운드리+후공정 CAPEX 동시 증가 → 실적 레벨업</t>
  </si>
  <si>
    <t>후공정(HBM) 투자 본격화</t>
  </si>
  <si>
    <t>P5·M15X·용인 클러스터 HBM 후공정에서 레이저 장비 수요 증가</t>
  </si>
  <si>
    <t>투자포인트(요약)</t>
  </si>
  <si>
    <t>단기(2025~2026 초)</t>
  </si>
  <si>
    <t>HBM4 펨토초 커팅 초기 도입</t>
  </si>
  <si>
    <t>16단 이상 HBM4·HBM4E에서 레이저 풀커팅 채택 시작 → 신규 장비 수요 발생</t>
  </si>
  <si>
    <t>삼성 P5 신규 라인 모멘텀</t>
  </si>
  <si>
    <t>Marker·Annealing 장비 필요, DRAM·NAND 신규 라인 발주 기대</t>
  </si>
  <si>
    <t>1c DRAM·V10 NAND 투자 출하 구간</t>
  </si>
  <si>
    <t>이미 확정된 메모리 투자가 본격 출하 단계로 진입</t>
  </si>
  <si>
    <t>TSMC·OSAT 신규 고객사 평가</t>
  </si>
  <si>
    <t>TSMC·앰코·SPIL에서 장비 Qualification 진행 → 초기 납품 가능성</t>
  </si>
  <si>
    <t>장기(2026~2027 이후)</t>
  </si>
  <si>
    <t>HBM 시대 레이저 커팅 표준화</t>
  </si>
  <si>
    <t>HBM4 이후 세대(4E/5)에서 레이저 커팅이 업계 표준으로 정착 → 장기 성장</t>
  </si>
  <si>
    <t>고객사 확대에 따른 구조적 성장</t>
  </si>
  <si>
    <t>삼성·하닉·TSMC·OSAT 등 글로벌 고객사 다변화로 메모리+로직+후공정 동시 수혜</t>
  </si>
  <si>
    <t>Annealing 공정 확장성</t>
  </si>
  <si>
    <t>EUV·비메모리·파운드리로 Annealing 장비 적용 범위 증가</t>
  </si>
  <si>
    <t>반도체 CAPEX 대세 상승 사이클</t>
  </si>
  <si>
    <t>DRAM(1d/1γ), NAND(V10 이후), EUV·HBM 후공정 등 전 구간 투자 증가로 지속 성장</t>
  </si>
  <si>
    <t>핵심 모멘텀(요약)</t>
  </si>
  <si>
    <t>전공정 교체수요 + 세정코팅 강한 회복</t>
  </si>
  <si>
    <t>정밀가공 교체부품 수요 증가, 세정코팅 매출 18% 이상 성장 전망</t>
  </si>
  <si>
    <t>국내 메모리 신규 Fab(80K↑) 향 초기 수요 반영</t>
  </si>
  <si>
    <t>2026년 입고 예정 장비 위한 선행 부품 수요 지속</t>
  </si>
  <si>
    <t>추가 PO에 따른 상향 여지</t>
  </si>
  <si>
    <t>연말 추가 발주 가능성 존재</t>
  </si>
  <si>
    <t>세정코팅 사업부 구조적 턴어라운드</t>
  </si>
  <si>
    <t>전방 가동률 상승으로 세정코팅 매출 지속 증가</t>
  </si>
  <si>
    <t>신규 고객사 코팅 양산 코드 확보 효과 반영</t>
  </si>
  <si>
    <t>IDM 신규 고객사 확보 완료 → 고마진 부문 확대</t>
  </si>
  <si>
    <t>정밀가공 신규 장비향 수요 확대</t>
  </si>
  <si>
    <t>전공정 장비 A사향 신규 장비 출하 증가</t>
  </si>
  <si>
    <t>세정코팅 공정 확장(CVD·Implant)</t>
  </si>
  <si>
    <t>Etch·Metal 중심 → 새로운 공정으로 확장</t>
  </si>
  <si>
    <t>전방 메모리 업황 호조로 가동률 상승</t>
  </si>
  <si>
    <t>정밀가공·세정코팅 동반 성장</t>
  </si>
  <si>
    <t>IDM 및 주요 장비사향 교체·소모품 수요 증가</t>
  </si>
  <si>
    <t>고객사 가동률 상승 효과 지속</t>
  </si>
  <si>
    <t>2년 연속 사상 최대 실적 달성 구간</t>
  </si>
  <si>
    <t>정밀가공 + 세정코팅 모두 최대 매출</t>
  </si>
  <si>
    <t>국내 메모리 신규 Fab 본격 입고 시즌</t>
  </si>
  <si>
    <t>신규 라인 가동에 따른 교체·소모품 수요 동시 증가</t>
  </si>
  <si>
    <t>한솔아이원스</t>
    <phoneticPr fontId="1" type="noConversion"/>
  </si>
  <si>
    <t>전공정 신규 장비 출하 증가</t>
  </si>
  <si>
    <t>글로벌 장비 A사 신규 장비향 부품 수요 증가</t>
  </si>
  <si>
    <t>교체·소모품 수요 강세</t>
  </si>
  <si>
    <t>메모리 업황 회복 → 가동률 상승 → 교체 수요 확대</t>
  </si>
  <si>
    <t>세정코팅 강한 회복</t>
  </si>
  <si>
    <t>CVD·Implant로 공정 확장, 신규 IDM 고객 확보로 고마진 구간 진입</t>
  </si>
  <si>
    <t>신규 Fab 80K 투자 모멘텀</t>
  </si>
  <si>
    <t>2026년 장비 입고 예정 Fab 대비 선행 부품 수요 반영</t>
  </si>
  <si>
    <t>고객사 구조적 확대</t>
  </si>
  <si>
    <t>국내 IDM + 글로벌 장비사 + 신규 IDM향까지 고객사 다변화</t>
  </si>
  <si>
    <t>세정코팅 업체 내 독보적 포지션</t>
  </si>
  <si>
    <t>ESG 기반 재사용·리사이클 공정 확대 → 장기적 고성장</t>
  </si>
  <si>
    <t>전공정 장비 투자 사이클 장기 지속</t>
  </si>
  <si>
    <t>2026년 이후 국내 메모리 신규 Fab 가동 + 글로벌 장비 CAPEX 증가</t>
  </si>
  <si>
    <t>고마진 사업 비중 증가에 따른 체질 개선</t>
  </si>
  <si>
    <t>정밀가공 대비 높은 마진의 세정코팅 비중 상승 → 영업레버리지 확대</t>
  </si>
  <si>
    <t>AI·서버 MLB 수주 확대</t>
  </si>
  <si>
    <t>북미 고객사 향 통합보드·AI용 MLB 출하 증가</t>
  </si>
  <si>
    <t>FC-BGA 손익 개선 초기 신호</t>
  </si>
  <si>
    <t>FC-BGA 적자폭 축소, 가동률 회복 초입</t>
  </si>
  <si>
    <t>DDR5·GDDR7 등 고부가 메모리 Mix 확대</t>
  </si>
  <si>
    <t>메모리 전방 회복 + 컨트롤러·SSD용 CSP 수요 증가</t>
  </si>
  <si>
    <t>FC-BGA BEP 근접</t>
  </si>
  <si>
    <t>FC-BGA 가동률 상승으로 손익 분기점 근접</t>
  </si>
  <si>
    <t>AI 프로젝트(Helios 등) 본격 출하</t>
  </si>
  <si>
    <t>북미 대형 고객사향 MLB 본격 출하 시작</t>
  </si>
  <si>
    <t>SSD·데이터센터향 CSP 강세 지속</t>
  </si>
  <si>
    <t>데이터센터향 SSD·버퍼칩 수요 증가</t>
  </si>
  <si>
    <t>FC-BGA 흑자 전환</t>
  </si>
  <si>
    <t>가동률 의미 있게 증가 → 이익 본격 기여</t>
  </si>
  <si>
    <t>AI·네트워크향 MLB 고성장</t>
  </si>
  <si>
    <t>AI 서버·가속기용 MLB 출하 확대</t>
  </si>
  <si>
    <t>전사 이익률 피크(11~12%)</t>
  </si>
  <si>
    <t>MLB + FC-BGA + CSP 모두 가동률 최고점</t>
  </si>
  <si>
    <t>AI·전장·방산향 수요 동시 성장</t>
  </si>
  <si>
    <t>고객사·적용처 다변화가 실적에 반영</t>
  </si>
  <si>
    <t>단기(25년 4Q)</t>
  </si>
  <si>
    <t>AI 서버향 MLB 수주 확대</t>
  </si>
  <si>
    <t>북미 고객사 AI용 MLB 출하 증가로 매출 가시성 강화</t>
  </si>
  <si>
    <t>FC-BGA 적자폭 축소</t>
  </si>
  <si>
    <t>가동률 회복 → 수익성 바닥 통과 신호</t>
  </si>
  <si>
    <t>단기(26년 1Q)</t>
  </si>
  <si>
    <t>DDR5·GDDR7 Mix 개선</t>
  </si>
  <si>
    <t>고부가 메모리 제품 비중 확대 → CSP 매출 증가</t>
  </si>
  <si>
    <t>손익 턴어라운드 직전 구간 → 투자심리 개선 요소</t>
  </si>
  <si>
    <t>장기(26년 2Q~)</t>
  </si>
  <si>
    <t>AI 프로젝트 MLB 본격 성장</t>
  </si>
  <si>
    <t>Helios·Stargate 등 대형 고객사향 MLB 출하 확대</t>
  </si>
  <si>
    <t>데이터센터 CSP 구조적 성장</t>
  </si>
  <si>
    <t>SSD·버퍼칩·AI 서버용 CSP 수요 지속 증가</t>
  </si>
  <si>
    <t>장기(26년 3Q~)</t>
  </si>
  <si>
    <t>FC-BGA 흑자 및 고성장</t>
  </si>
  <si>
    <t>가동률 상승 → 26년 이후 이익 기여 본격화</t>
  </si>
  <si>
    <t>AI·네트워크·전장·방산 멀티 엔진 완성</t>
  </si>
  <si>
    <t>MLB 수요처 확대 → 실적 안정성과 성장 동시 확보</t>
  </si>
  <si>
    <t>장기(26년 4Q~)</t>
  </si>
  <si>
    <t>영업이익률 구조적 상승</t>
  </si>
  <si>
    <t>전사 마진 11~12% 구조 → 글로벌 Peer 대비 리레이팅 가능성</t>
  </si>
  <si>
    <t>장기</t>
  </si>
  <si>
    <t>고객 다변화 효과</t>
  </si>
  <si>
    <t>북미 고객 + 글로벌 서버 OEM + 전장/방산 고객 다변화</t>
  </si>
  <si>
    <t>AI 인프라 장기 CAPEX 사이클 수혜</t>
  </si>
  <si>
    <t>AI 서버·가속기 수요 증가로 MLB·FC-BGA 장기 성장</t>
  </si>
  <si>
    <t>씨엠티엑스</t>
    <phoneticPr fontId="1" type="noConversion"/>
  </si>
  <si>
    <t>상장 초기 수급 + Micron 최우수 협력사 수상</t>
  </si>
  <si>
    <t>코스닥 상장(25.11) 직후 수급 우호적, Micron '전공정 부품 최우수 공급사' 수상으로 기술력 부각</t>
  </si>
  <si>
    <t>선단공정 고객 포트폴리오 부각</t>
  </si>
  <si>
    <t>삼성전자·TSMC·Micron 등 글로벌 FAB 공급사로 관심 집중</t>
  </si>
  <si>
    <t>IPO 자금 집행 시작</t>
  </si>
  <si>
    <t>구미 M캠퍼스·3공장 증설 및 R&amp;D에 IPO 자금 집행 본격화</t>
  </si>
  <si>
    <t>선단공정 Si 파츠 매출 본격 확인</t>
  </si>
  <si>
    <t>TSMC/Micron향 선단공정 Si 파츠 매출이 실적에 명확히 반영되는 구간</t>
  </si>
  <si>
    <t>TSMC·Micron향 매출 확대 가속화</t>
  </si>
  <si>
    <t>TSMC향 매출 전년 대비 2배 증가(3~2nm 공정) 예상, 글로벌 FAB향 공급 확대</t>
  </si>
  <si>
    <t>Kioxia·Micron 신규 벤더 효과</t>
  </si>
  <si>
    <t>1차 벤더 등록 완료 구간 → 출하 확대</t>
  </si>
  <si>
    <t>수출 레버리지 강화</t>
  </si>
  <si>
    <t>수출 비중 증가(20개 이상 글로벌 FAB향), 해외 매출이 실적 기여 확대</t>
  </si>
  <si>
    <t>AI 반도체 밸류체인 노출 확대</t>
  </si>
  <si>
    <t>TSMC·Micron이 모두 NVIDIA 공급망 핵심 → AI 특수 수혜 강조</t>
  </si>
  <si>
    <t>삼성·TSMC 점유율 확대 모멘텀</t>
  </si>
  <si>
    <t>삼성 내 점유율 15%→40% 로드맵, TSMC향 지속 증가</t>
  </si>
  <si>
    <t>3공장 가동 임박 스토리</t>
  </si>
  <si>
    <t>2027년 2월 가동 예정, 캐파 2,000억→3,500억 확장 파급효과 반영</t>
  </si>
  <si>
    <t>단기(25년4Q)</t>
  </si>
  <si>
    <t>상장 초기 수급 우위</t>
  </si>
  <si>
    <t>의무보유확약 78%, 공모 증거금 13.9조 → 상장 직후 유통물량 제한</t>
  </si>
  <si>
    <t>Micron 어워드 수상 효과</t>
  </si>
  <si>
    <t>Micron '전공정 부품 최우수 공급사' 수상 → 신뢰도 상승</t>
  </si>
  <si>
    <t>단기(26년1Q)</t>
  </si>
  <si>
    <t>TSMC·Micron향 선단공정 매출 인식</t>
  </si>
  <si>
    <t>3~2nm 공정 공급 본격화, 선단공정 Si 파츠 매출이 실적에 반영되는 첫 구간</t>
  </si>
  <si>
    <t>IPO 자금 집행에 따른 성장 기대</t>
  </si>
  <si>
    <t>R&amp;D·증설·고객 확장 적용 시작 → 재무/성장성 모멘텀</t>
  </si>
  <si>
    <t>장기(26년2Q~)</t>
  </si>
  <si>
    <t>TSMC·Micron향 매출 2배 성장</t>
  </si>
  <si>
    <t>TSMC향 매출 40~50억 → 100~110억 증가 예상, 글로벌 FAB향 확대</t>
  </si>
  <si>
    <t>애프터마켓 구조 확산 혜택</t>
  </si>
  <si>
    <t>전공정 실리콘 파츠의 FAB 직접 구매(AM) 증가 → 점유율 확대 기회</t>
  </si>
  <si>
    <t>3공장 증설 효과</t>
  </si>
  <si>
    <t>2027년 2월 3공장 가동으로 캐파 2,000억→3,500억 확대</t>
  </si>
  <si>
    <t>리사이클링·신소재 성장성</t>
  </si>
  <si>
    <t>Si 폐파츠 재생, 단결정 SiC·대구경 Silicon 개발로 신규 시장 창출</t>
  </si>
  <si>
    <t>AI 반도체 공급망 구조적 수혜</t>
  </si>
  <si>
    <t>TSMC/Micron이 NVIDIA 핵심 공급사 → AI 투자 사이클과 동행</t>
  </si>
  <si>
    <t>파운드리향 매출 다각화 가시화</t>
  </si>
  <si>
    <t>DRAM 파츠 수요 회복</t>
  </si>
  <si>
    <t>DRAM 가동률 회복으로 실리콘 파츠 수요 증가</t>
  </si>
  <si>
    <t>NAND Pull-in 및 북미 고객 신제품 출하</t>
  </si>
  <si>
    <t>삼성 NAND 향 Pull-in, 북미 고객사 신제품 파츠 출하 증가</t>
  </si>
  <si>
    <t>가동률 상승에 따른 이익 레버리지</t>
  </si>
  <si>
    <t>파츠 가동률 70%대 진입으로 수익성 개선</t>
  </si>
  <si>
    <t>파운드리향 사업 확대 신호</t>
  </si>
  <si>
    <t>선단공정 파운드리 고객 평가·출하 진행</t>
  </si>
  <si>
    <t>DRAM·NAND 파츠 수요 강세 유지</t>
  </si>
  <si>
    <t>전방 메모리 업체 투자 지속 반영</t>
  </si>
  <si>
    <t>글로벌 장비사향 점유율 상승</t>
  </si>
  <si>
    <t>글로벌 Etch 장비사향 실리콘 파츠 점유율 확대</t>
  </si>
  <si>
    <t>Tech-migration 가속화</t>
  </si>
  <si>
    <t>DRAM·NAND 공정 미세화에 따른 파츠 수요 증가</t>
  </si>
  <si>
    <t>글로벌 메모리 고객 매출 증가</t>
  </si>
  <si>
    <t>DRAM 고객향 매출 본격 확대</t>
  </si>
  <si>
    <t>이익률 최고 구간 진입</t>
  </si>
  <si>
    <t>영업이익률 27~30%대 고마진 구조 확립</t>
  </si>
  <si>
    <t>TSMC 등 로직·파운드리향 공급 확대</t>
  </si>
  <si>
    <t>DRAM 회복에 따른 실적 반등</t>
  </si>
  <si>
    <t>DRAM 수요 회복으로 실리콘 파츠 매출 증가</t>
  </si>
  <si>
    <t>NAND Pull-in 및 북미 신제품 출하</t>
  </si>
  <si>
    <t>삼성 NAND Pull-in + 북미 고객 신제품 파츠 출하 확대</t>
  </si>
  <si>
    <t>Tech-migration 강화</t>
  </si>
  <si>
    <t>DRAM 중심 미세화로 파츠 소비량 증가 지속</t>
  </si>
  <si>
    <t>파운드리향 신규 진입 가능성</t>
  </si>
  <si>
    <t>선단공정 파운드리 고객사 평가 진행 → 매출 다각화 초기 국면</t>
  </si>
  <si>
    <t>Etch 장비 1티어 고객사향 공급 확대</t>
  </si>
  <si>
    <t>파운드리향 공급 확대</t>
  </si>
  <si>
    <t>TSMC 등 선단공정 파운드리향 실리콘 파츠 매출 증가</t>
  </si>
  <si>
    <t>메모리 Tech-migration 장기화</t>
  </si>
  <si>
    <t>DRAM·NAND 미세화 지속 → 파츠 소비량 구조적 증가</t>
  </si>
  <si>
    <t>고마진 구조 확립</t>
  </si>
  <si>
    <t>영업이익률 27~30%대 유지 가능한 구조</t>
  </si>
  <si>
    <t>신규 글로벌 메모리 고객 확대</t>
  </si>
  <si>
    <t>DRAM·NAND 양쪽에서 신규 벤더 확장성 존재</t>
  </si>
  <si>
    <t>가동률 상승 → 이익 레버리지 강화</t>
  </si>
  <si>
    <t>캐파 대비 가동률 상승이 이익률 확대로 직결되는 구조</t>
  </si>
  <si>
    <t>하나머티리얼즈</t>
    <phoneticPr fontId="1" type="noConversion"/>
  </si>
  <si>
    <t>AI 가속기·네트워크 스위치 수요 강세</t>
  </si>
  <si>
    <t>AI 서버·스위치 신규 모델 출하 증가 / 고다층 PCB 매출 증가</t>
  </si>
  <si>
    <t>TPU 7세대 본격 반영</t>
  </si>
  <si>
    <t>주요 빅테크 고객의 차세대 가속기 제품 수요 확대</t>
  </si>
  <si>
    <t>5공장 조기 가동 효과</t>
  </si>
  <si>
    <t>증설 라인 일부 조기 가동으로 매출·가동률 동반 상승</t>
  </si>
  <si>
    <t>5공장 풀 램프업 본격화</t>
  </si>
  <si>
    <t>증설 물량이 온기 반영되며 매출 체급 상승</t>
  </si>
  <si>
    <t>고사양 루빈 세대 PCB ASP 상승</t>
  </si>
  <si>
    <t>차세대 고사양 가속기 제품군의 난이도↑ → ASP 상승</t>
  </si>
  <si>
    <t>서버·스위치 신규 모델 확대</t>
  </si>
  <si>
    <t>북미·중국 고객의 차세대 서버 모델 매출 반영</t>
  </si>
  <si>
    <t>다층(HDI, 고다층) 비중 확대</t>
  </si>
  <si>
    <t>멀티레이어 PCB 비중 증가로 마진 개선</t>
  </si>
  <si>
    <t>주요 고객군 매출 증가</t>
  </si>
  <si>
    <t>미국 빅테크·ASIC 고객사향 주문 증가</t>
  </si>
  <si>
    <t>중국 법인 서버 모델 교체 효과 지속</t>
  </si>
  <si>
    <t>신규 모델 탑재로 제품 Mix 개선</t>
  </si>
  <si>
    <t>AI 가속기 신규 제품 Mix 개선</t>
  </si>
  <si>
    <t>고부가층 제품 비중이 더 높아져 ASP 상승</t>
  </si>
  <si>
    <t>주문 증가에 따른 CAPA 가동률 상승</t>
  </si>
  <si>
    <t>가동률 상승 → 영업레버리지 확대</t>
  </si>
  <si>
    <t>CAPA 풀가동 + 제품구조 고도화</t>
  </si>
  <si>
    <t>다층 전환 완료로 연간 성장 구조 확립</t>
  </si>
  <si>
    <t>신규 ASIC 고객 확보 가능성</t>
  </si>
  <si>
    <t>핵심 AI 가속기 고객 외 신규 고객사 확대 여지</t>
  </si>
  <si>
    <t>AI 서버·스위치 수요 강세</t>
  </si>
  <si>
    <t>북미 빅테크의 가속기·스위치 신규 물량 증가</t>
  </si>
  <si>
    <t>TPU 7세대 본격화</t>
  </si>
  <si>
    <t>차세대 가속기용 PCB 공급 증가로 매출 상향</t>
  </si>
  <si>
    <t>증설 물량이 예정보다 빨리 반영되며 실적 개선</t>
  </si>
  <si>
    <t>5공장 온기 반영</t>
  </si>
  <si>
    <t>2026년 가동률 상승 → 매출 체급 변화</t>
  </si>
  <si>
    <t>루빈 세대 고사양 PCB ASP 상승</t>
  </si>
  <si>
    <t>난이도 높은 PCB 비중 증가로 마진 구조 개선</t>
  </si>
  <si>
    <t>북미·중국 고객 신규 제품 출시 사이클 반영</t>
  </si>
  <si>
    <t>다층 PCB 비중 확대</t>
  </si>
  <si>
    <t>고다층 비중이 24년 21% → 25년 39%로 증가하는 구조</t>
  </si>
  <si>
    <t>핵심 AI 가속기 고객 기반 강화</t>
  </si>
  <si>
    <t>주요 고객(G사·ASIC) 물량 확대 + 신규 고객 진입 여지</t>
  </si>
  <si>
    <t>CAPA 풀가동 후 연간 매출 성장 가속</t>
  </si>
  <si>
    <t>증설 완성 → 체급 자체가 상향되는 구간 진입</t>
  </si>
  <si>
    <t>제품 Mix 고도화에 따른 마진 개선</t>
  </si>
  <si>
    <t>난이도 높은 다층제품 중심으로 전환</t>
  </si>
  <si>
    <t>중장기 매출 가이던스 증가 가능성</t>
  </si>
  <si>
    <t>추가 CAPA 증설·신규 고객 확보 시 1.5조 레벨 접근</t>
  </si>
  <si>
    <t>티엘비</t>
    <phoneticPr fontId="1" type="noConversion"/>
  </si>
  <si>
    <t>DDR5 고클럭(6,400~7,200Mbps) 비중 상승</t>
  </si>
  <si>
    <t>서버 DRAM 고사양화로 ASP 우상향 지속</t>
  </si>
  <si>
    <t>eSSD·SSD 고사양 제품 비중 증가</t>
  </si>
  <si>
    <t>데이터센터 SSD 업그레이드 사이클로 Mix 개선</t>
  </si>
  <si>
    <t>1공장 Full-CAPA 유지</t>
  </si>
  <si>
    <t>서버향 BVH 공정 병목 지속 → 가동률 100%</t>
  </si>
  <si>
    <t>안산 2공장 증설 효과 시작</t>
  </si>
  <si>
    <t>병목 해소 → 분기 매출 증가, 생산 여력 확대</t>
  </si>
  <si>
    <t>DDR5 8,000Mbps 초도 양산</t>
  </si>
  <si>
    <t>고부가 DDR5 제품군 본격 매출 반영</t>
  </si>
  <si>
    <t>서버·스토리지 신규 모델 출하 확대</t>
  </si>
  <si>
    <t>북미·국내 메모리 고객 신규모델 증가</t>
  </si>
  <si>
    <t>SOCAMM·LPCAMM 신제품 출하 확대</t>
  </si>
  <si>
    <t>DDR5 대비 ASP 높은 신제품 매출 증가</t>
  </si>
  <si>
    <t>서버 DRAM·SSD 수요 강세 지속</t>
  </si>
  <si>
    <t>메모리 업체 CAPEX와 서버 출하량 증가 반영</t>
  </si>
  <si>
    <t>고다층(BVH) 전환 확산</t>
  </si>
  <si>
    <t>고부가 비중 상승 → 영업이익률 개선</t>
  </si>
  <si>
    <t>서버 DRAM 수요 Peak 진입</t>
  </si>
  <si>
    <t>가격(Q) + 물량(P) 동반 상승</t>
  </si>
  <si>
    <t>SSD Mix 고도화 지속</t>
  </si>
  <si>
    <t>데이터센터 향 eSSD 제품 비중 상승</t>
  </si>
  <si>
    <t>증설 효과 온기 반영</t>
  </si>
  <si>
    <t>생산능력 확대로 분기 성장 탄력 유지</t>
  </si>
  <si>
    <t>차세대 기술(MR-DIMM·CXL) 초기 수주</t>
  </si>
  <si>
    <t>고부가 제품 라인업 확장</t>
  </si>
  <si>
    <t>DDR6 전환 준비 구간</t>
  </si>
  <si>
    <t>고사양 메모리 모듈 대응력 확보</t>
  </si>
  <si>
    <t>Full-CAPA 기반 고마진 구조 확립</t>
  </si>
  <si>
    <t>연간 영업이익률 16%대 전망</t>
  </si>
  <si>
    <t>DDR5 고사양화에 따른 Mix 상승</t>
  </si>
  <si>
    <t>6,400/7,200Mbps 등 고클럭 비중 확대 → ASP 상승</t>
  </si>
  <si>
    <t>eSSD·SSD 업그레이드 사이클</t>
  </si>
  <si>
    <t>데이터센터 향 SSD 고사양 제품 비중 증가</t>
  </si>
  <si>
    <t>1공장 Full-CAPA에 따른 레버리지</t>
  </si>
  <si>
    <t>서버향 메모리 수요 강세로 가동률 100% 유지</t>
  </si>
  <si>
    <t>공정 병목 해소 → 분기 매출 증분 발생</t>
  </si>
  <si>
    <t>DDR5 8,000Mbps 양산 본격화</t>
  </si>
  <si>
    <t>고부가 제품 출하 증가 → 마진 개선</t>
  </si>
  <si>
    <t>서버·스토리지 신규 모델 확대</t>
  </si>
  <si>
    <t>메모리 고객사의 신제품 교체 사이클 반영</t>
  </si>
  <si>
    <t>SOCAMM·LPCAMM 등 차세대 모듈 확대</t>
  </si>
  <si>
    <t>DDR5 대비 ASP 높은 차세대 패키지 PCB 확대</t>
  </si>
  <si>
    <t>DDR6·CXL·MR-DIMM 등 신규 폼팩터 대응</t>
  </si>
  <si>
    <t>차세대 인터페이스 초기 수혜 가능성</t>
  </si>
  <si>
    <t>Full-CAPA 기반 체급 레벨업</t>
  </si>
  <si>
    <t>증설 + 가동률 상승으로 매출·이익 구조 상승</t>
  </si>
  <si>
    <t>서버 DRAM 수요 장기 상승 사이클</t>
  </si>
  <si>
    <t>AI 서버/HPC 확산 → 메모리 모듈 시장 구조적 성장</t>
  </si>
  <si>
    <t>고부가(BVH) 중심으로 Mix 우위</t>
  </si>
  <si>
    <t>동종사 대비 고사양 제품 비중 우위 → 지속적 마진 우월성</t>
  </si>
  <si>
    <t>메모리 가동률 회복 시작</t>
  </si>
  <si>
    <t>삼성·SK 범용 DRAM 패키징 가동률 4Q부터 개선</t>
  </si>
  <si>
    <t>베트남(VINA) 매출 급증</t>
  </si>
  <si>
    <t>가격 재산정 + 소급반영 → 단가 회복, 이익 급증</t>
  </si>
  <si>
    <t>후공정 외주 증가</t>
  </si>
  <si>
    <t>고객사 클린룸 확보 위해 외주 물량 확대</t>
  </si>
  <si>
    <t>본사 DRAM·NAND 가동률 정상화</t>
  </si>
  <si>
    <t>별도 법인 가동률 상승 → 영업이익률 개선</t>
  </si>
  <si>
    <t>베트남 턴키(Turn-Key) 확장</t>
  </si>
  <si>
    <t>하나마이크론 → 조립+테스트 전체 수주 확대</t>
  </si>
  <si>
    <t>브라질 법인 마진 스프레드 유지</t>
  </si>
  <si>
    <t>현물가 우상향 구간 반영</t>
  </si>
  <si>
    <t>HBM 쇼티지 기반 외주 확대</t>
  </si>
  <si>
    <t>고객사의 HBM 생산 증가 → 범용 DRAM 외주 지속</t>
  </si>
  <si>
    <t>베트남 CAPA 추가 확대</t>
  </si>
  <si>
    <t>설비 확장 여력 60% → 출하량 성장</t>
  </si>
  <si>
    <t>수익성 뚜렷한 개선</t>
  </si>
  <si>
    <t>별도 + 베트남 이익률 동시 상승</t>
  </si>
  <si>
    <t>글로벌 메모리 업황 Peak</t>
  </si>
  <si>
    <t>DRAM/NAND 모두 Q·P 동반 증가</t>
  </si>
  <si>
    <t>VINA 성장 본격화</t>
  </si>
  <si>
    <t>운영 레버리지 반영 → OPM 대폭 개선</t>
  </si>
  <si>
    <t>Turn-key 고객 확대</t>
  </si>
  <si>
    <t>세트사향 패키징 수요 증가</t>
  </si>
  <si>
    <t>후공정 외주 구조적 확대</t>
  </si>
  <si>
    <t>HBM·DDR5 전환 → 패키징/테스트 외주 비중 지속 상승</t>
  </si>
  <si>
    <t>베트남 사업 본격 레벨업</t>
  </si>
  <si>
    <t>법인 영업이익률 9%대 진입 가능</t>
  </si>
  <si>
    <t>전 지역 법인 QoQ 성장</t>
  </si>
  <si>
    <t>별도 + 브라질 + 베트남 모두 고성장 국면</t>
  </si>
  <si>
    <t>하나마이크론</t>
    <phoneticPr fontId="1" type="noConversion"/>
  </si>
  <si>
    <t>단기(25년4Q~26년1Q)</t>
  </si>
  <si>
    <t>고객사 메모리 가동률 회복</t>
  </si>
  <si>
    <t>삼성·SK DRAM/NAND 가동률 상승 → 패키징 물량 증가</t>
  </si>
  <si>
    <t>베트남 단가 정상화 효과</t>
  </si>
  <si>
    <t>4Q 단가 재산정 + 소급반영 → 이익 급증</t>
  </si>
  <si>
    <t>Turn-Key 증가</t>
  </si>
  <si>
    <t>조립+테스트 일괄 수주 증가 → ASP 상승</t>
  </si>
  <si>
    <t>외주 물량 증가(HBM효과)</t>
  </si>
  <si>
    <t>HBM 생산 확대로 고객사 외주 확대</t>
  </si>
  <si>
    <t>HBM 시대의 최대 수혜 패키징업체</t>
  </si>
  <si>
    <t>HBM 쇼티지 → 범용 DRAM·일반 패키징 외주 전환 가속</t>
  </si>
  <si>
    <t>베트남 CAPA 60% 추가 확장</t>
  </si>
  <si>
    <t>대규모 물량 소화 가능 → 글로벌 패키징 허브 역할</t>
  </si>
  <si>
    <t>고객사 Turn-Key 니즈 확대</t>
  </si>
  <si>
    <t>테스트+패키징 통합 수요 증가</t>
  </si>
  <si>
    <t>글로벌 고객사 외주 구조 강화</t>
  </si>
  <si>
    <t>EU/US 기업들도 패키징 아웃소싱 증가 추세</t>
  </si>
  <si>
    <t>영업 레버리지 극대화</t>
  </si>
  <si>
    <t>가동률 상승 + 고부가 제품 증가 → 26~27년 OPM 급등</t>
  </si>
  <si>
    <t>케이엔제이</t>
    <phoneticPr fontId="1" type="noConversion"/>
  </si>
  <si>
    <t>낸드 업황 회복 가속화</t>
  </si>
  <si>
    <t>AI 서버·eSSD 수요 증가 → SiC 포커스링 출하 확대</t>
  </si>
  <si>
    <t>고객사 커스터마이징 증가</t>
  </si>
  <si>
    <t>두께·사이즈 커스터마이징 → 고부가 제품 비중 확대</t>
  </si>
  <si>
    <t>A/M 공급 확대</t>
  </si>
  <si>
    <t>고객사 내 SiC A/M 채택률 상승으로 매출 레벨업</t>
  </si>
  <si>
    <t>SiC 포커스링 표준화 본격 확산</t>
  </si>
  <si>
    <t>낸드 V8 이후 SiC 적용 표준화 → 출하 증가</t>
  </si>
  <si>
    <t>OPM 상승 지속</t>
  </si>
  <si>
    <t>자체 CVD 챔버 기술력 기반 → 원가 방어 + 수익성 유지</t>
  </si>
  <si>
    <t>AI SSD향 수요 지속</t>
  </si>
  <si>
    <t>AI 인프라향 SSD 장비 전환 수요 지속</t>
  </si>
  <si>
    <t>낸드 장비 전환 사이클 Peak</t>
  </si>
  <si>
    <t>장비사 매출 증가 → SiC 소모품 수요 급증</t>
  </si>
  <si>
    <t>국내 점유율 상승</t>
  </si>
  <si>
    <t>국내 SiC 소모품 시장 점유율 확대(자료 Page4 그래프)</t>
  </si>
  <si>
    <t>A/M 고객사 확대</t>
  </si>
  <si>
    <t>A/M 제품 품질 인정 → 주요 IDM 내 채택률 증가</t>
  </si>
  <si>
    <t>사상 최대 실적 구간 진입</t>
  </si>
  <si>
    <t>매출·영업이익 모두 사상 최대 실적 경신 전망</t>
  </si>
  <si>
    <t>27~28년 CAPA 증설 모멘텀 시작</t>
  </si>
  <si>
    <t>자체 CVD 챔버 30대까지 확장 가능 → 레버리지 확대</t>
  </si>
  <si>
    <t>글로벌 SSD업체향 매출 증가</t>
  </si>
  <si>
    <t>고객 다변화 효과 본격 반영</t>
  </si>
  <si>
    <t>OPM 28%대 진입</t>
  </si>
  <si>
    <t>고부가 비중 확대 + A/M 확대 → 구조적 마진 상승</t>
  </si>
  <si>
    <t>낸드 고단화 수혜 지속</t>
  </si>
  <si>
    <t>플라즈마 강도 증가 → SiC 수요 구조적 증가</t>
  </si>
  <si>
    <t>경쟁강도 약화 수혜</t>
  </si>
  <si>
    <t>기술력 격차 축소 → 밸류 리레이팅 구간 진입</t>
  </si>
  <si>
    <t>낸드 업황 빠른 회복</t>
  </si>
  <si>
    <t>AI 인프라(eSSD) 수요 증가 → 낸드 장비 전환 시작</t>
  </si>
  <si>
    <t>SiC 포커스링 커스터마이징 확대</t>
  </si>
  <si>
    <t>두께·사이즈 요구 증가 → ASP·마진 개선</t>
  </si>
  <si>
    <t>고객사 A/M 채택률 상승 → 단가 + 매출 증가</t>
  </si>
  <si>
    <t>자체 CVD 챔버 기술력</t>
  </si>
  <si>
    <t>원가 방어 + 리드타임 단축 → 수익성 상향</t>
  </si>
  <si>
    <t>장비사 매출 증가 → SiC 소모품 구조적 성장</t>
  </si>
  <si>
    <t>SiC 표준화 확대(V8→)</t>
  </si>
  <si>
    <t>낸드 고단화 지속 → SiC 포커스링 필수화</t>
  </si>
  <si>
    <t>A/M 시장 구조적 성장</t>
  </si>
  <si>
    <t>IDM향 직접 공급 확대 → B/M 대비 고마진</t>
  </si>
  <si>
    <t>CAPA 확대(최대 30대 가능)</t>
  </si>
  <si>
    <t>수율·생산효율 상승 → 매출 레버리지</t>
  </si>
  <si>
    <t>밸류에이션 리레이팅</t>
  </si>
  <si>
    <t>A/M 품질 격차 해소 → Peer 대비 PER 정상화 여력</t>
  </si>
  <si>
    <t>비수기지만 고수익성 유지</t>
  </si>
  <si>
    <t>양산 소켓 감소에도 R&amp;D 고부가 소켓 비중 증가 → OPM 44~45%</t>
  </si>
  <si>
    <t>핀·의료기기 신규 고객 확산</t>
  </si>
  <si>
    <t>의료기기 부품 공급 확대 지속</t>
  </si>
  <si>
    <t>AI 신규칩 개발 R&amp;D 소켓 증가</t>
  </si>
  <si>
    <t>팹리스·HPC·ASIC 테스트 소켓 수요 증가</t>
  </si>
  <si>
    <t>양산 테스트 소켓 점유율 상승</t>
  </si>
  <si>
    <t>스마트폰·AP 테스트 소켓 시장 지속 확대</t>
  </si>
  <si>
    <t>2nm 공정 본격 도입 국면</t>
  </si>
  <si>
    <t>고난도 테스트 소켓 ASP 상승 기여</t>
  </si>
  <si>
    <t>응용처 다각화 속도↑</t>
  </si>
  <si>
    <t>XR/Auto/HPC 등 신규 디바이스 개발 동시 확대</t>
  </si>
  <si>
    <t>대형 AI 디바이스 R&amp;D 증가</t>
  </si>
  <si>
    <t>HPC·데이터센터향 신규칩 테스트 소켓 수요 급증</t>
  </si>
  <si>
    <t>출하량 증가 기반 실적 성장</t>
  </si>
  <si>
    <t>핀·소켓·의료기기 전 제품군 수요 증가</t>
  </si>
  <si>
    <t>OPM 47~49% 고착화</t>
  </si>
  <si>
    <t>제품 믹스 고도화 → 영업레버리지 극대화</t>
  </si>
  <si>
    <t xml:space="preserve"> CAPA 증설 효과 본격화</t>
  </si>
  <si>
    <t>2026년 말 증설 완료 → 생산능력 100% 이상 확대</t>
  </si>
  <si>
    <t>고부가 R&amp;D 소켓 비중 상승</t>
  </si>
  <si>
    <t>비수기에도 영업이익률 45~50% 유지</t>
  </si>
  <si>
    <t>양산 테스트 소켓 점유율 확대</t>
  </si>
  <si>
    <t>모바일·AP 테스트 시장 점유율 상승</t>
  </si>
  <si>
    <t>핀·의료기기 수요 안정성</t>
  </si>
  <si>
    <t>리노핀·초음파 의료기기 부품 고객 확장</t>
  </si>
  <si>
    <t>AI 가속기·ASIC 신규칩 개발 수혜</t>
  </si>
  <si>
    <t>HPC·데이터센터 신규칩 개발 증가 → R&amp;D 소켓 구조적 성장</t>
  </si>
  <si>
    <t>2nm 공정 도입 → ASP 상승</t>
  </si>
  <si>
    <t>고난도 소켓 필요성 증가 → 가격/마진 상향</t>
  </si>
  <si>
    <t>XR/Auto/HPC 응용처 다각화</t>
  </si>
  <si>
    <t>고부가 응용처로 수요 확장 → blended ASP 개선</t>
  </si>
  <si>
    <t>CAPA 100% 이상 증설 효과</t>
  </si>
  <si>
    <t>2026년 말 신규 CAPA 완성 → 매출 성장 탄력 확보</t>
  </si>
  <si>
    <t>양산/개발 소켓 양축 고성장</t>
  </si>
  <si>
    <t>양산 비중 40% 중반 진입 + R&amp;D 성장 → 구조적 이익 레벨업</t>
  </si>
  <si>
    <t>AI 가속기향 비메모리 소켓 고성장</t>
  </si>
  <si>
    <t>AI GPU·ASIC 향 테스트 소켓 매출 급증, AI 매출 비중 80% 안팎</t>
  </si>
  <si>
    <t>메모리 턴키 공급 본격화</t>
  </si>
  <si>
    <t>캡티브 메모리 고객 대상 테스트 소켓 + 모듈/번인 테스터 턴키 공급 시작</t>
  </si>
  <si>
    <t>장비/소재 부문 성장 기여</t>
  </si>
  <si>
    <t>모듈테스터·번인테스터·세정 케미컬 매출 증가로 외형 확대, 저마진이지만 성장축 형성</t>
  </si>
  <si>
    <t>계절성 완화된 실적 흐름</t>
  </si>
  <si>
    <t>AI GPU + ASIC 프로젝트 분산으로 과거 대비 1Q 매출/이익 감소 폭 제한</t>
  </si>
  <si>
    <t>AI 매출 비중 70% 이상 유지</t>
  </si>
  <si>
    <t>데이터센터향 비메모리 소켓 중심으로 고마진 구조 유지</t>
  </si>
  <si>
    <t>메모리·장비 동반 성장</t>
  </si>
  <si>
    <t>하이엔드 메모리 소켓 + 모듈/번인 테스터 출하 확대</t>
  </si>
  <si>
    <t>글로벌 DC CAPEX 재가속</t>
  </si>
  <si>
    <t>CoWoS 기반 AI 가속기 생산 확대 → 비메모리 테스트 소켓 수요 재가속</t>
  </si>
  <si>
    <t>장비/소재 비중 확대</t>
  </si>
  <si>
    <t>테스터·소재를 소켓과 패키지 공급하며 장비/소재 매출 비중 상승</t>
  </si>
  <si>
    <t>베트남 생산기지 레버리지 본격화</t>
  </si>
  <si>
    <t>베트남 생산 CAPA 확충과 가동률 상승으로 원가 구조 개선 시작</t>
  </si>
  <si>
    <t>AI 가속기 생산 Peak 구간 진입</t>
  </si>
  <si>
    <t>GPU·ASIC 출하 증가로 비메모리 소켓 매출 사상 최대 경신 구간 예상</t>
  </si>
  <si>
    <t>AI·Non-AI 동반 회복</t>
  </si>
  <si>
    <t>일반 서버·PC 등 Non-AI 수요도 회복 → 전사 매출·이익 동반 고성장</t>
  </si>
  <si>
    <t>장비/소재 매출 본격 안착</t>
  </si>
  <si>
    <t>연간 기준 장비/소재 매출 비중 20% 수준 가시화</t>
  </si>
  <si>
    <t>데이터센터 중심 매출 구조 고착화</t>
  </si>
  <si>
    <t>애플리케이션 기준 Data Center 비중 약 70% 수준으로 정착</t>
  </si>
  <si>
    <t>테스트 플랫폼化 효과 확대</t>
  </si>
  <si>
    <t>소켓 + 테스터 + 소재 묶음 공급 확대로 고객 락인 강화</t>
  </si>
  <si>
    <t>고마진 구조 안정화</t>
  </si>
  <si>
    <t>베트남 생산기지 효과까지 반영되며 영업이익률 27% 안팎 안정 구간</t>
  </si>
  <si>
    <t>AI GPU·ASIC 중심 비메모리 소켓 급성장</t>
  </si>
  <si>
    <t>AI 가속기향 테스트 소켓 매출이 분기별로 급증, AI 매출 비중 70~80% 구간 진입</t>
  </si>
  <si>
    <t>메모리 턴키 공급에 따른 신규 매출원</t>
  </si>
  <si>
    <t>메모리 고객 대상 테스트 소켓 + 모듈/번인 테스터 턴키 공급으로 메모리 부문 수익성 개선</t>
  </si>
  <si>
    <t>장비/소재 볼트온 효과 가시화</t>
  </si>
  <si>
    <t>합병한 장비·소재 부문 실적이 본격 반영되며 외형 성장과 플랫폼 전략 기반 마련</t>
  </si>
  <si>
    <t>계절성 완화된 실적 패턴</t>
  </si>
  <si>
    <t>AI 프로젝트 다변화로 1분기 계절성 완화 → 전년 대비 높은 이익 수준 유지</t>
  </si>
  <si>
    <t>CoWoS·AI 가속기 생산 증가의 핵심 수혜</t>
  </si>
  <si>
    <t>글로벌 CoWoS CAPA 증설과 GPU·ASIC 생산량 증가(연간 고성장)로 비메모리 소켓 구조적 성장</t>
  </si>
  <si>
    <t>Data Center 중심 구조적 Mix 개선</t>
  </si>
  <si>
    <t>애플리케이션 기준 데이터센터 비중 70% 이상, AI 매출 비중 70%+ 유지되는 체질로 전환</t>
  </si>
  <si>
    <t>테스트 플랫폼 업체로의 진화</t>
  </si>
  <si>
    <t>테스트 소켓 + 모듈/번인 테스터 + 소재를 묶어 제공하는 플랫폼 전략으로 고객사 락인 및 ASP 상향</t>
  </si>
  <si>
    <t>베트남 생산기지 확대에 따른 마진 레벨업</t>
  </si>
  <si>
    <t>베트남 생산 CAPA 확충과 인건비·원가 경쟁력으로 중장기 영업이익률 상향</t>
  </si>
  <si>
    <t>테스트 소켓 CAPA 증설 레버리지</t>
  </si>
  <si>
    <t>테스트 소켓 CAPA를 3,500억원 수준까지 확대 목표 → CAPEX 이후 매출/이익 레버리지 극대화</t>
  </si>
  <si>
    <t>메모리 부문은 하이엔드 전략으로 수익성 방어</t>
  </si>
  <si>
    <t>메모리용 테스트 소켓은 DDR5·GDDR·LPDDR 등 하이엔드 중심 판매 전략으로 경쟁 심화 속 수익성 유지</t>
  </si>
  <si>
    <t>DRAM 선단공정 장비 반입 본격화</t>
  </si>
  <si>
    <t>삼성전자 공정전환(1c/1b) 장비 발주 증가로 매출 인식 시작</t>
  </si>
  <si>
    <t>DRAM 3사 동시 투자 확대</t>
  </si>
  <si>
    <t>삼성·SK하이닉스·마이크론 모두 DRAM 투자 증가 시기</t>
  </si>
  <si>
    <t>셋업 완료분 매출 조기 인식 가능</t>
  </si>
  <si>
    <t>고객 요청으로 장비 셋업 속도 빨라져 인식 타이밍 앞당겨질 가능성</t>
  </si>
  <si>
    <t>턴키·평가 장비 증가로 R&amp;D 부담 확대</t>
  </si>
  <si>
    <t>고객 평가 장비 증가 → R&amp;D 비용 증가 지속</t>
  </si>
  <si>
    <t>DRAM Capex 재가속 국면 진입</t>
  </si>
  <si>
    <t>26년 Capex 중 DRAM 비중이 가장 큼 → 선단공정 장비 수요 확대</t>
  </si>
  <si>
    <t>미국 고객향 장비 반입 회복</t>
  </si>
  <si>
    <t>마이크론 미국 라인향 장비 집행 본격화</t>
  </si>
  <si>
    <t>삼성전자 공정 전환 지속</t>
  </si>
  <si>
    <t>평택·기흥 등 장비 지속 반입 → 계단식 매출 증가</t>
  </si>
  <si>
    <t>DRAM 발주 피크 구간 진입</t>
  </si>
  <si>
    <t>26년 중반까지 DRAM 선단공정 투자가 정점 예상</t>
  </si>
  <si>
    <t>DRAM 중심 실적 레벨업 마무리 구간</t>
  </si>
  <si>
    <t>전년대비 고성장 구간 유지, 영업이익 두 배 이상 증가 전망</t>
  </si>
  <si>
    <t>설비 투자 정상화로 영업 레버리지 확대</t>
  </si>
  <si>
    <t>매출 증가에 따른 레버리지로 OPM 20%대 중반 회복 예상</t>
  </si>
  <si>
    <t>유진테크</t>
    <phoneticPr fontId="1" type="noConversion"/>
  </si>
  <si>
    <t>DRAM 선단공정 Capex 본격화</t>
  </si>
  <si>
    <t>삼성·하이닉스·마이크론 모두 DRAM 중심 투자 확대에 따른 장비 반입 급증</t>
  </si>
  <si>
    <t>매출 인식 시점 앞당겨짐</t>
  </si>
  <si>
    <t>고객사 요청으로 장비 셋업 시점이 빨라져 매출 인식도 조기 반영 가능</t>
  </si>
  <si>
    <t>삼성전자 공정전환 수혜 극대화</t>
  </si>
  <si>
    <t>삼성 중심의 공정 전환 속도 증가 → 4Q25~1Q26 대표 수혜 업체</t>
  </si>
  <si>
    <t>NAND 전환 Capex 둔화 영향 제한</t>
  </si>
  <si>
    <t>DRAM 중심 장비 구조라 NAND 둔화 영향은 미미</t>
  </si>
  <si>
    <t>26년 DRAM Capex의 최대 수혜 기업</t>
  </si>
  <si>
    <t>26년 메모리 투자 중 DRAM 비중이 가장 큼 → 선단공정 장비 공급 업체 중 최대 수혜</t>
  </si>
  <si>
    <t>DRAM 3사 동시 증설 구조 지속</t>
  </si>
  <si>
    <t>삼성·하이닉스·마이크론 모두 26년에도 DRAM 투자 지속</t>
  </si>
  <si>
    <t>고객 다변화(韓·美)로 구조적 성장</t>
  </si>
  <si>
    <t>삼성 → SK → 마이크론(특히 美향) 장비 공급 증가</t>
  </si>
  <si>
    <t>영업 레버리지 확대</t>
  </si>
  <si>
    <t>매출 증가에 따라 OPM 20%대 중반까지 회복 전망</t>
  </si>
  <si>
    <t>선단공정 전환이 반복되는 구조적 사이클</t>
  </si>
  <si>
    <t>1c→1b→1a→1α 전환 때마다 장비 수요 지속</t>
  </si>
  <si>
    <t>원익ips</t>
    <phoneticPr fontId="1" type="noConversion"/>
  </si>
  <si>
    <t>메모리 신규 투자 반영 시작</t>
  </si>
  <si>
    <t>삼성·하이닉스 DRAM 증설 초기 물량 매출 반영, 디스플레이 장비 매출 증가</t>
  </si>
  <si>
    <t>장비 조기 인식 효과</t>
  </si>
  <si>
    <t>일부 장비 조기 셋업 요청으로 매출 인식 앞당겨짐</t>
  </si>
  <si>
    <t>DRAM 공정 전환 지속</t>
  </si>
  <si>
    <t>P4·M15X 중심 선단공정 장비 반입 지속</t>
  </si>
  <si>
    <t>HBM 수요 확대 영향 시작</t>
  </si>
  <si>
    <t>HBM 생산 확대에 따른 DRAM 공정 장비 수요 증가</t>
  </si>
  <si>
    <t>DRAM Capex 재가속</t>
  </si>
  <si>
    <t>26년 DRAM Capex 최대 구간 진입 → CVD/ALD 핵심 장비 수요 확대</t>
  </si>
  <si>
    <t>미국 고객향 반입 회복</t>
  </si>
  <si>
    <t>삼성 테일러·마이크론 미국향 반입 진행</t>
  </si>
  <si>
    <t>증설 효과 본격화</t>
  </si>
  <si>
    <t>삼성·하닉 DRAM 증설 효과가 Full 반영되는 시기</t>
  </si>
  <si>
    <t>HBM 생산계획 상향에 따른 Upside</t>
  </si>
  <si>
    <t>고객사의 생산량 조정에 따라 추가 수요 발생 가능</t>
  </si>
  <si>
    <t>테일러 팹 매출 반영 시작</t>
  </si>
  <si>
    <t>삼성 테일러 공장 관련 장비 매출 3Q~4Q부터 반영</t>
  </si>
  <si>
    <t>사이클 장기화 국면</t>
  </si>
  <si>
    <t>DRAM 투자 사이클 2027년까지 지속 → 장비 출하 증가 유지</t>
  </si>
  <si>
    <t>DRAM 신규 투자 반영</t>
  </si>
  <si>
    <t>삼성 P4·하이닉스 M15X 증설분이 25년 4Q부터 매출 기여</t>
  </si>
  <si>
    <t>고객 요청에 따른 조기 셋업 → 매출 인식 앞당겨짐</t>
  </si>
  <si>
    <t>디스플레이 장비 회복</t>
  </si>
  <si>
    <t>디스플레이 장비 매출 QoQ 성장 → 실적 방어</t>
  </si>
  <si>
    <t>HBM 관련 DRAM 수요 증가</t>
  </si>
  <si>
    <t>HBM 생산 확대 → DRAM 선단공정 장비 수요 증가</t>
  </si>
  <si>
    <t>26년 DRAM Capex 최대 수혜</t>
  </si>
  <si>
    <t>26년 Capex 중 DRAM 비중이 가장 큼 → 핵심 장비사 수혜 극대화</t>
  </si>
  <si>
    <t>삼성·하닉·마이크론 동시 투자</t>
  </si>
  <si>
    <t>DRAM 3사의 선단·증설 투자 동시 진행(희소한 사이클)</t>
  </si>
  <si>
    <t>삼성 테일러 팹 본격 반영</t>
  </si>
  <si>
    <t>26년 하반기~27년 미국향 장비 반입 확대로 장기 성장축</t>
  </si>
  <si>
    <t>CVD/ALD 단가 상승 효과</t>
  </si>
  <si>
    <t>미세화·고단화로 단위 장비 ASP 우상향</t>
  </si>
  <si>
    <t>DRAM/AI 서버 구조적 성장에 연동</t>
  </si>
  <si>
    <t>AI 서버의 DRAM/HBM 수요 증가 → 장비 출하 지속 증가</t>
  </si>
  <si>
    <t>GB300 랙서버 양산 확대</t>
  </si>
  <si>
    <t>고객사 제품 전환 완료로 고부가 NWB·AI 가속기용 CCL 가동률 100% 근접</t>
  </si>
  <si>
    <t>분기 최대 실적</t>
  </si>
  <si>
    <t>전자BG 영업이익률 30% 내외 예상, 반도체 패키지용 수요도 최대치</t>
  </si>
  <si>
    <t>AI 가속기·네트워크 회복 지속</t>
  </si>
  <si>
    <t>서버 ODM 랙서버 출하량 증가세 유지, High-end CCL 수요 증가</t>
  </si>
  <si>
    <t>차세대 아키텍처 대비 생산 준비</t>
  </si>
  <si>
    <t>고객사 차세대 제품 P·Q 스펙 상향(HVLP4·Layer 증가)</t>
  </si>
  <si>
    <t>차세대 플랫폼 첫 출하</t>
  </si>
  <si>
    <t>북미 CSP의 차세대 아키텍처 출하 개시 → P(약 +16%)·Q(약 +17%) 상향 효과 본격화</t>
  </si>
  <si>
    <t>NWB 라인 캐파 제한 구간 진입</t>
  </si>
  <si>
    <t>NWB 캐파 제한 → 단가 인상 환경 강화</t>
  </si>
  <si>
    <t>Rubin 플랫폼 초기 독점 공급 가능성</t>
  </si>
  <si>
    <t>경쟁사 EMC 퀄 탈락 → 루빈 초기 두산 단독 가능성 매우 높음</t>
  </si>
  <si>
    <t>고부가 제품 Mix 확대</t>
  </si>
  <si>
    <t>ASIC·AI 가속기용 제품 비중 확대</t>
  </si>
  <si>
    <t>Rubin 대규모 Ramp-up</t>
  </si>
  <si>
    <t>루빈 본격 양산, 출력 증가에 따른 기하급수적 물량 증가 예상</t>
  </si>
  <si>
    <t>중국·국내 신규라인 가동</t>
  </si>
  <si>
    <t>중국 창수·국내 신규라인 순차 가동 → 물량 대응력 확보</t>
  </si>
  <si>
    <t>두산</t>
    <phoneticPr fontId="1" type="noConversion"/>
  </si>
  <si>
    <t>GB300 본격 양산</t>
  </si>
  <si>
    <t>고객사 제품 전환 완료 → 고부가 NWB·AI 가속기 CCL 수요 폭증</t>
  </si>
  <si>
    <t>분기 최대 실적 구간</t>
  </si>
  <si>
    <t>25년 4Q OPM 30% 상회 가능, 서버 ODM 출하 증가가 Q 확대</t>
  </si>
  <si>
    <t>메모리 패키지 소재 호조</t>
  </si>
  <si>
    <t>DDR5·GDDR7 등 반도체 CCL 수요 증가</t>
  </si>
  <si>
    <t>자사주 소각 이벤트 가치 반영</t>
  </si>
  <si>
    <t>보유 자사주 17.9% 중 상당 부분 소각 계획 → 지주사 할인율 축소 요인</t>
  </si>
  <si>
    <t>Rubin 단독 공급 가능성</t>
  </si>
  <si>
    <t>경쟁사 EMC의 컴퓨팅 트레이 퀄 탈락 → 루빈 초기 두산 독점 가능성 매우 높음</t>
  </si>
  <si>
    <t>차세대 P·Q 구조적 상승</t>
  </si>
  <si>
    <t>HVLP4 전환·Layer 증가 → 단가 상승 구조 고착</t>
  </si>
  <si>
    <t>ASIC 고객 확대</t>
  </si>
  <si>
    <t>26년 ASIC향 공급 본격화, High-end 칩 교체 주기와 연동 성장</t>
  </si>
  <si>
    <t>NWB 캐파 부족→단가 인상</t>
  </si>
  <si>
    <t>Capa 제약 + 수요 폭발로 공급자 우위 시장 형성</t>
  </si>
  <si>
    <t>신규 라인 가동효과(중국·국내)</t>
  </si>
  <si>
    <t>26년~27년 신규라인 Ramp-up → 공급 대응력 강화</t>
  </si>
  <si>
    <t>27년 또 한번의 레벨업 가능성</t>
  </si>
  <si>
    <t>26년보다 27년 실적 레벨업 가능하다는 모든 증권사 공통 의견</t>
  </si>
  <si>
    <t>티에스이</t>
    <phoneticPr fontId="1" type="noConversion"/>
  </si>
  <si>
    <t>Probe Card 대규모 성장 지속</t>
  </si>
  <si>
    <t>NAND 공정 전환 + 해외 M사향 공급 증가로 Probe Card 매출 고성장 유지</t>
  </si>
  <si>
    <t>Interface Board 고성장</t>
  </si>
  <si>
    <t>고마진 보드 사업 성장 유지, 비메모리 고객향 매출 증가</t>
  </si>
  <si>
    <t>DRAM Probe Card 준비 효과 분기 반영</t>
  </si>
  <si>
    <t>국내 S사·해외 DRAM 고객 향 테스트 진행, 인력 확충 효과 시작</t>
  </si>
  <si>
    <t>Interface Board 고성장 유지</t>
  </si>
  <si>
    <t>AMD 등 비메모리 고객향 판매 증가 지속</t>
  </si>
  <si>
    <t>DRAM/HBM Probe Card 첫 확대 구간</t>
  </si>
  <si>
    <t>국내 S사(삼성) DRAM/HBM Probe Card 공급 가능성 높음</t>
  </si>
  <si>
    <t>NAND 고객향 지속 성장</t>
  </si>
  <si>
    <t>CXMT·해외 M사향 NAND 출하 확대</t>
  </si>
  <si>
    <t>DRAM 고객선 다각화 진행</t>
  </si>
  <si>
    <t>DRAM·HBM 고객 다변화로 매출 구조 확대</t>
  </si>
  <si>
    <t>Probe Card Mix 개선</t>
  </si>
  <si>
    <t>DRAM 제품 비중 상승 → ASP 확대</t>
  </si>
  <si>
    <t>DRAM/HBM 공급 본격화</t>
  </si>
  <si>
    <t>2026년 하반기 DRAM Probe Card 출하 본격 기여</t>
  </si>
  <si>
    <t>Interface Board 안정 성장</t>
  </si>
  <si>
    <t>비메모리향 보드 안정적 성장으로 실적 방어</t>
  </si>
  <si>
    <t>NAND 공정 전환 수혜</t>
  </si>
  <si>
    <t>NAND 전환 물량 확대 → Probe Card 수요 급증</t>
  </si>
  <si>
    <t>해외 고객향 출하 증가</t>
  </si>
  <si>
    <t>Micron(CXMT 포함) NAND향 공급 증가</t>
  </si>
  <si>
    <t>고마진 비메모리 보드 매출 증가</t>
  </si>
  <si>
    <t>DRAM Probe Card 사전 준비</t>
  </si>
  <si>
    <t>DRAM/HBM 대응 위해 인력 대규모 확충, R&amp;D 선투자</t>
  </si>
  <si>
    <t>DRAM/HBM Probe Card 공급 본격화</t>
  </si>
  <si>
    <t>2026년 S사 DRAM/HBM Probe Card 공급 기대</t>
  </si>
  <si>
    <t>DRAM 고객선 확대</t>
  </si>
  <si>
    <t>CXMT → 국내 S사 → 해외 신규 DRAM 고객으로 확장 전망</t>
  </si>
  <si>
    <t>Probe Card ASP 상승</t>
  </si>
  <si>
    <t>DRAM/HBM 비중 증가로 ASP 구조적 상승</t>
  </si>
  <si>
    <t>Interface Board 사업의 안정적 성장</t>
  </si>
  <si>
    <t>AMD 등 비메모리향 공급 확대 → 안정적 성장곡선 유지</t>
  </si>
  <si>
    <t>선제적 인력 투자 효과 2026년 반영</t>
  </si>
  <si>
    <t>2025년 비용 증가 → 2026년 수익성 급반등</t>
  </si>
  <si>
    <t xml:space="preserve">테스 </t>
    <phoneticPr fontId="1" type="noConversion"/>
  </si>
  <si>
    <t>23년 이후 최대 매출 예상</t>
  </si>
  <si>
    <t>SK하닉 M15X + 삼성 P4 신규라인 초기 공급 시작, 고부가 PECVD 비중 확대</t>
  </si>
  <si>
    <t>DRAM·NAND 동시 투자 수혜</t>
  </si>
  <si>
    <t>1c DRAM 전환 투자 + QLC eSSD 수요반등 따라 NAND 전환 매출 증가</t>
  </si>
  <si>
    <t>DRAM/NAND 전환 투자 지속</t>
  </si>
  <si>
    <t>삼성·하닉 DRAM 1c/1b 전환 효과 유지, NAND V8/V9 전환 지속</t>
  </si>
  <si>
    <t>고마진 Dry Clean 및 부품 매출 안정</t>
  </si>
  <si>
    <t>부품·클린 매출이 고정적으로 이익률 방어</t>
  </si>
  <si>
    <t>P4·M15X 본격 상승 구간</t>
  </si>
  <si>
    <t>상반기 신규 캐파 본격 반영 → 장비 출하 증가</t>
  </si>
  <si>
    <t>신규 장비 퀄 통과 확대</t>
  </si>
  <si>
    <t>New BSD·Low-K 장비가 DRAM/NAND 양쪽으로 퀄 통과 후 매출 기여</t>
  </si>
  <si>
    <t>DRAM 중심 수요 강세</t>
  </si>
  <si>
    <t>AI로 인한 HBM/DDR5 증설과 동행 → PECVD/Dry Clean 물량 증가</t>
  </si>
  <si>
    <t>NAND eSSD 전환 지속</t>
  </si>
  <si>
    <t>QLC eSSD 수요 급증에 따른 NAND 전환 투자 지속</t>
  </si>
  <si>
    <t>전환 투자 + 신규 장비 풀램프</t>
  </si>
  <si>
    <t>HD-ACL·SiCN 신규 장비 출하 시작, 메모리 양사 DRAM/NAND 모두 투자 확대</t>
  </si>
  <si>
    <t>연중 최대 실적 가능</t>
  </si>
  <si>
    <t>DRAM/NAND 전환 + 신규장비 매출이 동시에 상승하는 구간</t>
  </si>
  <si>
    <t>DRAM 1c 투자 급증</t>
  </si>
  <si>
    <t>삼성·SK하닉 DRAM 1c 전환 투자 규모 확대 → PECVD 핵심 수혜</t>
  </si>
  <si>
    <t>NAND 전환투자(QCL/TLC) 확대</t>
  </si>
  <si>
    <t>eSSD 수요 증가로 NAND 공정 전환이 재개 → 장비 출하 증가</t>
  </si>
  <si>
    <t>P4·M15X 효과 초기 반영</t>
  </si>
  <si>
    <t>삼성 P4·SK M15X 신규 라인 출하 시작 → 매출 가시성 증가</t>
  </si>
  <si>
    <t>수익성 레벨업 지속</t>
  </si>
  <si>
    <t>PECVD 비중 상승 + 부품 매출 안정 → OPM 20%대 진입</t>
  </si>
  <si>
    <t>P4/M15X 본격 램프업</t>
  </si>
  <si>
    <t>2026년 상반기~하반기 P4·M15X 출하 확대, 장비 매출 구조적 증가</t>
  </si>
  <si>
    <t>HD-ACL, SiCN 신규 장비 성장성</t>
  </si>
  <si>
    <t>신규 증착장비 퀄 완료 → DRAM/NAND 양쪽으로 신규 매출 창출</t>
  </si>
  <si>
    <t>DRAM 전환 투자 사이클 장기화</t>
  </si>
  <si>
    <t>AI/HBM 영향으로 DRAM 투자 사이클이 길어짐 → PECVD 수요 구조적 증가</t>
  </si>
  <si>
    <t>QLC/TLC 전환투자 장기화 → 메모리사 NAND CAPEX 지속</t>
  </si>
  <si>
    <t>저평가 구간에서 멀티플 재평가</t>
  </si>
  <si>
    <t>OPM 20%대 + 매출 성장 → 동종업체 대비 PER 할인 해소 가능</t>
  </si>
  <si>
    <t>해외 팹 가동 준비에 따른 견조한 흐름</t>
  </si>
  <si>
    <t>미국·중국 신규 팹 대응 준비, 세정·코팅·세라믹스 고른 증가</t>
  </si>
  <si>
    <t>인력 확충으로 비용 부담 존재</t>
  </si>
  <si>
    <t>해외 인력 충원 및 초기 고정비 증가 영향</t>
  </si>
  <si>
    <t>미국 피닉스 법인 가동 시작</t>
  </si>
  <si>
    <t>TSMC 애리조나 팹 대응 시작, 초기 가동 비용 발생 가능</t>
  </si>
  <si>
    <t>중국 고객 매출 증가</t>
  </si>
  <si>
    <t>중국 파운드리 고객향 매출 증가로 탑라인 성장 유지</t>
  </si>
  <si>
    <t>미국 매출 본격 반영</t>
  </si>
  <si>
    <t>피닉스 법인의 매출이 본격 반영되며 외형 성장 가속</t>
  </si>
  <si>
    <t>ESC(정전척) 매출 증가</t>
  </si>
  <si>
    <t>미코세라믹스의 ESC 비중 확대 → 고마진 제품 확대</t>
  </si>
  <si>
    <t>TSMC 일본·유럽 대응 확대</t>
  </si>
  <si>
    <t>TSMC 일본·유럽 팹 확장에 맞춘 준비 진척 → 고객사 라인업 확장</t>
  </si>
  <si>
    <t>세정/코팅 안정적 성장</t>
  </si>
  <si>
    <t>고객사 신규 증설로 전체 세정/코팅 수요 증가</t>
  </si>
  <si>
    <t>해외 고객사 믹스 개선</t>
  </si>
  <si>
    <t>미국·중국·일본 고객 비중 확대로 ASP 개선</t>
  </si>
  <si>
    <t>글로벌 팹 증설 사이클 수혜</t>
  </si>
  <si>
    <t>해외 팹 본격 가동 → 연중 최고 실적 가능</t>
  </si>
  <si>
    <t>TSMC 글로벌 확장 초입</t>
  </si>
  <si>
    <t>미국·일본·유럽향 대응 확대, 해외 팹 가동 준비</t>
  </si>
  <si>
    <t>미국 피닉스 법인 가동</t>
  </si>
  <si>
    <t>TSMC 애리조나 팹 대응 시작, 초기 매출 기여 발생</t>
  </si>
  <si>
    <t>미코세라믹스 고성장</t>
  </si>
  <si>
    <t>ESC 준비·증설로 고마진 제품 성장세 강화</t>
  </si>
  <si>
    <t>세정·코팅 고객사 증설</t>
  </si>
  <si>
    <t>중국 파운드리 포함 주요 고객사의 증설로 안정적 매출 증가</t>
  </si>
  <si>
    <t>글로벌 5개 지역 동시 확장</t>
  </si>
  <si>
    <t>한국·미국·대만·중국·유럽으로 글로벌 매출 다각화</t>
  </si>
  <si>
    <t>TSMC 해외 증설 장기 수혜</t>
  </si>
  <si>
    <t>TSMC 미국·일본·유럽 팹 확대에 직접 수혜</t>
  </si>
  <si>
    <t>ESC 본격 매출 성장</t>
  </si>
  <si>
    <t>ESC는 히터 대비 고단가 → 중기 실적 레벨업 핵심</t>
  </si>
  <si>
    <t>고객사 다변화</t>
  </si>
  <si>
    <t>미국·중국 신규 고객 확보로 성장 지속</t>
  </si>
  <si>
    <t>해외 공장 정상화 → 마진 회복</t>
  </si>
  <si>
    <t>26년 이후 해외 공장 안정화로 OPM 20%대 회복 가능</t>
  </si>
  <si>
    <t>메모리 소켓 수요 호조 지속</t>
  </si>
  <si>
    <t>삼성·하이닉스 등 메모리 고객사 소켓 발주 증가, 일부 매출 4Q 이연</t>
  </si>
  <si>
    <t>R&amp;D 고객사 증가</t>
  </si>
  <si>
    <t>북미·국내 다수 고객사의 R&amp;D 테스트 소켓 발주 확대로 수요 증가</t>
  </si>
  <si>
    <t>신규 공장 가동 준비 완료</t>
  </si>
  <si>
    <t>2026 상반기 신공장 가동 직전 단계, 고객사 대응력 확대</t>
  </si>
  <si>
    <t>고객사별 테스트 보드/COK 매출 증가</t>
  </si>
  <si>
    <t>AI·ASIC용 테스트 보드 매출 증가</t>
  </si>
  <si>
    <t>실리콘 포토닉스(CPO) 수혜 본격화</t>
  </si>
  <si>
    <t>CPO 기반 광·전신호 테스트 소켓 매출 반영 시작</t>
  </si>
  <si>
    <t>북미 고객사향 CPO 샘플→양산 전환</t>
  </si>
  <si>
    <t>광 정렬·열관리 등 고난도 소켓 공급 증가</t>
  </si>
  <si>
    <t>CPO·ASIC용 소켓 매출 기여 확대</t>
  </si>
  <si>
    <t>Nvidia·Broadcom·AI ASIC 고객향 테스트 소켓 비중 확대</t>
  </si>
  <si>
    <t>대면적 소켓 매출 성장</t>
  </si>
  <si>
    <t>AI 서버·스위칭 장비용 고사양 소켓 수요 급증</t>
  </si>
  <si>
    <t>고객사 다변화 효과 확대</t>
  </si>
  <si>
    <t>북미·대만·국내 고객사 확보 → 매출 안정성 증가</t>
  </si>
  <si>
    <t>신공장 가동 효과 본격화</t>
  </si>
  <si>
    <t>생산능력 확대 → 고성장·고마진 구간 진입</t>
  </si>
  <si>
    <t>티에프이</t>
    <phoneticPr fontId="1" type="noConversion"/>
  </si>
  <si>
    <t>메모리 소켓 호황 지속</t>
  </si>
  <si>
    <t>DRAM 수요 회복 → 메모리 테스트 소켓 발주 증가</t>
  </si>
  <si>
    <t>R&amp;D 수요 확대</t>
  </si>
  <si>
    <t>북미·국내 고객사 다수 프로젝트 확대, 테스트 보드/소켓 수요 증가</t>
  </si>
  <si>
    <t>신공장 가동 준비 완료</t>
  </si>
  <si>
    <t>26년 상반기 가동 예정 → 생산능력·리드타임 개선</t>
  </si>
  <si>
    <t>고객 다변화 초입</t>
  </si>
  <si>
    <t>CPO/ASIC 고객사 다변화 진행</t>
  </si>
  <si>
    <t>CPO(실리콘 포토닉스) 수혜 본격화</t>
  </si>
  <si>
    <t>CPO 구조 특성상 고난도 테스트 소켓 필수 → 고ASP 제품 매출 확대</t>
  </si>
  <si>
    <t>북미 빅테크 고객 확대</t>
  </si>
  <si>
    <t>Nvidia·Broadcom·AI ASIC 고객향 CPO 소켓 공급 확대 가능성</t>
  </si>
  <si>
    <t>신공장 풀 가동 효과</t>
  </si>
  <si>
    <t>생산능력 증가 → 외형·수익성 동시 개선</t>
  </si>
  <si>
    <t>AI 인터커넥트 고도화 수혜</t>
  </si>
  <si>
    <t>AI 가속기·스위치 ASIC 수요 증가 → 테스트 소켓 구조적 수요 상승</t>
  </si>
  <si>
    <t>대면적·고주파 소켓 시장 성장</t>
  </si>
  <si>
    <t>AI 서버/네트워크 장비용 대면적 테스트 소켓 채택 증가</t>
  </si>
  <si>
    <t>Poly 중심 고성장 지속</t>
  </si>
  <si>
    <t>SK하이닉스 M15X 양산 확대, 국내·해외 고객사 발주 증가</t>
  </si>
  <si>
    <t>고마진 비중 확대</t>
  </si>
  <si>
    <t>Poly 비중 증가로 OPM 30%대 유지, 비용구조 개선 지속</t>
  </si>
  <si>
    <t>DRAM 전환 투자 반영</t>
  </si>
  <si>
    <t>하이닉스 1b/1c 전환 라인용 Poly·부품 매출 반영 시작</t>
  </si>
  <si>
    <t>NAND 전환/패키징 일부 반영</t>
  </si>
  <si>
    <t>NAND V9 전환 영향으로 일부 패키징 소재 매출 증가</t>
  </si>
  <si>
    <t>DRAM/HBM 투자 본격화</t>
  </si>
  <si>
    <t>M15X + HBM 캐파 증설 효과가 매출로 본격 반영되는 구간</t>
  </si>
  <si>
    <t>Poly·부품 제품 Mix 개선</t>
  </si>
  <si>
    <t>Poly 고성장 유지, Metal·기타 부품도 증가</t>
  </si>
  <si>
    <t>고객 확장 효과 가속</t>
  </si>
  <si>
    <t>SK하이닉스 중심에서 삼성·중국향 발주 증가 가능성</t>
  </si>
  <si>
    <t>DRAM/HBM 투자 피크</t>
  </si>
  <si>
    <t>DRAM/HBM 전환 및 증설로 YoY 고성장 구간 지속</t>
  </si>
  <si>
    <t>최대 실적 구간</t>
  </si>
  <si>
    <t>26년 연중 가장 높은 매출·영업이익 예상</t>
  </si>
  <si>
    <t>Poly 중심 구조적 성장 유지</t>
  </si>
  <si>
    <t>Poly 고성장 + Metal/기타 회복 → 수익성 최고점 구간</t>
  </si>
  <si>
    <t>브이엠</t>
    <phoneticPr fontId="1" type="noConversion"/>
  </si>
  <si>
    <t>Poly 중심 고성장</t>
  </si>
  <si>
    <t>HBM/DRAM용 Poly 발주 증가, M15X 중심 물량 확대</t>
  </si>
  <si>
    <t>SK하이닉스 투자 수혜 극대화</t>
  </si>
  <si>
    <t>SK하이닉스 DRAM/HBM 투자 증가로 업체 최초 퀀텀점프 구간</t>
  </si>
  <si>
    <t>비용구조 개선</t>
  </si>
  <si>
    <t>고정비 효율, Poly 비중 증가 → OPM 30%대 유지</t>
  </si>
  <si>
    <t>전장·패키징 추가 성장</t>
  </si>
  <si>
    <t>NAND V9 전환 및 패키징향 소재 일부 반영</t>
  </si>
  <si>
    <t>DRAM/HBM 투자 사이클의 핵심 수혜</t>
  </si>
  <si>
    <t>26년은 DRAM/HBM 투자가 최대치 → Poly 수요 폭발</t>
  </si>
  <si>
    <t>M15X→1c→HBM으로 이어지는 구조적 캡엑스 사이클</t>
  </si>
  <si>
    <t>삼성·SK·중국 고객사로 확장 가능성</t>
  </si>
  <si>
    <t>제품 Mix 개선 효과 지속</t>
  </si>
  <si>
    <t>Poly + Metal + 기타 부품의 균형적 증가</t>
  </si>
  <si>
    <t>미국·중국 매출 확대 가능성</t>
  </si>
  <si>
    <t>해외 고객사 비중 증가로 ASP 및 매출 안정성 상승</t>
  </si>
  <si>
    <t>업계 평균 이상의 영업레버리지</t>
  </si>
  <si>
    <t>’26년 OPM 30% 내외 → 장비·소재주 중</t>
  </si>
  <si>
    <t>삼성전기</t>
    <phoneticPr fontId="1" type="noConversion"/>
  </si>
  <si>
    <t>MLCC·FC-BGA 수요 견조</t>
  </si>
  <si>
    <t>비수기에도 AI 서버·전장향 수요 + 환율 우호로 실적 상향</t>
  </si>
  <si>
    <t>FC-BGA 신규 고객 추가</t>
  </si>
  <si>
    <t>기존 고객 차기 모델 준비 + 신규 고객사 확보 구간</t>
  </si>
  <si>
    <t>AI 서버 MLCC 수요 확대</t>
  </si>
  <si>
    <t>고용량·고정전 MLCC 비중 증가 → 믹스 개선</t>
  </si>
  <si>
    <t>FC-BGA 생산량 증가 시작</t>
  </si>
  <si>
    <t>AI 가속기향 FC-BGA 고객향 초기 물량 증가</t>
  </si>
  <si>
    <t>FC-BGA 가동률 급증</t>
  </si>
  <si>
    <t>고객사 차기 모델 생산 본격화 → 가동률 80~90% 수준 도달</t>
  </si>
  <si>
    <t>MLCC 믹스 개선 가속</t>
  </si>
  <si>
    <t>IT 비중 감소, 전장/산업용 비중 증가로 ASP·마진 개선</t>
  </si>
  <si>
    <t>MLCC 공급 타이트 구간 진입</t>
  </si>
  <si>
    <t>AI Capex 지속 → MLCC 쇼티지 가능성 언급</t>
  </si>
  <si>
    <t>고사양 FC-BGA 수요 확대</t>
  </si>
  <si>
    <t>AI 가속기·서버용 대면적·고다층 기판 수요 상승</t>
  </si>
  <si>
    <t>MLCC·기판 동반 피크 아웃</t>
  </si>
  <si>
    <t>산업·전장 MLCC 고성장 + FC-BGA 풀캐파 근접</t>
  </si>
  <si>
    <t>AI 부품 구조적 성장 확인</t>
  </si>
  <si>
    <t>Glass substrate·실리콘캐패시터 등 차세대 플랫폼 가시성 확대</t>
  </si>
  <si>
    <t>AI 서버향 MLCC 수요 급증</t>
  </si>
  <si>
    <t>고용량·고정전 MLCC 채용 증가, 산업/전장 비중 확대</t>
  </si>
  <si>
    <t>FC-BGA 신규 고객 확보</t>
  </si>
  <si>
    <t>AI 가속기 고객향 물량 초기 진입, 26년 본격 램프업 직전 구간</t>
  </si>
  <si>
    <t>환율 우호 환경</t>
  </si>
  <si>
    <t>원·달러 강세→MLCC·기판 마진 개선</t>
  </si>
  <si>
    <t>IT 향 비중 축소의 긍정 효과</t>
  </si>
  <si>
    <t>IT 부진 영향 축소 → 서버·전장 믹스 덕분에 실적 방어력 상승</t>
  </si>
  <si>
    <t>FC-BGA 풀캐파 사이클 진입</t>
  </si>
  <si>
    <t>2Q26 이후 고다층·대면적 기판 수요 급증 → 27년까지 사실상 완판</t>
  </si>
  <si>
    <t>MLCC 쇼티지 가능성</t>
  </si>
  <si>
    <t>AI Capex 지속 → IT/전장/산업 MLCC 모두 수요 과열 가능성</t>
  </si>
  <si>
    <t>Glass Substrate 진입 가능성</t>
  </si>
  <si>
    <t>차세대 AI 패키징 수요 증가 → 신규 사업의 장기 성장 모멘텀</t>
  </si>
  <si>
    <t>전장·산업용 MLCC 비중 확대</t>
  </si>
  <si>
    <t>IT 중심에서 AI·전장 중심의 구조적 체력 개선(고마진 체질)</t>
  </si>
  <si>
    <t>TSMC·Intel 고객 확대 수혜</t>
  </si>
  <si>
    <t>서버·AI 기판 시장 확장 → FC-BGA·T-Glass ASP/층수 증가</t>
  </si>
  <si>
    <t>한솔케미칼</t>
    <phoneticPr fontId="1" type="noConversion"/>
  </si>
  <si>
    <t>DRAM·파운드리 가동률 회복 시작</t>
  </si>
  <si>
    <t>SK하이닉스 M15X·삼성 P4 초기 램프업 영향으로 과산화수소·UHP 소재 수요 회복</t>
  </si>
  <si>
    <t>이차전지 바인더 출하 증가</t>
  </si>
  <si>
    <t>국내 신규 고객향 출하 확대, 신규 품목 양산 본격화</t>
  </si>
  <si>
    <t>DRAM 전환투자 반영 확대</t>
  </si>
  <si>
    <t>1b·1c 전환 및 M15X 풀가동 → 습식공정용 과산화수소/TEOS/기타 화학 소재 증가</t>
  </si>
  <si>
    <t>삼성 파운드리 가동률 개선 효과</t>
  </si>
  <si>
    <t>5·4·3nm 라인 가동률 상승 → 고순도 GAS/습식소재 매출 증가</t>
  </si>
  <si>
    <t>DRAM/HBM 투자 피크 초입</t>
  </si>
  <si>
    <t>HBM 캐파 증설 영향으로 초고순도 소재 수요 급증</t>
  </si>
  <si>
    <t>해외 고객(美·中) 매출 증가</t>
  </si>
  <si>
    <t>UHP 과산화수소·특수가스 해외 판매 증가</t>
  </si>
  <si>
    <t>DRAM 공급 타이트 → 화학소재 수요 최대</t>
  </si>
  <si>
    <t>SK·삼성 DRAM 증설 가속 → 소재 공급 부족 구간 진입 가능</t>
  </si>
  <si>
    <t>이차전지 바인더 성장 가속</t>
  </si>
  <si>
    <t>신규 고객 양산 확대, 유럽/북미향 초기 공급 확대 가능</t>
  </si>
  <si>
    <t>연중 최고 실적 전망</t>
  </si>
  <si>
    <t>DRAM/HBM+파운드리+2차전지 3대 축이 모두 고성장</t>
  </si>
  <si>
    <t>매출 1조원 시대 본격화</t>
  </si>
  <si>
    <t>고객사 CAPEX 효과 최대로 반영되는 시점</t>
  </si>
  <si>
    <t>DRAM 업황 회복에 따른 소재 수요 증가</t>
  </si>
  <si>
    <t>M15X·P4 신규 가동, DRAM 전환 투자 본격화</t>
  </si>
  <si>
    <t>이차전지 바인더 신규 고객 확보</t>
  </si>
  <si>
    <t>국내 신규 고객 출하 증가 + 신규 품목 양산</t>
  </si>
  <si>
    <t>파운드리 가동률 반등 효과</t>
  </si>
  <si>
    <t>삼성 파운드리 가동률 개선 → 고순도 습식/가스 소재 수요 증가</t>
  </si>
  <si>
    <t>해외 매출 증가 전조</t>
  </si>
  <si>
    <t>미국·중국 고객향 소재 매출 증가 초기 신호</t>
  </si>
  <si>
    <t>DRAM/HBM 사이클 최대 수혜</t>
  </si>
  <si>
    <t>DRAM 공급 부족 → 습식공정 중심 초고순도 소재 수요 폭발</t>
  </si>
  <si>
    <t>삼성·SK 가동률 상승의 구조적 수혜</t>
  </si>
  <si>
    <t>P4, M15X 중심 대규모 증설 → 소재 사용량 지속 증가</t>
  </si>
  <si>
    <t>글로벌 고객사 확대</t>
  </si>
  <si>
    <t>미국·중국 파운드리/메모리향 매출 확대</t>
  </si>
  <si>
    <t>이차전지 바인더 구조적 성장</t>
  </si>
  <si>
    <t>신규 고객사 확보 + 신규 아이템 확장 → 화학 부문 두 번째 성장축</t>
  </si>
  <si>
    <t>영업이익률 20%대 중반 복귀</t>
  </si>
  <si>
    <t>DRAM·파운드리·2차전지 삼중 성장 → 26년 OPM 22~23%</t>
  </si>
  <si>
    <t>가동률 80% 근접, 원재료 안정화</t>
  </si>
  <si>
    <t>금·구리 가격 하향 안정화 → 수익성 회복, MCP/GDDR 기판 수요 유지</t>
  </si>
  <si>
    <t>GDDR7 매출 본격화</t>
  </si>
  <si>
    <t>일본 자회사 공정 전환 완료 → GDDR7 전분기 대비 +15% 성장</t>
  </si>
  <si>
    <t>MCP·LPDDR 출하 강세 지속</t>
  </si>
  <si>
    <t>고객사 재고 낮음 → MCP/LPDDR 주문 지속, 가동률 80%대 유지</t>
  </si>
  <si>
    <t>SOCAMM·AI 가속기향 확대 초기</t>
  </si>
  <si>
    <t>LPDDR·GDDR의 적용처가 SOCAMM 및 AI 가속기로 확장</t>
  </si>
  <si>
    <t>고부가 기판구조 본격 성장</t>
  </si>
  <si>
    <t>OEM 서버·SSD 컨트롤러·SiP·FC-CSP 수요 증가, 고부가 비중↑</t>
  </si>
  <si>
    <t>GDDR7 + 서버용 고층기판 확대</t>
  </si>
  <si>
    <t>서버·버퍼칩향 패키지기판 매출 증가</t>
  </si>
  <si>
    <t>가동률 90% 진입 예상</t>
  </si>
  <si>
    <t>고객사 재고 최소화 전략 지속 → 긴급 주문 증가</t>
  </si>
  <si>
    <t>수주잔고 상승 유지</t>
  </si>
  <si>
    <t>수주금액 월 1억달러 수준 유지 → 분기 성장 가시적</t>
  </si>
  <si>
    <t>연간 실적 최고 구간</t>
  </si>
  <si>
    <t>HBM·GDDR7·고부가 패키지기판 믹스 개선</t>
  </si>
  <si>
    <t>일본 자회사 턴어라운드 완성</t>
  </si>
  <si>
    <t>적자 → 이익 전환으로 전체 영업레버리지 확대</t>
  </si>
  <si>
    <t>심텍</t>
    <phoneticPr fontId="1" type="noConversion"/>
  </si>
  <si>
    <t>가동률 상승 + 원재료 안정화</t>
  </si>
  <si>
    <t>금·구리 가격 안정 → 수익성 회복, 고객 재고 낮아 주문 강함</t>
  </si>
  <si>
    <t>GDDR7 매출 증가</t>
  </si>
  <si>
    <t>일본 자회사 공정 전환 완료 → 고부가 기판 판매 본격 반영</t>
  </si>
  <si>
    <t>MCP·LPDDR 강세</t>
  </si>
  <si>
    <t>MCP q-q +19%, LPDDR 점유율 40% 유지</t>
  </si>
  <si>
    <t>SSD·서버용 기판 회복</t>
  </si>
  <si>
    <t>SSD 컨트롤러·서버 버퍼칩 수요 증가</t>
  </si>
  <si>
    <t>SOCAMM·AI 가속기 수요 본격화</t>
  </si>
  <si>
    <t>LPDDR/GDDR 적용처 확대 → 중장기 성장축</t>
  </si>
  <si>
    <t>고부가 기판 믹스 개선</t>
  </si>
  <si>
    <t>FC-CSP, SiP, 서버·컨트롤러향 매출 증가</t>
  </si>
  <si>
    <t>가동률 90% 진입 + 영업레버리지</t>
  </si>
  <si>
    <t>고객 재고 최소화 → 긴급 발주 증가, 마진 개선 속도↑</t>
  </si>
  <si>
    <t>일본 자회사 정상화 효과</t>
  </si>
  <si>
    <t>적자 축소 → 26년 흑자 전환 → 그룹 전체 OPM 확대</t>
  </si>
  <si>
    <t>수주잔고 구조적 증가</t>
  </si>
  <si>
    <t>수주금액 9천만~1억달러/월 → 안정적 성장 기반</t>
  </si>
  <si>
    <t>삼성·하이닉스 그린필드 투자 시작</t>
  </si>
  <si>
    <t>PR Strip + New Hard Mask Strip + Bevel Etch 매출 증가</t>
  </si>
  <si>
    <t>북미(마이크론 포함) 수주 매출 전환</t>
  </si>
  <si>
    <t>북미 고객향 수주가 본격 매출 인식 구간</t>
  </si>
  <si>
    <t>DRAM·NAND 선단공정 투자 확산</t>
  </si>
  <si>
    <t>1c·1b DRAM 전환 + NAND 미세화 가속 → Strip 장비 수요 증가</t>
  </si>
  <si>
    <t>북미향 점유율 상승 효과 지속</t>
  </si>
  <si>
    <t>미국 내 경쟁사(맷슨) 제재 영향 → 점유율 41%까지 상승</t>
  </si>
  <si>
    <t>삼성·SK 신규 Fab 투자 확대</t>
  </si>
  <si>
    <t>Strip/Bevel Etch 출하 증가 + 신규 고객 탑재 확대</t>
  </si>
  <si>
    <t>북미 Fab 투자(리쇼어링) 수혜 확대</t>
  </si>
  <si>
    <t>인텔·TSMC·삼성 미국 Fab Capex 증가 → 장비 공급 기회 확대</t>
  </si>
  <si>
    <t>수주잔고 증가 → 가동률 상승</t>
  </si>
  <si>
    <t>다양한 IDM으로 고객 다변화, DRAM/NAND/파운드리 전방 확대</t>
  </si>
  <si>
    <t>Strip 외 신제품 매출 확대</t>
  </si>
  <si>
    <t>New Hard Mask Strip/Bevel Etch 회복 지속</t>
  </si>
  <si>
    <t>연간 실적 최고치 구간</t>
  </si>
  <si>
    <t>DRAM·NAND·파운드리 동반 호황 + 북미 점유율 상승 효과</t>
  </si>
  <si>
    <t>글로벌 고객 풀 완성</t>
  </si>
  <si>
    <t>국내 DRAM 3사 + 글로벌 파운드리 3사까지 고객 확보 가능성</t>
  </si>
  <si>
    <t>피에스케이</t>
    <phoneticPr fontId="1" type="noConversion"/>
  </si>
  <si>
    <t>그린필드 투자 시작</t>
  </si>
  <si>
    <t>삼성·SK 신규 Fab → Strip/HM Strip/Bevel Etch 공급 증가</t>
  </si>
  <si>
    <t>북미향 매출 전환 시작</t>
  </si>
  <si>
    <t>마이크론·기타 북미 Fab 향 수주 인식 시작</t>
  </si>
  <si>
    <t>경쟁사 제재 → 점유율 상승</t>
  </si>
  <si>
    <t>맷슨 테크놀로지 제재 → PSK 점유율 38%→41%로 반등</t>
  </si>
  <si>
    <t>리쇼어링 최대 수혜 장비사</t>
  </si>
  <si>
    <t>인텔·TSMC·삼성 미국 Fab 투자 확대 → 신규 고객 확보 가능성↑</t>
  </si>
  <si>
    <t>DRAM·NAND 선단공정 구조적 확장</t>
  </si>
  <si>
    <t>1b→1c→1γ 전환 및 NAND 미세화 → Strip 장비 지속 증가</t>
  </si>
  <si>
    <t>전공정 장비 내 독보적 고객 풀</t>
  </si>
  <si>
    <t>국내 DRAM 3사 + 글로벌 파운드리 3사 고객 확보 가능성</t>
  </si>
  <si>
    <t>신규 장비 성장 사이클</t>
  </si>
  <si>
    <t>New Hard Mask Strip·Bevel Etch 매출 성장 재개</t>
  </si>
  <si>
    <t>점유율 상승에 따른 실적 레벨업</t>
  </si>
  <si>
    <t>북미 중심 시장 점유율 확대 → 실적 추정 상향 여력 충분</t>
  </si>
  <si>
    <t>샘씨엔에스</t>
    <phoneticPr fontId="1" type="noConversion"/>
  </si>
  <si>
    <t>NAND 공정전환 + DRAM STF 공급 증가</t>
  </si>
  <si>
    <t>S사·H사 NAND 공정전환 물량 확대, DRAM·HBM용 STF 공급 증가</t>
  </si>
  <si>
    <t>마이크론향 DRAM/HBM STF 확대</t>
  </si>
  <si>
    <t>JEM → Micron 경로 공급 지속 증가, 해외 DRAM 고객 매출 확대</t>
  </si>
  <si>
    <t>DRAM STF 고성장 지속</t>
  </si>
  <si>
    <t>DRAM STF YoY +80% 수준 예상, 국내 Probe Card 업체향 공급 증가</t>
  </si>
  <si>
    <t>NAND·DRAM 고객 다변화 지속</t>
  </si>
  <si>
    <t>KIOXIA·CXMT 등 추가 고객 확보, 지역별 매출 확대</t>
  </si>
  <si>
    <t>HBM용 Probe Card STF 공급 개시</t>
  </si>
  <si>
    <t>T사(글로벌 비메모리 Probe Card 선두) HBM용 STF 공급 시작</t>
  </si>
  <si>
    <t>고객사 믹스 개선 → ASP 상승</t>
  </si>
  <si>
    <t>DRAM/HBM 비중 확대 → 고부가 제품 비중↑</t>
  </si>
  <si>
    <t>DRAM+HBM 수요 본격 반영</t>
  </si>
  <si>
    <t>서버/AI 가속기 DRAM 테스트 증가 → Probe Card STF 출하 확대</t>
  </si>
  <si>
    <t>국내 Probe Card 고객사 증설 효과</t>
  </si>
  <si>
    <t>S사·TSE 등 국내 Probe Card 고객들의 생산 CAPA 확대 영향</t>
  </si>
  <si>
    <t>HBM STF 본격 매출화</t>
  </si>
  <si>
    <t>HBM Probe Card 시장 개화 → 세라믹 STF 고성장 구간</t>
  </si>
  <si>
    <t>연간 실적 최고치 구간 진입</t>
  </si>
  <si>
    <t>매출·OPM 모두 고점 구간 도달 가능성</t>
  </si>
  <si>
    <t>NAND 공정전환 물량 증가</t>
  </si>
  <si>
    <t>S사·H사 중심 NAND 공정전환 CAPA 확대 → STF 출하 증가</t>
  </si>
  <si>
    <t>DRAM STF 매출 2024→2025 +62.8%, 2025→2026 +41% 전망</t>
  </si>
  <si>
    <t>마이크론향 확대</t>
  </si>
  <si>
    <t>JEM(일본) → Micron DRAM/HBM용 STF 공급 매년 확대</t>
  </si>
  <si>
    <t>국내 Probe Card 고객 증설</t>
  </si>
  <si>
    <t>Korea PC 업체(테스·TSE·KS 등) 증설로 출하 증가</t>
  </si>
  <si>
    <t>HBM Probe Card STF 시장 개화</t>
  </si>
  <si>
    <t>2026년 글로벌 T사 HBM Probe Card 생산 → 동사 STF 적용 확정</t>
  </si>
  <si>
    <t>DRAM → HBM 구조적 전환 서버·AI 모멘텀</t>
  </si>
  <si>
    <t>DRAM·HBM 수요 증가 → Probe Card 테스트 물량 급증</t>
  </si>
  <si>
    <t>글로벌 고객 다변화</t>
  </si>
  <si>
    <t>Intel·Micron·KIOXIA·CXMT·국내 고객 등 글로벌 밸류체인 확보</t>
  </si>
  <si>
    <t>세라믹 STF 시장 점유율 확대</t>
  </si>
  <si>
    <t>세계 시장 점유율 37% 이상 → 글로벌 No.1 기반 강화</t>
  </si>
  <si>
    <t>2026~2028 영업레버리지 완성</t>
  </si>
  <si>
    <t>OP 2025 129억 → 2026 162억 → 2027 196억 구조적 성장</t>
  </si>
  <si>
    <t>AI Worker 실증 확대</t>
  </si>
  <si>
    <t>CJ대한통운 물류센터 등 B2B 실증 확대, 고마진 액추에이터 출하 증가</t>
  </si>
  <si>
    <t>마진 구조 개선</t>
  </si>
  <si>
    <t>GPM 70%대 진입, 해외 고객사 발주 증가(수출 76%)</t>
  </si>
  <si>
    <t>액추에이터 출하 증가</t>
  </si>
  <si>
    <t>Q 중심 성장 본격화, 피지컬AI 초기 고객 확대</t>
  </si>
  <si>
    <t>AI Worker 초기 매출 기여</t>
  </si>
  <si>
    <t>물류 기반 업무 로봇 활용 증가, 데이터 수집 단계 진행</t>
  </si>
  <si>
    <t>데이터팩토리 본가동</t>
  </si>
  <si>
    <t>우즈베키스탄 데이터팩토리 1단계 운영 개시 → AI 행동데이터 확보</t>
  </si>
  <si>
    <t>수익성 개선(OPM 8%)</t>
  </si>
  <si>
    <t>규모의 경제 초기 반영, 액추에이터 제품 믹스 개선</t>
  </si>
  <si>
    <t>AI Worker 상용화 확대</t>
  </si>
  <si>
    <t>로봇 핸드/팔 적용 수 증가(22개→60개), 글로벌 기업과 협업 확대</t>
  </si>
  <si>
    <t>해외 매출 정상화</t>
  </si>
  <si>
    <t>수출 비중 77% 예상, 대형 고객사 수요 회복</t>
  </si>
  <si>
    <t>OPM 28% 도달 전망</t>
  </si>
  <si>
    <t>규모의 경제 풀반영, 액추에이터·AI Worker 양쪽 성장</t>
  </si>
  <si>
    <t>CAPA 증설 효과 가시화</t>
  </si>
  <si>
    <t>생산능력 증설(30만→210~300만대) 준비 완료</t>
  </si>
  <si>
    <t>고마진 액추에이터 성장</t>
  </si>
  <si>
    <t>해외 고객 중심 출하 증가, GPM 70% 유지</t>
  </si>
  <si>
    <t>B2B 기업 실증 증가(CJ대한통운 등), 초기 매출 기여 시작</t>
  </si>
  <si>
    <t>정부 로봇 정책 수혜</t>
  </si>
  <si>
    <t>국내 피지컬 AI·산업 로봇 도입 정책 강화</t>
  </si>
  <si>
    <t>데이터팩토리 본격화</t>
  </si>
  <si>
    <t>AI 행동 데이터 축적 → 소프트웨어·서비스 수익 창출</t>
  </si>
  <si>
    <t>AI Worker 상용화 가속</t>
  </si>
  <si>
    <t>핸드·팔 액추에이터 수 증가로 매출 탄력 확대</t>
  </si>
  <si>
    <t>글로벌 고객 확대</t>
  </si>
  <si>
    <t>미·일·중 로봇/AI 기업향 매출 증가</t>
  </si>
  <si>
    <t>대규모 CAPA 증설 효과</t>
  </si>
  <si>
    <t>CAPA 30만 → 210~300만대로 확대 → Q 성장 본격화</t>
  </si>
  <si>
    <t>영업레버리지 극대화</t>
  </si>
  <si>
    <t>OPM 28% 전망, 2026~2027 실적 급성장 사이클</t>
  </si>
  <si>
    <t>코스피 이전 상장 모멘텀 강화</t>
  </si>
  <si>
    <t>기술성평가 통과 기반으로 기업가치 재평가 가능</t>
  </si>
  <si>
    <t>ALT-B4 신규 임상 파트너 확대</t>
  </si>
  <si>
    <t>면역항암제·자가면역질환 SC 제형 전환 수요 증가</t>
  </si>
  <si>
    <t>Keytruda SC 글로벌 확산 시작</t>
  </si>
  <si>
    <t>유럽·일본 승인 가능성 증가 → 로열티 초기 인식 시점 진입</t>
  </si>
  <si>
    <t>아일리아 바이오시밀러 허가 준비</t>
  </si>
  <si>
    <t>임상 3상 결과 기반, 상업화 일정 명확화</t>
  </si>
  <si>
    <t>로열티 인식 증가 구간</t>
  </si>
  <si>
    <t>키트루다 SC 침투율 확대 → 분기 단위 로열티 가시성 상승</t>
  </si>
  <si>
    <t>ADC·면역항암제 SC 제형 확대</t>
  </si>
  <si>
    <t>빅파마 파이프라인 다수에서 ALT-B4 적용 증가</t>
  </si>
  <si>
    <t>머크·AZ·다이이치산쿄 프로젝트 진척</t>
  </si>
  <si>
    <t>마일스톤 인식 가능성이 가장 높은 구간</t>
  </si>
  <si>
    <t>추가 L/O 가능성 높은 시점</t>
  </si>
  <si>
    <t>SC 플랫폼 수요 확대 → 신규 기술이전 1~2건 추가 가능</t>
  </si>
  <si>
    <t>추가 L/O 모멘텀 가장 강한 구간</t>
  </si>
  <si>
    <t>SC 제형 수요 증가로 빅파마와 계약 가능성 확대</t>
  </si>
  <si>
    <t>키트루다 SC 출시 효과</t>
  </si>
  <si>
    <t>키트루다 SC 미국 승인 → 초기 처방 증가 → 플랫폼 가치 상승</t>
  </si>
  <si>
    <t>코스피 이전 상장 기대감</t>
  </si>
  <si>
    <t>밸류에이션 재평가 + 기관 수급 확대 가능성</t>
  </si>
  <si>
    <t>IRA(미국 약가 규제) 수혜</t>
  </si>
  <si>
    <t>약가 인하 회피 위해 SC 제형 채택 증가 → ALT-B4 수요 강화</t>
  </si>
  <si>
    <t>키트루다 SC 로열티 본격 반영</t>
  </si>
  <si>
    <t>2027~2028년 로열티 급증 구간, 연 1조원 규모 가능성</t>
  </si>
  <si>
    <t>ADC·면역항암제 SC 제형 확장</t>
  </si>
  <si>
    <t>고용량 약물에서 SC 전환 가속 → 기술이전 수 증가</t>
  </si>
  <si>
    <t>할로자임 특허 만료(2030) 수혜</t>
  </si>
  <si>
    <t>Hybrozyme이 글로벌 대체 플랫폼으로 자리 잡는 구조</t>
  </si>
  <si>
    <t>바이오시밀러 상업화 본격화</t>
  </si>
  <si>
    <t>아일리아·허셉틴 등 상업화 → 안정적 매출원 확보</t>
  </si>
  <si>
    <t>플랫폼 사업 확장성 증가</t>
  </si>
  <si>
    <t>NexP·NexMab 기반 신규 파이프라인 호조 → 장기 성장 동력</t>
  </si>
  <si>
    <t>VRN11 확증 데이터 공개(ANE/ESMO Asia)</t>
  </si>
  <si>
    <t>EGFR C797S 환자 4명 중 3명 PR, CNS 병변 소실·축소 확인</t>
  </si>
  <si>
    <t>BBB 투과 임상 데이터 확보</t>
  </si>
  <si>
    <t>CSF 농도 혈중 대비 2배 → 플랫폼 경쟁력 증명</t>
  </si>
  <si>
    <t>VRN07 1b 초기 결과 반영</t>
  </si>
  <si>
    <t>exon20ins 단독요법 안전성+효능 초도 데이터</t>
  </si>
  <si>
    <t>VRN10 HER2 초기 임상 업데이트</t>
  </si>
  <si>
    <t>안전성 양호, 종양 크기 감소 데이터 확정</t>
  </si>
  <si>
    <t>VRN11 확장코호트 데이터 강화</t>
  </si>
  <si>
    <t>DCR·PR 비율 확대, 독성 안정성 추가 확인</t>
  </si>
  <si>
    <t>해외 기술이전 논의 가속</t>
  </si>
  <si>
    <t>BBB 투과 플랫폼 수요 증가로 BD 논의 속도 증가</t>
  </si>
  <si>
    <t>VRN11 병용요법 개시 가능성</t>
  </si>
  <si>
    <t>병용 시너지 데이터 준비 → 가치 재평가 구간</t>
  </si>
  <si>
    <t>VRN07 글로벌 공동연구 추진</t>
  </si>
  <si>
    <t>중국 제외 전 지역 권리 활용 협상 발생</t>
  </si>
  <si>
    <t>대규모 기술이전(L/O) 가능 구간</t>
  </si>
  <si>
    <t>VRN11·VRN07·VRN10 중 1~2건 L/O 가능성 가장 높음</t>
  </si>
  <si>
    <t>임상단계 포트폴리오 확대</t>
  </si>
  <si>
    <t>추가 변이군/NCS 전이 대상 코호트 확장</t>
  </si>
  <si>
    <t>VRN11 확증 데이터 모멘텀 극대화</t>
  </si>
  <si>
    <t>C797S·CNS 동시 타깃 결과 우수 → 글로벌 기술이전 기대 증가</t>
  </si>
  <si>
    <t>BBB 투과 플랫폼 가치 상승</t>
  </si>
  <si>
    <t>CSF 농도 혈중 대비 2배 → CNS 전이 시장 독점적 진입 가능</t>
  </si>
  <si>
    <t>VRN07·VRN10 초기 임상 성과</t>
  </si>
  <si>
    <t>안전성 우수 + 초기 항암효과 확인으로 멀티 파이프라인 모멘텀 확보</t>
  </si>
  <si>
    <t>대규모 글로벌 L/O 가능성 확대</t>
  </si>
  <si>
    <t>VRN11 중심으로 빅파마 협상 본격화, 플랫폼 전체 가치 상승</t>
  </si>
  <si>
    <t>VRN11 병용요법 확장</t>
  </si>
  <si>
    <t>EGFR 표적 항암제들과 병용 → 더 큰 시장 진입</t>
  </si>
  <si>
    <t>VRN07 글로벌 시장 진출</t>
  </si>
  <si>
    <t>exon20ins 영역 경쟁 약물 대비 안전성 우위, 중국 제외 전지역 권리</t>
  </si>
  <si>
    <t>VRN10 HER2 변이 시장에서 차별성</t>
  </si>
  <si>
    <t>기존 HER2 표적 약물 대비 안전성 우위로 대체 가능성</t>
  </si>
  <si>
    <t>BBB 플랫폼 기반 신규 파이프라인 확장</t>
  </si>
  <si>
    <t>CNS 전이 암 치료제 시장 내 장기 성장 구조 확보</t>
  </si>
  <si>
    <t>플랫폼 가치 재평가 구간</t>
  </si>
  <si>
    <t>릴리·GSK 계약 확대 기대, Grabody-B 적용 파이프라인 증가</t>
  </si>
  <si>
    <t>ABL001 중간 데이터 업데이트</t>
  </si>
  <si>
    <t>담도암 ORR·PFS 개선 가능성 지속 확인</t>
  </si>
  <si>
    <t>ABL001 2/3상 주요 데이터 발표</t>
  </si>
  <si>
    <t>OS·PFS 공개, FDA 가속승인 논의 본격화</t>
  </si>
  <si>
    <t>ABL111 1b 반응률 업데이트</t>
  </si>
  <si>
    <t>ORR 70%대 유지 시 Grabody-T 플랫폼 재평가</t>
  </si>
  <si>
    <t>ABL111 글로벌 1상 결과 공개</t>
  </si>
  <si>
    <t>안전성, RP2D 확정, 병용 확장 가능성</t>
  </si>
  <si>
    <t>ADC 파이프라인 IND 가시화</t>
  </si>
  <si>
    <t>ABL206·ABL209 글로벌 임상 진입 준비</t>
  </si>
  <si>
    <t>ADC 파이프라인 글로벌 1상 진입</t>
  </si>
  <si>
    <t>백금저항성 고형암 대상 PoC 시작</t>
  </si>
  <si>
    <t>신규 파트너십 논의 확대</t>
  </si>
  <si>
    <t>플랫폼 다중 계약 기대감 증가</t>
  </si>
  <si>
    <t>ABL001 가속승인 신청 가능 구간</t>
  </si>
  <si>
    <t>FDA 제출 준비, 허가 모멘텀 극대화</t>
  </si>
  <si>
    <t>플랫폼 계약(다중 L/O) 모멘텀 상승</t>
  </si>
  <si>
    <t>Sanofi·GSK·Lilly 후속 후보 도출 기대</t>
  </si>
  <si>
    <t>ABL001 2/3상 결과 기대감 최고조</t>
  </si>
  <si>
    <t>PFS·OS 개선 시 FDA 가속승인 가능성 상승</t>
  </si>
  <si>
    <t>ABL111 ORR 70%대 기반 플랫폼 재평가</t>
  </si>
  <si>
    <t>4-1BB 기반 이중항체에 대한 글로벌 관심 증가</t>
  </si>
  <si>
    <t>릴리·GSK 플랫폼 계약 신뢰도 상승</t>
  </si>
  <si>
    <t>반복적 L/O 구조 확립 → 기업가치 방어력 증가</t>
  </si>
  <si>
    <t>충분한 현금으로 임상 가속 가능</t>
  </si>
  <si>
    <t>릴리 지분 투자 및 계약금으로 800억대 현금 확보</t>
  </si>
  <si>
    <t>Grabody-B 플랫폼 확장</t>
  </si>
  <si>
    <t>ASO·siRNA·Aβ 등 CNS 적응증 확장으로 시장 확대</t>
  </si>
  <si>
    <t>Sanofi ABL301 글로벌 2상 진입</t>
  </si>
  <si>
    <t>대형 파트너 주도 신약개발로 가치 상승</t>
  </si>
  <si>
    <t>ADC 파이프라인 글로벌 임상 본격화</t>
  </si>
  <si>
    <t>ABL206·209 PoC 나오면 밸류에이션 상향</t>
  </si>
  <si>
    <t>누적 L/O 10조 기반 구조적 성장</t>
  </si>
  <si>
    <t>Genmab형 반복 계약 구조 → 장기 매출 기반 확보</t>
  </si>
  <si>
    <t>BBB·4-1BB 플랫폼 동시 보유 시너지</t>
  </si>
  <si>
    <t>경쟁사 대비 기술 포트폴리오 차별화</t>
  </si>
  <si>
    <t>World ADC 2025 수상으로 플랫폼 재평가</t>
  </si>
  <si>
    <t>ConjuALL가 Best ADC Platform Technology·Most Promising ADC to Watch 수상, 글로벌 ADC 플랫폼 인지도·신뢰도 급상승</t>
  </si>
  <si>
    <t>LCB14·LCB71 초기 임상 데이터로 PoC 확보</t>
  </si>
  <si>
    <t>IKS014(LCB14) 1a 중간 결과에서 Post-Enhertu 가능성, LCB71 ROR1 ADC도 안전성·초기 효능 확인으로 26년 데이터 기대감 확대</t>
  </si>
  <si>
    <t>LCB84(TROP2 ADC) 1상 중간결과 및 옵션 행사 가시화</t>
  </si>
  <si>
    <t>J&amp;J가 진행 중인 LCB84 단독·병용 1상 결과 확인 구간, 2상 진입 옵션 행사 시 2억 달러 마일스톤 유입 기대</t>
  </si>
  <si>
    <t>플랫폼·ADC 테마 리레이팅 구간</t>
  </si>
  <si>
    <t>글로벌 TROP2·HER2 ADC 임상 성공들이 겹치며 리가켐바이오 플랫폼 밸류에이션 재평가</t>
  </si>
  <si>
    <t>LCB14 중국 3상 최종 데이터 및 허가신청</t>
  </si>
  <si>
    <t>포순의 HER2+ 유방암 2차 3상 결과 확인 후 중국 NMPA 허가신청, 첫 상업화 파이프라인 진입 모멘텀</t>
  </si>
  <si>
    <t>여러 파이프라인 IND·1상 진입 시점</t>
  </si>
  <si>
    <t>LCB97, LCB02A, LN-4305/4311 등 고형암 ADC들의 IND 신청 및 글로벌 1상 진입으로 파이프라인 폭 확대</t>
  </si>
  <si>
    <t>LCB84 2상(글로벌 PoC) 진입</t>
  </si>
  <si>
    <t>LCE84 고형암 대상 2상(단독·병용) 본격 진입, TROP2 시장에서 Topo1i 대비 MMAE 차별성 부각</t>
  </si>
  <si>
    <t>LCB71·LNCB74 등 1b/2상 확장</t>
  </si>
  <si>
    <t>LCB71 혈액암·고형암 1b 확장 데이터 업데이트, LNCB74 B7-H4 ADC 1a 종료 후 용량 확장 결과 공유</t>
  </si>
  <si>
    <t>LCB14 중국 허가 가시화 및 매출 가이드</t>
  </si>
  <si>
    <t>중국 HER2+ 유방암 2차·3차 치료제로 허가 심사 막바지, 27년 매출 레버리지 기대</t>
  </si>
  <si>
    <t>추가 L/O·패키지 딜 및 플랫폼 가치 재상승</t>
  </si>
  <si>
    <t>ConjuALL 기반 패키지 딜(플랫폼+파이프라인) 및 신규 L/O 가능성, Kelun·Duality Biotech 대비 밸류 갭 축소 구간</t>
  </si>
  <si>
    <t>World ADC 수상으로 플랫폼 신뢰도 급상승</t>
  </si>
  <si>
    <t>Best ADC Platform Technology·Most Promising ADC 수상으로 글로벌 빅파마 대상 인지도·협상력 강화</t>
  </si>
  <si>
    <t>LCB14·LCB71 임상 데이터로 ConjuALL 경쟁력 입증</t>
  </si>
  <si>
    <t>IKS014 1a에서 Enhertu 불응·HER2-low 환자에서 높은 ORR과 낮은 안구독성 확인, LCB71도 기존 ROR1 ADC 대비 독성↓·효능↑</t>
  </si>
  <si>
    <t>LCB84 1상 데이터 및 J&amp;J 옵션 행사 트리거</t>
  </si>
  <si>
    <t>1Q26 전후 1상 결과 확인과 함께 J&amp;J의 2상 단독 개발 옵션 행사 시 2억달러 마일스톤 유입으로 실적·밸류 동시 자극</t>
  </si>
  <si>
    <t>ADC 테마 강세 속 대표주 프리미엄</t>
  </si>
  <si>
    <t>글로벌 HER2·TROP2 ADC 성공 사례 증가로 ADC 섹터 전체 리레이팅, 그 중 플랫폼·다수 파트너를 보유한 리가켐이 대장주 역할</t>
  </si>
  <si>
    <t>LCB14 첫 상업화로 로열티 기반 캐시카우 확보</t>
  </si>
  <si>
    <t>중국 HER2+ 유방암 2차/3차에서 26년 허가·27년 매출 본격화, Enhertu 내성·Post-Enhertu 시장까지 확장 가능</t>
  </si>
  <si>
    <t>LCB84 TROP2 ADC의 블록버스터 잠재력</t>
  </si>
  <si>
    <t>TROP2가 유방암·폐암·위암·방광암 등 광범위 적응증을 가진 만큼, J&amp;J가 2상 이후 대형 글로벌 적응증으로 확대 시 로열티 규모 대폭 확대 가능</t>
  </si>
  <si>
    <t>LCB71·LNCB74·LCB97 등 다수 ADC 파이프라인 가치 부각</t>
  </si>
  <si>
    <t>ROR1·B7-H4·L1CAM 등 미충족 수요가 큰 타깃에 대해 임상 결과 축적, 각각 추가 L/O 또는 적응증 확장 시 기업가치 단계적 상향</t>
  </si>
  <si>
    <t>플랫폼·패키지 딜에 따른 반복적인 L/O 구조</t>
  </si>
  <si>
    <t>ConjuALL 링커/페이로드 + 특정 파이프라인을 묶은 패키지 딜 추진으로 선급금·마일스톤 규모 확대, 매년 1건 이상 L/O 트랙 레코드 지속</t>
  </si>
  <si>
    <t>ADC 시장 성장과 함께 Kelun·Duality Biotech를 상회하는 밸류 잠재력</t>
  </si>
  <si>
    <t>글로벌 ADC 시장 고성장, 리가켐은 다국적사와의 누적 L/O(9~10조원대)·플랫폼 경쟁력으로 중국계 ADC 개발사 대비 프리미엄 밸류 가능</t>
  </si>
  <si>
    <t>엑스코프리 TRx 성장 지속 및 가이던스 상단 근접</t>
  </si>
  <si>
    <t>미국 처방량이 전년 대비 두 자릿수 성장 유지, 회사 제시 연간 매출 가이던스 상단(USD 기준)에 근접하면서 실적 모멘텀과 이익 레버리지 동시 확인</t>
  </si>
  <si>
    <t>시즌성에 따른 일시 조정 vs 추세 성장은 유지</t>
  </si>
  <si>
    <t>분기 초 보험 재계약·공제액 영향으로 매출 성장률이 둔화될 수 있으나, 기저 처방 추세는 견조해 연간 성장 스토리는 유지되는 구간</t>
  </si>
  <si>
    <t>미국 외 지역 허가·런칭 진전</t>
  </si>
  <si>
    <t>일본·중국 등 파트너사 지역에서 허가 심사/출시 준비가 진전되며, 초기 로열티·마일스톤 유입 가능성이 커지는 시점</t>
  </si>
  <si>
    <t>엑스코프리 시장 점유율 확대와 약가 리스크 완화</t>
  </si>
  <si>
    <t>경쟁약 대비 차별적인 효능·내약성을 바탕으로 미국 내 점유율이 상승하고, 약가/관세 관련 규제 이슈는 순매출 기준 1~2% 내 영향에 그쳐 리스크가 제한적임을 재확인</t>
  </si>
  <si>
    <t>해외 매출·로열티 기여 본격화 및 파이프라인 옵션 부각</t>
  </si>
  <si>
    <t>글로벌 파트너 지역 매출이 본격 증가하면서 로열티 비중이 커지고, 2nd Product 도입·라이선스인 등 파이프라인 확장 옵션이 재조명되는 구간</t>
  </si>
  <si>
    <t>엑스코프리 매출 가이던스 상단 근접</t>
  </si>
  <si>
    <t>미국 TRx 증가세가 유지되며 회사 가이던스 상단에 근접하는 실적을 기록할 가능성이 높아, 단기 실적 모멘텀이 가장 강한 구간</t>
  </si>
  <si>
    <t>마진 구조 개선과 비용 통제</t>
  </si>
  <si>
    <t>매출 성장 대비 판관비 증가를 억제하면서 영업이익률이 개선되는 국면으로, 가이드라인 내 비용 통제가 성공할 경우 OPM 30%대 진입도 가능</t>
  </si>
  <si>
    <t>약가·관세 리스크 해소에 따른 밸류 안정성</t>
  </si>
  <si>
    <t>약가 인하·관세 부과 이슈가 순매출 기준으로는 미미한 수준으로 확인되며, 불확실성 해소에 따른 밸류에이션 안정 구간</t>
  </si>
  <si>
    <t>해외 허가/출시 초기 로열티 모멘텀</t>
  </si>
  <si>
    <t>일본·중국 등 파트너 지역에서 허가 신청 및 초기 런칭이 진행되며, 마일스톤·로열티 유입이 시작될 수 있는 시기</t>
  </si>
  <si>
    <t>엑스코프리의 구조적 성장 스토리</t>
  </si>
  <si>
    <t>미국 내 장기 복용 환자 비중이 확대되며 처방 기반이 단단해지고, 신규 환자 유입이 더해져 중장기적으로 두 자릿수 성장세를 유지할 수 있는 구조</t>
  </si>
  <si>
    <t>글로벌 시장 확장에 따른 매출 다변화</t>
  </si>
  <si>
    <t>미국 외 일본·중국·유럽 등지로 판매 지역이 확대되면서, 제품 매출과 로열티가 동시에 증가해 지역·채널 다변화 효과를 제공</t>
  </si>
  <si>
    <t>2nd Product 및 파이프라인 확장 옵션</t>
  </si>
  <si>
    <t>기존 적응증 외 추가 신경계 질환 신약 도입·라이선스인 혹은 M&amp;A를 통해 성장동력이 추가될 수 있는 옵션 밸류가 존재</t>
  </si>
  <si>
    <t>규제 환경 대비 높은 이익 안정성</t>
  </si>
  <si>
    <t>약가 협상·관세 부과 등 정책 변수에도 불구하고 고부가 CNS 전문의약품 특성상 이익 변동성이 크지 않아, 방어적 성장주로서 장기 투자 매력 보유</t>
  </si>
  <si>
    <t>빅파마·글로벌 파트너와의 협업 확대 가능성</t>
  </si>
  <si>
    <t>기존 파트너십을 바탕으로 추가 적응증 개발, 공동 마케팅·공동개발 등 협업 범위가 확대될 여지가 있어 중장기 밸류에이션 리레이팅 여지 보유</t>
  </si>
  <si>
    <t>핵심모멘텀</t>
  </si>
  <si>
    <t>상세내용</t>
  </si>
  <si>
    <t>OLX702A P1b 투약 진행</t>
  </si>
  <si>
    <t>OLX702A P1b 투약 완료 이벤트</t>
  </si>
  <si>
    <t>OLX301A 안과 치료제 P2 진입</t>
  </si>
  <si>
    <t>한소제약 옵션 행사·추가 마일스톤 가능성</t>
  </si>
  <si>
    <t>단기</t>
  </si>
  <si>
    <t>OLX104C 탈모치료제 임상 1b/2a 첫 투약</t>
  </si>
  <si>
    <t>호주에서 1b/2a 첫 투약 시작. 글로벌 화장품/의약품 기업과 협업 시너지 기대.</t>
  </si>
  <si>
    <t>초기 약효 및 안전성 확인된 단계로, 장기 모니터링 데이터 확보 구간.</t>
  </si>
  <si>
    <t>1H26 투약 완료 예상. 결과에 따라 글로벌 파트너의 2상 진입 가능성 높음.</t>
  </si>
  <si>
    <t>미국 1상에서 안전성 확인. 초기 반응 기반으로 P2 진입 시 가치 상승.</t>
  </si>
  <si>
    <t>듀얼 타깃 siRNA 프로그램 옵션 행사 시 대형 마일스톤 기대.</t>
  </si>
  <si>
    <t>OLX104C 탈모 임상 본격화</t>
  </si>
  <si>
    <t>1b/2a 첫 투약으로 글로벌 상업화 검증 단계 진입. 비보험 시장·화장품 라인 확장 기대.</t>
  </si>
  <si>
    <t>OLX702A 초기 약효 및 안전성 재확인</t>
  </si>
  <si>
    <t>P1 SAD 완료, MAD 진행 중. 초기 약효 지속성 확인됨.</t>
  </si>
  <si>
    <t>RNAi·FGF 계열 밸류에이션 상승 환경</t>
  </si>
  <si>
    <t>글로벌 M&amp;A 증가로 RNAi 플랫폼 가치 재평가 구간.</t>
  </si>
  <si>
    <t>OLX702A 글로벌 2상 진입 가능성</t>
  </si>
  <si>
    <t>1b 종료 후 글로벌 파트너가 2상 진입 시 대형 마일스톤 유입 가능.</t>
  </si>
  <si>
    <t>로레알 기반 탈모·피부 프로그램 확장</t>
  </si>
  <si>
    <t>첫 투약 이후 상업적 제품(화장품/의약품) 양쪽으로 확장 가능.</t>
  </si>
  <si>
    <t>한소제약 옵션 행사로 추가 파이프라인 확대</t>
  </si>
  <si>
    <t>OLX706 계열 옵션 행사 시 프로그램 확장 및 마일스톤 추가.</t>
  </si>
  <si>
    <t>BBB Shuttle 활용 CNS 프로그램 성장잠재력</t>
  </si>
  <si>
    <t>RNAi 기반 CNS 타깃 신약 개발로 신규 적응증 확장.</t>
  </si>
  <si>
    <t>다중 타깃 플랫폼으로 파이프라인 확대 지속</t>
  </si>
  <si>
    <t>PKC·FGF·CNS 등 멀티 타깃 기반 신규 siRNA 창출 속도 증가.</t>
  </si>
  <si>
    <t>핵심모멘텀 요약</t>
  </si>
  <si>
    <t>패키지 기판 업황 바닥 확인</t>
  </si>
  <si>
    <t>DDR5 비중 확대로 ASP 회복 시작, 리드프레임·기판 동반 회복 초기 국면</t>
  </si>
  <si>
    <t>기판 매출 점진 회복</t>
  </si>
  <si>
    <t>고객사 주문 증가 + DDR5 수요 개선 → 실적 턴어라운드 기반 형성</t>
  </si>
  <si>
    <t>기판 성장 가속</t>
  </si>
  <si>
    <t>패키지 기판 수요 강해지며 매출 증가 속도 상승, 수익성 개선 본격화</t>
  </si>
  <si>
    <t>리드프레임+기판 동시 성장 피크 예상</t>
  </si>
  <si>
    <t>AI/서버향 DDR5 확산 → 영업레버리지 확대, 전장향 리드프레임 견조</t>
  </si>
  <si>
    <t>CapEx 효과 매출 반영 구간</t>
  </si>
  <si>
    <t>설비투자 효과가 실 매출로 전환되는 시점, 기판 판매량 레벨업 지속</t>
  </si>
  <si>
    <t>DDR5 확산에 따른 기판 업황 턴어라운드</t>
  </si>
  <si>
    <t>DDR5 Mix 확대 + ASP 개선이 25년 4Q~26년 초 실적 회복 신호</t>
  </si>
  <si>
    <t>리드프레임·기판 동반 반등 초기구간</t>
  </si>
  <si>
    <t>2H25~26 성장 시작점, 고객사 발주 증가 확인 → 밸류 재평가 기대</t>
  </si>
  <si>
    <t>장기(26년2Q~26년4Q)</t>
  </si>
  <si>
    <t>DDR5 + AI서버 사이클에서 구조적 레벨업 가능</t>
  </si>
  <si>
    <t>기판 매출 레버리지 본격 반영, 2026 실적 턴어라운드 원년 유력</t>
  </si>
  <si>
    <t>CapEx 투입 → 기판 증설효과 매출로 전환</t>
  </si>
  <si>
    <t>설비 증설이 26년 하반기부터 실적에 기여, 중장기 성장 가속화</t>
  </si>
  <si>
    <t>해성디에스</t>
    <phoneticPr fontId="1" type="noConversion"/>
  </si>
  <si>
    <t>오스코텍</t>
    <phoneticPr fontId="1" type="noConversion"/>
  </si>
  <si>
    <t>레이저티닙 모멘텀 재확인 구간</t>
  </si>
  <si>
    <t>레이저티닙 로열티 성장 반영 시작</t>
  </si>
  <si>
    <t>미국 병용요법 사용률 증가 → 글로벌 매출 → 로열티 증가 파이프라인 기반 강화</t>
  </si>
  <si>
    <t>ADEL-Y01 임상 1b 진행 속도 가시화</t>
  </si>
  <si>
    <t>알츠하이머 대상 다회투약 구간 진입, 초기 pTau 반응 데이터 공개 가능성</t>
  </si>
  <si>
    <t>OCT-598 병용 P1b 진입 및 확장 이벤트</t>
  </si>
  <si>
    <t>1H26 FIH 종료 후 docetaxel 병용 진입, 병용효과 기반 시장 기대 재부각</t>
  </si>
  <si>
    <t>STEP-Stone 기반 다중 파이프라인 확장</t>
  </si>
  <si>
    <t>CTR 기반 ONC1 후보물질 선별 단계 도달(예상), 신규 적응증 확대로 가치 확장</t>
  </si>
  <si>
    <t>레이저티닙 모멘텀 회복 및 가치 100% 귀속</t>
  </si>
  <si>
    <t>제노스코 합병 → 레이저티닙 수익 배분 소멸 → 현금 창출구조 명확화</t>
  </si>
  <si>
    <t>리브리반트 SC(피하주사) 승인 가능성</t>
  </si>
  <si>
    <t>투약 편의성 개선 → 처방 확대 속도 증가 → 초기 매출곡선 가팔라질 확률 높음</t>
  </si>
  <si>
    <t>CTR 기반 OCT-598 병용 임상 확장</t>
  </si>
  <si>
    <t>1b 병용→Late-26 2nd Combo(대장암·소세포암) 확장 가능 → 시장 기대 재상승</t>
  </si>
  <si>
    <t>ADEL-Y01 글로벌 라이선스아웃 잠재</t>
  </si>
  <si>
    <t>CTAD 결과 및 초기반응 확인 시 글로벌 빅파마 L/O 트리거, 중장기 가치 급증 변수</t>
  </si>
  <si>
    <t>신규 Oncology 파이프라인 ONC1~3 가시화</t>
  </si>
  <si>
    <t>Nuak 기반 CTR 플랫폼 확장, 26~27년 후보물질 선정 + 신약생성 속도↑</t>
  </si>
  <si>
    <t>올리고 신약 매출 피크 가능성</t>
  </si>
  <si>
    <t>혈액암·만성B형간염·희귀심혈관 치료제 API 매출 집중 발생 / 연말 R&amp;D 시료 구매 계절성 반영</t>
  </si>
  <si>
    <t>매출 안정 성장 국면 진입</t>
  </si>
  <si>
    <t>4Q 집중 구조 → 연중 매출 분산 전환 / YoY 안정적 증가 예상</t>
  </si>
  <si>
    <t>신규 적응증 확장 모멘텀</t>
  </si>
  <si>
    <t>고지혈증→혈액암·희귀질환 고마진 Mix로 수익성 개선 여력 존재</t>
  </si>
  <si>
    <t>글로벌 빅파마 공급 확대 가능성</t>
  </si>
  <si>
    <t>노바티스·암젠 등 레퍼런스 기반 수주 증가 가시화</t>
  </si>
  <si>
    <t>성장 지속성 검증 구간</t>
  </si>
  <si>
    <t>1년 내 분기 변동성 감소 → 안정성 기반 밸류 재평가 가능</t>
  </si>
  <si>
    <t>고마진 신약 API 매출 집중 + 실적 레버리지 극대화</t>
  </si>
  <si>
    <t>혈액암·희귀질환 수주 증가 → 마진 개선 뚜렷 / 26년부터 분기 매출 균등화로 안정성 회복</t>
  </si>
  <si>
    <t>글로벌 공급 확장 + 멀티 파이프라인 성장</t>
  </si>
  <si>
    <t>희귀질환·심혈관→혈액암→HBV→대사질환으로 확장 / 빅파마 공급 확대 시 밸류 리레이팅 핵심 촉발</t>
  </si>
  <si>
    <t>MET097·MET224 1상 결과 임박</t>
  </si>
  <si>
    <t>25년말~26초 공개 예정 · 화이자 기술이전 후보물질 → 이벤트 민감도 최상</t>
  </si>
  <si>
    <t>기술이전 모멘텀 가열 가능성</t>
  </si>
  <si>
    <t>1상 결과 발표 이후 옵션·마일스톤 기대 · L/O 재료의 시작점</t>
  </si>
  <si>
    <t>DD01 48주 MASH 조직생검 결과 공개</t>
  </si>
  <si>
    <t>결과 양호 시 빅파마 L/O 확률↑ · 경쟁 GLP/GCG 대비 효과 검증 국면</t>
  </si>
  <si>
    <t>NLY02(퇴행성 뇌질환) 기술이전 기대 확대</t>
  </si>
  <si>
    <t>퍼스트바이오 협업도 병행 · 상장 전 딜 가능성 존재</t>
  </si>
  <si>
    <t>오랄링크 플랫폼 추가 L/O 가능성</t>
  </si>
  <si>
    <t>건선·자가면역 경구형 파이프라인 확장 → J&amp;J 승인 이후 시장 관심 급상승 가능</t>
  </si>
  <si>
    <t>MET097·224 1상 발표 → 기업 밸류 급등 트리거</t>
  </si>
  <si>
    <t>결과가 양호할 경우 화이자의 자산 편입 + MASH·비만 시장 진입 점화</t>
  </si>
  <si>
    <t>기술이전 기대 모멘텀 본격 반영</t>
  </si>
  <si>
    <t>26년초~중반 L/O 가능성 본격 가격반영 → 단기 변동성↑ 상승탄력↑</t>
  </si>
  <si>
    <t>DD01 조직생검 결과가 밸류 재평가 핵심</t>
  </si>
  <si>
    <t>성공 시 단일 파이프라인 밸류에서 플랫폼/멀티파이프라인 기업으로 확장</t>
  </si>
  <si>
    <t>오랄링크 기반 자가면역 확장 → Big Pharma 추가 L/O 가능</t>
  </si>
  <si>
    <t>경구제형 전환 기술의 희소성 → J&amp;J 건선 경구제 승인과 함께 주목받는 구조</t>
  </si>
  <si>
    <t>NLY02·DD03 추가 임상 진행 시 멀티 파이프라인 모멘텀</t>
  </si>
  <si>
    <t>2026~27년 다중 적응증 확장 도달 가능 → 지속 성장 스토리 형성</t>
  </si>
  <si>
    <t>로킷헬스케어</t>
    <phoneticPr fontId="1" type="noConversion"/>
  </si>
  <si>
    <t>당뇨발 재생키트 판매 고성장 지속</t>
  </si>
  <si>
    <t>미국·유럽·중남미 46개국 공급 확장 / 가격 $1,000·처치시간 1시간 / 올해 7,000개↑ 판매기대</t>
  </si>
  <si>
    <t>연골재생 글로벌 임상 진행·IRB 승인 가능성</t>
  </si>
  <si>
    <t>150명 대상 임상→내년말 출시 목표 / 단가 당뇨발 대비 수배↑</t>
  </si>
  <si>
    <t>피부암 키트 판매국 확대 본격화</t>
  </si>
  <si>
    <t>24년 파라과이 최초매출 → 피부암 발병률 높은 적도권 중심 확장</t>
  </si>
  <si>
    <t>신장재생 파일럿 임상 진입 가능성</t>
  </si>
  <si>
    <t>투석지연 치료 대안 / 중장기 치료시장 진입 첫 단계</t>
  </si>
  <si>
    <t>장기재생 플랫폼 다중 적용범위 확대 확인</t>
  </si>
  <si>
    <t>피부→연골→신장 순 확장·연 매출 구조적 레벨업 가능</t>
  </si>
  <si>
    <t>당뇨발·피부암 매출이익 레버리지 극대화</t>
  </si>
  <si>
    <t>판매량 급증→흑자전환 성공 / 피부암 키트 매출 신규 편입</t>
  </si>
  <si>
    <t>미국 보험수가 확대 및 CPT 코드 적용 가능성</t>
  </si>
  <si>
    <t>공보험 진입 시 처방사용 확대→ASP 안정화 및 볼륨 증가</t>
  </si>
  <si>
    <t>연골·신장 임상 확장 → 다중 파이프라인 기업 전환</t>
  </si>
  <si>
    <t>연골 단가 높음→매출/Mix 개선 핵심 / 투석대체형 신장 재생은 블록버스터 후보</t>
  </si>
  <si>
    <t>재생의료 글로벌 3D바이오프린팅 플랫폼 스케일아웃</t>
  </si>
  <si>
    <t>기술 구조는 확장성↑ / 적용증 확장마다 성장 레벨업 반복 가능</t>
  </si>
  <si>
    <t>해외 보험·GPO 네트워크 확대 = ASP + 물량 둘 다 증가</t>
  </si>
  <si>
    <t>미국 HOPD 첫 보험수령→국가확대시 ROAS 폭발 구간</t>
  </si>
  <si>
    <t>프로티나</t>
    <phoneticPr fontId="1" type="noConversion"/>
  </si>
  <si>
    <t>STI-7221·IN224 임상 진입 가시화</t>
  </si>
  <si>
    <t>7221 임상1/2a 국내 진행, IN224 면역항암 파이프라인 평가 및 전임상 데이터 공개 예상</t>
  </si>
  <si>
    <t>다중항체 플랫폼 시장 검증 단계 진입</t>
  </si>
  <si>
    <t>듀얼/트리플 항체 PoC 확보 중요 시점, 초기 약효 데이터로 기업 밸류 변동성↑</t>
  </si>
  <si>
    <t>글로벌 기술이전 파트너링 이벤트 가능성</t>
  </si>
  <si>
    <t>항체 프로그램 특성상 L/O 발생 시 규모가 큼, upfront+마일스톤+로열티 구조 기대</t>
  </si>
  <si>
    <t>7221 확장 코호트 등록 가속화</t>
  </si>
  <si>
    <t>임상 안전성 및 내약성 기반으로 적응증 확장 가능 구간</t>
  </si>
  <si>
    <t>다중항체 파이프라인 확장 본격화</t>
  </si>
  <si>
    <t>항암 외 자가면역까지 확장, 26년 하반기 이후 멀티 파이프라인 기업로 전환</t>
  </si>
  <si>
    <t>STI-7221 임상 진입 → 첫 밸류업 트리거</t>
  </si>
  <si>
    <t>임상 진입=모멘텀 스타트, 초기 안전성·반응성 확인 시 기대감 확대</t>
  </si>
  <si>
    <t>IN224 전임상 확장 → 다중항체 효능 검증</t>
  </si>
  <si>
    <t>ROR1 타깃 기반 항암 플랫폼, 병용 가능성 ↑ → PoC 확인 시 기술이전 기대</t>
  </si>
  <si>
    <t>글로벌 L/O 가능성(빅파마 타깃 가능)</t>
  </si>
  <si>
    <t>듀얼/트리플+고특이성 항체 플랫폼 희소성 → 규모 있는 딜 발생 가능</t>
  </si>
  <si>
    <t>항암→자가면역→희귀질환으로 확장</t>
  </si>
  <si>
    <t>단일 파이프라인→플랫폼 모델 전환, 적응증별 매출 옵션 다중화</t>
  </si>
  <si>
    <t>멀티항체 시장 내 First Mover 포지션 확보될 가능성</t>
  </si>
  <si>
    <t>CAR-T·ADC 이후 치료 옵션으로 다중항체 관심 상승, 구조적 재평가 요인</t>
  </si>
  <si>
    <t>케이씨텍</t>
    <phoneticPr fontId="1" type="noConversion"/>
  </si>
  <si>
    <t>M15X / P4향 CMP 장비 공급 본격화</t>
  </si>
  <si>
    <t>메모리 업체 장비입고 가속 → 장비 매출 성장 시동</t>
  </si>
  <si>
    <t>전방 가동률 회복에 따른 소재 출하 증가</t>
  </si>
  <si>
    <t>소재 매출 +14% YoY 이어지는 수요 증가 기대</t>
  </si>
  <si>
    <t>장비 매출 YoY +10% 성장세 진입 전망</t>
  </si>
  <si>
    <t>2025 장비수주 반영 → 전년 대비 성장 전환</t>
  </si>
  <si>
    <t>범용 CMP 장비 공급 확대 및 계약 자산 증가</t>
  </si>
  <si>
    <t>전환투자 수요 + 공정확장 기반 장비 출하 증가</t>
  </si>
  <si>
    <t>초임계 세정장비 매출 발생 시 Re-rating 가능</t>
  </si>
  <si>
    <t>테스트 완료 후 본 매출화 발생 시 멀티플 재평가 요인</t>
  </si>
  <si>
    <t>투자포인트요약</t>
  </si>
  <si>
    <t>M15X·P4향 장비 출하 → 실적 모멘텀 시작</t>
  </si>
  <si>
    <t>메모리 업황 회복과 함께 장비 인도량 증가</t>
  </si>
  <si>
    <t>소재매출 성장 기조 유지</t>
  </si>
  <si>
    <t>전방 가동률 증가 → 소재 ASP·볼륨 동시 상승 기대</t>
  </si>
  <si>
    <t>장비 매출 성장국면 재진입 → YoY +10% 이상</t>
  </si>
  <si>
    <t>2026F 영업이익 +22% 성장 전망 (OPM 개선)</t>
  </si>
  <si>
    <t>초임계 세정장비 매출 본격 반영 시 PER 리레이팅</t>
  </si>
  <si>
    <t>신규장비 매출화 = 멀티플 상승 요인</t>
  </si>
  <si>
    <t>반도체향 장비·소재 균형잡힌 성장구조 확립</t>
  </si>
  <si>
    <t>메모리 투자 + 소재체인 수혜 → 사이클 민감도↓</t>
  </si>
  <si>
    <t>GI-102 · 다수 암종 초기 임상 반응 확인</t>
  </si>
  <si>
    <t>흑색종·비소세포폐암·난소암 등에서 ORR 25%, DCR 83% 수준의 반응 지속 확인 (Data cutoff 2024.12 기준)</t>
  </si>
  <si>
    <t>GI-102 확장 코호트 데이터 업데이트</t>
  </si>
  <si>
    <t>면역관문억제제 치료 실패 환자군에서 반응 유지되는지 확인, SC(피하) 제형 확장 가능성 부각</t>
  </si>
  <si>
    <t>파트너링·L/O 논의 본격화 가능성</t>
  </si>
  <si>
    <t>중국 향 9.5천억원 규모 기술이전 사례 기반 추가 지역/글로벌 기술이전 기대치 생성</t>
  </si>
  <si>
    <t>2상 중간데이터 → 가치 재평가 트리거</t>
  </si>
  <si>
    <t>유효성·안전성 검증 시 3상 진입 가속 및 기업가치 재산정 이벤트 발생 가능성</t>
  </si>
  <si>
    <t>3상 진입 및 병용 확장 전략 발표 가능성</t>
  </si>
  <si>
    <t>키트루다/ADC 병용시험 확대 가능, 적용 암종 확대에 따른 TAM 증가 모멘텀</t>
  </si>
  <si>
    <t>GI-102 초기 결과 기반 기대감 형성</t>
  </si>
  <si>
    <t>전이성 흑색종 등 대상 ORR 25%·DCR 83% 데이터 기반 임상확장 구간으로 단기 모멘텀 강함</t>
  </si>
  <si>
    <t>시장 변동성은 존재하나 방향성은 우상향</t>
  </si>
  <si>
    <t>데이터 업데이트 일정만으로도 주가 탄력 발생, 바이오섹터 내 뉴스 드리븐 움직임 발생 가능성</t>
  </si>
  <si>
    <t>2→3상 진입에 따른 기업 밸류 레벨업 가능성</t>
  </si>
  <si>
    <t>중간데이터 호조 시 글로벌 공동개발 및 3상 확정이 밸류 리레이팅 핵심 촉매로 작동</t>
  </si>
  <si>
    <t>글로벌 기술이전 다중화 전략 가능성</t>
  </si>
  <si>
    <t>중국 L/O(약 9.5천억) 전례로 미·EU L/O 확장 시 멀티 파이프라인 기업으로 구조적 성장 가능성</t>
  </si>
  <si>
    <t>코오롱티슈진</t>
    <phoneticPr fontId="1" type="noConversion"/>
  </si>
  <si>
    <t>25년 4Q</t>
  </si>
  <si>
    <t>26년 1Q</t>
  </si>
  <si>
    <t>26년 2Q</t>
  </si>
  <si>
    <t>26년 3Q</t>
  </si>
  <si>
    <t>26년 4Q</t>
  </si>
  <si>
    <t>미국 TG-C 3상 중간구간 진입</t>
  </si>
  <si>
    <t>환자 관찰·데이터 축적 진행, 임상 안정성 기반 검증 구간</t>
  </si>
  <si>
    <t>3상 초기 데이터 업데이트 기대</t>
  </si>
  <si>
    <t>학회(OARSI) 공개 가능성, 초기 개선신호 여부에 주목</t>
  </si>
  <si>
    <t>1st Top-line 결과 발표 예상</t>
  </si>
  <si>
    <t>통증개선/기능개선 통계적 유의성 확인이 핵심 변수</t>
  </si>
  <si>
    <t>2nd Top-line 발표 임박</t>
  </si>
  <si>
    <t>장기·고용량군 결과 포함, 치료재현성 검증 단계</t>
  </si>
  <si>
    <t>BLA 준비 및 허가전환 기대</t>
  </si>
  <si>
    <t>상업용 패키지 구성·규제 협의 진행, 밸류 리레이팅 가능</t>
  </si>
  <si>
    <t>3상 기대감 선반영 국면</t>
  </si>
  <si>
    <t>한국 결과 검증 이력 기반 재현성 기대, 변동성 대비 이벤트 드리븐 가능</t>
  </si>
  <si>
    <t>학회 및 중간데이터 업데이트 촉매</t>
  </si>
  <si>
    <t>기능지표 개선 신호가 초기 rerating 트리거</t>
  </si>
  <si>
    <t>미국 3상 Top-line 결과가 최대변수</t>
  </si>
  <si>
    <t>26년 중 발표 결과에 따라 기업가치 방향 결정</t>
  </si>
  <si>
    <t>DMOAD 후보 중 독점적 포지션</t>
  </si>
  <si>
    <t>기존 OA 치료 대비 기능개선+구조재생 가능성 강점</t>
  </si>
  <si>
    <t>BLA 및 글로벌 확장 가치 반영</t>
  </si>
  <si>
    <t>규제·제조패키지 완료 시 27년 허가신청 → 상업화 레벨 이동</t>
  </si>
  <si>
    <t>ISC</t>
    <phoneticPr fontId="1" type="noConversion"/>
  </si>
  <si>
    <t>큐리언트</t>
    <phoneticPr fontId="1" type="noConversion"/>
  </si>
  <si>
    <t>Post-엔허투 ADC 내성 극복 스토리 부각</t>
  </si>
  <si>
    <t>Topo-1 기반 ADC 내성(Post-Enhertu)이 글로벌 미충족 수요로 부각되고, CDK7 억제·듀얼 페이로드 전략(QP101, Q901)이 내성 극복 솔루션으로 인식되는 구간</t>
  </si>
  <si>
    <t>Q901 임상1상 마무리 및 2상 설계 가시화</t>
  </si>
  <si>
    <t>Q901(CDK7 억제제) 1상 종료·RP2D 확정 및 2상(단독요법+ADC/IO 병용) 설계 공개로 CDK7 플랫폼 가치 재부각</t>
  </si>
  <si>
    <t>Q901 2상 진입 + 희귀질환 파이프라인 중간 결과 기대</t>
  </si>
  <si>
    <t>Q901 2상 FPI 및 텔라세벡(Q203) 부룰리궤양/결핵 등 희귀감염질환에서 1H26 중간효과 발표 기대, PRV 옵션 등 추가 밸류 부각</t>
  </si>
  <si>
    <t>Q901 2상 초기 효능 신호 및 병용전략 검증</t>
  </si>
  <si>
    <t>Q901 2상에서 단독·병용(ADC, IO, SoC) 요법의 초기 ORR·안전성 데이터가 나오며 CDK7 기반 ‘플랫폼 약물’ 가능성 검증 구간</t>
  </si>
  <si>
    <t>QP101 전임상 후속데이터·GLP 독성 완료 및 27년 IND 준비</t>
  </si>
  <si>
    <t>QP101(HER2 듀얼 페이로드 ADC)의 추가 비임상·독성 데이터 업데이트, GLP 독성 종료 및 27년 임상1상 IND 제출 준비로 차세대 HER2 ADC 후보로 포지셔닝</t>
  </si>
  <si>
    <t>ADC Topo-1 내성 극복용 CDK7 스토리 부각</t>
  </si>
  <si>
    <t>엔허투 이후 Topo-1 ADC 내성 환자에서 효능저하 문제가 부각되는 가운데, CDK7 억제·듀얼 페이로드(QP101/Q901)가 Post-엔허투 시장의 핵심 솔루션 후보로 인식되는 구간</t>
  </si>
  <si>
    <t>QP101 비임상 데이터 + Q901 1상 완료 모멘텀</t>
  </si>
  <si>
    <t>QP101의 엔허투 내성 모델에서 우수한 항종양 효과·독성 프로파일, Q901 1상 종료 및 2상 설계 공개가 겹치며 뉴스·학회 이벤트 중심의 주가 변동성 확대 구간</t>
  </si>
  <si>
    <t>Q901 2상 데이터에 따른 CDK7 플랫폼 가치 결정</t>
  </si>
  <si>
    <t>Q901 2상에서 단독·병용요법의 효능·안전성이 입증될 경우, 기존 ADC·IO 보유 빅파마와의 병용·L/O 가능성이 열리며 CDK7 억제제 플랫폼 밸류 업사이드 확대</t>
  </si>
  <si>
    <t>QP101 IND 및 임상 진입 시 차세대 HER2 ADC로 리레이팅</t>
  </si>
  <si>
    <t>QP101이 27년 IND 및 1상에 진입하면 ‘Post-Enhertu 차세대 HER2 ADC’로 포지셔닝되며, 내성 극복 시장에서 구조적 성장 스토리 형성</t>
  </si>
  <si>
    <t>희귀질환·면역질환 파이프라인의 옵션 밸류</t>
  </si>
  <si>
    <t>텔라세벡(Q203)의 희귀감염질환(PRV 가능성)·Q702(GvHD 등) 임상 진전이 본격화될 경우, ADC/CDK7 외 추가 옵션 밸류를 제공해 기업가치 변동성을 완충</t>
  </si>
  <si>
    <t>에스앤에스텍</t>
    <phoneticPr fontId="1" type="noConversion"/>
  </si>
  <si>
    <t>EUV 블랭크마스크 센터 본격 램프업</t>
  </si>
  <si>
    <t>용인 신규 EUV 공장 시험생산과 고객 인증 절차 본격화</t>
  </si>
  <si>
    <t>EUV 샘플 매출 가시화</t>
  </si>
  <si>
    <t>DUV·디스플레이 안정 속 일부 EUV 평가 매출 발생 가능</t>
  </si>
  <si>
    <t>EUV 양산 초기 단계 진입</t>
  </si>
  <si>
    <t>EUV 블랭크마스크 글로벌 고객사향 양산 공급 시작</t>
  </si>
  <si>
    <t>EUV + DUV 믹스 개선으로 분기 최대 실적 가능</t>
  </si>
  <si>
    <t>고마진 EUV 매출 확대와 DUV 풀캐파 유지로 실적 상승</t>
  </si>
  <si>
    <t>EUV 고객 다변화 및 레퍼런스 축적</t>
  </si>
  <si>
    <t>주요 고객사 라인 확대와 신규 고객 진입으로 성장 견고화</t>
  </si>
  <si>
    <t>EUV 매출 현실화 초기 국면</t>
  </si>
  <si>
    <t>신규 EUV 공장 가동·고객 인증으로 스토리→실적 전환 시작</t>
  </si>
  <si>
    <t>DUV·디스플레이 안정적 이익 기반</t>
  </si>
  <si>
    <t>중국 디스플레이 풀북·고부가 DUV로 안정적 캐시플로 유지</t>
  </si>
  <si>
    <t>EUV 매출 본격 확대로 구조적 마진 개선</t>
  </si>
  <si>
    <t>고마진 EUV 비중 상승으로 영업이익률 구조적 상향 가능</t>
  </si>
  <si>
    <t>글로벌 EUV 공급망 핵심 플레이어로 성장</t>
  </si>
  <si>
    <t>HOYA 중심 시장에서 대체·보완 공급자로 지위 확보</t>
  </si>
  <si>
    <t>EUV 펠리클·소재 확장 옵션</t>
  </si>
  <si>
    <t>차세대 공정용 펠리클·소재 사업 추가 성장 옵션</t>
  </si>
  <si>
    <t>넥스트바이오메디컬</t>
    <phoneticPr fontId="1" type="noConversion"/>
  </si>
  <si>
    <t>넥스파우더 글로벌 매출 확대 지속</t>
  </si>
  <si>
    <t>미국·유럽 매출 고성장, 일본 정식 판매 시작으로 수출 증가</t>
  </si>
  <si>
    <t>넥스피어-F 글로벌 판권 계약 가능성</t>
  </si>
  <si>
    <t>미국 임상 개시 효과와 글로벌 다수 파트너사와의 계약 논의 가속화</t>
  </si>
  <si>
    <t>넥스파우더 임상 데이터 추가 확보</t>
  </si>
  <si>
    <t>미·EU 대규모 시판 후 임상 결과 업데이트로 진료지침 등재 근거 강화</t>
  </si>
  <si>
    <t>넥스파우더 계단식 성장 + 흑자 기반 확대</t>
  </si>
  <si>
    <t>수출 비중 90% 내외, 영업이익 고성장·마진 구조 개선 지속</t>
  </si>
  <si>
    <t>넥스피어-F 기술수출 마일스톤 가시화</t>
  </si>
  <si>
    <t>판권 계약 체결 시 선급금 유입 본격화, 기업가치 리레이팅 단계 진입</t>
  </si>
  <si>
    <t>넥스파우더 수출 고성장 국면</t>
  </si>
  <si>
    <t>미국·유럽 수출 중심으로 지속적 고성장, 일본 론칭 효과로 단기 실적 견인</t>
  </si>
  <si>
    <t>넥스피어-F 미국 임상 개시 효과</t>
  </si>
  <si>
    <t>미국 IDE 승인 및 TAP 프로그램 지정으로 임상 속도·허가 가능성 개선</t>
  </si>
  <si>
    <t>분기 흑자 구조 정착</t>
  </si>
  <si>
    <t>넥스파우더 매출 확대로 GPM 70%대 회복, 분기 흑자 구간 지속화</t>
  </si>
  <si>
    <t>넥스피어-F 글로벌 판권 계약 → 밸류 리레이팅</t>
  </si>
  <si>
    <t>2026년 판권 계약 성공 시 대형 선급금·마일스톤 유입으로 기업가치 재평가</t>
  </si>
  <si>
    <t>넥스파우더 글로벌 가이드라인 등재 기대</t>
  </si>
  <si>
    <t>2027년 주요 학회(ASGE/ESGE 등) 가이드라인 등재 근거 확보, 장기 성장 가시성↑</t>
  </si>
  <si>
    <t>넥스피어-F FDA 허가 기반 구축</t>
  </si>
  <si>
    <t>2027년 허가·2028년 상용화 목표로 임상 성공 가능성 지속 상승</t>
  </si>
  <si>
    <t>두 파이프라인의 동시 성장</t>
  </si>
  <si>
    <t>넥스파우더(지혈재) + 넥스피어-F(비수술 관절염 치료) 투트랙 성장이 장기 매출 확대 견인</t>
  </si>
  <si>
    <t>코오롱인더</t>
    <phoneticPr fontId="1" type="noConversion"/>
  </si>
  <si>
    <t>mPPO 증설 완료 임박 효과 반영</t>
  </si>
  <si>
    <t>AI 서버·데이터센터용 저유전 소재 mPPO 수요 강세, “없어서 못 파는” 공급 타이트 현상 지속. CCL·고주파 기판 수요 증가로 믹스 개선.</t>
  </si>
  <si>
    <t>mPPO 매출 본격 반영 시작</t>
  </si>
  <si>
    <t>김천 라인 가동률 상승, 단가 프리미엄 유지. 석유수지·페놀/에폭시 수지 스프레드 개선으로 화학부문 이익 증가.</t>
  </si>
  <si>
    <t>mPPO 증설분 풀 가동 효과 확산</t>
  </si>
  <si>
    <t>AI·고성능 네트워킹향 소재 수요 급증. 아라미드·타이어코드도 가격 반등 구간 진입하며 산업자재 회복.</t>
  </si>
  <si>
    <t>AI·고주파 소재 Mix 확대</t>
  </si>
  <si>
    <t>서버·AI PCB용 고부가 mPPO 채택 확산. 글로벌 고객군 확대 가능성. 타이어코드 고부가 제품 비중 증가.</t>
  </si>
  <si>
    <t>추가 증설/Valuation 리레이팅 가능성</t>
  </si>
  <si>
    <t>AI 인프라 사이클 강화로 mPPO 추가 증설 검토. PBR 0.3배 수준의 저평가 해소 국면 진입.</t>
  </si>
  <si>
    <t>AI 서버·CCL 수요 확대 + mPPO 가동 본격화</t>
  </si>
  <si>
    <t>AI·고주파·고속 신호 PCB용 저유전 소재 채택 급증. 김천 mPPO 라인 가동률 상승과 단가 프리미엄 유지. 석유수지 경쟁사 폐쇄로 스프레드 개선.</t>
  </si>
  <si>
    <t>mPPO 추가 증설 가능성과 AI 전자소재 기업으로의 리레이팅</t>
  </si>
  <si>
    <t>아라미드·타이어코드 수요 회복 및 가격 반등. mPPO는 Capex 부담 적고 회수기간 1~2년 수준으로 장기 증설 가능성 높음. AI 인프라 성장에 따른 구조적 수요 증가로 멀티플 재평가 구간 진입.</t>
  </si>
  <si>
    <t>원전·SMR 수주 가시화</t>
  </si>
  <si>
    <t>불가리아 대형원전·미국 Fermi·SMR(홀텍) EPC 계약 가시화로 모멘텀 확대</t>
  </si>
  <si>
    <t>실적 변동성 완화 시작</t>
  </si>
  <si>
    <t>저마진 국내 현장 정리되며 건축/주택의 손익 불확실성 축소</t>
  </si>
  <si>
    <t>미국 Palisades SMR 착공 임박</t>
  </si>
  <si>
    <t>홀텍 SMR300 2기 EPC 계약 체결 가능 시점 도달 → 글로벌 최초 3.5세대 SMR 참여</t>
  </si>
  <si>
    <t>대형 원전 FEED → EPC 전환 기대</t>
  </si>
  <si>
    <t>Fermi Project Matador(4GW) FEED 완료 후 EPC 전환 가능 시점</t>
  </si>
  <si>
    <t>해외 플랜트 매출 증가 전환</t>
  </si>
  <si>
    <t>중동·미국 중심의 플랜트 매출 반등 → 해외 비중 상승</t>
  </si>
  <si>
    <t>미국·불가리아 원전 착공 본격화</t>
  </si>
  <si>
    <t>SMR·대형 원자로 착공 본격 시점, 수주 잔고 확대·매출계단 구간 진입</t>
  </si>
  <si>
    <t>원자력 중심의 기업가치 리레이팅</t>
  </si>
  <si>
    <t>원전 부문 비중 확대 → 실적 변동성 축소, 순자산 기반 멀티플 재평가 구간</t>
  </si>
  <si>
    <t>SMR·대형 원전 수주 이벤트 집중</t>
  </si>
  <si>
    <t>미국 Holtec SMR·Fermi 원전, 불가리아 원전 EPC 계약 발표 구간</t>
  </si>
  <si>
    <t>국내 건축/주택 리스크 완화</t>
  </si>
  <si>
    <t>저마진 프로젝트 종료·현대엔지니어링 리스크 축소로 수익성 정상화</t>
  </si>
  <si>
    <t>원전 관련 정책 수혜 강화</t>
  </si>
  <si>
    <t>미국 DOE의 SMR 8억 달러 보조금 결정으로 착공 가능성 급증</t>
  </si>
  <si>
    <t>글로벌 원전 EPC 최선호 벤더로 자리매김</t>
  </si>
  <si>
    <t>SMR·대형원전 모두 글로벌 핵심 사업자로 부상, 공급망 지위 강화</t>
  </si>
  <si>
    <t>수주잔고 증가 → 매출·마진 개선</t>
  </si>
  <si>
    <t>해외 고마진 비중 확대 + 국내 주택 믹스 개선 → 구조적 수익성 개선</t>
  </si>
  <si>
    <t>원전 중심 밸류체인 리레이팅</t>
  </si>
  <si>
    <t>PBR 0.4~0.5배 저평가 구간에서 탈출, 글로벌 원전 수혜주로 재평가</t>
  </si>
  <si>
    <t>SMR·대형원전 다중 모듈 확장성</t>
  </si>
  <si>
    <t>SMR의 미국·유럽 확장(다중 모듈 전략) → 장기 공급 파이프라인 확보</t>
  </si>
  <si>
    <t>두산에너빌리티</t>
    <phoneticPr fontId="1" type="noConversion"/>
  </si>
  <si>
    <t>체코 원전 1차 기자재 수주 본격화</t>
  </si>
  <si>
    <t>두코바니 5·6호기향 NSSS·주기기 1차 발주가 이루어지는 시기. 두산은 제조·일부 시공 참여로 4조원 이상 수주 가시화.</t>
  </si>
  <si>
    <t>체코 원전 시공분 발주 및 추가 수주 확대</t>
  </si>
  <si>
    <t>25년 4Q에서 제외된 시공·보조계통 발주가 1Q에 가시화되며 원전 수주잔고 증가.</t>
  </si>
  <si>
    <t>북미 데이터센터향 가스터빈 수요 급증 수혜 확대</t>
  </si>
  <si>
    <t>빅테크 대상 380MW급 가스터빈 공급 증가. 북미 전력 인프라 병목으로 GT 발주가 구조적 증가세.</t>
  </si>
  <si>
    <t>SMR 전용 생산라인 착공 효과 반영</t>
  </si>
  <si>
    <t>연 20기 생산 가능한 SMR 공장 착공 후 기자재 공급 계약 체결이 빠르게 진행될 시점.</t>
  </si>
  <si>
    <t>미국·폴란드·불가리아 등 대형 원전 프로젝트 발주 가능성 본격화</t>
  </si>
  <si>
    <t>웨스팅하우스가 추진하는 8·3·2기 프로젝트 기자재 발주가 반영되며 NSSS·STG 제조 수주 증가.</t>
  </si>
  <si>
    <t>단기(6개월)</t>
  </si>
  <si>
    <t>체코·북미 중심의 대형 수주 랠리 지속</t>
  </si>
  <si>
    <t>체코 두코바니 1차 발주(4조+), 북미 데이터센터 가스터빈 계약 확대로 25년~26년 신규수주 14조 상회 가능성.</t>
  </si>
  <si>
    <t>가스터빈 공급 병목으로 수주 단가·물량 모두 우상향</t>
  </si>
  <si>
    <t>북미 전력 인프라 부족이 구조적 병목을 만들며 두산 GT 경쟁력 부각.</t>
  </si>
  <si>
    <t>원전 산업 글로벌 확장(미국·중동) 초기 모멘텀 강화</t>
  </si>
  <si>
    <t>사우디·UAE 신규원전 레이스에서 한국형 원전의 시공·제작 능력이 최상위 평가를 받는 구간.</t>
  </si>
  <si>
    <t>장기(1~3년)</t>
  </si>
  <si>
    <t>SMR 시장 성장에 따른 구조적 수주 확대</t>
  </si>
  <si>
    <t>뉴스케일·X에너지·테라파워·GE 히타치 등 글로벌 SMR 프로젝트가 본격화되며 기자재 공급처로 선정될 확률 증가.</t>
  </si>
  <si>
    <t>웨스팅하우스 협력 통한 미국시장 원전 공급망 진입</t>
  </si>
  <si>
    <t>웨스팅하우스는 실질적 제조능력이 부족해 두산 의존도가 상승. 미국 8기 프로젝트 수혜 가능.</t>
  </si>
  <si>
    <t>연간 14조원 이상 신규수주 고착화에 따른 밸류 리레이팅</t>
  </si>
  <si>
    <t>원전·가스터빈·SMR 3축 구조가 갖춰지며 중장기적으로 PER 리레이팅 구간 진입 가능.</t>
  </si>
  <si>
    <t>수주잔고 증가 → 매출·이익 성장이 26~27년부터 본격화</t>
  </si>
  <si>
    <t>25년 수주 증가가 26~27년 매출로 전환되며 영업이익 레버리지 확대.</t>
  </si>
  <si>
    <t>미국 관세 인하 + 비용절감 효과 시작</t>
  </si>
  <si>
    <t>미국 관세 25%→15% 인하로 비용 축소, 고객사 단가 인상 보전 시작 / 유럽 R&amp;D센터 통합, 국내·멕시코 공장 효율화 효과 반영 시작</t>
  </si>
  <si>
    <t>전자식 조향(EPS) 성장 지속</t>
  </si>
  <si>
    <t>북미 BEV·중국 SDV 고객사 향 EPS 매출 성장 / 로보택시 기업향 매출 가시성 확대</t>
  </si>
  <si>
    <t>IDB 북미향 확대 시작</t>
  </si>
  <si>
    <t>북미 BEV 고객향 IDB 초기 공급 효과 / 중국 핵심 고객사 점유율 상승에 따른 매출 증가</t>
  </si>
  <si>
    <t>로봇 액추에이터 사업 본격 부각</t>
  </si>
  <si>
    <t>4족보행 로봇 액추에이터 납품 본격 반영 / 희토류 가격 하방경직성으로 수익성 방어</t>
  </si>
  <si>
    <t>로보택시(미국·중국) 확장 수혜 집중</t>
  </si>
  <si>
    <t>테슬라·웨이모 등 로보택시 서비스 지역 확대 → EPS·액추에이터 매출 직접 수혜</t>
  </si>
  <si>
    <t>HL만도</t>
    <phoneticPr fontId="1" type="noConversion"/>
  </si>
  <si>
    <t>관세 인하 + 비용절감으로 실적 추정 상향</t>
  </si>
  <si>
    <t>미국 관세 부담 축소 및 현대차·기아의 단가 인상 보전 → 영업이익 레벨업 구간 진입</t>
  </si>
  <si>
    <t>EPS·IDB 성장에 따른 매출 모멘텀 강화</t>
  </si>
  <si>
    <t>북미 BEV 및 중국 SDV 업체향 전자식 조향 시스템(EPS) 매출 고성장 지속</t>
  </si>
  <si>
    <t>중국 전기차 고객사 회복 수혜</t>
  </si>
  <si>
    <t>중국 고객사향 점유율 상승 / BYD 제외 상위 고객사 거의 전부 확보</t>
  </si>
  <si>
    <t>영업외 변동성 축소 예상</t>
  </si>
  <si>
    <t>중국 i-Motion 투자 관련 평가손실이 이미 대부분 반영되어 추가 손실 위험 축소</t>
  </si>
  <si>
    <t>로봇 액추에이터 시장 개화의 핵심 수혜</t>
  </si>
  <si>
    <t>휴머노이드·4족 로봇 ASP가 자동차 대비 100배 규모 / HL만도는 모터·감속기·센서·제어기 통합기술 보유</t>
  </si>
  <si>
    <t>Steer-by-Wire 2027년 양산 기반 구축</t>
  </si>
  <si>
    <t>스티어링-휠 기계연결 제거한 SBW 기술 → 27년 중동향 매출 시작, 고부가가치 제품 비중 증가</t>
  </si>
  <si>
    <t>희토류 안정 조달로 가격 경쟁력 확보</t>
  </si>
  <si>
    <t>미국 NdPr 가격 하한 설정(10년간 보장) → 액추에이터 단가 하방 경직성 확보</t>
  </si>
  <si>
    <t>BEV·SDV·로보택시 Value Chain 대표 벤더로 확장</t>
  </si>
  <si>
    <t>미국·중국 로보택시 시장 26년 확대로 EPS·액추에이터 동시 수혜</t>
  </si>
  <si>
    <t>북미·중국 점유율 상승 구조 확정</t>
  </si>
  <si>
    <t>북미 BEV·중국 SDV 모두 Top-tier 고객 확보 → 중장기 10조원 이상 매출 구조 고도화</t>
  </si>
  <si>
    <t>삼성에피스홀딩스</t>
    <phoneticPr fontId="1" type="noConversion"/>
  </si>
  <si>
    <t>직판 구조 전환 초기 효과 반영</t>
  </si>
  <si>
    <t>유럽 직판 시작, Soliris·Eylea 등 고마진 제품에서 수익성 개선이 가시화되는 시기. 내부 거래 → 외부 거래 전환으로 단기 실적 변동성 존재하지만 매출 인식 구조 정상화가 시작됨.</t>
  </si>
  <si>
    <t>바이오시밀러 성장률 20% 내외 유지</t>
  </si>
  <si>
    <t>에피스가 제시한 20% 내외 성장 가이던스가 반영될 분기. SB11/SB15/SB16 등에서 유럽·미국 판매 확대, 직판 전환 구간 확대.</t>
  </si>
  <si>
    <t>PPA 상각 부담 완화 &amp; 마진 회복</t>
  </si>
  <si>
    <t>과거 인수 과정에서 발생한 PPA(무형자산) 상각이 연결 실적에 반영되나, 시장이 비현금성 비용임을 인지하며 밸류에이션 부담 완화. 직판 영향으로 수익성 개선이 더 명확해지는 시기.</t>
  </si>
  <si>
    <t>차세대 파이프라인(ADC·면역질환) 가시성 부각</t>
  </si>
  <si>
    <t>SB27(Keytruda 시밀러)·SB38(Enhertu ADC 시밀러)·SB33~35(Dupixent/Tremfya/Taltz) 임상 진입 및 업데이트. 신약 모달리티(ADC) 관련 기대감 확대.</t>
  </si>
  <si>
    <t>리레이팅 본격화 구간</t>
  </si>
  <si>
    <t>2026년 구조적 성장 스토리 완성도 상승. 직판 매출 확대 + Wave 3 진입 가시화 + 스핀아웃 자회사(에피스넥스랩) 초기 밸류 반영 구간. 시장에서 "에피스홀딩스는 단순 바이오시밀러 회사가 아니다"라는 프리미엄 부여 가능.</t>
  </si>
  <si>
    <t>직판 구조 전환 및 실적 정상화</t>
  </si>
  <si>
    <t>유럽 중심 직판 확대로 마진 개선이 바로 반영되는 구간. 내부거래 제거 → 외부거래 인식으로 단기 실적 변동성 발생하지만, 매출·이익 인식 구조가 개선되는 전환점.</t>
  </si>
  <si>
    <t>PPA 상각 영향은 비현금성 부담에 불과</t>
  </si>
  <si>
    <t>삼바 인수 PPA(약 2,000~3,000억 규모)가 10년 상각되며 당기 비용 증가처럼 보이지만 실질 가치 훼손 없음. 오히려 시장은 이를 일회성으로 간주하고 본질가치를 높게 반영.</t>
  </si>
  <si>
    <t>바이오시밀러 안정적 캐시카우 재확인</t>
  </si>
  <si>
    <t>SB4·SB5·SB11·SB15·SB12 등 출시 제품군이 글로벌 8종 이상 확보. 미국·유럽 승인 제품 확대 → 매출 베이스 강화. 2025~2026년에도 안정적 두자릿수 성장 전망.</t>
  </si>
  <si>
    <t>Wave 3 파이프라인 가치 반영 시작</t>
  </si>
  <si>
    <t>Keytruda·Enhertu ADC·Dupixent 등 글로벌 블록버스터급 파이프라인 목표로 개발 중. 미국 독점권 만료 시점(2029~2033)에 맞춘 전략적 포지셔닝으로 장기 기업가치 상승의 핵심.</t>
  </si>
  <si>
    <t>신약 모달리티·스핀아웃 구조(에피스넥스랩)의 프리미엄</t>
  </si>
  <si>
    <t>에피스가 단순 시밀러 회사에서 벗어나 ADC·이중항체 등 차세대 모달리티에 진입. 특정 적응증을 스핀아웃 → 성장 초기부터 외부 투자 유치 가능 → 빅파마 M&amp;A 옵션 존재 → 홀딩스의 장기 밸류에이션 상향 요인.</t>
  </si>
  <si>
    <t>삼성 그룹 바이오 투자 확대의 직접 수혜</t>
  </si>
  <si>
    <t>삼성바이오로직스와의 그룹 차원의 수직적 시너지 유지. 직판체계 강화·R&amp;D 확대·신규 모달리티 확장 등 2026년 이후 중장기 프리미엄이 가장 크게 반영될 시기.</t>
  </si>
  <si>
    <t>카지노 드롭액·순매출 역사적 최고 수준 지속</t>
  </si>
  <si>
    <t>11월 기준 월 514억 순매출 기록, 계절성 완화·진성 VIP 증가, 12월 항공편 확대와 게임 테이블 증설 효과 반영</t>
  </si>
  <si>
    <t>관광·항공 정상화에 따른 안정적 기저 확보</t>
  </si>
  <si>
    <t>항공편 회복·방문객 수 증가로 카지노·호텔·여행 사업부 모두 전년 대비 안정적 성장 기반 확보</t>
  </si>
  <si>
    <t>카지노 테이블·슬롯머신 증설 효과 본격화</t>
  </si>
  <si>
    <t>25년 말 증설된 게임 시설의 매출 기여가 전면 반영되며 분기 실적 체력 상승 구간 진입</t>
  </si>
  <si>
    <t>호텔·여행 성수기 + 카지노 믹스 개선</t>
  </si>
  <si>
    <t>3분기 여행·호텔 성수기 효과와 카지노 고수익 VIP 비중 증가가 맞물려 영업레버리지 극대화</t>
  </si>
  <si>
    <t>EBITDA 턴어라운드 본격 확정·리레이팅 가능성</t>
  </si>
  <si>
    <t>카지노·호텔·여행 부문 모두 연간 실적 고점 형성, 27년 PER·EV/EBITDA 기준 저평가 논리 강화</t>
  </si>
  <si>
    <t>카지노 드롭액·순매출 체질 개선</t>
  </si>
  <si>
    <t>월 500억대 순매출이 연속적으로 유지되며 외부 수요·VIP 트래픽 구조가 정상화 국면 진입</t>
  </si>
  <si>
    <t>항공편 증가 + 계절성 약화 효과</t>
  </si>
  <si>
    <t>방문객 감소 구간에서도 인당 드롭액 상승 → 고품질 고객 비중 확대가 실적으로 연결</t>
  </si>
  <si>
    <t>호텔 부진 상쇄하는 여행사업 회복</t>
  </si>
  <si>
    <t>호텔 성수기 약세 일부 존재하나 여행 사업부가 성장률을 보완하며 실적 안정성 확보</t>
  </si>
  <si>
    <t>영업이익 대폭 개선으로 밸류에이션 변화</t>
  </si>
  <si>
    <t>25년 4Q 영업이익이 시장 컨센서스를 크게 상회하며 리레이팅 트리거 형성</t>
  </si>
  <si>
    <t>카지노 구조적 성장이 본격 반영되는 시기</t>
  </si>
  <si>
    <t>테이블·슬롯 증설 효과가 안정적으로 반영되며 연간 영업이익률 25~30%대로 체질 전환</t>
  </si>
  <si>
    <t>여행·호텔의 보완적 성장으로 포트폴리오 안정화</t>
  </si>
  <si>
    <t>카지노 중심 수익 구조를 여행·호텔 부문이 안정적으로 서포트하는 다각화 매출 구조 완성</t>
  </si>
  <si>
    <t>EBITDA·영업이익 꾸준한 증가 → 레버리지 개선</t>
  </si>
  <si>
    <t>26~27년 EBITDA 급증으로 부채 레벨이 안정화되며 금융 리스크 완화</t>
  </si>
  <si>
    <t>27년 PER·EV/EBITDA 기준 저평가 매력 극대화</t>
  </si>
  <si>
    <t>27년 기준 PER 13~14배 수준으로 글로벌 리오프닝·카지노 업체 대비 높은 성장성과 낮은 밸류에이션 프리미엄</t>
  </si>
  <si>
    <t>VIP 믹스 개선 + 계절성 축소로 안정적 매출 플랫폼 구축</t>
  </si>
  <si>
    <t>드롭액 구조 개선이 지속되며 내·외부 환경 충격에 대한 실적 변동성 축소</t>
  </si>
  <si>
    <t>단기 투자포인트</t>
  </si>
  <si>
    <t>장기 투자포인트</t>
  </si>
  <si>
    <t>올리브영 성수기 + 인바운드 회복</t>
  </si>
  <si>
    <t>연말 성수기(올영세일·블프·크리스마스)로 매출 증가, 한일관계 개선에 따른 일본→한국 관광객 증가로 오프라인 트래픽 증가. 미국 800달러 규제 영향으로 역직구 둔화는 있으나 국내 온라인·오늘드림 매출이 보완. 비용 증가에도 견조한 이익 유지.</t>
  </si>
  <si>
    <t>춘절·관광수요 확대 + 미국 푸드빌 초기 기여</t>
  </si>
  <si>
    <t>춘절 효과로 동아시아 관광객 트래픽 증가. 올리브영 오프라인 매출 우상향. 미국 푸드빌 직영점·가맹점 확대로 초기 매출 증가 지속. 미국 생지(도우) 공장 가동 준비로 CAPA 확대 기대감 반영 시작.</t>
  </si>
  <si>
    <t>온라인 채널 성장 + 미국 가맹점 확대</t>
  </si>
  <si>
    <t>올리브영 온라인 MAU 증가 및 오늘드림 비중 상승. 푸드빌 미국 가맹점 확장 본격화. 생지·완제품 공급 여력 증가로 미국 베이커리 성장률 가속. 국내 점포 효율화로 비용 구조 개선.</t>
  </si>
  <si>
    <t>인바운드 견조 + 미국 푸드빌 고성장 지속</t>
  </si>
  <si>
    <t>중국·대만·일본 중심 관광 수요 지속 → 오프라인 매출 유지. 미국 푸드빌 매출 성장률이 비용 증가폭을 상회. 글로벌 온라인 채널은 조정 이후 성장 회복 가능성. 브랜드 포트폴리오 재정비 효과 반영.</t>
  </si>
  <si>
    <t>올리브영 최대 성수기 + 미국 CAPA 본격 반영</t>
  </si>
  <si>
    <t>연중 최대 성수기 재도래로 올리브영 매출피크. 미국 생지 공장 CAPA 확대로 푸드빌 공급능력 대폭 확대. 글로벌 온라인 초기 성과 가시화. 자사주 소각 가능성에 따른 밸류 리레이팅 기대감 반영.</t>
  </si>
  <si>
    <t>올리브영 성수기 + 인바운드 회복 수혜</t>
  </si>
  <si>
    <t>올리브영 4Q 성수기 매출 증가, 관광객 회복으로 오프라인 트래픽 확대. 온라인 오늘드림 고성장 지속. 푸드빌 미국 점포 증가로 매출 모멘텀 강함. 단기적으로 실적 가시성이 매우 높은 구간.</t>
  </si>
  <si>
    <t>단기 투자포인트 상세</t>
  </si>
  <si>
    <t>단기 실적 모멘텀 중심</t>
  </si>
  <si>
    <t>성수기 효과 + 인바운드 회복 + 미국 푸드빌 체인 확장 → 매출·이익 동반 상승. 역직구 둔화는 국내 온라인 성장으로 상쇄. 단기 가격 재평가 여지 존재.</t>
  </si>
  <si>
    <t>올리브영 글로벌 확장 + 지배구조 리레이팅 가능성</t>
  </si>
  <si>
    <t>올리브영의 미국 등 글로벌 진출 확장세가 장기 성장 동력. 푸드빌 CAPA 확대로 미국 내 500개 이상 매장 공급 가능성. 지배구조 개선(자사주 소각 포함) 시 밸류에이션 재평가 가능성.</t>
  </si>
  <si>
    <t>장기 투자포인트 상세</t>
  </si>
  <si>
    <t>구조적 성장 기반 강화</t>
  </si>
  <si>
    <t>올리브영 온라인·오프라인 모두 구조적 성장. 미국 푸드빌 고성장 사이클 장기 지속. 인바운드 회복이 지속될 경우 점유율 상승. CJ그룹 전체 포트폴리오 개선(식품·물류·바이오)으로 멀티플 상향 여지 확대.</t>
  </si>
  <si>
    <t>건설·바이오 동시 개선</t>
  </si>
  <si>
    <t>건설 실적 바닥 통과</t>
  </si>
  <si>
    <t>하이테크 매출 감소 구간이 끝나고 QoQ 개선 시작. 플랜트 매출 증가가 이익 회복에 기여. 그룹 지분가치 상승이 심리 개선 요인.</t>
  </si>
  <si>
    <t>건설 EBITDA 개선 흐름 지속, 바이오 영업이익률 35% 유지 예상. 해외 플랜트 매출 기여가 더 확대되는 시점.</t>
  </si>
  <si>
    <t>플랜트 매출 본격화</t>
  </si>
  <si>
    <t>미국·중동 중심 장기 프로젝트 매출 반영 확대. 건설부문 전체 매출 YoY 성장 전환. 바이오 수익성 유지로 전사 실적 안정.</t>
  </si>
  <si>
    <t>우상향 실적 흐름 지속</t>
  </si>
  <si>
    <t>건설·상사·바이오 모두 전년 대비 안정적 성장. 대형 프로젝트의 원가 개선 반영. 그룹사 가치 상승세 지속.</t>
  </si>
  <si>
    <t>원전 모멘텀 가시화</t>
  </si>
  <si>
    <t>루마니아·미국 중심 SMR/대형원전 사업의 가시적 진척 기대. 신규 주주환원정책 발표 시점과 맞물려 밸류 재평가 가능성.</t>
  </si>
  <si>
    <t>단기(25년 4Q~26년 1Q)</t>
  </si>
  <si>
    <t>건설 턴어라운드 + 바이오 안정적 고이익률</t>
  </si>
  <si>
    <t>건설 실적이 3Q25 바닥 확인, 4Q부터 개선. 바이오 영업이익률 30% 중후반 유지로 전사 실적 안정성 높음. 플랜트 매출 증가가 단기 QoQ 실적의 핵심 요인.</t>
  </si>
  <si>
    <t>주주환원정책 기대감 확대</t>
  </si>
  <si>
    <t>26년 초 주주환원정책 업데이트가 예정되어 있어 밸류에이션 리레이팅 촉발 가능성. 지주사 NAV 대비 할인율 축소 기대.</t>
  </si>
  <si>
    <t>장기(26년 2Q 이후)</t>
  </si>
  <si>
    <t>SMR·대형원전 글로벌 확장성</t>
  </si>
  <si>
    <t>GE Vernova–Hitachi와의 전략적 협력 기반으로 미국·루마니아 등 글로벌 원전 진출 가능성 강화. 수주 모멘텀 장기 상승 요인.</t>
  </si>
  <si>
    <t>SOTP 리레이팅 가능성</t>
  </si>
  <si>
    <t>NAV 대비 50~55% 수준의 구조적 할인 축소 가능. 삼성전자·바이오 가치 상승 시 직접적인 재평가 효과.</t>
  </si>
  <si>
    <t>전 사업부 실적 우상향 구조</t>
  </si>
  <si>
    <t>건설·상사·바이오가 모두 안정 성장 기조로 전환. 재무구조 개선으로 대규모 신규투자·배당 여력 확대.</t>
  </si>
  <si>
    <t>제품 믹스 개선 완료 + 로봇 감속기 성장 재확인</t>
  </si>
  <si>
    <t>저부가 가전용 모터 비중 축소 효과가 본격적으로 반영되면서 마진 체질 개선이 자리잡는 구간. 고정밀 감속기 매출이 24년 약 100억 → 25년 200억 성장 트랙을 재확인하며, 로봇 부품 사업의 외형·이익 기여에 대한 시장 기대가 커지는 시점.</t>
  </si>
  <si>
    <t>고정밀 감속기 손익 BEP 돌파 가시화</t>
  </si>
  <si>
    <t>고정밀(SH/SR/유성) 감속기 매출이 계속 늘면서 25년 BEP(손익분기) → 26년부터는 연구개발비 포함해도 흑자 전환이 가시화되는 초기 구간. 레인보우로보틱스 협동·양팔·4족보행 로봇 적용 물량 증가가 실적의 핵심 동력.</t>
  </si>
  <si>
    <t>4족보행·AMR·해외 고객사 확대에 따른 성장 가속</t>
  </si>
  <si>
    <t>국내 레인보우로보틱스뿐 아니라 미국 주요 4족보행 로봇 업체에도 유성 감속기 공급이 본격화되며 로봇향 매출 성장률이 가팔라지는 시점. 로봇 관절용 ‘국산 감속기’ 스토리가 언론·시장에 반복 노출되며 밸류에이션 리레이팅에 힘을 보탬.</t>
  </si>
  <si>
    <t>오버홀(OHT 교체수리)·방산 수요로 포트폴리오 다변화</t>
  </si>
  <si>
    <t>반도체 공장 OHT 장비 교체수리(오버홀) 시장에서 일본·중국산 감속기 대체 수요가 확대되고, 방산 전시회(ADEX 등)를 계기로 한화에어로스페이스·현대위아 등 방산 고객향 로봇/모션 부품 공급이 늘어나면서 매출원 다변화가 본격화되는 구간.</t>
  </si>
  <si>
    <t>로봇 부품 벤치마크로 자리매김 + 실적/밸류 동시 피크</t>
  </si>
  <si>
    <t>고정밀 감속기 매출이 26년 350억+ 레벨로 성장하며 전사 영업이익 성장률(연간 +50% 이상 추정)을 견인. ‘레인보우로보틱스·글로벌 로봇·방산’이 모두 고객 레퍼런스로 자리잡으면서 로봇 부품 대표주(벤치마크)로 포지셔닝, 중장기 PER/EV/EBITDA 상향 기대가 커지는 구간.</t>
  </si>
  <si>
    <t>저부가 모터 축소 + 수익성 턴어라운드</t>
  </si>
  <si>
    <t>중국향 저수익 가전 모터 매출을 줄이고, 고부가 산업·로봇용 제품 비중을 늘린 결과 25년 상반기부터 영업이익이 매출 감소에도 증가하는 구조로 전환. 원가 절감과 믹스 개선 효과가 25년 4Q~26년 1Q까지 이어지며 마진 턴어라운드를 확실히 보여주는 구간.</t>
  </si>
  <si>
    <t>고정밀 감속기 사업 BEP 도달 및 흑자 전환 기대</t>
  </si>
  <si>
    <t>24년 적자였던 로봇용 고정밀 감속기 사업이 25년 BEP에 근접하고, 26년부터는 R&amp;D 비용까지 포함해도 흑자가 가능한 구조로 전환될 것으로 예상. 레인보우로보틱스 협동·양팔·4족보행 로봇에 이어 해외 로봇 업체 적용이 확대되며 물량 레버리지 효과가 발생.</t>
  </si>
  <si>
    <t>4족보행·AMR·글로벌 로봇 고객사 확대</t>
  </si>
  <si>
    <t>국내 레인보우로보틱스에 더해 미국 4족보행 로봇 업체, 자율주행로봇(AMR) 등 글로벌 고객 다변화가 진행 중. 피지컬 AI·휴머노이드 로봇 확산과 함께 “로봇 관절의 국산 감속기”로 브랜드 인지도가 높아지며, 중장기 로봇 CAPEX 성장의 직접 수혜가 예상됨.</t>
  </si>
  <si>
    <t>오버홀·방산 등 비사이클 사업 비중 상승</t>
  </si>
  <si>
    <t>반도체 공장의 OHT 교체수리(오버홀) 시장에서 고가 외산 감속기를 대체하는 수요가 늘고, ADEX 2025 등에서 확인된 것처럼 한화에어로스페이스·현대위아 등 방산 고객 향 로봇·모션 제어 부품 공급이 확대되며, 경기와 무관한 유지보수·방산 매출 비중이 높아지는 구조.</t>
  </si>
  <si>
    <t>로봇 부품 벤치마크로서 밸류에이션 리레이팅 여지</t>
  </si>
  <si>
    <t>국내에서 SH/SR/유성 감속기를 모두 양산 가능한 사실상의 독보적 업체로, 로봇·방산·산업 자동화까지 커버하는 ‘풀스택 감속기/모터 기업’으로 포지셔닝. 로봇 CAPEX 사이클이 이어질 경우, 단순 소형 모터 업체가 아닌 글로벌 로봇 부품사로 재평가되며 장기 PER/EV 멀티플 상향 여지가 큼.</t>
  </si>
  <si>
    <t>오름테라퓨틱</t>
    <phoneticPr fontId="1" type="noConversion"/>
  </si>
  <si>
    <t>ORM-1153 전임상 핵심 데이터 공개</t>
  </si>
  <si>
    <t>ASH 2025에서 ORM-1153(CD123·GSPT1 DAC) 전임상 결과가 공개되며 항암 효능·안전성 우수성이 확인되고 핵심 파이프라인 가치가 급부상하는 시기</t>
  </si>
  <si>
    <t>ORM-1153 IND 준비 진척</t>
  </si>
  <si>
    <t>독성시험·CMC·임상 디자인 등 IND 제출 준비가 본격화되며 글로벌 1상 개시 일정에 대한 가시성이 상승하는 구간</t>
  </si>
  <si>
    <t>ORM-6151 글로벌 1상 모멘텀 확대</t>
  </si>
  <si>
    <t>BMS에서 진행 중인 ORM-6151 글로벌 1상 환자 모집 확대 및 초기 안전성/내약성 결과 업데이트 가능성이 집중되는 시점</t>
  </si>
  <si>
    <t>ORM-1023 후보물질 확정 기대</t>
  </si>
  <si>
    <t>비혈액암 파이프라인 ORM-1023(SCLC·NET)의 후보물질 선정 단계 진입으로 파이프라인 확장 스토리가 강화되는 분기</t>
  </si>
  <si>
    <t>ORM-1153 IND/CTA 제출 이벤트</t>
  </si>
  <si>
    <t>회사의 핵심 이벤트인 ORM-1153 글로벌 임상 IND/CTA 제출이 예정돼 있어 기술이전(BD) 가능성까지 커지는 모멘텀 분기</t>
  </si>
  <si>
    <t>ORM-1153 데이터 기반 초기 기술력 부각</t>
  </si>
  <si>
    <t>ASH에서의 전임상 결과 공개를 계기로 CD123·TP53 변이 대상 고위험 AML 치료제로서 가치가 부각되고 플랫폼 기술 신뢰도가 상승하는 구간</t>
  </si>
  <si>
    <t>TPD² 플랫폼 인지도 상승</t>
  </si>
  <si>
    <t>BMS·Vertex 등 글로벌 빅파마와의 협업이 가시화되며 TPD² 기반 파이프라인의 확장 가능성이 시장에서 재평가되는 시기</t>
  </si>
  <si>
    <t>장기(26년2Q 이후)</t>
  </si>
  <si>
    <t>글로벌 파트너 임상 진전 기반 가치 상승</t>
  </si>
  <si>
    <t>ORM-6151 글로벌 1상 진전 및 향후 2상 확장 여부가 마일스톤·로열티 등 장기 수익원 확보로 연결될 수 있는 구조</t>
  </si>
  <si>
    <t>다중 파이프라인 임상 진입 및 BD 확대</t>
  </si>
  <si>
    <t>ORM-1153 IND 제출 후 글로벌 1상 진입, 후속 파이프라인 후보물질 확정, 추가 기술이전 가능성이 장기 성장성을 결정하는 핵심 요인</t>
  </si>
  <si>
    <t>TPD² 플랫폼의 적응증 확대 효과</t>
  </si>
  <si>
    <t>혈액암·비혈액암으로 적용 범위가 확대되며 플랫폼 기반 기업으로의 구조적 리레이팅이 가능한 단계</t>
  </si>
  <si>
    <t>레인보우로보틱스</t>
    <phoneticPr fontId="1" type="noConversion"/>
  </si>
  <si>
    <t>RB-Y1 공급 확대</t>
  </si>
  <si>
    <t>휴머노이드 RB-Y1 공급 100대 수준 도달하며 세종 신공장 이전 완료로 양산 기반 확보</t>
  </si>
  <si>
    <t>세종 라인 양산 개시</t>
  </si>
  <si>
    <t>휴머노이드 전용 라인 시운전 후 양산 개시로 리드타임 단축 및 파일럿 수요 확대</t>
  </si>
  <si>
    <t>AX·피지컬 AI 수요 증가</t>
  </si>
  <si>
    <t>AX·피지컬 AI 정책과 제조·물류 자동화 프로젝트가 PoC에서 초기 상용 단계로 전환</t>
  </si>
  <si>
    <t>MIT Toyota 기반 연구·산업용 레퍼런스로 해외 프로젝트 및 수출 증가 본격화</t>
  </si>
  <si>
    <t>양산 성과 반영 국면</t>
  </si>
  <si>
    <t>26년 양산 성적표에 따라 시장 내 선도 기업으로 자리 잡으며 밸류에이션 재평가 기대</t>
  </si>
  <si>
    <t>RB-Y1 매출 성장</t>
  </si>
  <si>
    <t>100~150대 공급과 신규 라인 가동으로 로봇 매출 성장률이 가파르게 증가하는 구간</t>
  </si>
  <si>
    <t>노동리스크·AX 정책 수혜</t>
  </si>
  <si>
    <t>노란봉투법 통과 및 자동화 투자 확대 영향으로 코봇·휴머노이드 동시 수요 상승</t>
  </si>
  <si>
    <t>세종 전용 공장 풀가동</t>
  </si>
  <si>
    <t>휴머노이드 전용 공장 풀가동으로 규모의 경제·원가절감·반복매출 구조 강화</t>
  </si>
  <si>
    <t>삼성 로봇 전략 핵심축</t>
  </si>
  <si>
    <t>삼성전자 로봇·공정자동화 라인 투입 확대로 수주 파이프라인 장기적 상승</t>
  </si>
  <si>
    <t>K-휴머노이드 글로벌 확장</t>
  </si>
  <si>
    <t>특수목적형 휴머노이드 중심으로 글로벌 시장 성장 수혜 및 얼라이언스 확장 효과</t>
  </si>
  <si>
    <t>지투지바이오</t>
    <phoneticPr fontId="1" type="noConversion"/>
  </si>
  <si>
    <t>1개월·3개월 지속형 플랫폼 검증 완료</t>
  </si>
  <si>
    <t>도네페질 1개월 제형 임상 결과로 InnoLAMP의 초기 방출 억제·고함량 담지 기술 검증 완료, 파트너사 기술평가 본격화</t>
  </si>
  <si>
    <t>비만 파트너사 기술평가 가속</t>
  </si>
  <si>
    <t>세마글루타이드·카그리세마 등 비만 파이프라인 대상 동물 효능·생산적합성 테스트 진행, 공동개발사 추가 확대 가능성</t>
  </si>
  <si>
    <t>임상 1상 진입 구조 확정 구간</t>
  </si>
  <si>
    <t>2031~2032년 위고비 특허만료 대비 위해 파트너사들이 임상 1상 일정 확정해야 하는 시점, L/O 타이밍 압축</t>
  </si>
  <si>
    <t>본계약(L/O) 우선 협상 심화</t>
  </si>
  <si>
    <t>고함량·대량생산 장점이 확인되며 빅파마 간 경쟁적 L/O 구도 진입, 독점 계약 구조 논의 확대</t>
  </si>
  <si>
    <t>임상 돌입 및 공장 증설 의사결정</t>
  </si>
  <si>
    <t>1상 진입과 동시에 상업화 대비 생산라인 구축 검토, 대량생산 적합성 검토 완료 시 설비 착공 의사결정 가능</t>
  </si>
  <si>
    <t>플랫폼 기술 검증 완료 효과</t>
  </si>
  <si>
    <t>InnoLAMP의 초기 방출 억제·고함량 담지·3개월 지속 가능성 입증으로 기술 가치 재평가 구간</t>
  </si>
  <si>
    <t>비만 파이프라인 협업 확대</t>
  </si>
  <si>
    <t>세마글루타이드·카그리세마 공동개발사 확대와 추가 빅파마 검토 진행으로 L/O 기대감 상승</t>
  </si>
  <si>
    <t>임상 진입 기반 가치 재산정</t>
  </si>
  <si>
    <t>2026년 임상 1상 진입이 필수 구간으로, 일정 확정과 함께 플랫폼 가치·계약 규모 확대 가능성</t>
  </si>
  <si>
    <t>대량생산 플랫폼 경쟁력 부각</t>
  </si>
  <si>
    <t>막유화 기반 고함량 미립구 생산으로 생산성 80% 개선·투여량 절감 등 대형 파트너사 선호 구조 강화</t>
  </si>
  <si>
    <t>3개월 지속형 시장 선점 효과</t>
  </si>
  <si>
    <t>노보·릴리 경쟁구도 속 1~3개월 제형 개발 경쟁 심화, 지투지바이오가 특허·기술로 구조적 수혜 기대</t>
  </si>
  <si>
    <t>인벤티지랩</t>
    <phoneticPr fontId="1" type="noConversion"/>
  </si>
  <si>
    <t>비만 파이프라인 후보제형 확정</t>
  </si>
  <si>
    <t>유한양행·BI 대상 세마글루타이드·터제파타이드 후보제형 최종 선정 단계 진입</t>
  </si>
  <si>
    <t>장기지속형 임상 데이터 확장</t>
  </si>
  <si>
    <t>약물중독·탈모·치매 등 1상 인체 데이터 확보로 플랫폼 검증 강화</t>
  </si>
  <si>
    <t>비만 임상 1상 진입 발표 예상</t>
  </si>
  <si>
    <t>비만 파이프라인의 GLP-1 기반 제형의 1상 개시로 플랫폼 가치 상향 구간</t>
  </si>
  <si>
    <t>SC 제형(고농도) PoC 확장</t>
  </si>
  <si>
    <t>고농도 저부피 SC 제형의 PoC 및 초기 PK 확보로 신규 플랫폼 사업성 강화</t>
  </si>
  <si>
    <t>대량생산·원가경쟁력 기반 L/O 가속</t>
  </si>
  <si>
    <t>3000~9000채널 기반 대량생산 체계 확립되며 빅파마 L/O 협상력 상승</t>
  </si>
  <si>
    <t>플랫폼 인체검증 완료 효과</t>
  </si>
  <si>
    <t>IVL-DrugFluidic의 초기 과방출 억제·안정 PK 데이터 확보로 기술 신뢰도 상승</t>
  </si>
  <si>
    <t>비만 제형 확정에 따른 L/O 모멘텀</t>
  </si>
  <si>
    <t>유한양행·BI 제형 선정과 검증 완료로 기술이전 논의 본격화</t>
  </si>
  <si>
    <t>비만 임상 진입 기반 플랫폼 가치 재평가</t>
  </si>
  <si>
    <t>GLP-1 기반 장기지속형·SC 제형의 임상 진입으로 멀티플 상승 기대</t>
  </si>
  <si>
    <t>대량생산 스케일업 완성</t>
  </si>
  <si>
    <t>3000~9000채널 병렬화 생산체계로 원가경쟁력·상업화 가능성 확보</t>
  </si>
  <si>
    <t>SC·경구제형 확장으로 TAM 확대</t>
  </si>
  <si>
    <t>고농도 SC 제형·경구 제형 플랫폼 확장으로 다중 파이프라인 성장 동력 확보</t>
  </si>
  <si>
    <t>스마트팩토리·물류 자동화 수주 확대</t>
  </si>
  <si>
    <t>현대차그룹 내지 외부 제조공장 무인운반·로봇셀 자동화 프로젝트 확대 반영</t>
  </si>
  <si>
    <t>특장차 로보틱스 사업 본격화</t>
  </si>
  <si>
    <t>대형 물류센터 AGV·AMR 도입 확산으로 로보틱스 SI 매출 성장 가시화</t>
  </si>
  <si>
    <t>병원 물류로봇 확산 속도 증가</t>
  </si>
  <si>
    <t>병원 물류 자동화 수요 확대와 신규 병원 증축 수혜로 의료 로봇 수주 증가</t>
  </si>
  <si>
    <t>현대차그룹 물류 내재화 모멘텀 강화</t>
  </si>
  <si>
    <t>그룹 계열 물류 플랫폼 고도화 사업 및 스마트 물류센터 자동화 투자 본격화</t>
  </si>
  <si>
    <t>대규모 SI 프로젝트 실적 반영 구간</t>
  </si>
  <si>
    <t>연중 체결된 스마트팩토리·물류센터 프로젝트 매출 인식 확대와 외형 성장 가속</t>
  </si>
  <si>
    <t>스마트팩토리 중심 수주 모멘텀 강화</t>
  </si>
  <si>
    <t>현대차그룹·배터리·전자 제조라인의 자동화 투자가 지속되며 SI 수주 증가</t>
  </si>
  <si>
    <t>로보틱스·특장차 매출 가파른 증가</t>
  </si>
  <si>
    <t>AMR·AGV 등 무인운반 로봇과 특장차 자동화 수요 확대가 실적 성장 견인</t>
  </si>
  <si>
    <t>병원 물류 자동화 구조적 성장</t>
  </si>
  <si>
    <t>의료 인력 부족 및 병원 신축 확대로 의료 로봇·물류 자동화 시장 장기 성장</t>
  </si>
  <si>
    <t>현대차그룹 내재화 수혜 본격화</t>
  </si>
  <si>
    <t>그룹 스마트 물류체계 개편에 따른 안정적 프로젝트 공급 및 점유율 상승</t>
  </si>
  <si>
    <t>종합 자동화 플랫폼 기업으로 전환</t>
  </si>
  <si>
    <t>로봇·특장차·스마트팩토리·물류 SI 통합 역량 확보로 멀티플 재평가 가능</t>
  </si>
  <si>
    <t>현대무벡스</t>
    <phoneticPr fontId="1" type="noConversion"/>
  </si>
  <si>
    <t>GPU 도입 초기 전략 정립</t>
  </si>
  <si>
    <t>엔비디아 5만장 도입 이후 AI 인프라 활용 구조·BM 내부 정리 단계</t>
  </si>
  <si>
    <t>AI IDC·스마트팩토리 수주 가속</t>
  </si>
  <si>
    <t>클라우드·ERP·MES 등 그룹 디지털 전환 프로젝트 확대, SI 매출 증가 반영</t>
  </si>
  <si>
    <t>AI·자율주행 역할 범위 확정</t>
  </si>
  <si>
    <t>Physical AI 운영체제 구축 범위 구체화, 차량·로봇·공장 데이터 OS 역할 강화</t>
  </si>
  <si>
    <t>공장·로봇·차량 통합 플랫폼 확장</t>
  </si>
  <si>
    <t>Isaac·디지털트윈 기반 로봇–공장 연동 프로젝트 실행, 그룹 내 적용 범위 확대</t>
  </si>
  <si>
    <t>대형 SI 프로젝트 매출 인식 확대</t>
  </si>
  <si>
    <t>AI 팩토리·ERP 전환 등 연중 진행된 고단가 프로젝트 매출 대거 반영 구간</t>
  </si>
  <si>
    <t>AI 인프라·클라우드 기반 수혜</t>
  </si>
  <si>
    <t>AI IDC·클라우드·데이터센터 투자 확대가 SI·ITO 매출을 직접 견인</t>
  </si>
  <si>
    <t>GPU 관련 BM 옵션 확장</t>
  </si>
  <si>
    <t>단순 유통~인프라 구축~GPU-aaS까지 사업모델 확장 가능성 부각</t>
  </si>
  <si>
    <t>그룹 Physical AI 전환의 핵심 운영자</t>
  </si>
  <si>
    <t>공장–로봇–차량–클라우드를 연결하는 디지털 OS 운영자로 구조적 역할 확대</t>
  </si>
  <si>
    <t>스마트팩토리·ERP 전환 장기 성장</t>
  </si>
  <si>
    <t>신공장 500~600억, 기존공장 150억 규모 매출 구조로 Capex 증가 수혜 지속</t>
  </si>
  <si>
    <t>대외사업 확대 모멘텀</t>
  </si>
  <si>
    <t>26~28년 ERP·클라우드·로지스틱스 중심으로 논캡티브 비중 확대 전략 본격화</t>
  </si>
  <si>
    <t>삼현</t>
    <phoneticPr fontId="1" type="noConversion"/>
  </si>
  <si>
    <t>3공장 인수로 신사업 기반 확보</t>
  </si>
  <si>
    <t>창원 Brownfield 3공장 확보로 로봇·방산·AAM 양산 체계 준비 완료</t>
  </si>
  <si>
    <t>로봇·AMR 파일럿 검증 진행</t>
  </si>
  <si>
    <t>휴머노이드 관절·고하중 AMR 등 신제품 파일럿 생산·스펙 검증 단계</t>
  </si>
  <si>
    <t>방산·로봇 초기 양산 개시</t>
  </si>
  <si>
    <t>3공장 중심 방산 스마트액추에이터·로봇 구동계 초기 양산 진입</t>
  </si>
  <si>
    <t>e-컴프레서·로봇 양산 병행 확대</t>
  </si>
  <si>
    <t>BEV e-compressor 매출 본격화와 로봇·방산 양산 레버리지 확대</t>
  </si>
  <si>
    <t>멀티 포트폴리오 실적 가시화</t>
  </si>
  <si>
    <t>ICE 캐시카우 + 로봇·방산·AAM 매출 안정화로 성장 구조 완성</t>
  </si>
  <si>
    <t>3공장 선제 투자 효과</t>
  </si>
  <si>
    <t>양산 시점 1년 단축으로 신사업 성장 옵션 확대되나 단기 마진 부담 존재</t>
  </si>
  <si>
    <t>R&amp;D 비용 증가 구간</t>
  </si>
  <si>
    <t>방산·로봇·AAM 개발비 확대로 R&amp;D 비중 상승하며 단기 변동성 발생</t>
  </si>
  <si>
    <t>로봇·AMR 양산 모멘텀</t>
  </si>
  <si>
    <t>고토크 모터·관절·AMR 양산 확대로 글로벌 휴머노이드·물류 공급망 진입</t>
  </si>
  <si>
    <t>방산 액추에이터 성장</t>
  </si>
  <si>
    <t>스마트 액추에이터·감속기 등 고마진 방산 비중 확대로 이익률 개선</t>
  </si>
  <si>
    <t>ICE·BEV 이중 성장 구조</t>
  </si>
  <si>
    <t>ICE 액추에이터 캐시카우와 BEV e-compressor 성장으로 시장 변동 완충</t>
  </si>
  <si>
    <t>한라캐스트</t>
    <phoneticPr fontId="1" type="noConversion"/>
  </si>
  <si>
    <t>로봇 부품 양산 체계 완성</t>
  </si>
  <si>
    <t>글로벌 로봇업체향 주요 부품 양산 준비가 마무리되며 초기 공급 물량 반영 기대가 형성되는 시점</t>
  </si>
  <si>
    <t>ESS 신규 라인 검증 완료</t>
  </si>
  <si>
    <t>ESS 구조물·케이스 제품이 상반기 양산을 목표로 고객사 검증을 통과하며 신규 매출원 진입이 가시화되는 구간</t>
  </si>
  <si>
    <t>ESS 매출 기여 본격화</t>
  </si>
  <si>
    <t>26년부터 ESS 물량이 본격 반영되며 기존 전장 중심 매출 구조에 성장 축이 추가되는 변곡점</t>
  </si>
  <si>
    <t>글로벌 로봇향 공급 확대</t>
  </si>
  <si>
    <t>25년 시작된 양산 공급이 본격 증가하고 고객사 다변화가 맞물리며 로봇 부품 매출이 구조적으로 확대되는 시점</t>
  </si>
  <si>
    <t>중장기 수주 기반 성장 가속</t>
  </si>
  <si>
    <t>1조원 이상으로 추정되는 수주잔고를 기반으로 전장·로봇·ESS 전 부문에서 매출 확장과 실적 레벨업이 진행되는 구간</t>
  </si>
  <si>
    <t>로봇 부품 초기 양산 모멘텀</t>
  </si>
  <si>
    <t>연내 양산 개시로 글로벌 휴머노이드·로봇 부품 초기 매출이 반영되며 실적 모멘텀이 가장 먼저 나타나는 구간</t>
  </si>
  <si>
    <t>ESS 신규 진입 효과</t>
  </si>
  <si>
    <t>26년 상반기 양산을 앞두고 ESS 구조물·모듈케이스 제품의 고객사 확정이 진행되며 매출원 다변화가 빠르게 전개되는 시점</t>
  </si>
  <si>
    <t>ESS 시장 성장 수혜</t>
  </si>
  <si>
    <t>ESS 매출이 본격 반영되며 변동성 낮은 장기 성장 축이 추가되고 기존 전장 매출 의존도가 완화되는 구조적 변화</t>
  </si>
  <si>
    <t>로봇 부품 공급 확대 사이클</t>
  </si>
  <si>
    <t>글로벌 고객사향 공급 물량 확대가 이어지며 휴머노이드·AMR 부품 사업이 중장기 성장축으로 자리 잡는 국면</t>
  </si>
  <si>
    <t>중장기 수주 기반 실적 레벨업</t>
  </si>
  <si>
    <t>전장·로봇·ESS 전체에서 누적된 1조원 이상 수주잔고가 실행 국면에 들어가며 외형·이익의 동반 레벨업이 진행되는 시점</t>
  </si>
  <si>
    <t>씨어스테크놀로지</t>
    <phoneticPr fontId="1" type="noConversion"/>
  </si>
  <si>
    <t>thynC 신규 설치 확산</t>
  </si>
  <si>
    <t>대형병원 중심 thynC 도입 증가로 구독매출 가속 및 병상 커버리지 확대</t>
  </si>
  <si>
    <t>mobiCARE 검사량 증가</t>
  </si>
  <si>
    <t>장시간 패치 검사 수요 증가로 재방문율·구독 단가 상승 구간 진입</t>
  </si>
  <si>
    <t>해외 진출 본격화</t>
  </si>
  <si>
    <t>FDA 기반 해외 파트너십 가시화로 초기 수출 물량·서비스 론칭 기대</t>
  </si>
  <si>
    <t>AI 모니터링 고도화</t>
  </si>
  <si>
    <t>AI 심전도·예측 모듈 고도화로 병원 ROI 강화 및 업셀링 구조 확대</t>
  </si>
  <si>
    <t>구독 기반 매출 레벨업</t>
  </si>
  <si>
    <t>병원 누적 설치 확대가 ARR 성장으로 전환되며 실적 체급 상향</t>
  </si>
  <si>
    <t>thynC 설치 확대</t>
  </si>
  <si>
    <t>대형병원 도입 확대와 재도입 병원 증가로 월간 설치 속도 가속</t>
  </si>
  <si>
    <t>mobiCARE 견조한 검사량</t>
  </si>
  <si>
    <t>웨어러블 패치 기반 검사 수요 지속 증가로 단기 성장 모멘텀 유지</t>
  </si>
  <si>
    <t>해외 확장 모멘텀</t>
  </si>
  <si>
    <t>FDA 인허가·파트너십 기반 해외 서비스 론칭으로 구조적 성장 진입</t>
  </si>
  <si>
    <t>AI 기반 플랫폼 강화</t>
  </si>
  <si>
    <t>AI 모니터링·예측기능 고도화로 구독형 비즈니스 마진 확대</t>
  </si>
  <si>
    <t>ARR 중심 체질 전환</t>
  </si>
  <si>
    <t>병상 도입률 상승에 따른 반복 매출 구조 강화로 실적 변동성 완화</t>
  </si>
  <si>
    <t>오가노이드 전임상 도입 확산</t>
  </si>
  <si>
    <t>동물실험 대체 규제 강화로 글로벌 빅파마·연구소의 오가노이드 기반 전임상 PoC 및 장비 도입 논의 급증</t>
  </si>
  <si>
    <t>HT-X1 Plus·mini 판매 확대</t>
  </si>
  <si>
    <t>미·유럽 직판 체제 전환과 연구용 수요 확대로 HT-X1 Plus·mini 판매 증가 및 설치 저변 확대</t>
  </si>
  <si>
    <t>X1 Max 빅파마 PoC 마무리</t>
  </si>
  <si>
    <t>X1 Max 기반 빅파마 PoC 진행 마무리로 상용 출시 전 사전 검증 완료 및 초기 수요 가시화</t>
  </si>
  <si>
    <t>X1 Max 출시·초기 매출 발생</t>
  </si>
  <si>
    <t>측정높이 500μm 지원 X1 Max 공식 출시로 두꺼운 오가노이드 분석 시장 선점 및 초기 매출 반영 구간</t>
  </si>
  <si>
    <t>비바이오 산업용 확장 본격화</t>
  </si>
  <si>
    <t>유리기판·웨이퍼 검사 중심 산업용 HT 장비 레퍼런스 확보로 27년 양산 수주 전 초기 퀄테스트 진행</t>
  </si>
  <si>
    <t>오가노이드 규제 변화 수혜</t>
  </si>
  <si>
    <t>FDAMA·NAM 정책 강화로 동물대체 시험 도입 확대, 오가노이드 전임상 장비 수요 급증</t>
  </si>
  <si>
    <t>직판 전환에 따른 ASP 개선</t>
  </si>
  <si>
    <t>미·유럽 직판 체제 구축으로 장비 ASP·마진 개선 및 연구용 제품군 확산</t>
  </si>
  <si>
    <t>X1 Max 기반 표준 플랫폼화</t>
  </si>
  <si>
    <t>두꺼운 오가노이드 비침습 분석이 가능한 X1 Max가 글로벌 빅파마 표준 플랫폼으로 자리 잡는 국면</t>
  </si>
  <si>
    <t>AI 분석·디지털 염색 구독 확대</t>
  </si>
  <si>
    <t>AI 기반 분석·예측 기능 고도화로 고마진 SW 구독 매출 비중 구조적으로 확대</t>
  </si>
  <si>
    <t>비바이오 산업용 성장축 강화</t>
  </si>
  <si>
    <t>유리기판·웨이퍼 검사 등 비바이오 산업용 시장 확대로 바이오 경기와 무관한 성장축 확보</t>
  </si>
  <si>
    <t>토모큐브</t>
    <phoneticPr fontId="1" type="noConversion"/>
  </si>
  <si>
    <t>HBM 장비 초기 발주 가시화</t>
  </si>
  <si>
    <t>HBM 생산라인 증설로 테스트 장비 발주 시작, 큐브프로버 소량 PO 반영되며 초기 모멘텀 형성</t>
  </si>
  <si>
    <t>큐브프로버 매출 인식 시작</t>
  </si>
  <si>
    <t>25년 말 수주한 첫 고객사향 큐브프로버 매출이 1Q26부터 본격 인식되며 외형 기여도 확대</t>
  </si>
  <si>
    <t>HBM4 전환 대비 공급 확대</t>
  </si>
  <si>
    <t>HBM4 양산 전환에 따라 테스트 시간 단축·수율 확보 이슈가 부각되며 큐브프로버 수요 상승</t>
  </si>
  <si>
    <t>다수 고객사 퀄테스트 진행</t>
  </si>
  <si>
    <t>북미·아시아 주요 고객사 퀄테스트 통과 확대로 공급 고객사 다변화 기대구간 진입</t>
  </si>
  <si>
    <t>26년 연간 레벨업 본격화</t>
  </si>
  <si>
    <t>검사장비·COK·메모리핸들러 확대와 함께 큐브프로버 누적 공급 가속으로 실적 체급 상승</t>
  </si>
  <si>
    <t>테크윙</t>
    <phoneticPr fontId="1" type="noConversion"/>
  </si>
  <si>
    <t>HBM 테스트 장비 수요 재부각</t>
  </si>
  <si>
    <t>HBM 생산업체 3사 양산 증설로 테스트 장비 발주 재개, 초기 PO 반영으로 수요 가시성 확대</t>
  </si>
  <si>
    <t>큐브프로버 수익성 개선</t>
  </si>
  <si>
    <t>원가 절감 효과와 메모리 핸들러 비중 증가로 마진 회복, 초기 양산 물량 확대 기대</t>
  </si>
  <si>
    <t>HBM4 대응 큐브프로버 성장성</t>
  </si>
  <si>
    <t>HBM4 전환 시 수율 개선 필수장비로 채택 확대, 200대 이상 공급 가능한 구조적 성장 스토리 확보</t>
  </si>
  <si>
    <t>고객사 다변화 기반 레벨업</t>
  </si>
  <si>
    <t>북미 고객사 퀄 통과를 시작으로 복수 고객사 확대가 진행되며 연간 매출 변동성 감소 및 외형 확대</t>
  </si>
  <si>
    <t>검사장비·COK 라인업 강화</t>
  </si>
  <si>
    <t>핸들러·부품·COK 등 비메모리 라인업의 안정적 매출과 함께 구조적 이익 레버리지 확보</t>
  </si>
  <si>
    <t>관세 환입·고마진 북미 출하 확대</t>
  </si>
  <si>
    <t>관세 환입과 북미 고부가 변압기 출하 증가로 실적 레벨업이 본격 반영되는 구간</t>
  </si>
  <si>
    <t>관세 전가 완료로 마진 정상화</t>
  </si>
  <si>
    <t>신규 수주 단가에 관세를 완전 반영하며 수익성 부담이 제거되는 시점</t>
  </si>
  <si>
    <t>북미 비중 확대 위한 생산 슬롯 조정</t>
  </si>
  <si>
    <t>창원·멤피스 생산 슬롯을 북미 인도 중심으로 재배치하며 믹스 개선이 가속되는 단계</t>
  </si>
  <si>
    <t>멤피스 증설 효과 본격 반영</t>
  </si>
  <si>
    <t>증설된 멤피스 공장의 가동률이 상승하며 북미 매출·OPM 모두 체급 상승이 확인되는 분기</t>
  </si>
  <si>
    <t>초고압 변압기 공급자 우위 지속</t>
  </si>
  <si>
    <t>글로벌 전력투자 확대와 공급 부족 지속으로 단가·물량 모두 우호적 사이클이 강화되는 시점</t>
  </si>
  <si>
    <t>관세 이슈 해소 기반 수익성 회복</t>
  </si>
  <si>
    <t>관세 환입 및 단가 반영 완료로 중공업 이익률이 구조적으로 한 단계 상승하는 구간</t>
  </si>
  <si>
    <t>고마진 중심 선택적 수주 전략</t>
  </si>
  <si>
    <t>북미·중동 중심 고수익 프로젝트 위주 수주 확대로 수주잔고의 질이 개선되는 시점</t>
  </si>
  <si>
    <t>북미 매출 비중 30~35% 고착화</t>
  </si>
  <si>
    <t>멤피스·창원 증설 효과로 북미 비중이 안정적으로 확대되며 고마진 유지 기반 확보</t>
  </si>
  <si>
    <t>초고압 변압기 슈퍼사이클 수혜</t>
  </si>
  <si>
    <t>글로벌 전력망 투자 증가로 초고압 변압기 수급 타이트 현상이 지속되는 장기 호황 구간</t>
  </si>
  <si>
    <t>전력 인프라·HVDC 장기 성장축</t>
  </si>
  <si>
    <t>미국·중동 중심 송전 인프라 및 HVDC 신규 발주 증가로 중장기 성장성이 강화되는 구조</t>
  </si>
  <si>
    <t>에스티아이</t>
    <phoneticPr fontId="1" type="noConversion"/>
  </si>
  <si>
    <t>전력반도체 제조장비 1차 대형 수주</t>
  </si>
  <si>
    <t>중국 합작법인 NTS와 약 978억원 규모 전력반도체 방열 부품 제조 인라인 장비 공급 계약을 체결하며 매출 기준 30%에 달하는 신규 성장축을 확보하는 구간</t>
  </si>
  <si>
    <t>전력반도체 인라인 프로젝트 착수 및 초기 매출 인식</t>
  </si>
  <si>
    <t>전력반도체 제조 인라인 구축이 본격 착수되며 단계적 장비 인도와 함께 일부 매출이 반영되고, 프로젝트 진행 상황에 따른 추가 수주 기대가 커지는 시기</t>
  </si>
  <si>
    <t>국내 메모리 인프라 투자 재개에 따른 CCSS 수주 확대</t>
  </si>
  <si>
    <t>SK하이닉스 M15X 2단계와 용인 클러스터, 삼성전자 P4 등 국내 DRAM 인프라 투자 재개로 중앙화약품공급시스템(CCSS) 및 Wet System 수주·매출이 동반 확대되는 분기</t>
  </si>
  <si>
    <t>전력반도체·메모리 인프라 양쪽에서 동시 성장</t>
  </si>
  <si>
    <t>중국 전력반도체 인라인 중간 구축 단계에 따른 추가 장비 공급과 국내 메모리 인프라 증설 프로젝트가 겹치며 인프라(CCSS)와 전력반도체 장비가 동시 성장하는 시기</t>
  </si>
  <si>
    <t>영업이익 1,000억원대 진입 가시화</t>
  </si>
  <si>
    <t>메모리 인프라 사이클 상단과 전력반도체 장비 매출이 맞물리며 26년 연간 매출 6천억·영업이익 9백억대 이상이 가시화되고, 이후 전력반도체 추가 라인 증설 및 후속 수주 기대가 커지는 분기</t>
  </si>
  <si>
    <t>전력반도체 장비 대형 수주로 신규 성장축 확보</t>
  </si>
  <si>
    <t>중국 합작법인 NTS와 약 978억원 규모 전력반도체 제조장비 공급 계약을 체결하며 전력반도체 방열 부품 인라인 장비 시장에 본격 진입, 단기간 내 실적 가시성과 밸류에이션 재평가가 동시에 기대되는 구간</t>
  </si>
  <si>
    <t>국내 메모리 인프라 투자 재개에 따른 실적 회복</t>
  </si>
  <si>
    <t>삼성전자 P4·P5, SK하이닉스 M15X·용인 클러스터 등 대형 메모리 인프라 프로젝트가 25~26년에 재개·확대되며 CCSS·Wet System 수주가 회복되고 26년부터 매출·영업이익이 급증하는 실적 턴어라운드 국면</t>
  </si>
  <si>
    <t>메모리 인프라 사이클 상단에서의 레버리지 효과</t>
  </si>
  <si>
    <t>25~26년 국내 메모리 인프라 투자가 과거 대비 장기화·대형화되면서 인프라 장비 비즈니스가 높은 매출 레벨에서 유지되고, 레퍼런스 확보를 통해 해외 파운드리·메모리 고객으로 확장될 여지가 있는 구조</t>
  </si>
  <si>
    <t>전력반도체 AMB 방열기판 인라인 장비 글로벌 확장성</t>
  </si>
  <si>
    <t>SiC·IGBT 기반 전력반도체 수요 증가와 함께 AMB 방열기판 인라인 구축 수요가 확대될 것으로 예상되어, 중국 합작법인 프로젝트 이후 추가 공장 증설·타 고객사 확대로 이어질 경우 장기 성장 축이 될 수 있는 영역</t>
  </si>
  <si>
    <t>합성쿼츠 포커스링·부품 등 소재·부품 포트폴리오 강화</t>
  </si>
  <si>
    <t>6N 고순도 합성쿼츠 포커스링 등 부품·소재 사업이 국내 주요 반도체 업체 퀄을 통과할 경우, 인프라 장비·전력반도체 장비와 더불어 부품·소재 매출이 늘어나면서 설비 투자 사이클 변동성을 완충하는 역할을 할 수 있음</t>
  </si>
  <si>
    <t>리브리반트 피하제형 美허가 연내 가능성, NCCN 가이드 상향에 따른 처방 확대 기대</t>
    <phoneticPr fontId="1" type="noConversion"/>
  </si>
  <si>
    <t>클로봇</t>
    <phoneticPr fontId="1" type="noConversion"/>
  </si>
  <si>
    <t>제조·물류 자동화 투자 재개</t>
  </si>
  <si>
    <t>대기업·공공 레퍼런스 확대</t>
  </si>
  <si>
    <t>국내 대기업 제조·물류 현장 및 공공기관 중심으로 로봇 관제·자율주행 소프트웨어 적용 사례가 누적되며 프로젝트 수주 가시성 개선</t>
  </si>
  <si>
    <t>RaaS 매출 본격 반영</t>
  </si>
  <si>
    <t>병원·빌딩·물류센터 대상 로봇 구독(RaaS) 계약이 증가하며 일회성 SI 중심 구조에서 반복 매출 비중 확대</t>
  </si>
  <si>
    <t>국내외 제조·물류 기업의 자동화 투자 재개로 AMR 및 서비스 로봇 통합 관제 프로젝트 발주 증가</t>
  </si>
  <si>
    <t>매출 규모 확대에 따른 수익성 개선</t>
  </si>
  <si>
    <t>프로젝트 누적 효과로 매출 규모가 확대되며 고정비 레버리지 효과 발생, 손익 구조 개선 구간 진입</t>
  </si>
  <si>
    <t>Physical AI·로봇 소프트웨어 가치 재평가</t>
  </si>
  <si>
    <t>Physical AI 및 지능형 로봇 확산 흐름 속에서 하드웨어 중립적 로봇 관제·자율주행 소프트웨어 기업으로서의 포지션이 부각되는 시기</t>
  </si>
  <si>
    <t>대기업·공공 수주 기반 단기 모멘텀</t>
  </si>
  <si>
    <t>제조·물류·공공 프로젝트 수주 뉴스가 이어지며 단기 주가 모멘텀 형성, 실증 이후 상용 계약 전환 사례 증가</t>
  </si>
  <si>
    <t>RaaS 도입 초기 성과 확인</t>
  </si>
  <si>
    <t>로봇 운영·관제 서비스를 구독 형태로 제공하며 반복 매출 구조가 형성되기 시작하는 단계</t>
  </si>
  <si>
    <t>이기종 로봇 통합 관제 플랫폼 경쟁력</t>
  </si>
  <si>
    <t>AMR·서비스 로봇·특수 로봇 등 기종에 종속되지 않는 통합 관제 기술을 바탕으로 고객 확장 가능</t>
  </si>
  <si>
    <t>RaaS 기반 장기 반복 매출 구조</t>
  </si>
  <si>
    <t>로봇 구독·운영 서비스 비중 확대를 통해 프로젝트 단발성 매출에서 장기 계약 기반 매출 구조로 전환</t>
  </si>
  <si>
    <t>로봇 산업 구조적 성장의 직접 수혜</t>
  </si>
  <si>
    <t>인건비 상승, 자동화 수요 확대, AI 결합 로봇 확산 흐름 속에서 로봇 소프트웨어 기업으로 중장기 성장 수혜</t>
  </si>
  <si>
    <t>단기(25년4Q~26년1Q) 경구 GLP-1 기술이전 가시성 파트너 범위, 권리 지역, 선급금·마일스톤 구조 공개 여부가 단기 주가 방향성 좌우</t>
  </si>
  <si>
    <t>단기(25년4Q~26년1Q) 비만 파이프라인 차별성 부각 경구 제형, 무적정 설계, 부작용 관리 측면에서 경쟁 약물 대비 차별 포인트 확인 구간</t>
  </si>
  <si>
    <t>장기(26년2Q 이후) 글로벌 기술이전 성사 시 가치 재평가 기술이전 계약 체결 시 중장기 로열티 기반 수익 구조 확보</t>
  </si>
  <si>
    <t>장기(26년2Q 이후) 해외 임상 진입에 따른 상업화 가속 미국 중심 임상 2상 이후 상업화 타임라인 단축 가능성 확대</t>
  </si>
  <si>
    <t>장기(26년2Q 이후) 다수 파이프라인 IND에 따른 리스크 분산 중추·면역·항암 등 연속적 파이프라인 진입으로 단일 테마 의존도 완화</t>
  </si>
  <si>
    <t>25년 4Q</t>
    <phoneticPr fontId="1" type="noConversion"/>
  </si>
  <si>
    <t xml:space="preserve">26년 1Q </t>
    <phoneticPr fontId="1" type="noConversion"/>
  </si>
  <si>
    <t xml:space="preserve">26년 2Q </t>
    <phoneticPr fontId="1" type="noConversion"/>
  </si>
  <si>
    <t xml:space="preserve">26년 3Q </t>
    <phoneticPr fontId="1" type="noConversion"/>
  </si>
  <si>
    <t>26년 4Q</t>
    <phoneticPr fontId="1" type="noConversion"/>
  </si>
  <si>
    <t>경구 GLP-1 기술이전 가시성 파트너 범위, 권리 지역, 선급금·마일스톤 구조 공개 여부가 단기 주가 방향성 좌우</t>
    <phoneticPr fontId="1" type="noConversion"/>
  </si>
  <si>
    <t>비만 파이프라인 차별성 부각 경구 제형, 무적정 설계, 부작용 관리 측면에서 경쟁 약물 대비 차별 포인트 확인 구간</t>
    <phoneticPr fontId="1" type="noConversion"/>
  </si>
  <si>
    <t>글로벌 기술이전 성사 시 가치 재평가 기술이전 계약 체결 시 중장기 로열티 기반 수익 구조 확보</t>
    <phoneticPr fontId="1" type="noConversion"/>
  </si>
  <si>
    <t>해외 임상 진입에 따른 상업화 가속 미국 중심 임상 2상 이후 상업화 타임라인 단축 가능성 확대</t>
    <phoneticPr fontId="1" type="noConversion"/>
  </si>
  <si>
    <t>다수 파이프라인 IND에 따른 리스크 분산 중추·면역·항암 등 연속적 파이프라인 진입으로 단일 테마 의존도 완화</t>
    <phoneticPr fontId="1" type="noConversion"/>
  </si>
  <si>
    <t>경구 GLP-1 파이프라인 기술이전 협상 가시화 임상 1상 반복투여 결과를 기반으로 글로벌 제약사들과 기술이전 논의가 구체화되며 계약 구조 논의 단계 진입</t>
    <phoneticPr fontId="1" type="noConversion"/>
  </si>
  <si>
    <t xml:space="preserve"> P-CAB 위식도역류질환 파이프라인 사업화 진행 국내 사업화 전략 확정과 함께 임상 3상 진행 구간 진입으로 상업화 일정 가시성 확대</t>
    <phoneticPr fontId="1" type="noConversion"/>
  </si>
  <si>
    <t>경구 GLP-1 후속 임상 전략 확정 기술이전 병행 또는 단독 개발 시나리오에 따른 해외 임상 2상 준비 단계 진입</t>
    <phoneticPr fontId="1" type="noConversion"/>
  </si>
  <si>
    <t>중추신경계 신규 파이프라인 IND 이벤트 퇴행성 뇌질환 후보물질의 IND 제출 또는 승인 구간 진입</t>
    <phoneticPr fontId="1" type="noConversion"/>
  </si>
  <si>
    <t>글로벌 기술이전 계약 체결 가능 구간 경구 GLP-1 파이프라인 기술이전 성사 시 계약 조건 공개와 함께 기업가치 재평가 트리거 발생</t>
    <phoneticPr fontId="1" type="noConversion"/>
  </si>
  <si>
    <t>경구 GLP-1 해외 임상 본격화 파트너 동반 또는 단독으로 임상 2상 설계·규제 커뮤니케이션 단계 진입</t>
    <phoneticPr fontId="1" type="noConversion"/>
  </si>
  <si>
    <t>면역·섬유화 신규 파이프라인 IND 희귀질환 포함 신규 면역·섬유화 타깃 파이프라인의 임상 진입으로 포트폴리오 확장</t>
    <phoneticPr fontId="1" type="noConversion"/>
  </si>
  <si>
    <t>항암 파이프라인 임상 데이터 업데이트 기존 항암 후보의 중간 데이터 또는 병용 전략 관련 임상 업데이트</t>
    <phoneticPr fontId="1" type="noConversion"/>
  </si>
  <si>
    <t>신규 고형암 파이프라인 IND 진입 연말 신규 항암 파이프라인 IND 제출 또는 승인으로 장기 성장 스토리 강화</t>
    <phoneticPr fontId="1" type="noConversion"/>
  </si>
  <si>
    <t xml:space="preserve"> 비만 파이프라인 개발 방향 분기점 기술이전 완료 시 공동개발 본격화, 미체결 시 단독 임상 확대 여부 결정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</si>
</sst>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3.5"/>
      <color theme="1"/>
      <name val="맑은 고딕"/>
      <family val="3"/>
      <charset val="129"/>
      <scheme val="minor"/>
    </font>
    <font>
      <u/>
      <sz val="11"/>
      <color theme="10"/>
      <name val="맑은 고딕"/>
      <family val="2"/>
      <charset val="129"/>
      <scheme val="minor"/>
    </font>
    <font>
      <sz val="11"/>
      <color theme="1"/>
      <name val="맑은 고딕"/>
      <family val="2"/>
      <charset val="129"/>
      <scheme val="minor"/>
    </font>
    <font>
      <sz val="10"/>
      <color rgb="FF3D3D3D"/>
      <name val="돋움체"/>
      <family val="3"/>
      <charset val="129"/>
    </font>
    <font>
      <sz val="11"/>
      <color theme="1"/>
      <name val="맑은 고딕"/>
      <family val="3"/>
      <charset val="129"/>
      <scheme val="minor"/>
    </font>
    <font>
      <b/>
      <sz val="10"/>
      <color theme="1"/>
      <name val="Arial Unicode MS"/>
      <family val="2"/>
    </font>
    <font>
      <b/>
      <sz val="18"/>
      <color theme="1"/>
      <name val="맑은 고딕"/>
      <family val="3"/>
      <charset val="129"/>
      <scheme val="minor"/>
    </font>
    <font>
      <sz val="13.5"/>
      <color theme="1"/>
      <name val="맑은 고딕"/>
      <family val="3"/>
      <charset val="129"/>
      <scheme val="minor"/>
    </font>
    <font>
      <b/>
      <sz val="12"/>
      <color theme="1"/>
      <name val="맑은 고딕"/>
      <family val="3"/>
      <charset val="129"/>
      <scheme val="minor"/>
    </font>
    <font>
      <sz val="12"/>
      <color theme="1"/>
      <name val="맑은 고딕"/>
      <family val="3"/>
      <charset val="129"/>
      <scheme val="minor"/>
    </font>
    <font>
      <sz val="9.6"/>
      <color theme="1"/>
      <name val="Segoe UI"/>
      <family val="2"/>
    </font>
    <font>
      <sz val="9.6"/>
      <color theme="1"/>
      <name val="맑은 고딕"/>
      <family val="2"/>
      <charset val="129"/>
    </font>
    <font>
      <b/>
      <sz val="11"/>
      <color theme="1"/>
      <name val="맑은 고딕"/>
      <family val="2"/>
      <scheme val="minor"/>
    </font>
    <font>
      <i/>
      <sz val="11"/>
      <color theme="1"/>
      <name val="맑은 고딕"/>
      <family val="3"/>
      <charset val="129"/>
      <scheme val="minor"/>
    </font>
    <font>
      <sz val="10"/>
      <color theme="1"/>
      <name val="맑은 고딕"/>
      <family val="2"/>
      <charset val="129"/>
      <scheme val="minor"/>
    </font>
    <font>
      <b/>
      <sz val="10"/>
      <color theme="1"/>
      <name val="맑은 고딕"/>
      <family val="2"/>
      <charset val="129"/>
      <scheme val="minor"/>
    </font>
    <font>
      <sz val="12"/>
      <color theme="1"/>
      <name val="Segoe UI"/>
      <family val="2"/>
    </font>
    <font>
      <sz val="12"/>
      <color theme="1"/>
      <name val="돋움"/>
      <family val="3"/>
      <charset val="129"/>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4" fillId="0" borderId="0" applyNumberFormat="0" applyFill="0" applyBorder="0" applyAlignment="0" applyProtection="0">
      <alignment vertical="center"/>
    </xf>
    <xf numFmtId="9" fontId="5" fillId="0" borderId="0" applyFont="0" applyFill="0" applyBorder="0" applyAlignment="0" applyProtection="0">
      <alignment vertical="center"/>
    </xf>
  </cellStyleXfs>
  <cellXfs count="114">
    <xf numFmtId="0" fontId="0" fillId="0" borderId="0" xfId="0">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0" fillId="0" borderId="1" xfId="0" quotePrefix="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3" xfId="0" applyBorder="1">
      <alignment vertical="center"/>
    </xf>
    <xf numFmtId="0" fontId="0" fillId="0" borderId="4" xfId="0" applyBorder="1">
      <alignment vertical="center"/>
    </xf>
    <xf numFmtId="0" fontId="2" fillId="0" borderId="0" xfId="0" applyFont="1">
      <alignment vertical="center"/>
    </xf>
    <xf numFmtId="0" fontId="3" fillId="0" borderId="0" xfId="0" applyFont="1">
      <alignment vertical="center"/>
    </xf>
    <xf numFmtId="0" fontId="0" fillId="0" borderId="2" xfId="0" applyBorder="1" applyAlignment="1">
      <alignment vertical="center" wrapText="1"/>
    </xf>
    <xf numFmtId="0" fontId="4" fillId="0" borderId="0" xfId="1" applyAlignment="1">
      <alignment vertical="center" wrapText="1"/>
    </xf>
    <xf numFmtId="0" fontId="0" fillId="0" borderId="1" xfId="0" applyBorder="1" applyAlignment="1">
      <alignment horizontal="center" vertical="center" wrapText="1"/>
    </xf>
    <xf numFmtId="0" fontId="4" fillId="0" borderId="1" xfId="1" applyBorder="1" applyAlignment="1">
      <alignment vertical="center" wrapText="1"/>
    </xf>
    <xf numFmtId="0" fontId="4" fillId="0" borderId="0" xfId="1">
      <alignment vertical="center"/>
    </xf>
    <xf numFmtId="31" fontId="0" fillId="0" borderId="1" xfId="0" applyNumberFormat="1"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0" xfId="0" applyAlignment="1">
      <alignment vertical="center" wrapText="1"/>
    </xf>
    <xf numFmtId="0" fontId="2" fillId="0" borderId="7"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13" xfId="0" applyBorder="1" applyAlignment="1">
      <alignment vertical="center" wrapText="1"/>
    </xf>
    <xf numFmtId="10" fontId="0" fillId="0" borderId="0" xfId="2" applyNumberFormat="1" applyFont="1">
      <alignment vertical="center"/>
    </xf>
    <xf numFmtId="0" fontId="6" fillId="0" borderId="1" xfId="0" applyFont="1" applyBorder="1" applyAlignment="1">
      <alignment horizontal="left" vertical="center" wrapText="1"/>
    </xf>
    <xf numFmtId="3" fontId="6" fillId="0" borderId="1" xfId="0" applyNumberFormat="1" applyFont="1" applyBorder="1" applyAlignment="1">
      <alignment horizontal="left" vertical="center" wrapText="1"/>
    </xf>
    <xf numFmtId="0" fontId="0" fillId="0" borderId="0" xfId="0" applyAlignment="1">
      <alignment horizontal="left" vertical="center" indent="1"/>
    </xf>
    <xf numFmtId="0" fontId="2" fillId="0" borderId="0" xfId="0" applyFont="1" applyAlignment="1">
      <alignment horizontal="left" vertical="center" indent="1"/>
    </xf>
    <xf numFmtId="0" fontId="7" fillId="0" borderId="0" xfId="0" applyFont="1" applyAlignment="1">
      <alignment horizontal="left" vertical="center" indent="1"/>
    </xf>
    <xf numFmtId="0" fontId="9" fillId="0" borderId="0" xfId="0" applyFont="1">
      <alignment vertical="center"/>
    </xf>
    <xf numFmtId="0" fontId="0" fillId="0" borderId="0" xfId="0" applyAlignment="1">
      <alignment horizontal="left" vertical="center" indent="2"/>
    </xf>
    <xf numFmtId="0" fontId="7" fillId="0" borderId="1" xfId="0" applyFont="1" applyBorder="1" applyAlignment="1">
      <alignment vertical="center" wrapText="1"/>
    </xf>
    <xf numFmtId="0" fontId="2" fillId="0" borderId="0" xfId="1" applyFont="1">
      <alignment vertical="center"/>
    </xf>
    <xf numFmtId="0" fontId="0" fillId="0" borderId="1" xfId="0" applyBorder="1" applyAlignment="1">
      <alignment horizontal="right" vertical="center" wrapText="1"/>
    </xf>
    <xf numFmtId="10" fontId="2" fillId="0" borderId="1" xfId="0" applyNumberFormat="1" applyFont="1" applyBorder="1" applyAlignment="1">
      <alignment vertical="center" wrapText="1"/>
    </xf>
    <xf numFmtId="0" fontId="11" fillId="0" borderId="1" xfId="0" applyFont="1" applyBorder="1">
      <alignment vertical="center"/>
    </xf>
    <xf numFmtId="0" fontId="7" fillId="0" borderId="1" xfId="0" applyFont="1" applyBorder="1">
      <alignment vertical="center"/>
    </xf>
    <xf numFmtId="0" fontId="10" fillId="0" borderId="1" xfId="0" applyFont="1" applyBorder="1">
      <alignment vertical="center"/>
    </xf>
    <xf numFmtId="0" fontId="12" fillId="0" borderId="0" xfId="0" applyFont="1">
      <alignment vertical="center"/>
    </xf>
    <xf numFmtId="0" fontId="0" fillId="0" borderId="1" xfId="0" applyBorder="1" applyAlignment="1">
      <alignment wrapText="1"/>
    </xf>
    <xf numFmtId="0" fontId="15" fillId="0" borderId="1" xfId="0" applyFont="1" applyBorder="1" applyAlignment="1">
      <alignment horizontal="center" vertical="top"/>
    </xf>
    <xf numFmtId="0" fontId="0" fillId="2" borderId="1" xfId="0" applyFill="1" applyBorder="1" applyAlignment="1">
      <alignment vertical="center" wrapText="1"/>
    </xf>
    <xf numFmtId="0" fontId="0" fillId="0" borderId="1" xfId="0" applyBorder="1" applyAlignment="1">
      <alignment horizontal="center" vertical="center"/>
    </xf>
    <xf numFmtId="0" fontId="2" fillId="0" borderId="1" xfId="0" applyFont="1" applyBorder="1" applyAlignment="1">
      <alignment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4" fontId="0" fillId="0" borderId="1" xfId="0" applyNumberFormat="1" applyBorder="1" applyAlignment="1">
      <alignment horizontal="right" vertical="center" wrapText="1"/>
    </xf>
    <xf numFmtId="0" fontId="11" fillId="0" borderId="0" xfId="0" applyFont="1">
      <alignment vertical="center"/>
    </xf>
    <xf numFmtId="0" fontId="2" fillId="0" borderId="1" xfId="0" applyFont="1" applyBorder="1">
      <alignment vertical="center"/>
    </xf>
    <xf numFmtId="0" fontId="13" fillId="0" borderId="0" xfId="0" applyFont="1" applyAlignment="1">
      <alignment vertical="center" wrapText="1"/>
    </xf>
    <xf numFmtId="0" fontId="2" fillId="0" borderId="0" xfId="0" applyFont="1" applyAlignment="1">
      <alignment horizontal="left" vertical="center" indent="2"/>
    </xf>
    <xf numFmtId="0" fontId="17" fillId="0" borderId="0" xfId="0" applyFont="1">
      <alignment vertical="center"/>
    </xf>
    <xf numFmtId="0" fontId="18" fillId="0" borderId="0" xfId="0" applyFont="1">
      <alignment vertical="center"/>
    </xf>
    <xf numFmtId="0" fontId="0" fillId="0" borderId="1" xfId="0" applyBorder="1" applyAlignment="1">
      <alignment horizontal="left" vertical="center" wrapText="1" indent="1"/>
    </xf>
    <xf numFmtId="0" fontId="0" fillId="2" borderId="1" xfId="0" applyFill="1" applyBorder="1" applyAlignment="1">
      <alignment horizontal="left" vertical="center" wrapText="1" indent="1"/>
    </xf>
    <xf numFmtId="0" fontId="2" fillId="0" borderId="0" xfId="0" quotePrefix="1" applyFont="1">
      <alignment vertical="center"/>
    </xf>
    <xf numFmtId="0" fontId="0" fillId="0" borderId="1" xfId="0" quotePrefix="1" applyBorder="1" applyAlignment="1">
      <alignment horizontal="left" vertical="center" wrapText="1" indent="1"/>
    </xf>
    <xf numFmtId="0" fontId="0" fillId="2" borderId="1" xfId="0" quotePrefix="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horizontal="center" vertical="center" wrapText="1"/>
    </xf>
    <xf numFmtId="0" fontId="0" fillId="2" borderId="1" xfId="0" applyFill="1" applyBorder="1">
      <alignment vertical="center"/>
    </xf>
    <xf numFmtId="0" fontId="0" fillId="0" borderId="0" xfId="0" applyAlignment="1">
      <alignment horizontal="left" vertical="center"/>
    </xf>
    <xf numFmtId="0" fontId="11" fillId="2" borderId="1" xfId="0" applyFont="1" applyFill="1" applyBorder="1">
      <alignment vertical="center"/>
    </xf>
    <xf numFmtId="0" fontId="7" fillId="2" borderId="1" xfId="0" applyFont="1" applyFill="1" applyBorder="1" applyAlignment="1">
      <alignment vertical="center" wrapText="1"/>
    </xf>
    <xf numFmtId="0" fontId="0" fillId="0" borderId="0" xfId="0" applyAlignment="1">
      <alignment horizontal="left" vertical="center" wrapText="1"/>
    </xf>
    <xf numFmtId="0" fontId="11" fillId="3" borderId="1" xfId="0" applyFont="1" applyFill="1" applyBorder="1">
      <alignment vertical="center"/>
    </xf>
    <xf numFmtId="0" fontId="0" fillId="3" borderId="1" xfId="0" applyFill="1" applyBorder="1" applyAlignment="1">
      <alignment vertical="center" wrapText="1"/>
    </xf>
    <xf numFmtId="0" fontId="7" fillId="3" borderId="1" xfId="0" applyFont="1" applyFill="1"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indent="1"/>
    </xf>
    <xf numFmtId="0" fontId="2" fillId="0" borderId="0" xfId="0" applyFont="1" applyAlignment="1">
      <alignment horizontal="left" vertical="center"/>
    </xf>
    <xf numFmtId="0" fontId="2" fillId="0" borderId="1" xfId="0" applyFont="1" applyBorder="1" applyAlignment="1">
      <alignment horizontal="left" vertical="center"/>
    </xf>
    <xf numFmtId="0" fontId="0" fillId="0" borderId="1" xfId="0" applyBorder="1" applyAlignment="1">
      <alignment vertical="center" wrapText="1"/>
    </xf>
    <xf numFmtId="0" fontId="2" fillId="0" borderId="1" xfId="0" applyFont="1" applyBorder="1" applyAlignment="1">
      <alignment vertical="center" wrapText="1"/>
    </xf>
    <xf numFmtId="0" fontId="16" fillId="0" borderId="1"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2" fillId="0" borderId="4" xfId="0" applyFont="1" applyBorder="1" applyAlignment="1">
      <alignment vertical="center" wrapText="1"/>
    </xf>
    <xf numFmtId="0" fontId="0" fillId="0" borderId="1" xfId="0" applyBorder="1" applyAlignment="1">
      <alignment horizontal="center" vertical="center" wrapText="1"/>
    </xf>
    <xf numFmtId="0" fontId="0" fillId="0" borderId="3"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0" fontId="2" fillId="0" borderId="5"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7"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13" xfId="0" applyBorder="1" applyAlignment="1">
      <alignment vertical="center" wrapText="1"/>
    </xf>
    <xf numFmtId="0" fontId="2" fillId="0" borderId="6" xfId="0" applyFont="1" applyBorder="1" applyAlignment="1">
      <alignment vertical="center" wrapText="1"/>
    </xf>
    <xf numFmtId="0" fontId="2" fillId="0" borderId="10"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0" fillId="0" borderId="1" xfId="0" applyBorder="1" applyAlignment="1">
      <alignment horizontal="left" vertical="center" wrapText="1" indent="1"/>
    </xf>
    <xf numFmtId="0" fontId="2" fillId="0" borderId="1" xfId="0" applyFont="1" applyBorder="1" applyAlignment="1">
      <alignment horizontal="left" vertical="center" wrapText="1"/>
    </xf>
    <xf numFmtId="0" fontId="0" fillId="0" borderId="5" xfId="0" applyBorder="1" applyAlignment="1">
      <alignment horizontal="left" vertical="center" wrapText="1"/>
    </xf>
    <xf numFmtId="0" fontId="0" fillId="0" borderId="15" xfId="0" applyBorder="1" applyAlignment="1">
      <alignment horizontal="left" vertical="center" wrapText="1"/>
    </xf>
    <xf numFmtId="0" fontId="4" fillId="0" borderId="0" xfId="1" applyAlignment="1">
      <alignment vertical="center" wrapText="1"/>
    </xf>
    <xf numFmtId="0" fontId="0" fillId="0" borderId="1" xfId="0" applyBorder="1">
      <alignment vertical="center"/>
    </xf>
    <xf numFmtId="0" fontId="0" fillId="0" borderId="0" xfId="0" applyAlignment="1">
      <alignment horizontal="left" vertical="center" wrapText="1"/>
    </xf>
    <xf numFmtId="0" fontId="0" fillId="2" borderId="1" xfId="0" quotePrefix="1" applyFill="1" applyBorder="1" applyAlignment="1">
      <alignment horizontal="left" vertical="center" wrapText="1" indent="1"/>
    </xf>
    <xf numFmtId="0" fontId="0" fillId="2" borderId="1" xfId="0" applyFill="1" applyBorder="1" applyAlignment="1">
      <alignment horizontal="left" vertical="center" wrapText="1" indent="1"/>
    </xf>
    <xf numFmtId="0" fontId="7" fillId="0" borderId="1" xfId="0" quotePrefix="1" applyFont="1" applyBorder="1" applyAlignment="1">
      <alignment horizontal="left" vertical="center" wrapText="1" indent="1"/>
    </xf>
    <xf numFmtId="0" fontId="0" fillId="0" borderId="1" xfId="0" quotePrefix="1" applyBorder="1" applyAlignment="1">
      <alignment horizontal="left" vertical="center" wrapText="1" indent="1"/>
    </xf>
    <xf numFmtId="0" fontId="2" fillId="0" borderId="1" xfId="0" applyFont="1" applyBorder="1" applyAlignment="1">
      <alignment horizontal="center" vertical="center" wrapText="1"/>
    </xf>
  </cellXfs>
  <cellStyles count="3">
    <cellStyle name="백분율" xfId="2" builtinId="5"/>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22</xdr:row>
      <xdr:rowOff>0</xdr:rowOff>
    </xdr:from>
    <xdr:ext cx="304800" cy="304800"/>
    <xdr:sp macro="" textlink="">
      <xdr:nvSpPr>
        <xdr:cNvPr id="2" name="AutoShape 1" descr="data:image/png;base64,iVBORw0KGgoAAAANSUhEUgAABjYAAAJOCAYAAAAUHj4bAAAAOnRFWHRTb2Z0d2FyZQBNYXRwbG90bGliIHZlcnNpb24zLjEwLjAsIGh0dHBzOi8vbWF0cGxvdGxpYi5vcmcvlHJYcgAAAAlwSFlzAAAPYQAAD2EBqD+naQABAABJREFUeJzs3XlUlOX7x/HPsIOICy5o4o6C+5IaWoYrpmmYLWaaWmr60za/bWalZbZYZvbN0szSUtPsq7jmEuaOe7iCC64pKG4giDLA/P7AmURQQYFhhvfrnDk4z3M/93PNcFPnzDXXfRlMJpNJAAAAAAAAAAAANsDB2gEAAAAAAAAAAADkFIkNAAAAAAAAAABgM0hsAAAAAAAAAAAAm0FiAwAAAAAAAAAA2AwSGwAAAAAAAAAAwGaQ2AAAAAAAAAAAADaDxAYAAAAAAAAAALAZJDYAAAAAAAAAAIDNILEBAAAAAAAAAABsBokNAAAAAAAAAABgM0hsAAAAoMiJjo7Wiy++qOrVq8vNzU1eXl5q1aqVJk6cqOTkZMu4qlWrymAwqH379tnOM3XqVBkMBhkMBm3fvt1yfPTo0ZbjNz8mT56c76/PrF+/fjIYDPLy8sr0uswOHTpkieuLL77Ido5ly5bJYDCoYsWKSk9Pz3bMypUr9cILL6hevXpydHRU1apVbxlTenq6xo0bp2rVqsnNzU0NGjTQr7/+elevDwAAAEDRRGIDAAAARcrSpUtVv359/fbbb+ratav++9//6pNPPlHlypX1xhtv6JVXXsk03s3NTX/99ZdiY2OzzDVr1iy5ubnd8l7fffedfvnll0yPdu3a5flruh0nJydduXJFixcvznLuTvGbx1StWlUxMTFavXp1tmNmz56t2bNnq0SJEqpYseJt5xs5cqTeeustdejQQf/9739VuXJl9erVS3PmzLntdcuWLZOrq6s8PT2zfTg7OystLS3H43KjIO6dlJQkZ2fnW17r6uqq1atX53jcrTzwwAMqVqxYtte6u7tr1KhR+TIuO2+99Zbc3d2zvbZYsWIKCgrKl3EAAACwfSQ2AAAAUGQcPXpUPXv2VJUqVbR//35NnDhRAwcO1NChQ/Xrr79q//79qlu3bqZrWrVqJU9PT82dOzfT8X/++Ufr169Xly5dbnm/J554Qr1798708PPzy1XMx44dk8Fg0Jo1a3J1nZmrq6vatWuXbVXE7Nmzbxt/UlKSFi5cqOHDh6tx48aaNWtWtuM+/vhjJSQkaOPGjWrYsOEt5zt16pTGjx+voUOH6vvvv9fAgQO1ePFiPfTQQ3rjjTdum3BIT0/Xk08+qcTExGwf3t7eMplMOR6XGwVxb5PJpPLly9/y2u7duys9PT3H424lNTVVu3btyvbaCRMmWH4HeT0uO2lpafrvf/+b7bU7duxQampqvowDAACA7SOxAQAAgCJj3LhxSkxM1LRp01ShQoUs52vWrJltxcbjjz+u2bNnZzr+66+/qlSpUgoODs7XmPNCr1699Mcff+jSpUuWY9u2bdOhQ4fUq1evW163YMECJScn68knn1TPnj01f/58Xb16Ncu4ihUrytnZ+Y5xLFy4UEajUf/3f/9nOWYwGDRkyBD9888/Cg8Pz90Lu0dGo1FRUVGKiYkp0PsCAAAAuDckNgAAAFBkLF68WNWrV1fLli1zdV2vXr20detWRUdHW47Nnj1bTzzxxG0/0L9w4YLOnTtneVy8ePGuY78Xjz/+uAwGg+bPn285Nnv2bPn7+6tJkya3vG7WrFlq06aNfHx81LNnT12+fDnbLa1y6u+//1axYsUUEBCQ6Xjz5s0t5wvSqVOnFBAQoBEjRhTofQEAAADcGxIbAAAAKBISEhJ06tQp1a9fP9fXtm3bVj4+PpbtnCIjIxUREXHbagdJql27tsqWLWt5NG7c+K5iv1fFixfXo48+aqk6SU9P15w5c/TMM8/c8pqzZ8/qzz//VM+ePSVJlStXVmBg4C23o8qJmJgYlS9fXgaDIdNxc/XM6dOn73puAAAAAEWHk7UDAAAAAApCQkKCpIwP+XPL0dFRTz31lH799Ve9++67mjVrlnx9ffXQQw/pyJEjt7zuf//7n7y8vCzP3d3d73ivxMTETNs9mas84uPjde7cOctxZ2dnlShRIsevoVevXnryyScVGxurvXv3KjY29raJmTlz5sjBwUE9evSwHHvmmWf0n//8RxcvXlSpUqVyfG+z5ORkubq6ZjlubmCenJyc6znvRdWqVXPdbwMAAACA9ZHYAAAAQJFgTjBcvnz5rq7v1auXvv76a+3atUuzZ89Wz549s1Qe3Kx169YqU6ZMru4zbNgwzZgxI8vxkJCQTM8ffvjhXDUU79y5s4oXL665c+cqIiJCzZo1U82aNXXs2LFsx8+cOVPNmzfX+fPndf78eUlS48aNlZKSonnz5mnQoEE5vreZu7u7rl27luW4OZGTk8QPAAAAAJDYAAAAQJHg5eWlihUrau/evXd1fYsWLVSjRg29+uqrOnr06B23obpbb775pnr37m15fubMGfXu3VtffPGFGjZsaDme24oJV1dXPf7445oxY4aOHDmi0aNH33LsoUOHtG3bNkmSn59flvOzZs26q8RGhQoV9Ndff8lkMmVKCpmbd1esWDHXcwIAAAAoekhsAAAAoMh49NFH9f333ys8PFyBgYG5vv6ZZ57RRx99pICAADVq1CjvA5RUp04d1alTx/LcXFHRtGlTBQUF3dPcvXr10o8//igHBwdL74zszJo1S87Ozvrll1/k6OiY6dyGDRv09ddf68SJE6pcuXKu7t+oUSP98MMPioyMzPQat2zZYjkPAAAAAHdC83AAAAAUGW+++aaKFSumAQMG6MyZM1nOR0dHa+LEibe8fsCAARo1apTGjx+fn2HmmzZt2mjMmDH65ptv5OPjc8txs2bN0kMPPaSnn35aTzzxRKbHG2+8IUmWRuq58dhjj8nZ2Vnffvut5ZjJZNLkyZN13333qWXLlrl/UffAaDQqKirKUjECAAAAwDZQsQEAAIAio0aNGpo9e7aefvppBQQE6LnnnlO9evWUkpKiTZs2ad68eerXr98tr69Spcptt3Aq7BwcHPTuu+/edsyWLVt0+PBhDRs2LNvz9913n5o0aaJZs2bprbfekiTt3r1bixYtkiQdPnxY8fHx+uijjyRJDRs2VNeuXSVJlSpV0quvvqrPP/9cRqNRzZo1U2hoqNavX69Zs2ZlqQ7Jb6dOnVJAQID69u2r6dOnF+i9AQAAANw9EhsAAAAoUrp166bdu3fr888/18KFC/Xdd9/J1dVVDRo00Pjx4zVw4EBrh2hVs2bNkiRLMiI7Xbt21ejRo7V79241aNBAO3fu1HvvvZdpjPl53759M8316aefqlSpUpoyZYqmT58uPz8/zZw5M996lgAAAACwPyQ2AAAAUOT4+fnp+++/v+M4c3+L2+nXr1+WKo/Ro0fnWWVH1apVZTKZ7ura6dOn37ES4eb5v/76a3399de3vWbUqFEaNWqU5Xl278GtODg4aMSIERoxYkSOxuene3lvAQAAAFgPPTYAAAAAAAAAAIDNoGIDAAAAgE347bfftGTJkmzPJSQk5HpcYbv36dOnVbJkyWzPXblyRQMGDMjVuFtp0qSJHByyfsctJSVFw4cPz7dx2Xn55Zf1+uuvZzmenp6uBg0a5Ns4AAAA2DaDidprAAAAAAAAAABgI9iKCgAAAAAAAAAA2AwSGwAAAAAAAAAAwGaQ2AAAAAAAAAAAADaD5uF5JD09XadPn1bx4sVlMBisHQ4AAAAAAAAAADbDZDLp8uXLqlixohwcbl+TQWIjj5w+fVq+vr7WDgMAAAAAAAAAAJt18uRJVapU6bZjCk1i49NPP9WIESP0yiuv6KuvvpIkXb16Vf/5z380Z84cXbt2TcHBwfr2229Vvnx5y3UnTpzQkCFD9Ndff8nT01N9+/bVJ598Iienf1/amjVrNHz4cO3bt0++vr5699131a9fv0z3nzRpkj7//HPFxsaqYcOG+u9//6vmzZvnOP7ixYtLynjTvby87v6NwC0ZjUatXLlSHTt2lLOzs7XDAfIMaxv2iHUNe8cah71ibcMesa5h61jDsEesa2QnISFBvr6+ls/ab6dQJDa2bdumKVOmqEGDBpmOv/baa1q6dKnmzZunEiVKaNiwYXr88ce1ceNGSVJaWpq6dOkiHx8fbdq0STExMXruuefk7Oysjz/+WJJ09OhRdenSRYMHD9asWbMUFhamAQMGqEKFCgoODpYkzZ07V8OHD9fkyZPVokULffXVVwoODtaBAwdUrly5HL0G8/ZTXl5eJDbyidFolIeHh7y8vPgPHuwKaxv2iHUNe8cah71ibcMesa5h61jDsEesa9xOTlo9WL15eGJiop599llNnTpVpUqVshyPj4/XtGnT9OWXX6pt27Zq2rSpfvrpJ23atEmbN2+WJK1cuVL79+/XzJkz1ahRIz3yyCMaM2aMJk2apJSUFEnS5MmTVa1aNY0fP14BAQEaNmyYnnjiCU2YMMFyry+//FIDBw5U//79VadOHU2ePFkeHh768ccfC/bNAAAAAAAAAAAAt2X1io2hQ4eqS5cuat++vT766CPL8R07dshoNKp9+/aWY/7+/qpcubLCw8P1wAMPKDw8XPXr18+0NVVwcLCGDBmiffv2qXHjxgoPD880h3nMq6++KklKSUnRjh07NGLECMt5BwcHtW/fXuHh4beM+9q1a7p27ZrleUJCgqSMbKPRaLy7NwO3ZX5feX9hb1jbsEesa9g71jjsFWsb9oh1DVvHGoY9Yl0jO7lZD1ZNbMyZM0c7d+7Utm3bspyLjY2Vi4uLSpYsmel4+fLlFRsbaxlzY1LDfN587nZjEhISlJycrIsXLyotLS3bMVFRUbeM/ZNPPtEHH3yQ5fjKlSvl4eFxy+tw71atWmXtEIB8wdqGPWJdw96xxmGvWNuwR6xr2DrWMOwR6xo3unLlSo7HWi2xcfLkSb3yyitatWqV3NzcrBXGXRsxYoSGDx9ueW5ubNKxY8fb9thIS0tTamqqTCZTQYRpV1JTU7Vp0ya1bNkyU3N4ZDAYDHJ2dpaDg9V3mEMuGY1GrVq1Sh06dGBfSdgN1jXsHWsc9oq1DXvEuoatYw3DHrGukR3zrkg5YbVPh3fs2KGzZ8+qSZMmlmNpaWlat26dvvnmG61YsUIpKSm6dOlSpqqNM2fOyMfHR5Lk4+OjrVu3Zpr3zJkzlnPmn+ZjN47x8vKSu7u7HB0d5ejomO0Y8xzZcXV1laura5bjzs7O2f4xmkwmxcbG6tKlS7ecE7dnMpnk4+OjmJiYHDWQKYocHBxUrVo1ubi4WDsU3IVb/fcDsGWsa9g71jjsFWsb9oh1DVvHGoY9Yl3jRrlZC1ZLbLRr10579uzJdKx///7y9/fXW2+9JV9fXzk7OyssLEw9evSQJB04cEAnTpxQYGCgJCkwMFBjx47V2bNnVa5cOUkZ5UteXl6qU6eOZcyyZcsy3WfVqlWWOVxcXNS0aVOFhYUpJCREkpSenq6wsDANGzYsz16vOalRrlw5eXh48MH8XUhPT1diYqI8PT2pSshGenq6Tp8+rZiYGFWuXJk1BgAAAAAAAMAuWS2xUbx4cdWrVy/TsWLFisnb29ty/IUXXtDw4cNVunRpeXl56aWXXlJgYKAeeOABSVLHjh1Vp04d9enTR+PGjVNsbKzeffddDR061FJNMXjwYH3zzTd688039fzzz2v16tX67bfftHTpUst9hw8frr59++r+++9X8+bN9dVXXykpKUn9+/fPk9ealpZmSWp4e3vnyZxFUXp6ulJSUuTm5kZi4xbKli2r06dPKzU1lWw3AAAAAAAAALtUqBsVTJgwQQ4ODurRo4euXbum4OBgffvtt5bzjo6OWrJkiYYMGaLAwEAVK1ZMffv21YcffmgZU61aNS1dulSvvfaaJk6cqEqVKumHH35QcHCwZczTTz+tuLg4vf/++4qNjVWjRo20fPnyLA3F75a5mztNxZHfzFtQpaWlkdgAAAAAAAAAYJcKVWJjzZo1mZ67ublp0qRJmjRp0i2vqVKlSpatpm4WFBSkv//++7Zjhg0blqdbT2WHrYGQ31hjAAAAAAAAAOwd+/kAAAAAAAAAAACbQWID98xgMCg0NNTaYQAAAAAAAAAAigASG7ij2NhYvfTSS6pevbpcXV3l6+urrl27KiwszNqhAQAAAAAAAACKmELVYwOFz7Fjx9SqVSuVLFlSn3/+uerXry+j0agVK1Zo6NChioqKsnaIAAAAAAAAAIAihIoN3Nb//d//yWAwaOvWrerRo4dq1aqlunXravjw4dq8eXO21+zZs0dt27aVu7u7vL29NWjQICUmJlrOr1mzRs2bN1exYsVUsmRJtWrVSsePH7ecX7hwoZo0aSI3NzdVr15dH3zwgVJTU/P9tQIAAAAAAAAACj8qNqzEZDLpypUrBX5fDw8PGQyGHI29cOGCli9frrFjx6pYsWJZzpcsWTLLsaSkJAUHByswMFDbtm3T2bNnNWDAAA0bNkzTp09XamqqQkJCNHDgQP36669KSUnR1q1bLTGtX79ezz33nL7++ms99NBDio6O1qBBgyRJ77333t2/cAAAAAAAAAAoTBISpC1bpBYtJC8va0djU0hsWMmVK1fk6elZ4PdNTEzMNkmRncOHD8tkMsnf3z/H88+ePVtXr17Vzz//bLnPN998o65du+qzzz6Ts7Oz4uPj9eijj6pGjRqSpICAAMv1H3zwgd5++2317dtXklS9enWNGTNGb775JokNAAAAAAAAAPYjMlLauTMjqdGihbWjsSlsRYVbMplMub4mMjJSDRs2zJQ8adWqldLT03XgwAGVLl1a/fr1U3BwsLp27aqJEycqJibGMnbXrl368MMP5enpaXkMHDhQMTExVqlwAQAAAAAAAIA8Fx8v7d0rOTpm/ExIsHZENoWKDSvx8PDI1HeiIO+bU35+fjIYDHneIPynn37Syy+/rOXLl2vu3Ll69913tWrVKj3wwANKTEzUBx98oMcffzzLdW5ublZ5zwAAAAAAAAAgT0VFSRcuSLVqSQcPZlRvULWRYyQ2rMRgMOR4SyhrKV26tIKDgzVp0iS9/PLLWeK9dOlSlj4bAQEBmj59upKSkizjN27cKAcHB9WuXdsyrnHjxmrcuLFGjBihwMBAzZ49Ww888ICaNGmiAwcOqGbNmlniSU9Pz/sXCQAAAAAAAAAF6Xq1hql0aRkcHCRv74yqjYAAem3kEFtR4bYmTZqktLQ0NW/eXP/73/906NAhRUZG6uuvv1ZgYGCW8c8++6zc3NzUt29f7d27V3/99Zdeeukl9enTR+XLl9fRo0c1YsQIhYeH6/jx41q5cqUOHTpk6bPx/vvv6+eff9YHH3ygffv2KTIyUnPmzNG7775b0C8dAAAAAAAAAPJeVJTSz51TwKhRevzjj3XGySmjeiMy0tqR2QwqNnBb1atX186dOzV27Fj95z//UUxMjMqWLaumTZvqu+++yzLew8NDK1as0CuvvKJmzZrJw8NDPXr00Jdffmk5HxUVpRkzZuj8+fOqUKGChg4dqhdffFGSFBwcrCVLlujDDz+0NBv39/fXgAEDCvR1AwAAAAAAAECeu16tse/aNR04dUr/nD+vUp6eUmoqVRu5QGIDd1ShQgV98803+uabb7I9f3OT8fr162v16tXZji1fvrwWLFhw2/sFBwcrODg4y3G2ogIAAAAAAABg06731gg7cUKS9FCdOnJxdpbKlJEOHKDXRg6xFRUAAAAAAAAAAPnterWGvL21es8eSVLbBg0yzhkM//baSEiwYpC2gcQGAAAAAAAAAAD57Xq1RmqpUlq7d6+kGxIbUkbVBr02coTEBgAAAAAAAAAA+emGao2dR44o4coVlfL0VKNq1f4dQ9VGjpHYAAAAAAAAAAAgP0VFSbGxksmksE2bJElBtWrJ8cIFKS7u34fJlDGOqo3bonk4AAAAAAAAAAD5KTFR8vWVJK0+cECS1LZOHckpm4/ofX0zxuOWSGwAAAAAAAAAAJCf2rWTJF27dk0bXnxRktR2xAipTh1rRmWz2IoKAAAAAAAAAIACsHnzZl29elU+Pj4KCAiwdjg2i8QGAAAAAAAAAAAFYPXq1ZKktm3bymAwWDka20ViAwAAAAAAAACAAhAWFiYpI7GBu0diAwAAAAAAAACAfJaYmKgtW7ZIIrFxr0hs4Lb69esng8GgwYMHZzk3dOhQGQwG9evXL9Px8PBwOTo6qkuXLtnO+fLLL6tp06ZydXVVo0aNsh2ze/duPfTQQ3Jzc5Ovr6/GjRt3ry8FAAAAAAAAAKxmw4YNSk1NVdWqVVWtWjVrh2PTSGzgjnx9fTVnzhwlJydbjl29elWzZ89W5cqVs4yfNm2aXnrpJa1bt06nT5/Ods7nn39eTz/9dLbnEhIS1LFjR1WpUkU7duzQ559/rtGjR+v777/PmxcEAAAAAAAAAAXM3F+jXbt2Vo7E9jlZOwAUfk2aNFF0dLTmz5+vZ599VpI0f/58Va5cOUtmMTExUXPnztX27dsVGxur6dOn65133sk05uuvv5YkxcXFaffu3VnuN2vWLKWkpOjHH3+Ui4uL6tatq4iICH311Vfq2bNnPr1KAAAAAAAAAMg/NzYOx72hYsPKUlJSbvlITU3N8Vij0XjHsffi+eef108//WR5/uOPP6p///5Zxv3222/y9/dX7dq11bt3b/34448ymUy5uld4eLhat24tFxcXy7Hg4GAdOHBAly5duuvXAAAAAAAAAADWcOHCBe3cuVOS1KZNGytHY/uo2LCyTz755Jbn/Pz81KtXL8vzL774IksCw6xKlSqZel1MnDhRV65cyTRm1KhRdx1n7969NWLECB0/flyStHHjRs2ZM0dr1qzJNG7atGnq3bu3JKlTp06Kj4/X2rVrFRQUlON7xcbGZqkEKV++vCTpzJkz2W5/BQAAAAAAAACF1dq1a2UymRQQEKAKFSpYOxybR2IDOVK2bFl16dJF06dPl8lkUpcuXVSmTJlMYw4cOKCtW7dqwYIFkiQnJyc9/fTTmjZtWq4SGwAAAAAAAABgT9iGKm+R2LCyESNG3PKcg0PmncJef/31W441GAyZnr/yyiv3Flg2nn/+eQ0bNkySNGnSpCznp02bptTUVFWsWNFyzGQyydXVVd98841KlCiRo/v4+PjozJkzmY6Zn5srNwAAAAAAAADAVtA4PG+R2LCyG/tIWGtsTnXq1EkpKSkyGAwKDg7OdC41NVU///yzxo8fr44dO2Y6FxISol9//VWDBw/O0X0CAwM1cuRIGY1GOTs7S5JWrVql2rVrq2TJknnyWgAAAAAAAACgIMTExGj//v0yGAx6+OGHrR2OXaB5OHLM0dFRkZGR2r9/vxwdHTOdW7JkiS5evKgXXnhB9erVy/To0aOHpk2bZhl7+PBhRUREKDY2VsnJyYqIiFBERISlwXmvXr3k4uKiF154Qfv27dPcuXM1ceJEvfrqqwX5cgEAAAAAAADgnv3111+SpMaNG6t06dJWjsY+ULGBXPHy8sr2+LRp09S+fftst5vq0aOHxo0bp927d6tBgwYaMGCA1q5daznfuHFjSdLRo0dVtWpVlShRQitXrtTQoUPVtGlTlSlTRu+//74GDRqkhISE/HlhAAAAAAAAAJAP6K+R90hs4LamT59+2/OhoaF3nKN58+YymUyW52vWrLnjNQ0aNND69eszHUtPT7/jdQAAAAAAAABQmNBfI++xFRUAAAAAAAAAAPng6NGjOnr0qJycnPTggw9aOxy7QWIDAAAAAAAAAIB8YK7WaNGihTw9Pa0cjf0gsQEAAAAAAAAAQD6gv0b+ILEBAAAAAAAAAEAeM5lMJDbyCYkNAAAAAAAAAADyWFRUlGJjY+Xm5qbAwEBrh2NXSGwAAAAAAAAAAJDHzNUaDz74oFxdXa0cjX0hsQEAAAAAAAAAQB4LCwuTxDZU+YHEBgAAAAAAAAAAeSgtLU1r1qyRRGIjP5DYAAAAAAAAAAAgD+3atUsXL16Ul5eXmjZtau1w7A6JDdg0g8Gg0NDQAr9v1apV9dVXX912TEpKimrWrKlNmzbleN7Ro0erUaNGluf9+vVTSEiI5XnPnj01fvz4XEYLAAAAAAAAoCCZ+2s8/PDDcnJysnI09ofEhi1KSJBWrcr4mc/69esng8FgeXh7e6tTp07avXt3vt87Li5OQ4YMUeXKleXq6qqKFSuqR48e2rhxo2VMTEyMHnnkkXyP5W5MnjxZ1apVU8uWLfNsznfffVdjx45VfHx8ns0JAAAAAAAAIG/RXyN/kdiwRZGR0s6dGT8LQKdOnRQTE6OYmBiFhYXJyclJjz76aL7ft0ePHvr77781Y8YMHTx4UKGhoWrVqpXOnz9vGePj4yNXV9d8jyW3TCaTvvnmG73wwgt5Om+9evVUo0YNzZw5M0/nBQAAAAAAAJA3UlJStH79ekkkNvILiQ1bEx8v7d0rOTpm/CyAqg1XV1f5+PjIx8dHjRo10ttvv62TJ08qLi5OkrRmzRoZDAZdunTJck1ERIQMBoOOHTumpKQkeXl56ffff880b2hoqIoVK6bLly9nueelS5e0fv16ffbZZ2rTpo2qVKmi5s2ba/jw4erWrZtl3M1bUW3atEmNGjWSm5ub7r//foWGhspgMCgiIiJTrGFhYbr//vvl4eGhli1b6sCBA5Y5oqOj9dhjj6l8+fLy9PRUs2bN9Oeff+bqPduxY4eio6PVpUuXTMffeust1apVSx4eHqpevbree+89GY3GXM3dtWtXzZkzJ1fXAAAAAAAAACgY27ZtU1JSksqUKaN69epZOxy7RGLD1kRFSRcuSH5+GT8LqGrDLDExUTNnzlTNmjXl7e2do2uKFSumnj176qeffsp0/KefftITTzyh4sWLZ7nG09NTnp6eCg0N1bVr13J0n4SEBHXt2lX169fXzp07NWbMGL311lvZjh05cqTGjx+v7du3y8nJSc8//3ym19i5c2eFhYXp77//VqdOndS1a1edOHEiR3FI0vr161WrVq0sr6148eKaPn269u/fr4kTJ2rq1KmaMGFCjueVpObNm2vr1q05fl8AAAAAAAAAFBxzf402bdrIwYGP4PMD76otMVdreHtLDg4ZPwugamPJkiWWREPx4sW1aNEizZ07N1d/lAMGDNCKFSsUExMjSTp79qyWLVuWKaFwIycnJ02fPl0zZsxQyZIl1apVK40cOVJ79+695T1mz54tg8GgqVOnqk6dOnrkkUf0xhtvZDt27Nixevjhh1WnTh29/fbb2rRpk65evSpJatiwoV588UXVq1dPfn5+GjNmjGrUqKFFixbl+PUeP35cFStWzHL83XffVcuWLVW1alV17dpVr7/+un777bcczytJFStWVEpKimJjY3N1HQAAAAAAAID8Z05stGvXzsqR2C8SG7bEXK1RpkzG8zJlCqRqo02bNoqIiFBERIS2bt2q4OBgPfLIIzp+/HiO52jevLnq1q2rGTNmSJJmzpypKlWqqHXr1re8pkePHjp9+rQWLVqkTp06ae3atQoKCtL06dOzHX/gwAE1aNBAbm5ume6bnQYNGlj+XaFCBUkZyRYpo2Lj9ddfV0BAgEqWLClPT09FRkbmqmIjOTk5Uxxmc+fOVatWreTj4yNPT0+9++67uZpXktzd3SVJV65cydV1AAAAAAAAAPLXlStXtGnTJkn018hPJDZsxY3VGgZDxjGDoUCqNooVK6aaNWuqZs2aatasmX744QclJSVp6tSpkmSp3DCZTJZrsusbMWDAAEtS4qefflL//v1lML+WW3Bzc1OHDh303nvvacOGDerVq5c++OCDe35Nzs7Oln+bY0hPT5ckvf7661qwYIE+/vhjrV+/XhEREapfv75SUlJyPH+ZMmV08eLFTMfCw8P17LPPqnPnzlqyZIn+/vtvjRw5MlfzStKFCxckSWXLls3VdQAAAAAAAADy16ZNm5SSkqJKlSqpZs2a1g7HbpHYsBU3V2uYFVDVxo0MBoMcHByUnJws6d8P2M3bTEmyNOu+Ue/evXX8+HF9/fXX2r9/v/r27Zvre9euXVtJSUm3PLdnz55MvSe2bduW63ts3LhR/fr1U/fu3VW/fn35+Pjo2LFjuZqjcePGioqKypTs2bRpk6pUqaKRI0fq/vvvl5+fX66qXsz27t2rSpUqqczNawEAAAAAAACAVZm3oWrbtu0dv9SNu0diwxZkV61hVgBVG9euXVNsbKxiY2MVGRmpl156SYmJierataskqWbNmvL19dXo0aN16NAhLV26VOPHj88yT6lSpfT444/rjTfeUMeOHVWpUqVb3vP8+fNq27atZs6cqd27d+vo0aOaN2+evv76a3Xr1i3ba3r16qX09HQNGjRIkZGRWrFihb744gtJytV/RPz8/DR//nxFRERo165dlnlzo02bNkpMTNS+ffsyzXvixAnNmTNH0dHR+vrrr7VgwYJczStlNCbv2LFjrq8DAAAAAAAAkL/or1EwSGzYgltVa5jlc9XG8uXLVaFCBVWoUEEtWrTQtm3bNG/ePAUFBUnK2Nbp119/VVRUlBo0aKDPPvtMH330UbZzvfDCC0pJSbll03AzT09PtWjRQhMmTFDr1q1Vr149jRo1Ss8995z++9//ZnuNl5eXFi9erIiICDVq1EgjR47U+++/L0nZ9ru4lS+//FKlSpVSy5Yt1bVrVwUHB6tJkyY5vl6SvL291b17d82aNctyrFu3bnrttdc0bNgwNWrUSJs2bdJ7772Xq3mvXr2q0NBQDRw4MFfXAQAAAAAAAMhf8fHxlh1k2rRpY+Vo7JvBdONeObhrCQkJKlGihOLj4+Xl5ZXp3NWrV3X06FFVq1YtVx+wS8qo1vj994zKjNv1VIiLk0wm6cknpZvuX5j88ssveu2113T69Gm5uLjk6tr09HQlJCTIy8vL0tfjTmbNmqX+/fsrPj7e0nS7oOzevVsdOnRQdHS0PD0982TO7777TgsWLNDKlSuzPX9Paw1WYzQatWzZMnXu3DlT/xfAlrGuYe9Y47BXrG3YI9Y1bB1rGPbIXtf14sWL1a1bN/n5+engwYPWDsfm3O4z9ps5FVBMuFtRUVJsrOTjk5G8uBWTKWNcZKTUokXBxZdDV65cUUxMjD799FO9+OKLuU5q5NTPP/+s6tWr67777tOuXbv01ltv6amnnirwpIYkS/XK0aNHVb9+/TyZ09nZ+ZYVKwAAAAAAAACs58b+GshfJDYKu8REydc3Z2N9fTPGF0Ljxo3T2LFj1bp1a40YMSLf7hMbG6v3339fsbGxqlChgp588kmNHTs23+53J/369cvT+QYMGJCn8wEAAAAAAADIGyQ2Cg6JjcLOTprMjB49WqNHj873+7z55pt688038/0+AAAAAAAAAGAWFxen3bt3S6K/RkGgeTgAAAAAAAAAAPfgr7/+kpSxPX3Z2/VKRp4gsQEAAAAAAAAAwD1gG6qCRWIDAAAAAAAAAIB7QGKjYJHYAAAAAAAAAADgLp08eVKHDh2Sg4ODWrdube1wigQSGwAAAAAAAAAA3CVzf41mzZqpRIkSVo6maCCxYauSk60dAQAAAAAAAAAUeWFhYZLYhqogkdiwRevWSd7e0vr11o7E6gwGg0JDQ60dBgAAAAAAAIAiyGQy0V/DCkhs2KKRIzMqNkaOLLBbhoeHy9HRUV26dMn1tVWrVtVXX32V90HlQL9+/WQwGCwPb29vderUSbt377ZKPAAAAAAAAADsx+HDh/XPP//IxcVFLVu2tHY4RQaJDVuzZo20YUPGv9evz3heAKZNm6aXXnpJ69at0+nTpwvknnmlU6dOiomJUUxMjMLCwuTk5KRHH33U2mEBAAAAAAAAsHHmao2WLVvKw8PDytEUHSQ2bM1770mOjhn/dnSU3n8/32+ZmJiouXPnasiQIerSpYumT5+eZczixYvVrFkzubm5qUyZMurevbskKSgoSMePH9drr71mqZqQpNGjR6tRo0aZ5vjqq69UtWpVy/Nt27apQ4cOKlOmjEqUKKE2bdpo165duY7f1dVVPj4+8vHxUaNGjfT222/r5MmTiouLkyStWbNGBoNBly5dslwTEREhg8GgY8eOKSkpSV5eXvr9998zzRsaGqpixYrp8uXLuY4JAAAAAAAAgO1jGyrrILFhS8zVGmlpGc/T0gqkauO3336Tv7+/ateurd69e+vHH3+UyWSynF+6dKm6d++uzp076++//1ZYWJiaN28uSZo/f74qVaqkDz/80FI1kVOXL19W3759tWHDBm3evFk1a9bUU089dU+JhMTERM2cOVM1a9aUt7d3jq4pVqyYevbsqZ9++inT8Z9++klPPPGEihcvftfxAAAAAAAAALBN6enpJDasxMnaASAXzNUa5sSG9G/Vxrp1+XbbadOmqXfv3pIytnWKj4/X2rVrFRQUJEkaO3asevbsqQ8++MByTcOGDSVJpUuXlqOjo4oXLy4fH59c3ffm/xhMmTJFpUuX1tq1a9WtW7ccz7NkyRJ5enpKkpKSklShQgUtWbJEDg45z+sNGDBALVu2VExMjCpUqKCzZ89q2bJl+vPPP3M8BwAAAAAAAAD7sXfvXp07d07FihVTs2bNrB1OkULFhq24uVrDLJ+rNg4cOKCtW7fqmWeekSQ5OTnp6aef1rRp0yxjIiIi1K5duzy/95kzZzRw4ED5+fmpRIkSKlmypBITE3Xy5MlczdOmTRtFREQoIiJCW7duVXBwsB555BEdP348x3M0b95cdevW1YwZMyRJM2fOVJUqVdS6detcxQIAAAAAAADAPpirNR566CG5uLhYOZqihcSGrbixt8bN8rHXxrRp05SamqqKFSvKyclJTk5O+u677/S///1P8fHxkiR3d/dcz+vg4JBpOytJMhqNmZ737dtXERERmjhxojZt2qSdO3eqdOnSSklJydW9ihUrppo1a6pmzZpq1qyZfvjhByUlJWnq1KmWWCRliufmWKSMqg1zf5GffvpJ/fv3t/QMAQAAAAAAAFC0mBMb+fGlb9weiQ1bcKtqDbN8qtpITU3Vzz//rPHjx1sqHiIiIrRr1y5VrFhRv/76qySpQYMGCgsLu+U8Li4uSrsp9rJlyyo2NjZTMiEiIiLTmI0bN+rll19W586dVbduXbm6uur8+fP3/LoMBoMcHByUnJxsiUVSpv4fN8ciSb1799bx48f19ddfa//+/erbt+89xwIAAAAAAADA9qSmpmrt2rWS6K9hDSQ2bMHtqjXM8qFqY8mSJbp48aJeeOEF1atXL9OjR48elu2oRo0apV9//VWjRo1SZGSk9uzZo88++8wyT9WqVbVu3TqdOnVK586dkyQFBQUpLi5O48aNU3R0tCZNmqQ//vgj0/39/Pz0yy+/KDIyUlu2bFGfPn3uqjrk2rVrio2NVWxsrCIjI/XSSy8pMTFRXbt2lSTVrFlTvr6+Gj16tA4dOqSlS5dq/PjxWeYpVaqUHn/8cb3xxhvq2LGjKlWqlOtYAAAAAAAAANi+HTt2KCEhQaVKlbL0G0bBIbFR2N2pWsMsH6o2pk2bpvbt26tEiRJZzvXo0UPbt2/X7t27FRQUpHnz5mnRokVq1KiR2rZtq61bt1rGfvjhhzp27Jhq1KhhqY4ICAjQt99+q0mTJqlhw4baunWrXn/99Sz3v3jxopo0aaI+ffpo2LBhKlOmTK5fx/Lly1WhQgVVqFBBLVq00LZt2zRv3jxL83NnZ2f9+uuvioqKUoMGDfTZZ5/po48+ynauF154QSkpKXr++edzHQcAAAAAAAAA+2DehiooKEiOd/pSOvKck7UDwB2YqzXulNiQ/q3aWLcuT269ePHiW55r3rx5pm2kHn/8cT3++OPZjn3ggQe0a9euLMcHDx6swYMHZzr2zjvvWP7duHFjbdu2zfI8PT1dHTt2lJeXl+XYzX06bjZ9+nRLX4zbadWqlXbv3p3pWHZznzp1St7e3nrsscfuOCcAAAAAAAAA+2RObLANlXVQsVGY5bRawyyfem1AunLliqKjo/Xpp5/qxRdflIuLi7VDAgAAAAAAAGAF165d04YNGyTRONxaSGwUZu+9JxkMubvGYMjzXhuQxo0bJ39/f/n4+GjEiBHWDgcAAAAAAACAlYSHh+vq1avy8fGRv7+/tcMpkkhsFFZJSdKWLdIdtlrKwmSSNm+WrlzJn7iKqNGjR8toNCosLEyenp7WDgcAAAAAAACAldy4DZUht19MR56gx0ZhVayYdOqUFB+f+2tLlJA8PPI+JgAAAAAAAAAo4uivYX0kNgqzsmUzHgAAAAAAAAAAq0tMTNSWLVsk0V/DmtiKCgAAAAAAAACAHNiwYYNSU1NVrVo1Va1a1drhFFkkNgAAAAAAAAAAyIGwsDBJbENlbVZNbHz33Xdq0KCBvLy85OXlpcDAQP3xxx+W80FBQTIYDJkegwcPzjTHiRMn1KVLF3l4eKhcuXJ64403lJqammnMmjVr1KRJE7m6uqpmzZqaPn16llgmTZqkqlWrys3NTS1atNDWrVvz5TUDAAAAAAAAAGwT/TUKB6v22KhUqZI+/fRT+fn5yWQyacaMGXrsscf0999/q27dupKkgQMH6sMPP7Rc43FDU+y0tDR16dJFPj4+2rRpk2JiYvTcc8/J2dlZH3/8sSTp6NGj6tKliwYPHqxZs2YpLCxMAwYMUIUKFRQcHCxJmjt3roYPH67JkyerRYsW+uqrrxQcHKwDBw6oXLlyBfiOZBYXd/e9w2nNAQAAAAAAAAB558KFC/r7778lSW3atLFyNEWbVRMbXbt2zfR87Nix+u6777R582ZLYsPDw0M+Pj7ZXr9y5Urt379ff/75p8qXL69GjRppzJgxeuuttzR69Gi5uLho8uTJqlatmsaPHy9JCggI0IYNGzRhwgRLYuPLL7/UwIED1b9/f0nS5MmTtXTpUv344496++238+vl31ZSknTffZLRmPtrnZ2lS5ekG3JAdstgMGjBggUKCQnJt3uMHj1aoaGhioiIkCT169dPly5dUmhoaL7dEwAAAAAAAEDhsnbtWplMJtWpU0cVKlSwdjhFmlUTGzdKS0vTvHnzlJSUpMDAQMvxWbNmaebMmfLx8VHXrl313nvvWao2wsPDVb9+fZUvX94yPjg4WEOGDNG+ffvUuHFjhYeHq3379pnuFRwcrFdffVWSlJKSoh07dmjEiBGW8w4ODmrfvr3Cw8NvGe+1a9d07do1y/OEhARJktFolPGmbITRaJTJZFJ6errS09Nz9H64u0stWhi0caNkMhlydI0kGQwmPfCA5OZmUg5vlSPh4eFq3bq1goODtWTJklxdW716db3yyit65ZVX7ikGk8lk+Xnj+3i79zUuLk6jRo3SsmXLdObMGZUqVUoNGjTQe++9p1atWuXqvuZ7mEymLDEUFunp6TKZTDIajXJ0dLR2OMgh838zbv5vB2DLWNewd6xx2CvWNuwR6xq2jjUMe2ST6/ryZa366SdJGS0UbCp2G5Gb99TqiY09e/YoMDBQV69elaenpxYsWKA6depIknr16qUqVaqoYsWK2r17t9566y0dOHBA8+fPlyTFxsZmSmpIsjyPjY297ZiEhAQlJyfr4sWLSktLy3ZMVFTULeP+5JNP9MEHH2Q5vnLlykzbZUmSk5OTfHx8lJiYqJSUlJy8LZKkt95yUteunjkeL2UkQd58M1EJCal3HpwLU6ZM0aBBgzRz5kwdOHAgVxnJ9PR0Xb161ZL8uVeXL1/O9Dw5OfmWc3fv3l1Go1GTJk1SlSpVFBcXp7Vr1+rkyZM5jufatWtKS0vLlLxKTU3Ns9eTl1JSUpScnKx169Zl6TWDwm/VqlXWDgHIc6xr2DvWOOwVaxv2iHUNW8cahj2ytXW9+Po2VF5eXlq2bJmVo7E/V65cyfFYqyc2ateurYiICMXHx+v3339X3759tXbtWtWpU0eDBg2yjKtfv74qVKigdu3aKTo6WjVq1LBi1NKIESM0fPhwy/OEhAT5+vqqY8eO8vLyyjT26tWrOnnypDw9PeXm5pbje3TuLD34oEnh4VJa2p2rNhwdTWrZUurcOW/3oEpMTNSCBQu0detWXbhwQfPnz89U4SJJixcv1kcffaQ9e/bI09NTDz74oObPn6+2bdvq5MmTeuedd/TOO+9IyqjO+eCDD7Rw4ULt3LnTMsfEiRM1ceJEHTlyRJK0bds2jRw5UhERETIajWrYsKHGjBmjBx98UAbDv++Hu7t7lvdcki5duqTw8HCtXr1aDz/8sOX4zfvfXbp0SW+88YYWLVqka9eu6f7779f48ePVsGFDSZKrq6scHR0t93B2dpaTk1O297S2q1evyt3dXa1bt87VWoN1GY1GrVq1Sh06dJCzs7O1wwHyBOsa9o41DnvF2oY9Yl3D1rGGYY9sbl0nJChmxgz9888/MhgMenXAAJWuXNnaUdmd3HyR3OqJDRcXF9WsWVOS1LRpU23btk0TJ07UlClTsoxt0aKFJOnw4cOqUaOGfHx8tHXr1kxjzpw5I0mWvhw+Pj6WYzeO8fLykru7uxwdHeXo6JjtmFv19pAyPux2dXXNctzZ2TnLH2NaWpoMBoMcHBzk4OBwyzmzM2aMlNM+NGlpBn34oeTgkPOtq3Li999/l7+/vwICAtSnTx+9+uqreueddyzJhaVLl6pHjx4aOXKkfv75Z6WkpGjZsmVycHDQ/Pnz1bBhQw0aNEgDBw6UlLHVl/naG9+Pm48lJSWpX79+uv/++2UymfTFF1/oqaee0sGDB1WiRAnLdbd6X728vOTp6alFixapZcuW2f6+JOnpp5+Wu7u7/vjjD5UoUUJTpkxRhw4ddPDgQZUuXTpLXAaDwfL7LGzM72126xCFH7832CPWNewdaxz2irUNe8S6hq1jDcMe2cy6PnxYG7ZvlyQ1rlhR5c+dk6z8xXt7lJu1UOg+mU1PT8/Uu+JG5ubN5m2QAgMDtWfPHp09e9YyZtWqVfLy8rJsZxUYGKiwsLBM86xatcrSx8PFxUVNmzbNNCY9PV1hYWGZen1YS1CQ9OCD0p3aJTg6Sg89lDE+r02bNk29e/eWJHXq1Enx8fFau3at5fzYsWPVs2dPffDBBwoICFDDhg0tFR2lS5eWo6OjihcvLh8fn9smi27Wtm1b9e7d25JUmTJlipKTkzPd+3acnJw0ffp0zZgxQyVLllSrVq30zjvvaPfu3ZYxGzZs0NatWzVv3jzdf//98vPz0xdffKGSJUvq999/z3GsAAAAAAAAAOxQfLy0d69W//OPJKld/frS3r1SIdymviixamJjxIgRWrdunY4dO6Y9e/ZoxIgRWrNmjZ599llFR0drzJgx2rFjh44dO6ZFixbpueeeU+vWrdWgQQNJUseOHVWnTh316dNHu3bt0ooVK/Tuu+9q6NChlm/nDx48WEeOHNGbb76pqKgoffvtt/rtt9/02muvWeIYPny4pk6dqhkzZigyMlJDhgxRUlKS+vfvb5X35WZjxkhpabcfk5Ymffhh3t/7wIED2rp1q5555hlJGcmCp59+WtOmTbOMiYiIULt27fL83mfOnNHAgQPl5+enEiVKqGTJkkpMTNTJkydzPEePHj10+vRpLVq0SJ06ddKaNWvUpEkTTZ8+XZK0a9cuJSYmytvbW56enpbH0aNHFR0dneevCQAAAAAAAIANiYqSLlxQ2IEDkqS2LVpIFy5IkZFWDqxos+pWVGfPntVzzz2nmJgYlShRQg0aNNCKFSvUoUMHnTx5Un/++ae++uorJSUlydfXVz169NC7775rud7R0VFLlizRkCFDFBgYqGLFiqlv37768IZP+KtVq6alS5fqtdde08SJE1WpUiX98MMPCg4Otox5+umnFRcXp/fff1+xsbFq1KiRli9fnqWhuLWYqzYyem1kPe/oKLVsmX/VGqmpqapYsaLlmMlkkqurq7755huVKFFC7u7uuZ7XwcFBJpMp07Gbu9737dtX58+f18SJE1WlShU5OzurZcuWuWrALklubm7q0KGDOnTooPfee08DBgzQqFGj1K9fPyUmJqpChQpas2ZNlutKliyZ25cFAAAAAAAAwF5cr9aIc3HRseu7BrUKCJCSkjKqNgICpELYh7cosGpi48Zv/d/M19c3R1sOValS5Y4d6IOCgvT39Y71tzJs2DANGzbsjvezltv12sivao3U1FT9/PPPGj9+vDp27JjpXEhIiH799VcNHjxYDRo0UFhY2C0rXFxcXJR2U0ambNmyio2NlclksvSwMG81ZrZx40Z9++236ty5syTp+PHjOn/+/D2/rjp16ig0NFSS1KRJE8XGxsrJyUlVq1a957kBAAAAAAAA2Inr1RpRqamSpCrlyqm4h4fk7i4dOJBRtXG9LzQKVqHrsYHs3arXRn721liyZIkuXryoF154QfXq1cv06NGjhyUxNWrUKP36668aNWqUIiMjtWfPHn322WeWeapWrap169bp1KlTOnfu3PXXE6S4uDiNGzdO0dHRmjRpkv74449M9/fz89Mvv/yiyMhIbdmyRX369MlVdcj58+fVtm1bzZw5U7t379bRo0c1b948jRs3To899pgkqX379goMDFRISIhWrlypY8eOadOmTRo5cqS2X28IBAAAAAAAAKCIuV6tIW9vRV7vrxFQqVLGOYNB8vam14YVkdiwIdn12sivag0po6Kmffv2KlGiRJZzPXr00Pbt27V7924FBQVp3rx5WrRokRo1aqS2bdtq69atlrEffvihjh07pho1aqhs2bKSpICAAH377beaNGmSGjZsqK1bt+r111/Pcv+LFy+qSZMm6tOnj4YNG6YyZcrkOH5PT0+1aNFCEyZMUOvWrVWvXj299957GjhwoL755htJksFg0LJly9S6dWv1799ftWrVUs+ePXX8+PFCsxUZAAAAAAAAgAJ2vVpDZcr8m9jw9f33fJky9NqwIoPp5kYHuCsJCQkqUaKE4uPj5XXTvmpXr17V0aNHVa1aNbm5ud3TfR566N9eG+beGuvW3dOUNiM9PV0JCQny8vKSgwM5uezk5VpDwTEajVq2bJk6d+4sZ2dna4cD5AnWNewdaxz2irUNe8S6hq1jDcMeFfp1HR8v/f57RmVG2bJ6ZPRoLd+5U1P+7/80qFOnf8fFxUkmk/Tkk/TayAO3+4z9Znw6bGNurNrIz2oNAAAAAAAAACiSoqKk2NiMpEVcnCKPH5ckBRQvnpHMMD9MpoxxVG0UOBIbNsbca0PKv94aAAAAAAAAAFBkJSZKvr6Ss7OS0tJ0/Px5Sde3onJy+vfh7JwxLjHRygEXPU7WDgC5N3as9MgjGT8BAAAAAAAAAHmoXTvLPw/+/bckydvbW2WGDrVWRLgJiQ0b1Lq1dO6c5O5u7UgAAAAAAAAAwH5FXt9mKiAgwMqR4EZsRVWA8rJPO0kNZCcv1xgAAAAAAABQ1JHYKJxIbBQAZ2dnSdKVK1esHAnsXUpKiiTJ0dHRypEAAAAAAAAAti8qKkqS5O/vb+VIcCO2oioAjo6OKlmypM6ePStJ8vDwkMFgsHJUtic9PV0pKSm6evWqHBzIyd0sPT1dcXFx8vDwkJMTf9oAAAAAAADAvaJio3Di088C4uPjI0mW5AZyz2QyKTk5We7u7iSGbsHBwUGVK1fm/QEAAAAAAADuUWpqqg4ePCiJxEZhQ2KjgBgMBlWoUEHlypWT0Wi0djg2yWg0at26dWrdurVley9k5uLiQjULAAAAAAAAkAeOHDkio9Eod3d3Va5c2drh4AYkNgqYo6Mj/Q/ukqOjo1JTU+Xm5kZiAwAAAAAAAEC+MvfXqF27Nl8mLmT4bQAAAAAAAAAAcBP6axReJDYAAAAAAAAAALiJObHh7+9v5UhwMxIbAAAAAAAAAADcxLwVFRUbhQ+JDQAAAAAAAAAAbmAymdiKqhAjsQEAAAAAAAAAwA1iYmKUkJAgBwcH+fn5WTsc3ITEBgAAAAAAAAAANzBvQ1W9enW5urpaORrcjMQGAAAAAAAAAAA3YBuqwo3EBgAAAAAAAAAANzAnNvz9/a0cCbJDYgMAAAAAAAAAgBuYt6KiYqNwIrEBAAAAAAAAAMAN2IqqcCOxAQAAAAAAAADAdfHx8Tp9+rQktqIqrEhsAAAAAAAAAABw3YEDByRJPj4+KlmypHWDQbZIbAAAAAAAAAAAcB3bUBV+JDYAAAAAAAAAALjOnNhgG6rCi8QGAAAAAAAAAADXRUVFSaJiozAjsQEAAAAAAAAAwHVsRVX4kdgAAAAAAAAAAEBSSkqKoqOjJZHYKMxIbAAAAAAAAAAAIOnw4cNKS0tT8eLFVbFiRWuHg1sgsQEAAAAAAAAAgDI3DjcYDFaOBrdCYgMAAAAAAAAAANFfw1aQ2AAAAAAAAAAAQFJUVJSkjIoNFF4kNgAAAAAAAAAAEBUbtoLEBgAAAAAAAACgyEtPT7dUbJDYKNxIbAAAAAAAAAAAirx//vlHV65ckZOTk6pXr27tcHAbJDYAAAAAAAAAAEWeeRsqPz8/OTs7Wzka3A6JDQAAAAAAAABAkUd/DdtBYgMAAAAAAAAAUOSZ+2v4+/tbORLcCYkNAAAAAAAAAECRR8WG7SCxAQAAAAAAAAAo8khs2A4SGwAAAAAAAACAIu38+fOKi4uTJNWuXdvK0eBOSGwAAAAAAAAAAIo0c38NX19feXp6Wjka3AmJDQAAAAAAAABAkcY2VLaFxAYAAAAAAAAAoEgzV2z4+/tbORLkBIkNAAAAAAAAAECRRsWGbSGxAQAAAAAAAAAo0khs2BYSGwAAAAAAAACAIis5OVnHjh2TxFZUtoLEBgAAAAAAAACgyDp48KBMJpNKlSqlcuXKWTsc5ACJDQAAAAAAAABAkXXjNlQGg8HK0SAnSGwAAAAAAAAAAIqsqKgoSWxDZUtIbAAAAAAAAAAAiiwah9seEhsAAAAAAAAAgCKLxIbtIbEBAAAAAAAAACiS0tLSdPDgQUlsRWVLSGwAAAAAAAAAAIqkY8eO6dq1a3J1dVXVqlWtHQ5yiMQGAAAAAAAAAKBIMm9DVbt2bTk6Olo5GuQUiQ0AAAAAAAAAQJFkTmywDZVtIbEBAAAAAAAAACiSoqKiJNE43NaQ2AAAAAAAAAAAFEnmig0SG7aFxAYAAAAAAAAAoMgxmUxsRWWjSGwAAAAAAAAAAIqcs2fP6tKlSzIYDKpVq5a1w0EukNgAAAAAAAAAABQ55mqNatWqyd3d3crRIDdIbAAAAAAAAAAAihy2obJdJDYAAAAAAAAAAEVOVFSUJBqH2yISGwAAAAAAAACAIsdcsUFiw/aQ2AAAAAAAAAAAFDlsRWW7SGwAAAAAAAAAAIqUy5cv659//pFExYYtIrEBAAAAAAAAAChSDhw4IEkqV66cSpcubeVokFskNgAAAAAAAAAARQrbUNk2EhsAAAAAAAAAgCIlKipKEttQ2SoSGwAAAAAAAACAIsVcsUFiwzaR2AAAAAAAAAAAFClsRWXbSGwAAAAAAAAAAIoMo9Gow4cPS6Jiw1aR2AAAAAAAAAAAFBnR0dFKTU1VsWLFVKlSJWuHg7tAYgMAAAAAAAAAUGSYt6GqXbu2HBz4iNwW8VsDAAAAAAAAABQZUVFRktiGypaR2AAAAAAAAAAAFBnmig0SG7aLxAYAAAAAAAAAoMgwJzb8/f2tHAnuFokNAAAAAAAAAECRYDKZ2IrKDpDYAAAAAAAAAAAUCadOnVJiYqIcHR1Vs2ZNa4eDu0RiAwAAAAAAAABQJJi3oapRo4ZcXFysHA3uFokNAAAAAAAAAECRwDZU9sGqiY3vvvtODRo0kJeXl7y8vBQYGKg//vjDcv7q1asaOnSovL295enpqR49eujMmTOZ5jhx4oS6dOkiDw8PlStXTm+88YZSU1MzjVmzZo2aNGkiV1dX1axZU9OnT88Sy6RJk1S1alW5ubmpRYsW2rp1a768ZgAAAAAAAACAdZgrNkhs2DarJjYqVaqkTz/9VDt27ND27dvVtm1bPfbYY9q3b58k6bXXXtPixYs1b948rV27VqdPn9bjjz9uuT4tLU1dunRRSkqKNm3apBkzZmj69Ol6//33LWOOHj2qLl26qE2bNoqIiNCrr76qAQMGaMWKFZYxc+fO1fDhwzVq1Cjt3LlTDRs2VHBwsM6ePVtwbwYAAAAAAAAAIF+ZExv+/v5WjgT3wqqJja5du6pz587y8/NTrVq1NHbsWHl6emrz5s2Kj4/XtGnT9OWXX6pt27Zq2rSpfvrpJ23atEmbN2+WJK1cuVL79+/XzJkz1ahRIz3yyCMaM2aMJk2apJSUFEnS5MmTVa1aNY0fP14BAQEaNmyYnnjiCU2YMMESx5dffqmBAweqf//+qlOnjiZPniwPDw/9+OOPVnlfAAAAAAAAAAB5j62o7EOh6bGRlpamOXPmKCkpSYGBgdqxY4eMRqPat29vGePv76/KlSsrPDxckhQeHq769eurfPnyljHBwcFKSEiwVH2Eh4dnmsM8xjxHSkqKduzYkWmMg4OD2rdvbxkDAAAAAAAAALBtly5dUmxsrCQqNmydk7UD2LNnjwIDA3X16lV5enpqwYIFqlOnjiIiIuTi4qKSJUtmGl++fHnL4ouNjc2U1DCfN5+73ZiEhAQlJyfr4sWLSktLy3aMOXuXnWvXrunatWuW5wkJCZIko9Eoo9GYi3cAOWV+X3l/YW9Y27BHrGvYO9Y47BVrG/aIdQ1bxxqGPbLWut6zZ48k6b777pO7uzt/V4VMbn4fVk9s1K5dWxEREYqPj9fvv/+uvn37au3atdYO644++eQTffDBB1mOr1y5Uh4eHlaIqOhYtWqVtUMA8gVrG/aIdQ17xxqHvWJtwx6xrmHrWMOwRwW9rsPCwiRJ3t7eWrZsWYHeG3d25cqVHI+1emLDxcVFNWvWlCQ1bdpU27Zt08SJE/X0008rJSVFly5dylS1cebMGfn4+EiSfHx8tHXr1kzznTlzxnLO/NN87MYxXl5ecnd3l6OjoxwdHbMdY54jOyNGjNDw4cMtzxMSEuTr66uOHTvKy8srl+8CcsJoNGrVqlXq0KGDnJ2drR0OkGdY27BHrGvYO9Y47BVrG/aIdQ1bxxqGPbLWul63bp0k6cEHH1Tnzp0L7L7IGfOuSDlh9cTGzdLT03Xt2jU1bdpUzs7OCgsLU48ePSRJBw4c0IkTJxQYGChJCgwM1NixY3X27FmVK1dOUkaWz8vLS3Xq1LGMuTn7tmrVKsscLi4uatq0qcLCwhQSEmKJISwsTMOGDbtlnK6urnJ1dc1y3NnZmf/J5DPeY9gr1jbsEesa9o41DnvF2oY9Yl3D1rGGYY8Kel0fPHhQklS3bl3+ngqh3PxOrJrYGDFihB555BFVrlxZly9f1uzZs7VmzRqtWLFCJUqU0AsvvKDhw4erdOnS8vLy0ksvvaTAwEA98MADkqSOHTuqTp066tOnj8aNG6fY2Fi9++67Gjp0qCXpMHjwYH3zzTd688039fzzz2v16tX67bfftHTpUkscw4cPV9++fXX//ferefPm+uqrr5SUlKT+/ftb5X0BAAAAAAAAAOQtc09lGofbPqsmNs6ePavnnntOMTExKlGihBo0aKAVK1aoQ4cOkqQJEybIwcFBPXr00LVr1xQcHKxvv/3Wcr2jo6OWLFmiIUOGKDAwUMWKFVPfvn314YcfWsZUq1ZNS5cu1WuvvaaJEyeqUqVK+uGHHxQcHGwZ8/TTTysuLk7vv/++YmNj1ahRIy1fvjxLQ3EAAAAAAAAAgO25evWqjhw5IkkKCAiwcjS4V1ZNbEybNu22593c3DRp0iRNmjTplmOqVKlyx0YvQUFB+vvvv287ZtiwYbfdegoAAAAAAAAAYJsOHTqk9PR0lShR4ra9lWEbHKwdAAAAAAAAAAAA+enGbagMBoOVo8G9IrEBAAAAAAAAALBrkZGRktiGyl6Q2AAAAAAAAAAA2DUSG/aFxAYAAAAAAAAAwK7duBUVbB+JDQAAAAAAAACA3UpPT9eBAwckUbFhL0hsAAAAAAAAAADs1vHjx5WcnCwXFxdVq1bN2uEgD5DYAAAAAAAAAADYLfM2VH5+fnJycrJyNMgLJDYAAAAAAACAu5WQIK1alfETQKFE43D7Q2IDAAAAAAAAuFuRkdLOnRk/ARRKJDbsD4kNAAAAAAAA4G7Ex0t790qOjhk/qdoACiVzYsPf39/KkSCvkNgAAAAAAAAA7kZUlHThguTnl/GTqg2gUDL32KBiw36Q2AAAAAAAAAByy1yt4e0tOThk/KRqAyh04uLidP78eUlS7dq1rRwN8gqJDQAAAAAAACC3oqKUfOaM3vnjDy3Ztk0qU4aqDaAQMm9DVaVKFXl4eFg5GuQVJ2sHAAAAAAAAANiU+HiZ9uzRC4sW6dctW1S6eHGd+flnOZmrNgICJC8va0cJQGxDZa+o2AAAAAAAAAByIypKn82fr1+3bJEkXbh8WRv276dqAyiEzBUbJDbsC4kNAAAAAAAAIKfi47V45ky9s3y5JKlquXKSpNDNmyWDgV4bQCFjTmz4+/tbORLkJRIbAAAAAAAAQA7tXbpUvb7/XiaTSf/XubO+GjBAkhS6ZYtMJhNVG0Ahw1ZU9onEBgAAAAAAAJAD544cUbdXXlFiSora1K+vrwYMUIfGjeXu4qLjZ88q4sgRqjaAQiQpKUnHjx+XRGLD3pDYAAAAAAAAAO7AaDTqySef1NFz51SjbFnNGzBAzhcvyiMhQcF160qSQlevluLiJJNJio2lagOwsgMHDkiSvL29VaZMGStHg7xEYgMAAAAAAAC4g5dffllrdu5UcTc3LXrtNXmXLCk5OUlOTgq5/35JUmhERMYxZ2fJ11dKTLRqzEBRxzZU9svJ2gEAAAAAAAAAhdm3336ryZMny2AwaPa8earz6KOZzj/apYscf/xRu0+e1JEHH1T16tWtFCmAG5kbh5PYsD9UbAAAAAAAAAC3sHr1ar388suSpE8++USP3pTUkDK2uWndurUkaeHChQUaH4BbMyc2/P39rRwJ8hqJDQAAAAAAACAb0dHRevLJJ5WWlqbevXvrzTffvOXYkJAQSdKCBQsKKDoAd8JWVPaLxAYAAAAAAABwk4SEBHXt2lUXLlxQ8+bNNXXqVBkMhluOf+yxxyRJGzdu1NmzZwsqTAC3kJqaqoMHD0oisWGPSGwAAAAAAAAAN0hLS1OvXr0UGRmpihUrKjQ0VG5ubre9pkqVKmrcuLHS09O1ZMmSAooUwK0cOXJERqNR7u7uqly5srXDQR4jsQEAAAAAAADcYOTIkVq6dKnc3Ny0cOFCVahQIUfXde/eXZIUGhqaj9EByAnzNlS1a9eWgwMfg9sbfqMAAAAAAADAdTNnztRnn30mSfrxxx91//335/hac5+NlStXKjExMT/CA5BD5sbhbENln0hsAAAAAAAAAJK2bNmiAQMGSJLeeecdPfPMM7m6vl69eqpevbquXbumFStW5EeIAHLInNjw9/e3ciTIDyQ2AAAAAAAAUOSdOnVK3bt317Vr1/TYY49pzJgxuZ7DYDBYqjbYjgqwLvNWVFRs2CcSGwAAAAAAACjSkpOTFRISopiYGNWrV0+//PLLXe/Jb+6zsWTJEhmNxrwME7C+hARp1aqMn4WYyWQq9FtRpaen68KFC9YOw2aR2AAAAAAAAECRZTKZ9Pzzz2v79u3y9vbWokWLVLx48bueLzAwUGXLltWlS5e0bt26PIwUKAQiI6WdOzN+FmIxMTFKSEiQg4OD/Pz8rB1OtlauXKmpU6fqxIkT1g7FJpHYAAAAAAAAQJH1ySefaM6cOXJyctL//vc/VatW7Z7mc3R0VLdu3SSxHRXsTHy8tHev5OiY8bMQV22Yt6GqXr26XF1drRxN9po2bSo3NzdduXLF2qHYJBIbAAAAAAAAKJIWLlyokSNHSpK++eYbPfzww3ky7419NkwmU57MCVhdVJR04YLk55fxsxBXbRT2bagkqWzZsho6dCjNze8SiQ0AAAAAAAAUDTf0B9izZ4+effZZSdLQoUP14osv5tlt2rdvr2LFiumff/7Rjh078mxewGrM1Rre3pKDQ8bPQly1YU5sFLakwf79+3X06FHLcycnJytGY9tIbAAAAAAAAKBouN4f4Fx4uLp166akpCS1bdtWEyZMyNPbuLm56ZFHHpHEdlSwE1FRMp0/r/6zZsnr6af1yKRJ+jI0VHsWLy6UVUnmragKU8XG0aNHNX/+fM2aNUunT5+2djg2j8QGAAAAAAAA7N/1b5ynmEx64uWXdezYMdWoUUPz5s2Ts7Nznt/uxu2oAJt2/W9n9uHDmr56tS4nJ2v5zp36z5IlatC7typWqKA+ffro559/VkxMTO7nv6GS6m6dO3dOixcv1jvvvKOgoCCtXbtWUuFJbMTExGjOnDlKS0tT7dq15ePjY+2QbB61LgAAAAAAALB/179x/vKaNVp78KCKe3ho0aJFKl26dL7crnPnznJyctK+fft06NAh+fn55ct9gHwXFaXTR49q2OzZkqTXHntMlby9tfLvv7Vu717FnjmjmTNnaubMmZKkunXrqkOHDurQoYMefvhhFStW7PbzX6+kkpeX1KLFHcNJS0vT/v37tWnTJoWHh2vTpk06dOhQlnH+/v5q2LBh7l9vHrt48aJmzZqllJQUVa1aVd27d5eDA/UG94rEBgAAAAAAAOzb9W+cf7t7t6asWCGDwaA5AwaoTqVK+XbLUqVKKSgoSH/++adCQ0P1xhtv5Nu9gHwTHy/Tnj0auGiRLiUl6f6aNTWuXz85OTpqeEiIrp4+rU2HDmlVerpWrVunnTt3at++fdq3b5+++uorOTs7q1WrVpZER5MmTeTo6Pjv/AkJGb06HB0zfgYEZCQ4bnDp0iVt2bLFksTYvHmzLl++nCXUgIAABQYGqmXLlgoMDJS/v7/VEwiJiYn65ZdflJSUpPLly+vpp5+mr0Yeuad3MSUlRUePHlWNGjX4hQAAAAAAAKBwiorSySNH9OqcOZKkz557Tp0rVcr4pngOviF+t7p3705iA7YtKkrTV67Usj175OrsrBmvviqnGxITbhUqqG1Cgtq2bq1PvvxS58+fV1hYmFatWqVVq1bp+PHjWrNmjdasWaORI0eqVKlSateundq2bZuR4Dh4ULpwQapVSzp4UKb9+3WwVKlM1Rj79+/P0sfD09NTLVq0sCQyWrRokW/VV3fr2rVrmj17ti5evKiSJUvq2WeflZubm7XDsht3lY24cuWKXnrpJc2YMUOSdPDgQVWvXl0vvfSS7rvvPr399tt5GiQAAAAAAABwV65Xa6w8fVqpaWlqXquWXn/8cencuVt+QzyvdOvWTUOHDlV4eLhiY2PZVx+2JT5eJ9et06tLlkiSxjz7rOpUrpx5jMEgeXtb/pa8vb311FNP6amnnpLJZNLhw4ctSY7Vq1fr4sWL+v333/X7779LksaVK6cOderovl27tHnPHm3+8EOdT0zMEkqNGjUslRgtW7ZUvXr1Mld+FEJOTk4qW7as4uPj1bt3bxUvXtzaIdmVu0psjBgxQrt27dKaNWvUqVMny/H27dtr9OjRJDYAAAAAAABQOERFSRcuaM2xY5Kkjo0ayWAwSGXKSAcO5GvVRqVKldSsWTNt27ZNixcv1sCBA/PlPkB+MEVG6oUpU5SQnKzAGjU0vFUrKS4um4EmKTY2y9+SwWCQn5+f/Pz89H//939KTU3Vtm3btGrVKq1cuVKbN29W9Nmzij57NtN0bq6uata8eaZtpcqVK5ffLzfPOTo6KiQkRPHx8SpZsqS1w7E7d5XYCA0N1dy5c/XAAw9k/I/gurp16yo6OjrPggMAAAAAAADu2vVqDVPp0vprzx5JUlD9+hnnbvqmeX5VbYSEhGjbtm0KDQ0lsQGb8v3cuVoVHS03Z2dNHzRIji4utx7s6ytlU2lxIycnJwUGBiowMFAjhg7V7ytXym3zZv115IguXL6sZn5+aunjo4aVKsnlmWfy7W8yP5lMJkVFRal27dpycHCQwWAgqZFP7iqxERcXl22WLCkpKVOiAwAAAAAAALCa69Uah4sX16nz5+Xi5KSW/v7/ni+Aqo2QkBCNHDlSf/75pxISEuRlgx/Woug5evSo/jN1qiTpk3HjVOvVV/P2BgcPysPDQ53btlX39u3/PW4y5fvfZH7auHGjwsLCVLduXfXo0YPPyvPRXbWFv//++7V06VLLc/Mv6IcfflBgYGDeRAYAAAAAAADcrevVGvL21pq9eyVJD9SuLXdX13/H3Fi1kZCQL2EEBASoVq1aSklJ0fLly/PlHkBeSk9P1/PPP6+kpCQ99NBDevnll/P2BvHxGYkLKeNv8EYF8DeZXyIiIhQWFiZJuu+++0hq5LO7Smx8/PHHeueddzRkyBClpqZq4sSJ6tixo3766SeNHTs2r2MEAAAAAAAAcicqKmPff5NJf23fLklqU6NGRo+AGx839gfIBwaDQSEhIZIytnfHHSQkSKtW2dyH2vZk0qRJWrNmjTw8PPTTTz/JweGuPkK+tago6eLFW58vU0a6cCHf/ibzw8GDB7Vo0SJJsmy3hfx1V6vywQcfVEREhFJTU1W/fn2tXLlS5cqVU3h4uJo2bZrXMQIAAAAAAAC5k5go+frK5OSkv6KiJElBdepITk6ZH87OOeoPcC/MiY2lS5cqJSUl3+5jFyIjpZ07bepDbXty+PBhvfXWW5Kkzz//XDVq1MjbG5grqUqXvvUYG6va+OeffzRv3jyZTCY1aNBAHTp0sHZIRcJd9diQpBo1amjq9X3WAAAAAAAAgEKlXTtJ0oGoKMXGx8vV1VUPjBolubkVeCgtWrSQj4+PYmNjtWbNGnXs2LHAY7AJ5g+9HR3zvak7skpLS1O/fv2UnJysdu3aafDgwXl/E3MlVYUKGc/Pn8+omrrZjZVUhbjXRlxcnGbPnq3U1FTVrFlT3bp1YwuqAnJXFRvLli3TihUrshxfsWKF/vjjj3sOCgAAAAAAAMgLa9askSS1bNlSblZIakiSg4ODHnvsMUnSggULrBKDTbje7F1+fja3FZE9mDhxojZu3KjixYtr2rRpeb8FlWSppJLT9e/bOzpmraIqoEqqvHDp0iUZjUbdd999evLJJ+Xo6GjtkIqMu6rYePvtt/Xpp59mOW4ymfT222/rkUceuefAAAAAAAAAgHv1119/SZKCgoKsGkdISIimTJmihQsXatKkSfnzobEtu6HZuxwc/t2KiKqNAhEVFaV33nlHkvTll1+qSpUq+XOj65VUMhqlZcukZ57JSGLYKD8/Pz333HPy9vaWi4uLtcMpUu7qv6CHDh1SnTp1shz39/fX4cOH7zkoAAAAAAAA4F6ZTCZLxUabNm2sGkubNm1UvHhxxcTEaNu2bVaNpTCJi4vTokWL9PZLL6n12LGq+Prr+t+mTTbZQNpWpaamqm/fvrp27Zo6deqkF154wdohFWpGo1Hx8fGW576+vvLw8LBiREXTXVVslChRQkeOHFHVqlUzHT98+LCKFSuWF3EBAAAAAAAA9yQyMlJnz56Vu7u7mjdvbtVYXF1d1blzZ82dO1ehoaFqUYj7BuSXtLQ07d27V+Hh4dq0aZPCw8Oz/ZL0e7Nm6fHAQBmo2igQX3zxhbZu3aoSJUpo6tSp9Ii4jfT0dM2fP1///POPevfurfLly1s7pCLrrio2HnvsMb366quKjo62HDt8+LD+85//qFu3bnkWHAAAAAAAAHC3zNtQtWzZUq6urlaOJmM7KkkKDQ21ahwF5eLFi1q+fLnef/99tW/fXiVLllSjRo00ZMgQ/fLLL5akRp1q1TSgeXN9P3Soirm5KfLkSa3ft4+qjQKwd+9ejRo1SlJGj41KlSpZOaLCy2QyaenSpYqKilJycrKSk5OtHVKRdlcVG+PGjVOnTp3k7+9vWez//POPHnroIX3xxRd5GiAAAAAAAABwN8yJDWtvQ2XWuXNnOTs7KyoqSlFRUfL397d2SHkmPT1dBw4cyFSNsX///izjihcvrhYtWqhly5YKDAxUi4AAlfrzT8lgkMqW1fbDh/X9ihWavHy5WterR6+NfGQ0GtW3b1+lpKSoa9eueu6556wdUqFlMpm0evVq7dy5UwaDQT169MiymxEK1l1vRbVp0yatWrVKu3btkru7uxo0aKDWrVvndXwAAAAAAABArqWnpxea/hpmXl5eateunZYvX67Q0FC9/fbb1g7prqWmpmr9+vXauHGjNm3apM2bN+vixYtZxtWsWdOSxGjZsqXq1q0rR0fHfwds2ZJRlVG7tiTpxU6d9P2KFfrfpk2Ki49X2TJlpAMHMqo2iuD2Xfnpk08+0c6dO1WqVClNmTKFLahuITk5WQsXLtSBAwckZSQoAwICrBwV7iqxIUkGg0EdO3ZUx44d8zIeAAAAAAAA4J7t27dP58+fl4eHh5o1a2btcCxCQkJsNrFhMpm0fft2zZw5U3PmzNHZs2cznXd3d1ezZs0siYzAwECVLVv21hPGx2dUY3h7Z1RsSGpSo4aa+flp26FDmh4Wpjcef5yqjXwQERGhMWPGSJImTZqkChUqWDmiwunSpUuaMWOGLl26JEdHR3Xq1En333+/tcOCcpHY+PrrrzVo0CC5ubnp66+/vu3Yl19++Z4DAwAAAAAAAO6WeRuqBx98UM7OzlaO5l/dunXTkCFDtGXLFp0+fVoVK1a0dkh3dOTIEc2aNUszZ87UwYMHLcfLlCmj9u3bW6oxGjZsmLv3OipKio2VfHykuDjL4RdbtdK2Q4f0/bJl+k+rVnIwGDLGUbWRJ1JSUtS3b1+lpqbq8ccfV8+ePa0dUqFVvHhxFS9eXJL05JNP2sTfa1GR48TGhAkT9Oyzz8rNzU0TJky45TiDwUBiAwAAAAAAAFZV2PprmFWoUEEPPPCAwsPDtWjRIg0ePNjaIWXr/PnzmjdvnmbOnKmNGzdajru5uSkkJER9+vRRhw4d7i1plJgo+fpmOdyzZUsNnztXh8+e1epDh9S+bt2McYmJd38vWHz44YfavXu3ypQpo++++44tqG5y7do1OTk5ydHRUY6OjnryySfl7OwsNzc3a4eGG+Q4sXH06NFs/w0AAAAAAAAUJunp6Vq7dq2kwpfYkDK2owoPD9eCBQsKVWLj6tWrWrJkiWbOnKlly5bJaDRKyvgic7t27dS7d291795dXnm1HVS7dtkeLiapz65dmjRpkqYcOaL2n32WN/eDtm3bpk8//VSSNHnyZJUrV87KERUusbGxmjdvnmrVqqXg4GBJslRsoHBxyO0FRqNRNWrUUGRkZH7EAwAAAAAAANyT3bt36+LFi/L09FSTJk2sHU4WISEhkqTVq1fr0qVLVo3F3GR9wIAB8vHx0ZNPPqmFCxfKaDSqUaNG+uKLL3Ty5EmtWrVKffv2zbukxh28+OKLkqTQ0FDFxsYWyD3t3dWrV9W3b1+lpaWpZ8+e6tGjh7VDKjTM/WN++OEHXbhwQZGRkbp69aq1w8Jt5Lp5uLOzM79UAAAAAAAAFFrmbageeuihQtVfw6xWrVoKCAhQZGSk/vjjDz3zzDMFHsO+ffs0c+ZMzZo1SydPnrQc9/X11bPPPqtnn31W9erVK/C4zOrXr6+WLVtq06ZN+vHHH/XOO+9YLRZ7MWrUKEVGRqp8+fL65ptvrB1OoZGSkqIlS5Zoz549kjL+PkNCQth6qpDLdcWGJA0dOlSfffaZUlNT8zoeAAAAAAAA4J4U1v4aNzJXbYSGhhbYPU+fPq3x48ercePGqlevnj799FOdPHlSJUqU0IABA7RmzRodO3ZMn3zyiVWTGmbmbbq+//57paWlWTkaG5SQIK1aJSUkKDw8XF988YWkjPfT29vbysEVDmfOnNH333+vPXv2yGAwqH379urZs6fc3d2tHRruINcVG1LGXmxhYWFauXKl6tevr2LFimU6P3/+/DwJDgAAAAAAAMiNtLQ0rVu3TlLhTmx0795dn3zyiZYtW6arV6/m67fDo6OjNXToUK1cuVImk0lSxq4sXbp0Ue/evdWlS5dC+e30J554Qq+88oqOHz+ulStX6pFHHrF2SLYlMlLauVNXXFzUd+BApaen67nnnlO3bt2sHVmhYDQa9csvvygpKUnFixfXE088ocqVK1s7LOTQXSU2SpYsyR5sAAAAAAAAKHQiIiIUHx8vLy8vNWrUyNrh3FLTpk1133336dSpU1q9erU6d+6cL/fZuHGjQkJCdO7cOUlSq1at1Lt3bz311FMqXbp0vtwzr7i7u6tfv36aMGGCJk+eTGIjN+Ljpb17JUdHjfzoIx06dEgVK1bUV199Ze3ICg1nZ2c98sgj+vvvv9W9e/csX95H4ZarxEZ6ero+//xzHTx4UCkpKWrbtq1Gjx5NaQ4AAAAAAAAKBfM2VK1bt5aT0119p7dAODg46LHHHtO3336r0NDQfElszJ49W/3791dKSoqaNm2qX3/9VX5+fnl+n/w0aNAgTZgwQUuWLNE///yjSpUqWTsk2xAVJV24oHVGoyaGhUmSfvjhB5UqVcrKgVlXXFyckpOTLZUZdevWVZ06dWQwGKwcGXIrVz02xo4dq3feeUeenp6677779PXXX2vo0KH5FRsAAAAAAACQK2vWrJFUuLehMjP32Vi4cGGe9pAwmUz68MMP9eyzzyolJUUhISFau3atzSU1JMnf319BQUFKT0/XDz/8YO1wbMP1ao3EYsXU/7//lclk0gsPPqhHWrWydmRWtXv3bk2dOlW//fabLl++bDlOUsM25Sqx8fPPP+vbb7/VihUrFBoaqsWLF2vWrFlKT0/Pr/gAAAAAAACAHElNTbX01wgKCrJuMDnw8MMPq0SJEjp79qy2bNmSJ3Neu3ZNffv21ahRoyRJr7/+uv73v//Z9DY7L774oqSMioPU1FQrR2MDrldrvL9ihY7Exsq3TBl92bFjRs+NIshoNGrx4sVasGCBjEajypUrRzLDDuQqsXHixIlMZXHt27eXwWDQ6dOn8zwwAAAAAAAAIDd27typy5cvq2TJkmrYsKG1w7kjFxcXPfroo5KkBQsW3PN858+fV4cOHfTLL7/I0dFRU6ZM0eeffy4Hh1x9BFjodO/eXWXLltWpU6e0dOlSa4dTuF2v1oh3d9f3K1dKkqYMHSqv++7L6LmRkGDlAAvW+fPnNW3aNO3cuVNSRjKxd+/e8vT0tHJkuFe5+q9aamqq3NzcMh1zdnaW0WjM06AAAAAAAACA3DL313j44Yfl6Oho5Whyxrwd1YIFC2Qyme56noMHD+qBBx7Q+vXr5eXlpWXLlmnQoEF5FKV1ubq6qn///pKkyZMnWzmaQu56tcasvXuVdPWqAnx91alJE6lMGenChSJVtbFv3z59//33OnPmjIoVK6Y+ffooKCjI5hN9yJCrDkomk0n9+vWTq6ur5djVq1c1ePDgTOVs8+fPz7sIAQAAAAAAgBww99ewhW2ozIKDg+Xq6qro6Gjt379fdevWzfUca9eu1eOPP64LFy6oSpUqWrp06V3NU5gNGjRI48aN04oVK3T06FFVq1bN2iEVPterNUylS2vypEmSpMGdOv277ZK3d0bVRkCA5OVlxUDzR0pKikwmk+Wz64MHDyolJUVVqlRRjx49VLx4cStHiLyUq8RG3759sxzr3bt3ngUDAAAAAAAA3A2j0aj169dLso3G4WbFixdX+/bttXTpUoWGhuY6IfHzzz9rwIABMhqNatGihRYuXKjy5cvnU7TWU6NGDXXs2FErV67U1KlT9fHHH1s7pMLnerXGZpNJe44fl5uLi/rc+LdQpox04EBG1UaLFnd1i5SUFBkMBjk7O+dR0HcnPT1dcXFx+ueff3Tq1CmdPn1aZ8+eVceOHfXAAw9Ikrp06SIfHx+1aNGCKg07lKvExk8//ZRfcQAAAAAAAAB3bfv27UpKSpK3t7fq169v7XBypXv37pbExsiRI3N0jclk0vvvv6+PPvpIkvTkk09qxowZcnd3z89QrerFF1/UypUr9eOPP2r06NFycXGxdkiFx/VqDXl7a/LMmapatapC2rbV8jNnlBYbq3STKeORmqpia9bo6RuqNubMmaPY2Filp6crLS1N6enploe7u7uGDx9uuc2sWbN04sQJeXh4qFSpUipVqpRKlixp+VmtWrV8bcx96dIlLViwQDExMdm2Rzh37pzl3y4uLgoMDMy3WGBduUpsAAAAAAAAAIWReRuqhx9+2Oa+nd21a1cZDAZt375dJ0+elK+v723HX716Vf3799ecOXMkSSNGjNBHH31kc687t7p27aoKFSooJiZGCxcu1JNPPnnLsSaTSRcuXNA///yjuLg4lShRQuXKlVPZsmXl4eFRgFHnP5PJpEs7d6pUbKwueHrqtw0bNGjIEJUsXVoH4+OzjPeSMlVtJCYmKj6bcZKyJA/MvWuuXLmiK1eu6NSpU5ZzLi4uevvtty3P//rrL12+fNmS+DA/7vT+X7lyRadPn9apU6d06tQpVahQwVKFVaxYMZ08eVImk0kuLi667777VLFiRd13332677775GWHW2wheyQ2AAAAAAAAYPPMjcNtqb+GWbly5dSqVStt2LBBCxcu1LBhw245Ni4uTo899pjCw8Pl5OSk77//3tJY2945OzvrhRde0EcffaQpU6Zkm9i4evWqFixYoH/++UdXrlzJct7Pz0+9evWyPN+5c6e8vb1tLuFx8eJFHTlyREeOHNHRo0eVlpKit3x99fPKlbpqNOrsiRN62NdXvm5ucjYY5GgwyEGSg8EgF4NBSky0zNWtWzcZjUY5OjrKwcHB8jA/v9Gzzz4ro9GoS5cu6eLFi5bHpUuX5OjomKlaIyoqSmfPns0Su7OzsyXJJGUkZrZs2WJJZFy8eDHT+CtXrlgSG87Oznrqqafk7e2tMmXK5Gt1CAo3EhsAAAAAAACwaSkpKdq4caMk2+qvcaOQkBBt2LBBoaGht0xsREZGqkuXLjp69KhKliyp+fPn2+zrvVsDBw7Uxx9/rO3bt2vVqlVKTU2Vq6ur2rZtK0lydXXVyZMnlZycLEdHR1WsWFHlypVTQkKC4uLiLB+mS1JSUpIWL15see7h4aFy5cqpTJkyKleunHx9feXj41Pgr/FWjh49qj179ujo0aO6dOlSpnMuLi4637mzpnz6qSSpdceOenzIkBzNW65cuRzH4OjoKEdHR/n4+NzxvWndurXOnTtnSXxcvHhRCQkJMhqNSklJsYwzGAwKDw9XQkKC5Zi3t7elGqNSpUqZ5vX3989xvLBfJDYAAAAAAABg07Zu3aorV66oTJkyuW6+XViEhITo9ddf15o1a3Tx4kWVKlUq0/nVq1fr6aefVnx8vKpXr65ly5apdu3aVoq24J06dUonTpzQyZMn9fbbb8vFxUWbNm2SJJUoUcKS2DAYDOratauKFy8uHx8fOTll/vjTZDJZ/p2SkiI/Pz/FxcXp0qVLunLlio4dO6Zjx45Jklq0aKFOnTpJyqgECQsLU9myZS3JDzc3tyxVCnnFaDTq+PHjqlSpktzc3CRJJ06c0N9//y1JcnBwUKVKlVS9enVVr15dFStW1IYNGxQVFaVixYrp2WefzfOYciu7v8XU1FTFx8frypUr2rlzp+V4s2bNlJ6ebklm2HOvGOQNEhsAAAAAAACwaeb+GkFBQTa7NU2NGjVUv3597dmzR0uXLlXv3r0t51atWqUpU6YoNTVVrVq1UmhoqMqUKWPFaPPX5cuXFRcXp+rVq1uOLV26VDExMZIyqhPS0tJ07tw5de7cWVWrVpXJZLL87gMCAm45943ro1SpUpZtqVJSUnTu3DmdPXtWcXFxiouLy1QpEBcXp+3bt2c7n4uLi4KCgvTAAw9Iki5cuKBly5bJxcVFLi4ucnZ2zvTvypUrW+Y2Go2KjY2Vi4uLUlJSdPToUR09elQnT55UWlqannzySdWpU0eSVLt2bV29elXVq1dXlSpVsjRPnzJliiSpV69ehbbXhJOTk7y9vbPE9+CDD1opItgqEhsAAAAAAACwaeb+Gra+LVNISIj27NmjBQsWqHfv3kpPT9c777yjSZMmScr4wHratGmWb/DbE5PJpL///lsbNmzQxYsX5eDgoLffflvOzs6SMnpjeHl5qVKlSrrvvvvUtm1bHTt2TA8++KDq1at3z/d3cXFRxYoVVbFixWzPe3h4qGXLlpbkh3krKJPJpGvXrmWqBElKSlJ0dPQt7xUUFGRJbFy8eFE//vhjtuO8vLwyNe++3fZPcXFx+v333yVJL7744q1fKGAnSGwAAAAAAADAZl27ds2yJZE9JDbGjBmj5cuX68KFCxo0aJD+97//SZLeffddffjhhzZbkXI7cXFxWrJkiU6cOCEpowqibNmyunz5skqXLi0p6+/2+eef1/vvv6/JkydnagaeX7y9vdWhQwfL8/T0dEuvCKPRmCnZVKpUKYWEhCglJcXyuHHsjckJk8mkUqVKWXpOVK5cWdWqVVP16tVVunTpHP++p0+fLqPRqGbNmqlp06Z59KqBwovEBgAAAAAAAGzWli1bdPXqVZUvX97mmwo3btxYlStX1okTJ1S/fn2dPn1aLi4uGjp0qN5//327S2qkpqZq/fr12rBhg9LT0+Xs7KygoCA1bdpUrq6ut732hRde0AcffKD169dr//79lu2aCoqDg4NcXV2zjdPT01MNGzbM0Tzly5fXyy+/fE+xpKenW7aholoDRYWDtQMAAAAAAAAA7pZ5Gypb7q9hZjAYFBISIkk6ffq0vL29tXz5cj388MPWDSyfJCYmatOmTUpPT5efn5/+7//+Ty1btrxjUkOSKlasqG7dukn6t7dEUbV69WpFR0fLy8tLPXv2tHY4QIEgsQEAAAAAAACbZS/9NcyeffZZGQwG1apVS5s3b7a7pso39owoWbKkOnXqpCeeeELPPPOMSpYsmau5zNUJM2bM0JUrV/IyTJsyefJkSVKfPn1UrFgxK0cDFAwSGwAAAAAAALBJycnJCg8Pl2Q/iY3mzZvr0KFD2rVrl2rWrGntcPKMyWTS7t27NXHiRB0/ftxyvGnTpqpbt+5dVdt06NBB1apVU3x8vH777be8DNdmxMTEaOHChZLYhgpFC4kNAAAAAAAA2KTNmzcrJSVFFSpUkJ+fn7XDyTM1atTI1Iza1l24cEGzZs3SggULlJSUpM2bN+fJvA4ODho0aJCkf6sWipoff/xRqampatmyperXr2/tcIACY9XExieffKJmzZqpePHiKleunEJCQnTgwIFMY8z7I974GDx4cKYxJ06cUJcuXeTh4aFy5crpjTfeUGpqaqYxa9asUZMmTeTq6qqaNWtq+vTpWeKZNGmSqlatKjc3N7Vo0UJbt27N89cMAAAAAACAvHHjNlS23l/DHqWlpWnDhg367rvvFB0dLUdHR7Vp00ZPPPFEnt2jf//+cnZ21pYtWxQREZFn89qCtLQ0ff/995KU5fNSwN5ZNbGxdu1aDR06VJs3b9aqVatkNBrVsWNHJSUlZRo3cOBAxcTEWB7jxo2znEtLS1OXLl2UkpKiTZs2acaMGZo+fbref/99y5ijR4+qS5cuatOmjSIiIvTqq69qwIABWrFihWXM3LlzNXz4cI0aNUo7d+5Uw4YNFRwcrLNnz+b/GwEAAAAAAIBcs7f+Gvbk1KlTmjp1qsLCwpSamqpq1appyJAhat26tRwdHfPsPuXLl1f37t0lFb0m4itWrNCJEydUqlSpPE0WAbbAqomN5cuXq1+/fqpbt64aNmyo6dOn68SJE9qxY0emcR4eHvLx8bE8vLy8LOdWrlyp/fv3a+bMmWrUqJEeeeQRjRkzRpMmTVJKSoqkjFK0atWqafz48QoICNCwYcP0xBNPaMKECZZ5vvzySw0cOFD9+/dXnTp1NHnyZHl4eOjHH38smDcDAAAAAAAAOXblyhVt2bJFUsaOHyhczp8/rzNnzsjd3V0hISHq06ePvL298+Ve5mqFmTNn6vLly/lyj8LIvP1Wv3795O7ubuVogIJVqHpsxMfHS5JKly6d6fisWbNUpkwZ1atXTyNGjNCVK1cs58LDw1W/fn2VL1/eciw4OFgJCQnat2+fZUz79u0zzRkcHGxpLpWSkqIdO3ZkGuPg4KD27dtbxgAAAAAAAKDw2LRpk4xGoypVqqQaNWpYOxxImZIK9evXV4cOHTRs2DA1bNgwX7cKCwoKUq1atZSYmKhff/013+5TmJw8eVJLly6VJEufEaAocbJ2AGbp6el69dVX1apVK9WrV89yvFevXqpSpYoqVqyo3bt366233tKBAwc0f/58SVJsbGympIYky/PY2NjbjklISFBycrIuXryotLS0bMdERUVlG++1a9d07do1y/OEhARJktFolNFovJu3AHdgfl95f2FvWNuwR6xr2DvWOOwVaxv2iHWdjcuXpe3bpfvvl4oXt3Y0d+3PP/+UJD388MNZeq3aE1tYwwkJCVq5cqVOnTqlQYMGWaoHmjVrJqlgYh8wYIDefPNNfffdd+rXr5/d91yZMmWK0tPT9fDDD6tGjRqFen1kxxbWNQpebtZDoUlsDB06VHv37tWGDRsyHb8x41i/fn1VqFBB7dq1U3R0tFWz8Z988ok++OCDLMdXrlwpDw8PK0RUdKxatcraIQD5grUNe8S6hr1jjcNesbZhj1jX2Vi/3toR3JPQ0FBJUqlSpbRs2TLrBlMACuMaNplMOnfunGJiYpSeni4p4/dSokSJAo/Fx8dHzs7OioiI0Ndffy0/P78Cj6GgpKWl6bvvvpOUkTyy5fVfGNc1rOfGnZrupFAkNoYNG6YlS5Zo3bp1qlSp0m3HtmjRQpJ0+PBh1ahRQz4+Ptq6dWumMWfOnJGU8R8080/zsRvHeHl5yd3dXY6OjnJ0dMx2jHmOm40YMULDhw+3PE9ISJCvr686duyYqQcI8o7RaNSqVavUoUMHOTs7WzscIM+wtmGPWNewd6xx2CvWNuwR6/omCQnSwoXSpUtSyZJSSIhNVm0kJiYqOjpakvTSSy+pWrVqVo4o/xTWNXz+/HktWrRIMTExkqRKlSrpkUceUdmyZa0W0/LlyzV79mzt379fr7zyitXiyG8LFy7UhQsXVLZsWY0ePVouLi7WDinXCuu6hnWZd0XKCasmNkwmk1566SUtWLBAa9asydH/hCIiIiRJFSpUkCQFBgZq7NixOnv2rMqVKycpI9Pn5eWlOnXqWMbcnLlctWqVAgMDJUkuLi5q2rSpwsLCFBISIilja6ywsDANGzYs2zhcXV3l6uqa5bizszN/jPmM9xj2irUNe8S6hr1jjcNesbZhj1jX1x0+LJ0/L9WqJR08KB06JF3/Eqkt2bp1q1JTU1WlShXVqlXL2uEUiMK0hvft26dFixYpJSVFrq6uat++vZo2bWr17Z+GDBmi2bNna+7cuZowYYJVKkcKwrRp0yRJzz//vIoVK2blaO5NYVrXsL7crAWrNg8fOnSoZs6cqdmzZ6t48eKKjY1VbGyskpOTJUnR0dEaM2aMduzYoWPHjmnRokV67rnn1Lp1azVo0ECS1LFjR9WpU0d9+vTRrl27tGLFCr377rsaOnSoJfEwePBgHTlyRG+++aaioqL07bff6rffftNrr71miWX48OGaOnWqZsyYocjISA0ZMkRJSUnq379/wb8xAAAAAAAAeS0+Xtq7V/L2lhwcMn7u3ZtRxWFj/vrrL0lSmzZtrBxJ0WMymbR//36lpKSoatWqGjp0qO6//36rJzUkqVWrVqpbt66uXLmimTNnWjucfHH06FGtWLFCkjRw4EArRwNYj1UTG999953i4+MVFBSkChUqWB5z586VlFFJ8eeff6pjx47y9/fXf/7zH/Xo0UOLFy+2zOHo6KglS5bI0dFRgYGB6t27t5577jl9+OGHljHVqlXT0qVLtWrVKjVs2FDjx4/XDz/8oODgYMuYp59+Wl988YXef/99NWrUSBEREVq+fHmWhuIAAAAAAAA2KSpKunBBs/ft08e//aYkT0/pwgUpMtLakeXamjVrJElBQUFWjaMoMhgM6tatm9q3b68+ffqoeCHaysxgMGjw4MGSpMmTJ8tkMlk5orw3depUmUwmdezY0ar9hwFrs/pWVLfj6+urtWvX3nGeKlWq3LFJTlBQkP7+++/bjhk2bNgtt54CAAAAAACwWderNU45OKjPV18pPT1dP//1l3594QU13rtXCgiQbKRn6OXLl7V9+3ZJVGwUlOjoaEVGRqpLly4yGAxydXVVq1atrB1Wtnr37q0333xTe/fuVXh4uFq2bGntkPJMSkqKZRuqF1980crRANZl1YoNAAAA4P/Zu++wpg6vgePfsJE9BHEi7j3qHtXWPerWVgX3HhW1atVaraNq3XWPOnFbV61bf+5RFVEcKCi4GQKyZSR5/0DuK3XUAYRxPs+TJ5B7c+8JhCTcc885QgghhMgAr6o11l+7hkajAeDOkyfU+PVX5u3ejebmTR0H+OFOnz6NWq3GxcWFggUL6jqcbE2r1XLy5Ek8PDy4cuUK165d03VI/8na2prOnTsDyVUb2cmePXsIDg7GycmJb775RtfhCKFTktgQQgghhBBCCCGEyM5eVWtobW1Ze/w4ALN69qR19eokJCUxYt8+mvftS6Cvr44D/TAp8zWkDVX6io2NZdOmTUrbr0qVKlGmTBndBvWBUqoZtm3bRmhoqI6jSTspiZrevXvLwG2R40liQwghhBBCCCGEECI7e1Wtcf75c+4+eYKZiQkDmjZl17hxLB04EBMjIw7dvEmF6tX/s9V3ZpByoF3aUKWfJ0+esGLFCvz8/DAwMKB169a0atUqyxxMr1q1KpUqVSI+Pp7169frOpw0cffuXY4fP46enp4MDRcCSWwIIYQQQgghhBBCZF+vqjWws1OqNTrUqoW5qWnyoOVmzbgydy7l8+cnODycFi1a4O7uzsuXL3Uc+NtFRETg6ekJSMVGerl27RqrV68mIiICW1tbevfuTcWKFXUd1kdRqVRK1cby5cuzxRDxFStWANCsWTNpwSYEktgQQgghhBBCCCGEyL58fCAwkNiXL9ly6hQAPatUgZAQ5VLa1JSL48czrGZNABYsWED16tW5deuWLiN/q1OnTqHRaChatCj58+fXdTjZko2NDVqtlpIlS9K3b1/y5Mmj65A+SZcuXTA3N+fOnTucPHlS1+F8lpcvX7J27VoABgwYoNtghMgkJLEhhBBCCCGEEEIIkV1FR0OBAuy6fp2oly8pnDs3dUuVAgODVBeTXLmYP2AAf0+bRu7cubl+/TpffPEFy5Yty1Rnu0sbqvSRmJiofF2wYEH69OlDp06dMDEx0WFUn8fCwoKuXbsCWX+I+J9//kloaCgFChSgWbNmug5HiEzBQNcBCCGEEEIIIYQQQoh00qABAGtezRnoMWQIej16vHP15sD1Xr3o0aMHhw4dYuDAgRw6dIhVq1ZhZ2eXAQG/X8rgcElspJ2bN29y4MABunXrhoODAwB58+bVcVRpo3///ixfvpydO3cSHBysPL6sJiUx07dvX/T19XUcjRCZg1RsCCGEEEIIIYQQQmRjDx484Pir+RrdunX7z/Xz5MnD/v37mTdvHkZGRuzevZvy5csr29CVsLAwvLy8AJmvkRbUajUHDhxgx44dxMTEcOHCBV2HlOYqVapEtWrVSExMZPr06boO55PcvHmTM2fOoK+vT+/evXUdjhCZhiQ2hBBCCCGEEEIIIbKx9evXo9Vq+frrr3F2dv6g++jp6eHu7s6FCxcoUaIET58+pWHDhowdOzZV26KMdOrUKbRaLSVKlMDJyUknMWQXERERrF27ln/++QeAOnXq0LJlSx1HlT5++uknAObPn8+2bdt0HM3HW758OQCtWrXKNpU0QqQFSWwIIYQQQgghhBBCZFMajUYZOtzjPS2o3qVSpUpcuXKFfv36odVqmTFjBrVr18bPzy9tA/0AMl8jbdy7d48VK1bw+PFjTExM+O6772jQoAF6etnzMOE333zD6NGjAejVqxc3btzQcUQfLjY2lvWv2sjJ0HAhUsuer1hCCCGEEEIIIYQQgjNnznD//n0sLCxo167dJ23DzMyM5cuXs2PHDmxsbLh06RKVKlVi3bp1GTpYXOZrfL779+/j4eFBbGwsTk5O9OvXjxIlSug6rHT366+/0qhRI2JiYmjTpg3h4eG6DumDbN26lYiICFxcXGjYsKGuwxEiU5HEhhBCCCGEEEIIIUQ2tWbNGgA6deqEmZnZZ22rffv2XLt2jXr16hEdHU2PHj3o0qULL168SINI3+/58+dcv34dgHr16qX7/rIrZ2dnnJ2dqVy5Mr169cLGxkbXIWUIfX19Nm/ejLOzM/fu3cPV1RWNRqPrsP5TShuqfv36ZduKGiE+lfxFCCGEEEIIIYQQQmRD0dHRbN++HYCePXumyTYLFCjAsWPHmDZtGvr6+mzZsoWKFSty7ty5NNn+u5w6dQqA0qVL4+jomK77ym6Cg4NRq9VA8uyUrl278s0332BgYKDjyDKWnZ0dO3fuxMTEhP379zNp0iRdh/ReXl5eXLx4EUNDwzT7+xUiO5HEhhBCCCGEEEIIIUQ2tGPHDmJiYihWrBi1atVKs+3q6+szbtw4zp49i4uLCw8ePKBu3bpMmjSJhISENNvP66QN1ae5evUqK1as4NChQ8ptOS2h8bpKlSqxcuVKAKZMmcLu3bt1G9B7pFRrtGvXDgcHBx1HI0TmI4kNIYQQQgghhBBCiGzo9aHhKpUqzbdfvXp1rl69ipubGxqNhl9++YVKlSpx5syZNN+XJDY+TlJSEvv27WPv3r2o1WoiIiKUqo2cztXVlWHDhgHQrVs3fHx8dBzRm6KiovDw8ACgf//+Oo5GiMxJEhtCCCGEEEIIIYQQ2cz9+/c5efIkKpUKNze3dNuPpaUl69evZ8uWLTg4OHDr1i3q1q1L//7902xAc3BwMDdv3gRkvsaHiIyMZO3atVy5cgWA+vXr891336Gvr6/jyDKPWbNmUa9ePaKiomjbti2RkZG6DimVzZs3Ex0dTfHixalfv76uwxEiU5LEhhBCCCGEEEIIIUQ2s27dOgAaNWpEgQIF0n1/3377Lbdv36ZPnz4ArFixglKlSrF161a0Wu1nbfvkyZMAlCtXDnt7+8+ONTvz9/dn+fLlPHnyBBMTE7p06UK9evXSpWInKzM0NGTr1q3kz58fHx8funfvnmmGiWu1WpYtWwYkV2vI706It5PEhhBCCCGEEEIIIUQ2otFolMRGjx49Mmy/tra2rFy5kpMnT1KyZEmCgoL47rvvaNmyJQEBAZ+8XWlD9WHi4+PZvn07sbGx5MmTh379+lGsWDFdh5VpOTo68ueff2JkZMTu3buZPn26rkMC4PLly1y9ehVjY2O6d++u63CEyLQksSGEEEIIIYQQQgiRjZw4cYIHDx5gZWVFmzZtMnz/X375JV5eXkyaNAkjIyP2799PmTJlmDNnDklJSR+9vZTEhrTkeT9jY2Nat25NhQoV6NWrFzY2NroOKdOrVq0aS5YsAWDChAkcOHBAxxGhVGt06tQJOzs7HUcjROYliQ0hhBBCCCGEEEKIbGTNmjUAfPfdd5iamuokBmNjYyZOnMi1a9eoV68esbGx/PDDD1SrVo3Lly9/8HYCAwPx8fFBpVLJfI23eP78OQ8ePFC+L1GiBG3atMHQ0FCHUWUtvXv3ZsCAAWi1Wrp06YKfn5/OYnnx4gVbtmwBZGi4EP9FEhtCCCGEEEIIIYQQ2URkZCR//vknAD179tRxNFCyZEn+97//8ccff2BjY8PVq1epXr067u7uREVF/ef9T5w4AUCFChWwtbVN52izltu3b7Ny5Uq2bt3KixcvdB1OlrZgwQJq1qzJixcvaNu2LdHR0TqJw8PDg9jYWMqWLUutWrV0EoMQWYUkNoQQQgghhBBCCCGyiW3bthEXF0fJkiWpVq2arsMBQKVS0atXL3x8fOjatSsajYYFCxZQpkwZ9u7d+977ShuqN2k0Go4ePcq2bdtISEjAwcEBAwMDXYeVpRkZGbFjxw7y5MnDjRs36N2792cPvf9YMjRciI8jiQ0hhBBCCCGEEEKIbGLt2rVAcrVGZjsw6uDggIeHBwcPHqRw4cI8evSI1q1b0759e548efLmHSIj+d/ffwMyODxFTEwMHh4enD17FoAaNWrg5uaGubm5jiPL+vLmzcuOHTswMDBg27ZtzJkzJ0P3f+7cOW7evEmuXLlwc3PL0H0LkRVJYkMIIYQQQgghhBAiG7h79y5nz55FT08PV1dXXYfzTk2aNOHGjRuMGTMGfX19du7cSalSpViyZAkajUZZ78nJk/g+eYKenh5ffvmlDiPOHJ4+fcqKFSvw9/fH0NCQ9u3b06RJE/T19XUdWrZRu3ZtFixYAMCYMWM4evRouu8zPj6eZcuW0blzZyB5No6VlVW671eIrE4SG0IIIYQQQgghhBDZwLp16wBo2rQpefPm1XE075crVy5mzJiBp6cn1atXJyoqisGDB1O7dm28vb0hIoITr9pUVSpQAGs9OYTl5eVFZGQktra29OnTh7Jly+o6pGxp4MCB9OzZE41Gw3fffUdAQEC67Ofly5csXryYokWLMnDgQB49ekS+fPkYO3ZsuuxPiOxG3hWEEEIIIYQQQgghsji1Wq0kNnr06KHbYD5C+fLlOXv2LAsXLsTCwoILFy5QuXJlxn7/PQeuXAGgfqFCcPu2jiPVvUaNGlGzZk369u2Lg4ODrsPJtlQqFUuWLKFKlSqEhobSrl074uLi0mz7cXFxLFy4kCJFijBkyBAeP35M3rx5+f333/H19aVo0aJpti8hsjNJbAghhBBCCCGEEEJkcceOHePJkyfY2NjQqlUrXYfzUfT19RkyZAi3b9+mbdu2JCUlMWP9ejZevQrAVxUrwo0bEBmp20AzWEREBEeOHFGGWBsaGtK4cWNMTEx0HFn2Z2Jiwp9//om9vT1Xr16lf//+nz1MPDY2lvnz5+Pi4sL333/P06dPyZ8/P4sXL+bevXsMHToUU1PTNHoEQmR/ktgQQgghhBBCCCGEyOLWrFkDQJcuXTA2NtZxNJ8mX7587Ny5k92//Ua+VzMG9PX0qFuzJoSF5aiqjfv377NixQrOnTvH+fPndR1OjlSwYEG2bduGvr4+GzZsYNGiRZ+0nZiYGObMmYOLiwvDhw8nMDCQggULsmzZMvz8/Bg0aJAkq4T4BJLYEEIIIYQQQgghhMjCwsPD2bVrFwA9e/bUcTSfKSKC1ra23J42jUmdO7Nq6FAszczAzi5HVG2o1WqOHz+Oh4cHsbGxODk5Ubp0aV2HlWN99dVXzJo1C4Dhw4dz6tSpD75vdHQ0v/32G4ULF+aHH34gKCgIZ2dnVqxYga+vL/3798+ySUghMgMDXQcghBBCCCGEEEIIIT7d1q1biY+Pp2zZslSuXFnX4XweHx8IC8OiRAkmdu78/7fb28OdO8lVG9Wr6y6+dBQaGsrOnTt5+vQpABUrVqR58+Y6jkq4u7tz+fJlNm3aRMeOHbly5Qr58+d/5/pRUVEsWrSIOXPmEBoaCoCLiwvjx4/Hzc0NQ0PDjApdiGxNEhtCCCGEEEIIIYQQWVhKG6qePXuiUql0HM1niIhIrsqws4N/Pw6V6v+rNkqVAktL3cSYTm7dusXu3btJTEzExMSEli1bUqZMGQASExN1HF3OplKpWLlyJTdv3uTatWu0b9+eU6dOvVFtERERwaJFi5g7dy5hYWEAFC1alJ9++okuXbpIQkOINCatqIQQQgghhBBCCCGyqFu3bvHPP/+gr69P165ddR3O53lVrYG9/duX29tn21kbdnZ2aDQaChcuzMCBA5WkhsgccuXKxc6dO7GxseGff/5hyJAhyrIXL14wefJknJ2d+emnnwgLC6N48eJs2LCB27dv0717d0lqCJEOpGJDCCGEEEIIIYQQIotau3YtAC1atMDR0VG3wXyO91VrpMhmVRvh4eHY2NgA4OjoSK9evXBycsraVTfZmIuLC1u2bKFZs2asWrWKkiVLEhkZyYIFC4iIiACgZMmSTJgwgW+//RZ9fX0dRyxE9iaJDSGEEEIIIYQQQogsKCkpiQ0bNgDQo0cP3QbzuXx8IDAQ8uSBkJB3r6fVJq+XhWdtJCYmcvjwYTw9Penduzd58+YFUK5F5tW4cWOmTZvG2LFj+eGHH5Tby5Qpw4QJE+jQoYMkNITIIJLYEEIIIYQQQgghhMiCDh06RGBgIPb29rRo0ULX4Xye6GgoUODD1i1QIHn9LOjp06fs3LlTGSodEBAgCY0sZsyYMVy9epVt27ZRrlw5fv75Z9q1a4eennT8FyIjSWJDCCGEEEIIIYQQIgtKaUPVtWtXjIyMdBvM52rQQNcRpCuNRsPZs2c5ceIEGo0GCwsLWrduTZEiRXQdmvhIKpWKzZs3M3HiREqWLCkJDSF0RBIbQgghhBBCCCGEEFlMaGgoe/fuBaBnz546jka8z4sXL9i1axcPHz4EoFSpUrRs2ZJcuXLpODLxqfT09ChdurSuwxAiR5PEhhBCCCGEEEIIIUQWs3nzZhISEqhYsSIVKlTQdTjiPe7cucPDhw8xMjKiWbNmVKhQQQaECyHEZ5LEhhBCCCGEEEIIIUQWs2bNGkCqNbKCatWqERkZSZUqVbCxsdF1OEIIkS1IEzghhBBCCCGEEEKILOT69et4enpiaGhIly5ddB2O+Bd/f3/WrVtHQkICkDyToVGjRpLUEEKINCQVG0IIIYQQQgghhBBZSMrQ8G+++QZ7e3vdBiMUSUlJHD9+nPPnzwNw+vRpGmTzoehCCKErktgQQgghhBBCCCGEyCISExPx8PAAoEePHroNRiiCg4PZuXMnQUFBAFSuXJm6devqOCohhMi+JLEhhBBCCCGEEEJERsLFi1C9Olha6joaId5p//79hISE4OjoSNOmTXUdTo6n1Wr5559/OHLkCGq1mly5ctGqVStKlCih69CEECJbk8SGEEIIIYQQQghx+zZ4eiYnNapX13U0QrxTShsqV1dXDA0NdRuM4Pz58xw5cgSAokWL0rp1a8zNzXUclRBCZH+S2BBCCCGEEEIIkbNFRMCNG6Cvn3xdqpRUbYhMKTg4mH379gHShiqzKFOmDFeuXKFy5crUqlULlUql65CEECJHkMSGEEIIIYQQQoiczccHwsKgeHG4eze5ekOqNkQmtGnTJpKSkqhSpQply5bVdTgCsLKyYsCAAVI9I4QQGUxP1wEIIYQQQgghhBA6k1KtYWcHenrJ1zduJM/cECIT0Wq1rFmzBoCePXvqOJqc7dq1a9y6dUv5XpIaQgiR8SSxIYQQQgghhBAia4mMhCNHPjv5EBERweF16/hl61a6rlvH3osXwd4+uXrj9u00ClaItOHl5cX169cxMjLiu+++03U4OdatW7fYs2cPO3bs4PHjx7oORwghcixpRSWEEEIIIYQQImv5hEHfWq0WX19fzp07x/nz5zl37hw3b95Eq9Uq62w6dYpprq6MrV8flczaEJlMSrVGmzZtsLW11XE0OZOvry9//vknWq2WihUrki9fPl2HJIQQOZYkNoQQQgghhBBCZB0fOOg7JiaGS5cuKYmM8+fPExoa+sZ6hW1tqVWuHPp6eqz/3/8Y7+GB79OnLG/YECOZtSEyg8hI4k+fZqOHByBDw3UlICCAbdu2odFoKFOmDN98840MChdCCB2SxIYQQgghhBBCiKzjLYO+tdWq8eDBg1TVGNeuXUOtVqe6q7GxMVWqVKFWrVrULF+emsHB5LG2hty5AahRogRDV6xg7fHj+D95ws5cubCVqg2ha7dvs2/zZsLCw8mbNy+NGzfWdUQ5zuPHj9m8eTNJSUkUL16ctm3boqcn3d2FEEKXJLEhhBBCCCGEECJreFWt8dLSEs87dzh3+TLnt2zh3JMnBAYFvbF6vnz5qFWrVnIio2ZNKlWqhJGRUfLCixfh2bPkmRqvDGzenMKOjnT67TdO3rlDzalT+TtfPop26JBRj1CI1F4959d4egLg1qkT+vr6Og4qZ3nx4gUbN24kISGBwoUL07FjR/kdCCFEJiCJDSGEEEIIIYQQmV5iYiKH//gDj/Xr2XP7NnEJCamWGxgYUKlSJSWJUatWLQoUKPD2jaW0s7Kzg3+1kmn6xRecnTmTllOmcDckhBo9e7LbwoI6TZqk10MT4t18fHgWEMDBO3cA6FGjho4DynmsrKwoV64cz54947vvvsPAQA6lCSFEZiCvxkIIIYQQQgghMiWtVsulS5fw8PBgy+bNhDx/rixzsLKiZsmS1CpQgJouLlQZMQJTR8cP27CPDwQGQp48EBLyxuJyZmZcHDuWVr//zqWAABp88w2r16yha9euafXQhPhvrxJwHnfuoNZoqOHiQsnoaIiMlPZoGUilUtGsWTOSkpIwNDTUdThCCCFekcSGEEIIIYQQQohM5d69e2zcuBEPDw98fX2V2x3Mzfmufn1cv/qKKkWLJg/u1Wrhzh0ICIAPTWxER8O7qjleyWNnx4lx4+i2YgV/Xr6Mq6srvr6+TJw4UQYGi4zh40NCcDArz54FoGfTpsnzZWSofbqLiori7NmzNGrUCH19fVQqlSQ1hBAik5HEhhBCCCGEEEIInXv+/Dnbtm3Dw8OD8+fPK7ebmprStmVLXPPmpVGZMhjkyZP6jipVckupGzfgQwd9N2jwQTHlArb17s24ceOYOXMmv/zyC35+fvzxxx8YGxt/xKMT4iO9qtb47Z9/8H36lNxWVnxbty7Exn7cc118tNjYWDZs2EBISAhJSUm0bNlS1yEJIYR4Cz1dByCEEEIIIYQQImeKi4tj27ZttGrVCicnJwYPHsz58+fR09OjcePGrF+/nqCgIDaOHEmzfPkweFdFhr39/5/Jnsb09PSYMWMGK1euxMDAgI0bN9KwYUOev9YWS4g05+PDHR8fpuzbB8D8Pn2wMjNL1+e6gJcvX+Lh4UFISAgWFhbUqVNH1yEJIYR4B6nYEEIIIYQQQgiRYdRqNSdPnsTDw4MdO3YQFRWlLKtcuTKurq589913ODk5Jd/4nkHfik+p2vhIffr0oXDhwrRv354zZ85Qo0YN/v77b0qUKJHm+xI5XEQEmuvX6bd3LwlJSTStXJnOX36ZvCwDnus5VUJCAps2beLZs2fkypWLbt26YW1treuwhBBCvIMkNoQQQgghhBBCpDtvb282bNjApk2bePLkiXJ7wYIFcXV1pWvXrpQuXfrNO/7HoG+FVpu8XjrOH2jQoAHnz5+nRYsW3Lt3j5o1a7Jz507q16+fLvsTOZSPD6sPHeLU3bvkMjZm6cCBqee62Nsnz5WRWRtpJikpia1bt/Lo0SNMTExwc3PD3t5e12EJIYR4D0lsCCGEEEIIIYRIFxqNhiVLlrBy5UquX7+u3G5tbU2nTp1wdXWldu3a6Om9p0vyBwz6VhQokLx+OipVqhQXLlygTZs2nD9/nsaNG7NixQp69OiRrvsVOUREBIFnzzLqwAEApnTtivO/W7BJ1Uaa27NnD/fv38fQ0JCuXbuS59+zfIQQQmQ6ktgQQgghhBBCCJEupk2bxs8//wyAkZERLVq0wNXVlRYtWnz48O0PHPSdkRwcHDh+/Dg9e/Zky5Yt9OzZE19fX6ZMmfL+JI0Q/8XHh+/XrOFFbCxfFCrE9zVqvL1SKQMqlHKSL774gvv379OhQwfy58+v63CEEEJ8AElsCCGEEEIIIYRIc8ePH2fSpEkATJ48mcGDB2Nra6vboNKQiYkJGzdupGjRokydOpVff/0VPz8/1q5di6mpqa7DE1nUX0eOsP3GDfT19FjZuzcG70sAZkCFUk7h7OzMsGHDMDIy0nUoQgghPpAkNoQQQgghhBBCpKlnz57RpUsXNBoNvXr1YsKECboOKV3o6ekxZcoUihYtSt++fdm2bRsPHz5kz549ODg46Do8kcVERUUxaPlyAEaMHEmlbPp3kxlotVpOnTpFqVKllL9VSWoIIUTWIjWyQgghhBBCCCHSTFJSEl26dCEoKIhy5cqxcOFCXYeU7rp3786RI0ewsbHhwoULVK9enVu3buk6LJHFjB8/nsePH+Pi4qJUO4n0ceLECU6cOMG6deuIi4vTdThCCCE+gSQ2hBBCCCGEEEKkmV9++YUTJ05gbm7O9u3byZUrl65DyhD16tXjwoULFC1alICAAGrWrMmRI0d0HZbIIi5evMiiRYsAWLZsWY75u9GFs2fPcurUKSD571ZaxwkhRNYkiQ0hhBBCZE+RkXDkSPK1EEKIDHHw4EGmTp0KwMqVKylRooSOI8pYxYsX5/z589StW5fIyEiaNWvGnj17dB2WyOQSExPp27cvWq0WNzc3GjVqpOuQsiWtVsvRo0c5evQoAA0aNKBatWo6jkoIIcSnksSGEEIIIbKn27fB0zP5WgghRLp7/Pgxrq6uAAwcOJDvvvtOxxHphr29PUeOHKFz586o1Wp++eUXXYckMrlZs2bh7e2Nvb09c+fO1XU42VJiYiI7duzg7NmzANSvX586deroOCohhBCfQxIbQgghsj85cz/niYiAGzdAXz/5Wn73QgiRrhITE/nuu+8IDQ2lcuXKOf7grLGxMQsXLsTQ0JCrV69y8+ZNXYckMqm7d+8yefJkAObNm4e9vb2OI8qeTp8+za1bt9DT06NNmzbUq1dP1yEJIYT4TJLYEEIIkf3Jmfs5j48PhIVBsWLJ1/K7F0KIdDV+/HjOnj2LpaUl27Ztw8TERNch6ZydnR3NmzcHwMPDQ8fRiMxIq9XSv39/4uPjadSoEV27dtV1SNlW3bp1KVq0KN26daNChQq6DkcIIUQakMSGEEKI7C2Hn7mfkJDAy5cvdR1Gxnr1O48xNydJqwU7uxz5uxdCiIzy119/MWvWLADWrFlDkSJFdBxR5uHm5gbAxo0b0Wg0Oo5GZDZr1qzhxIkTmJqasmzZMlQqla5DylaCgoLQarUAGBoa0rVrVwoVKqTjqIQQQqQVSWwIIYTI3nLwmfuBgYGUL18eBwcHNmzYoOtwMo6PD9dv3qTgmDEU6t2bXb6+Oe53L4QQGSUgIIDu3bsD4O7uTrt27XQcUebSokULrKysePToESdPntR1OCITCQoK4ocffgBg8uTJuLi46Dii7OXKlSssX76cU6dO6ToUIYQQ6UQSG0IIIbKv187c9w0MzFFn7kdGRtK8eXPu3LlDVFQU3bp1w9XVlYiICF2Hlr4iIgg5f55W69cTFhXF07Aw2s2YQZtNm3h06lSO+N0LIURGSUhIoFOnToSHh1OtWjVmzpyp65AyHRMTEzp16gSQs04yEP/J3d2d8PBwKlWqhLu7u67DyTa0Wi1Hjhxh3759aLVawsLClKoNIYQQ2YskNoQQQmRfr6o1vluzhuIDBrD19u0cceZ+QkIC7du35+rVqzg4ODB69Gj09fXZuHEjlSpV4vz587oOMd0k3rhBx4ULeRAaSpE8eRjTvj0G+vrs8fKi9E8/8fukSajVal2HKYQQ2cKoUaO4dOkSNjY2bNu2DSMjI12HlCmltKPasWMHcXFxOo5GZAb79+9ny5Yt6OnpsXLlSgwMDHQdUraQmJjI9u3bOXfuHAD169enTZs20uJLCCGyKUlsCCGEyJ5eVWt4x8Wx79IlAAYuW8ZTPb1sXbWh0Wjo2bMnR48exczMjL///puZM2dy+vRpnJ2d8ff3p27dukydOjX7HeCPiGDYTz9x8v59LExN2fvTT8zo3p2r8+dTq2RJohMSGDZvHjWrVcPLy0vX0QohcprISDhyJNu8//z555/8/vvvAKxfv1761r9H7dq1cXZ2Jioqir179+o6HKFj0dHRDBw4EIDhw4fzxRdf6Dii7CE6Opq1a9dy+/Zt9PX1adeuHfXq1ZOkhhBCZGOS2BBCCJE9varWmH/6tHJTeHQ0fTZvRhsamm2rNsaMGcOmTZswMDDgzz//pEqVKgDUrFkTLy8vunTpglqtZsKECXz11Vc8fPhQxxGnnWW//srSEydQqVRsHDmS0gULAlC2UCFOz5jB0gEDsDQx4ZKnJ1WqVGHUqFHExMToOGohRI5x+zZ4emaL9x8/Pz969eoFJL/vtGzZUscRZW56enp07doVkHZUAiZMmMDDhw9xdnbml19++bSNSOVPKmq1mjVr1vD06VNMTU3p1q0b5cqV03VYQggh0pkkNoQQQmQ/r6o1gg0N2fhqUOfKIUMwNjTkwJUr/HHrVras2pg7dy6zZ88GYPXq1TRp0iTVcisrKzZu3MiGDRswNzfn9OnTVKhQgR07dugi3DR18u+/GTpnDgDTXF35plq1VMv19PQY0Lw5PtOm0bFKFdRqNbNnz6Zs2bIcPHhQFyELIXKSV+9L6Ot/9vtPdHQ0169fZ9euXcybN48DBw5kaP/4ly9f0rFjRyIjI6lTpw5Tp07NsH1nZSntqA4ePEhwcLCOoxG6cunSJaXSadmyZZiZmX38Rk6dSp4b99rJOzmdvr4+devWxc7Ojj59+lDw1cktQgghsjdJbAghhMh+XlVrLL90ifjERKoWK0bvRo2Y5uoKwPCtW/H388sWZ82m2Lx5MyNHjgRg5syZygGUt3F1dcXLy4tq1arx4sULOnbsSJ8+fbJs9UJAQAAdXF1JUqv5rlo1fqxXD0JC3npxsrJiW5s2/DV7NgULFiQgIIBmzZrRuXNngoKCdP1QhBDZ1av3JYoV+89ZT1qtlqdPn3L69GnWrVvHzz//jKurKzVr1sTR0RELCwsqVKhAu3btGDFiBM2bN6devXpcetV2Mb0NHz4cLy8v7O3t2bJli8wG+EAlSpSgatWqqNVqtm7dqutwhA4kJibSp08fNBoNXbt2feMElA82fnxyxcb48WkbYBb08uVL5euKFSsyYMAAbG1tdRiREEKIjCSJDSGEENnLq7Ni4y0tWXLgAADurVqhUqlwb9WKuqVLE/3yJT137UJz/Xq2qNo4duwY3bt3B2DYsGGMGjXqP+9TpEgRzpw5w7hx41CpVPzxxx9UrlwZT0/P9A43TUVHR9O6dWuev3hB5UKF+KNPH1SGhmBg8PaLoSEUKEDLihW5efMmw4cPR09Pjy1btlCyZElWrVqFRqPR9cMSQmQnKdUadnagpwd2dry8ehWfy5f5+++/WbhwIe7u7rRq1YoyZcpgZmZGvnz5+PLLL+nRowdTpkxh48aNXLhwQTnT39bWlqpVq9K6dWtMTU05ffo01apVo2vXrjx48CDdHsqmTZtYtmxZcsu/jRvJly9fuu0rO0o56UDaUeVMc+fO5fr169ja2jJ37txP28iJE3DmTPLXp08nf58DaTQaDh8+zPLly1OdmCOJViGEyFnkVV8IIUT24uMDgYFs8/cnMDycvNbWdCheHEJC0AfWdutG+YkTOXnnDr/v3o17+fJQvbquo/5kXl5etG3blsTERDp16sTcuXM/eEiioaEh06ZNo1GjRri6unL37l1q1KjBr7/+yogRI9DTy9znP2g0Gnr06MH169dxcHBg9+nT5CpQ4IPvb07yQYauXbvSr18/PD096du3L+vXr2f58uWUKlUq/YIXQuQcr6o1Znh7c8DTk/uBgTwJC3tv+yg9PT0KFSqEi4sLRYoUSXXt4uKCtbW1su7jx48ZP348GzZsYNOmTfz555+4u7szduxYrKys0vBh+NCvXz8AfvrpJxo3bpxm284pvv32W4YPH86lS5e4c+cOJUqU0HVIIoP4+fkxadIkIPmzh4ODw6dtaMKE5JZ2anXy9c8/J7emykESEhLYtWsXPj4+APj6+lKxYkXdBiWEEEInMvcRCyGEEOJjRUejzZ+feUePAjC4YUOMTEyUM/ZdnJyY07kzAGOPHMHn1i1dRvtZ/P39adasGVFRUdSvX5/169d/UjKifv36XLt2TUmQjBo1iqZNm/Ls2bN0iDrtTJ06lT///BNDQ0N27txJgY9Iarzuiy++4OLFi8ydOxczMzNl9sjEiRNTtTgQQoiP9qpa43RoKGM3bODUzZs8Dg1Fq9VibmxMhXLlaNeuHT/88ANLly7l0KFD+Pn58fLlS+7fv8/Ro0dZvnw5Y8aMoUOHDlSuXDlVUgMgf/78rFu3jsuXL/PVV18RHx/PzJkzKVq0KEuWLCExMfGzH0ZsbCwdO3YkJiaGr776iokTJ372NnMiBwcHmjZtCkjVRk6i1WoZMGAAL1++pEGDBnTr1u3TNpRSraFWJ3+vVue4qo2oqCjWrl2Lj48P+vr6tGvXTpIaQgiRg0liQwghRPbSoAFnXFy4+uABJiYm9Fu6FLp1S3Xp92qw9svERLotXUpSUpKuo/5oz58/p0mTJgQGBlK+fHl2796NsbHxJ2/Pzs6OP//8k+XLl2NqasqRI0coX748+/btS8Oo086uXbuUA2tLly6ldu3an7U9AwMDhg8fzs2bN2nZsiWJiYlMnjyZChUqcCIHHTAQQqSxV9Ua018l29vXqsWFWbMIXr+eyMmT8Vq5kj///JNZs2YxYMAAGjduTJEiRTA0NPzoXVWuXJljx46xd+9eSpQowfPnzxk8eDDly5fnr7/++qwB40OGDOHGjRvkyZOHTZs2oa+v/8nbyulS2lFt3LhRWh/mEOvXr+fYsWOYmJgordw+SUq1xutSqjZygKCgIFatWsWzZ8/IlSsX3bp1o1y5croOSwghhA5JYkMIIUS2M3/+fCD54IG9vf0by1NmSlhbW3Pp0iVmzJiRwRF+npiYGFq2bImvry+FChXiwIEDadJuRKVS0a9fP65cuUKFChV4/vw533zzDUOHDiUuLi4NIk8b3t7eyoGh77//nt69e6fZtgsVKsTevXvZvn07efLk4e7du3z11Vf06tWL0NDQNNuPECIHeFWt4RUTw4ErV9DT02Nm9+5UL1GC3NbWqOztk2dvpOGsJ5VKxTfffIO3tzeLFy/G3t4eHx8fWrVqRYMGDT5pjtLatWtZs2YNenp6bN68mTx58qRZvDlRq1atsLCwICAggLNnz+o6HJHOgoODGTFiBACTJk2iaNGin7ahf1drpMghVRsPHz5k9erVREZGYmdnR+/evSlYsKCuwxJCCKFjktgQQgiRrfj7+7N7924geZD2u+TLl49FixYB8Msvv3D16tWMCO+zpczSuHjxIra2thw8eJC8efOm6T5KlSrFhQsXcHd3B2DRokVUq1aNGzdupOl+PsXz589p1aoVMTExNGjQgDlz5qT5PlQqFR06dOD27dsMGDAAgDVr1lCqVCk2btz4WWc9CyFykJTZGseOAdCpdm2KODn9/3J7ewgLg9u303zXhoaGDBo0CD8/P3788UeMjY353//+R5UqVejevTuPHz/+oO3cuHGDQYMGATB58mTq16+f5rHmNKampnTo0AGQdlQ5wfDhwwkLC6NChQpKguOTvK1aI0U2rdpITExUPnPlzp0bCwsLnJ2d6d27N7a2tjqOTgghRGag08TG9OnTqVq1KhYWFjg4ONCmTRvu3LmTap2XL18yePBg7OzsMDc3p3379gQFBaVa5+HDh7Ro0YJcuXLh4ODAqFGj3mgrcuLECSpXroyxsTFFixZl7dq1b8SzePFinJ2dMTExoXr16vzzzz9p/piFEEKkr0WLFqHRaGjcuDFlypR577pdunShffv2JCUl0a1bN+Lj4zMoyk+T0qN5//79mJqasm/fPkqWLJku+zIxMWHevHns378fBwcHbty4QZUqVVi8eLHODuwnJibSsWNHAgICcHFxYevWrRgYGKTb/qytrVm6dClnz56lTJkyhISE4OrqSufOnVH/+4xJIYR43atqDb+kJLafOwfAj68OZitUKrCzS/OqjddZWVkxffp07ty5Q5cuXdBqtaxfv57ixYszYcIEoqKi3nnf6OhoOnbsSFxcHE2aNGHs2LHpEmNOlFJ1uG3bNpnllI0dPHiQTZs2oaenx8qVKz+pxRzw7mqNFFm8akOr1RIVFYWvry9nzpxhx44dLF68mOnTpxMeHg4kJwS7deuGq6srpqamOo5YCCFEZqHTxMbJkycZPHgwFy5c4MiRIyQmJtK4cWNiYmKUdYYPH85ff/3F9u3bOXnyJE+fPqVdu3bKcrVaTYsWLUhISODcuXOsW7eOtWvX8vNrZyz4+/vTokULvvrqK7y8vHB3d6dPnz4cOnRIWWfr1q2MGDGCiRMn4unpSYUKFWjSpAnBwcEZ88MQQgjx2aKioli1ahWAUm3wPiqViqVLlyoH7jP7MNSff/6Z1atXo6enx9atW6lZs2a677NZs2Zcv36dpk2bEh8fz5AhQ2jVqhUhISHpvu9/c3d358SJE5ibm7N3717s7OwyZL+1atXC09OTadOmYWRkxNatWxk3blyG7FsIkUX5+EBgIL8dPIhGo6FF+fJUMDeHkJDUF60WAgPTpWrjdYUKFWLjxo1cvHiROnXqEBcXx9SpUylWrBgrVqx446QwrVbLoEGD8PHxIV++fHh4eKCnJ8X+HysmJoZ79+6lus3Pzw8bGxvq169PoUKF8PDwwMvLCy8vL7y9vVOt6+vri6enJ56enly5ciXV5d+Vpo8ePcLHx4e7d+/i5+fH/fv3CQgI4OHDhzx69CjVSQmRkZGEhoYSHh5OREQEUVFRxMbGpjpDXnyemJgYBg4cCCS3zaxateqnb+x91RopskjVhlqtTnVyyNWrV5k9ezZz585l06ZNHDt2jJs3b/L8+XO0Wm2q4zGWlpYy30cIIUQq6Xea4wc4ePBgqu/Xrl2Lg4MDV65c4csvvyQiIoI//viDTZs28fXXXwP/3wriwoUL1KhRg8OHD3Pr1i2OHj2Ko6MjFStWZMqUKYwZM4ZJkyZhZGTEsmXLKFy4sNKuolSpUpw5c4Z58+bRpEkTAObOnUvfvn3p2bMnAMuWLePvv/9m9erV/Pjjjxn4UxFCCPGp1q5dS2RkJCVKlFBe3/9L7ty5WbFiBW3atGHWrFm0atWKWrVqpXOkH2/p0qVMnToVgOXLl/PNN99k2L4dHR35+++/WbhwIaNHj2bfvn2UKlWKUaNGMXjwYMzNzdM9hhUrVrBkyRJUKhUbN278z2qctGZkZMS4ceNwdnama9eu/Pbbb5QqVYoePXpkaBxCiCwiOponZmase1WtMfabb+BdFWYFCkB0dIaEVa1aNU6dOsXu3bsZPXo0fn5+9O/fn99//53Zs2fTtGlTAA4fPsyWLVvQ19dn69atb51XJd6k0Wh4+vQpvr6++Pn58fTpU6ysrFKdbPG///2Pp0+fKm29njx5wpMnTwDIlStXqmHIZ8+e5cGDB2/dl4GBAZUqVVK+P336NL6+vu+M7fUT/w4fPszNmzffup5KpWLUqFHKWfGnT5/m/v37GBkZYWRkhKGhIUZGRhgbG2NkZETVqlUxMjICIDQ0lNjYWGVdU1NTTExM3vMTy75+/vlnAgICKFiwIFOmTPn0DaVUa/yX16s2MknLuNjYWAIDAwkKCiIoKIjAwEBCQkLo3LmzMmvEyMiI2NhYVCoVdnZ25MmTB0dHR+U6Iz5jCiGEyLp0mtj4t4iICAClX+KVK1dITEykYcOGyjolS5akYMGCnD9/nho1anD+/HnKlSuHo6Ojsk6TJk0YOHAgN2/epFKlSpw/fz7VNlLWSfmAmZCQwJUrV1KVV+vp6dGwYUPOnz+fXg9XCCFEGtJoNCxYsABInq3xMWeWtm7dmu7du7Nu3Tq6devGtWvXMDMzS69QP9rOnTsZPHgwkDwPpE+fPhkeg56eHsOGDaN+/fp07dqVmzdv8uOPPzJ79mxGjx7NoEGD0u1ndurUKeXxT5kyhVatWqXLfj5Ely5duH37NlOnTqVfv34ULVqUOnXq6CweIUQm1aABc/fvJyEpibp161L7VWI6M1CpVLRt25YWLVqwbNkyfvnlF27evEmzZs1o3Lgxrq6uSvXjjBkzqF27to4jzvzu3LnDzZs38fPzIy4uLtWyf1cX5suXDxMTE2JiYjh79iwqlYqvvvpKSRa8rkCBAhgbG6NSqZTbVCoVWq32jVaMdnZ2xMXFodFo3rhotdpU2zAwMMDY2PiNdSC5WiclUQEQEhJCQEDAOx975cqVla/Pnz/PlStXUi23t7fH2dkZZ2dnihUrlmrb2dWVK1eYP38+kHxiymcdnE+p1viQFpgpVRunTn36/j5BQkICWq1Wef7eu3ePPXv2vLPVXXBwsJLYcHFxoW/fvuTOnfvTW3UJIYTIsTJNYkOj0eDu7k7t2rUpW7YsAIGBgRgZGWFtbZ1qXUdHRwIDA5V1Xk9qpCxPWfa+dSIjI4mLiyM8PBy1Wv3WdXx8fN4ab3x8fKpe7JGv+uImJiaSmJj4MQ9dfKCUn6v8fEV2I8/ttPHXX39x7949rK2t6dy580f/PGfPns3x48e5d+8eo0aNUpIkunbmzBmlL3rfvn358ccfdfpcKV26NJcuXWLz5s38+uuv3Lt3j9GjRzN79mxGjhxJ//79yZUrV5o9rx88eKDMQenYsSOjRo3S+d/KTz/9xK1bt9i5cydt27bl7NmzFC5cWKcxiYwnr93ifUJDQ1m+fDlApnjdehuVSsXAgQP57rvvmDFjBosXL+bw4cMcPnwYgObNm/P9999nyth1SavV8uzZM5ycnJRkwe3bt5U2UsbGxhQuXJgiRYpQpEgRzM3NU/0MGzVqpHy9fPlyvLy8qFq1KgMGDABSv6Z8+eWX743l9XVTOhx8yLotWrSgRYsWqZZrNBoSExNJSEhQkh0AVapUoUiRIiQkJCiXlPUSEhJQqVTKto2NjbG2tlaWJSUl8fz5c54/f87ly5f5/vvvlZ9ZWFgYpqamGTYvIaNes5OSkujTpw8ajYZOnTrRqFGjT9/nmTNw5Qp8TDLo8mX43/8gHU66iI2NJTQ0VPmdpnwdGRlJo0aNlHZbRkZGSlLD2toaBwcHHB0dcXR0xMHBASsrK+VnYmBgQO7cuQF5P/0v8rlDZEfyvBZv8zHPh0yT2Bg8eDA3btzgzIeUWWYC06dP55dffnnj9sOHD5MrVy4dRJRzHDlyRNchCJEu5Ln9eSZNmgTAV199xcmTJz9pG3369GHixIksXbqUPHnyUKFChTSM8OM9fPiQsWPHEh8fT7Vq1WjatCkHDhzQaUwp7Ozs+O233zhx4gTbtm0jKCiIMWPGMH36dNq1a0eTJk0wNjb+rOf1y5cv+fHHH3n+/DkuLi506NAh0zz+b7/9lmvXrnHv3j0aNWrEjBkz5P0/h5LXbvE2W7ZsISYmhsKFC6NWq9m/f7+uQ3qvevXqUaJECTZs2MDZs2dxdHSkc+fOmeY1V9eSkpKIiooiMjKSqKgokpKSKF68uPK6Hx0djYODA5aWlpiZmaFSqVK1mHqXypUr4+XlxeLFiylYsGBGPJQ0pa+vn2puJYCzs7PydVJSEtHR0URHR5OYmMip1yoJ/Pz8iI6OxtTUFHNzc+WS3jMU0vs1+6+//sLLywszMzOaN2/++X/7mzd//H0iI+ET96vVaklKSuLly5cYGBgoiaeYmJj3tjrz8vJS5q9pNBqKFi2Kqamp8vuMiooiKioKPz+/T4pL/D/53CGyI3lei9fFxsZ+8LqZIrExZMgQ9u3bx6lTp8ifP79ye548eUhISODFixepqjaCgoLIkyePss4///yTantBQUHKspTrlNteX8fS0lJ5s9XX13/rOinb+LexY8cyYsQI5fvIyEgKFChA48aNsbS0/MifgPgQiYmJHDlyhEaNGkmZqshW5Ln9+a5du4a3tzf6+vrMmjXrkw8ONG/enMDAQJYuXcrKlSvx9PR8o2owozx69IghQ4YQExNDzZo1OXjwYIad1fgxvvnmG2bMmMHGjRv59ddfCQgIYPXq1fz999+0bNmSmTNnftL7olarpXPnzgQEBODg4MDhw4cz3UGfatWqUatWLR4+fMiGDRvYuXPnRx2QSUpKIi4ujpcvX6Knp4eVldUbrUVE5iWv3eJdoqOj6dWrF5DcPu/fZ8ZnZr169eLu3bt4eXnRtm3bHP3cjoiIwNvbm3v37vH06dNUQ7WNjIwoXbo0pUuX/qx9VKpUibVr13Lnzh2KFy+utOfJ7rRaLatXryY6Opq4uDji4uIICQlBpVLh5OSULm0eM+I1+8mTJ7i6ugIwa9YsunTp8ukbi42FggXhU85iNjSER4/gPz43xsfH8+jRozcqMFI6U1SpUoXGjRsDySebzJ07F0tLS+zt7bG3t8fOzk75OjN+Rs1u5HOHyI7keS3eJqUr0ofQ6X/PWq2WoUOHsmvXLk6cOPFGG4cvvvgCQ0NDjh07Rvv27YHk/qUPHz6kZs2aANSsWZNp06YRHByMg4MDkJzps7S0VD5o1qxZ840zJY4cOaJsw8jIiC+++IJjx47Rpk0bIPksg2PHjjFkyJC3xm5sbPxGD1QAQ0ND+WNMZ/IzFtmVPLc/3ZIlSwBo3749RYoU+axtzZo1iyNHjuDn58eoUaNYu3ZtGkT4ccLDw/nmm294/PgxpUqVYt++fZk6aW5oaEjfvn3p0aMH69atY+rUqTx48IA//viD/fv38+OPP9KvX7+PGiA6ZcoUdu7ciaGhITt37vzs32t6cHZ2Zu/evdStW5cTJ04wYcIEhg0bRlxcHLGxscTFxVG5cmWln/jFixfx8vJSlv+7xLZfv344OTkByX3Kz507p3zeeH1Qq5GREbVr18bGxgZI7n8eHBycaj1jY2MsLS0/ataM+DTy2i3+be3atYSFhVG0aFG+++67dD8DPa0VL14cPz+/HPfcTmmdlFKFERMTk6rCwMHBgaJFi1KsWDEKFCiQJr/XggUL0qhRIw4dOsTWrVuV6tOcYMCAAURFRREQEIC/vz8BAQGEh4fz9OlTcuXKleq5d+7cOZycnMifP/9nPyfT83n9ww8/EB0dTY0aNejfv//nvQdbWYGfH7yaQ/rR933L58aUzyYpc19iY2PZtm3bG+upVCpsbGxS/R4MDQ0ZO3ZsjpiRktnltNdmkTPI81q87mOeCzpNbAwePJhNmzaxZ88eLCwslJkYVlZWmJqaYmVlRe/evRkxYgS2trZYWloydOhQatasSY0aNQBo3LgxpUuXxs3Njd9++43AwEB++uknBg8erCQeBgwYwKJFixg9ejS9evXi+PHjbNu2jb///luJZcSIEXTv3p0qVapQrVo15s+fT0xMDD179sz4H4wQQogPFhwczMaNGwFwd3f/7O2ZmZmxbt066taty7p162jbti2tW7f+7O1+qLi4OFq3bs2tW7fImzcvBw8exNbWNsP2/zkMDQ3p06cP3bp1448//mDixIk8e/aMYcOGMXPmTMaOHUufPn3+M8Gxa9cufv75ZyA5aZUZBtfGxMQQEBBAQEAADRo0UB5DeHg4P/74o7LeH3/8kep+RYsWxd7eHkg+gJDyWSeFSqXCxMQEjUaT6oSJ2NhYpX3H21SuXFlJbNy5c4djx469sY6pqSlFihShbt26yskfQoj0FR8fz5w5cwAYM2ZMlktq5DRqtZr79+/j7e2Nj48PlSpVolmzZgDkz5+fsmXL4uzsTNGiRbGyskqXGNzc3Dh06BAeHh5MnDgx1ZDv7M7CwoJy5cpRrlw5ILlKxt/fHzMzM2WdyMhIpUWJvr4++fPnVy758uXDwsJCJ7H/299//82ff/6Jvr4+y5YtS5sTC3LnTr58opcvX/LgwQMlcRQUFESxYsWUShIrKyuKFi2KsbEx9vb25M6dW6nEeFsFqSQ1hBBCZDY6TWwsXboUgPr166e6fc2aNfTo0QOAefPmoaenR/v27YmPj6dJkybKmbmQ/OFm3759DBw4kJo1a2JmZkb37t2ZPHmysk7hwoX5+++/GT58OAsWLCB//vysWrWKJk2aKOt8++23hISE8PPPPxMYGEjFihU5ePDgGwPFhRBCZC7Lli0jISGBatWqKUnvz1WrVi1GjRrFzJkz6devH7Vq1VIGG6YntVpN165dOX36NFZWVhw8eDDTtV/6EEZGRvTp04fcuXMTFBTEjBkzePz4MUOHDmXGjBmMGzeO3r17v7Xy0dvbGzc3NwCGDh1Knz59Mjp8IPXBAH9/f4KDg5Vl1atXVxIbr//jHx8fT1xcHPnz58fBwSFVb2mAcuXKkT9/fnLlyqUMTDUxMXnrQawaNWpQunRp4uPjSUhIeOP69QNsFhYWFCpUKNU6L1++JC4ujhs3blC3bl1l3adPnxIfH0/BggXlgKsQ6cDDw4MnT56QN29e5bVMZC5arZbHjx/j7e3NzZs3U/VxfvbsmfK1vr6+0jUgPbVp0wYzMzPu3bvHhQsXlK4COZGVlRUVK1ZMdVtSUhLlypXD39+f6OhoHjx4wIMHD5TldevWVQanq9VqNBpNhp/1Gxsbq3R6cHd31/mMtv/973/4+fnx7NmzVC3UIPnzjVarVT57dO3aVRchCiGEEGlC562o/ouJiQmLFy9m8eLF71ynUKFC/zmUq379+ly9evW96wwZMuSdraeEEEJkPvHx8Uqy293dPU3Pcvzll1/4+++/uXHjBgMGDGDHjh3pehbljRs3mDhxIrt27cLIyIg9e/YoZzBmVYaGhvTr148+ffqwevVqfv31Vx4/fszgwYOVBEevXr2UMwCfP39O69atiYmJ4euvv1bOes5o//zzDwcPHnzjc4qjoyPOzs6pKk5q1KhBlSpVMDExoVu3bmzZsgVbW1v++eefN9pnpfSh/hBmZmapzlh9nwoVKrxxEEWtVvPkyRMePHiQKil37tw5bt68iZGRkXIWctGiRZXqDyHEp1Or1cycOROAkSNHvjV5K3Rv7dq1PHz4UPnezMyMMmXKUK5cOfLly5fh8ZiZmdGuXTs2bNjAhg0bcnRi421sbW1p164dWq2W0NBQHj58yOPHj3ny5AkhISGp3uMeP37MunXrcHR0VCo68ufPr7ReSi9Tp04lICCAAgUKZGg7saSkJB49ekRwcDDVq1dXbn/48CFPnz4FwM7ODmdnZwoXLoyzs/MHf7YQQgghsgKZUCmEECLL2rp1K0FBQeTLl48OHTqk6baNjY1Zv3491apVY+fOnWzatCnNz2rTaDQcPHiQefPmcfToUSC5NdHGjRupV69emu5Ll4yNjRk4cCC9evVi1apV/Prrrzx69IiBAwcyffp0xo8fj6urK506dcLf3x8XFxe2bduWrmdcqtVqHj9+rLRnqFOnjjK01d7eHq1W+0EHA14flrl69Wru3bvHpUuXaNmyJRcuXEi31iX/RV9fn4IFC75R8WNubo6ZmRkxMTHcvXuXu3fvAskHjooWLUrTpk1zVBsUIdLSn3/+ia+vL7a2tvTr10/X4QiS2xjdunWLatWqKa2B8ubNS2BgICVLlqRcuXK4uLjofB6Rm5sbGzZsYOvWrcyfP19a/ryFSqVSThCoXLkykHyCy+u/u8DAQLRaLYGBgQQGBnL58mUg+WRJJyent7ZX+lw3b95k1qxZACxcuBBzc/M030cKtVrN06dPlc8uDx8+RK1WA1C2bFnlc0qNGjWoWLEihQsXztQz2oQQQojPJYkNIYQQWZJWq2X+/PlAcsVdehwEr1SpEhMnTmTChAkMGTKE+vXrp8nZnDExMaxfv54FCxZw584dAKXt4g8//EC1atU+ex+ZkbGxMYMHD6Z3796sXLmS6dOn8/DhQ/r378/IkSOJjo7G3NycPXv2pPnZlRqNhmfPnikHAx48eEBSUpKy3MnJSUlsFCxYkOHDh3/0wQBTU1P27NlD1apV8fHx4dtvv2Xfvn3pciDlUzVt2pQmTZoQGBjIvXv38PPz49GjR4SFhfH48eNUSQ1vb28cHBxwcHCQZIcQ/0Gr1TJ9+nQguY1eeh7cFO8XFxfH7du38fb2JiAgAEge/O3i4gL8f+uizDSk9Ouvv8bJyYlnz56xf/9+2rRpo+uQsoR/V0VVq1aNkiVLKhUdT5484enTp7x8+RJ/f3+KFSumrHv79m1u375Nvnz5cHBwQE9PL1WlZv78+ZX379DQUCIjI4HUXSe0Wi3jxo1DpVLRqlUrWrduTVhYGGFhYWi1WpKSklCr1cq1Wq2mbNmyyoD6+/fvc/fuXWUdjUaT6j5NmjRRKlK8vLzYv38/iYmJqR6zubk5hQsXTnV7iRIl0uLHK4QQQmR6mec/bSGEEOIjnD59mqtXr2Jqakrfvn3TbT8//vgje/fu5dKlS/Tu3ZsDBw588kHeJ0+esGjRIpYvX054eDgAlpaW9O3bl6FDh1KoUKG0DD3TMjExUeZnrFixghkzZihDtT08PChbtmya7EetVitzJMLDw1m1alWq5WZmZko1xuttowwMDD75DEcnJyf++usv6tSpw6FDhxgxYgS///77pz+IdKBSqXBycsLJyYk6deoQHx+Pv79/qud1fHw8u3fvRqPRYGFhQZEiRShSpAiWlpYYGhpiYWGhHLhNOcgjyQ+Rkx06dAgvLy/MzMwYOnSorsPJcZKSkrh79y7e3t74+voqZ7FDcrL69bP6Uw4qZyb6+vp06dKFOXPm4OHhIYmNT6RSqbCyssLKyooyZcoAyZ8FgoODefDgQaoZKvfu3cPb2xtvb++3bsvd3V2purx8+TIXLlx463qVK1fG09NTea+/du0ap06demeMKbO2IHnu1cWLF9+57uvzX+Lj40lMTMTU1FT57FK4cGHs7Ozk/VcIIUSOJYkNIYQQWVJKtUa3bt3StXeygYEB69evp1KlShw6dIgVK1bQv3//j9rGpUuXmDdvHtu3b1eqBFxcXBg2bBg9e/bEwsIiPULP9ExNTRk2bBj9+vVj48aNODo68s0333zWNhMSErh58yaenp7Y29vTunVrILnVkoODA7a2tsrBgNy5c6fLwYBKlSqxYcMG2rdvz8KFCylVqhQDBw5M8/2kFWNjY0qWLJnqttjYWIoUKYK/vz9RUVF4eXnh5eWlLK9Tpw4NGjQAICwsjEWLFmFgYIChoaFynXIpW7as0vv75cuXHDt2TFnHyMgIa2tr7OzssLW1lZkEIstKqdbo379/uvfzF28KDg5m+/btyveOjo6ULVuWcuXK6awl4Mdyc3Njzpw5/PXXX4SHh8vsozSir6+Pk5MT9vb2qeZyVqxYEQsLC548eaKcbPK615Nh5ubmSuVEyucGtVrNnTt3SEpKYsiQIcrJKebm5uTJkweVSoW+vj4GBgaprl9/n8ufPz+1a9d+63oGBgapXktKlSqVrp9dhBBCiKxIEhtCCCGynPv377N7924Avv/++3TfX8mSJZk+fTrDhw9n5MiRNGzY8I3B0P+mVqvZvXs38+bN4+zZs8rt9erVY/jw4bRs2VKpJsjpTE1N6dOnzyffX6vV8vTpUzw9Pblx4wYJCQkAhISE0KJFCwwMDFCpVAwYMCDDDga0a9eOadOmMX78eIYOHUqxYsVo2LBhhuw7LdjY2NClSxeSkpJ4+PAhfn5+PHjwgJcvXypnjKZISdYlJSWlau+V4vU5H3FxcUrP87epWrUqzZs3B5L/hvz8/LCzs8PGxkb+XkSmdfbsWU6dOoWhoSEjRozQdTjZXnx8PJcvXyYuLk55XXVycsLFxQUnJyfKly+Pg4ODjqP8eBUqVKBcuXJ4e3uzfft2mdOSzvLnz0/+/Pk/aN3atWtTu3btVLf17t2b1atXU65cuVSVmVWrVqVq1aoftF1nZ2ecnZ0/aF1LS0uZlyGEEEL8iyQ2hBBCZDmLFi1Cq9XSpEkTSpcunSH7/P7779m9ezcnT56kR48enDhx4q0HWiMiIvjjjz9YuHCh0tvb0NCQ7777Dnd3d2XgpUgb169f5+zZswQHByu32draUrlyZSpUqJBqvkVGn+E4duxYbt26xcaNG+nYsSMXL16kePHiGRrD5zIwMMDFxUXpTf82uXPn5ocffiAxMZHExESSkpKUrxMTE1OddWxsbEy9evWUZfHx8YSHhxMWFkZMTEyquQQvXrxgy5YtQPLvLqWyI+VSsGBBHB0d0+/BC/GBUqo1unfvniZzmMTbxcbGcvHiRf755x9evnyJsbEx9evXV5LXbm5uug7xs7m5uTF69Gg2bNggiY1M7PTp06xevRqAZcuWZap5LUIIIUROIokNIYQQWUpkZKQyK8Hd3T3D9qunp8eaNWsoX748Z86cYf78+YwcOVJZfu/ePX7//XdWr15NdHQ0AHZ2dgwYMIBBgwaRN2/eDIs1O9NqtWi1WqVFxIsXLwgODsbAwIDSpUtTuXJlChYsmCnaNKhUKlatWsX9+/c5f/48LVu25OLFi9muvYienh5mZmYftG6uXLmoX7/+W5e9fPky1VDWhIQE8uTJQ2hoKImJiYSHhxMeHo6fnx+QXP2UktiIiIjg0KFDStKjQIEC2NraZorngcjerl+/zt9//42enh6jR4/WdTjZUmRkJOfOncPT01MZkGxnZ0edOnWy3d94586dGTNmDGfOnMHf35/ChQvrOiTxLwkJCUp7yb59+1KrVi0dRySEEELkXJLYEEIIkaWsWbOGqKgoSpYsSePGjTN034ULF2bevHn07duX8ePH07RpU0JDQ5k3bx579uxRDsqWLl0ad3d3XF1dU7XsEZ8uZc7D1atXadiwoVKpU7FiRUxMTChXrlym/FmbmJiwa9cuqlWrhq+vLy1bdmTVqgMfdXanlRW8au2drZmYmKT63snJif79+6PVaomOjiY0NFS5hIWFpTozPiQkhNu3b6e6v4WFhdLmo2jRotLCQ6SLGTNmANChQweKFSum42iynxs3brBr1y40Gg2Q/LpQp04dSpYsmWoGQnaRP39+vv76a44dO8bGjRv56aefdB2S+Je5c+dy8+ZN7O3tlb9/IYQQQuiGJDaEEEJkGWq1WuljPGzYMJ0c1Ojduze7du1i//79VK1albi4OGVZkyZNGD58OI0bN852Z5HqgkajwdfXF09PT3x9fZXE0fXr15XEhqWlJdWqVdNlmP/J0dGRbdv+okaNWpw7d4zSpb8HlgAf9hwxNIQXLyBXrvSMMvNSqVRYWFgoiYq3sbOzo0mTJoSGhhIcHMyTJ0+IiorC29sbb29vWrVqRaVKlQCIiYkhISEBa2tr+TsVn+XevXts3boVgB9//FHH0WQfarVaafVYoEABIHkWQZ06dXBxccn2f7dubm4cO3aMDRs2MH78+Gz/eLMSf39/Jk+eDMCcOXOwtbXVcURCCCFEziaJDSGEEFnGvn37uH//PjY2Njrrpa1SqVi5ciVly5YlPDwcExMT3NzccHd3z7B5H9mdRqPhf//7H15eXkpbL0geQl2pUqUs+XOuXr08pUpt4vbtNsAyoAww5D/vp1JBjRo5N6nxoWxsbKhRo4byfWJiIo8fPyYgIICAgIBUCRFvb28OHTqElZWVUtHh7OyMtbV1xgcusrRZs2ah0Who1qyZkjgTn+7BgwecOXMGPT09OnfuDICVlRVDhgzJdi383qddu3YMHDiQu3fvcunSpUyfvM8ptFotQ4YMIS4ujvr162eLmS5CCCFEVieJDSGEEFnG/PnzAejXr98H9/RPD3nz5uX48eNcuHCBDh06YG9vr7NYsguNRqNU4Ojp6REQEEB0dDS5cuWiQoUKVK5cOcv/nJcsacVXX80ERgPDgOLA+9upabXw6uRQ8REMDQ0pXLjwW/vTR0dHo6enR0REBNeuXePatWsAWFtb4+zsTIMGDVINMRfibZ49e8aaNWsAGDt2rI6jybq0Wi1+fn6cOXOGhw8fAsknEERERGBlZQWQo5IakNxGr02bNmzevBkPDw9JbGQSKdW6hoaGLF26VCpphBBCiExAEhtCCCGyBC8vL06cOIG+vj6DBw/WdThUrFiRihUr6jqMLC02NhZfX1/u3r3LgwcPGDx4sDIno169eiQkJFCiRAmlJUlWV78+1K79A+fO3UKrXQt0As4Dpd66vr4+1KqVfD+Rdho2bMiXX37Jo0ePlIqOp0+f8uLFC65fv07z5s2VdW/cuIFarcbZ2Vk5yCoEwLx580hISKB27drUrVtX1+FkORqNhlu3bnH27FkCAwMB0NfXp0KFCtSuXTvH/725ubmxefNmtmzZwpw5cz5qLpNIe1FRUXz//fcAjBkzhpIlS+o4IiGEEEKAJDaEEEJkEQsWLACSB7Sm9NwWWYtWqyUkJIS7d+9y9+5dHj16lGr5zZs3qVKlCgBFixbVRYjpbupUFV99tQzwA84A3wAXAbs31lWrpVojvRgZGVGkSBGKFCkCQEJCAg8fPiQ8PDzVAcTXD7rmyZOHkiVLUrJkSRwcHHQSt8gcwsPDWbp0KSDVGp/q+vXr7NmzB0iusKpSpQo1a9bEwsJCx5FlDo0aNcLR0ZGgoCAOHTpEy5YtdR1SjjZx4kSePHmCi4sL48aN03U4QgghhHhFEhtCCCEyvaCgIDZt2gTA8OHDdRyN+FQ3btxg586dqW5zdHSkePHilChRgrx58+oosoxTvz7UqWPMuXM70WiqAfeA9sBhwEhZT6o1MpaRkdEbyTStVkuRIkXQ09Pj2bNnBAYGEhgYyIkTJ7C1taVcuXI6ilbo2qJFi4iOjqZ8+fKpKnzEuyUkJBAREUHu3LkBKFOmDOfOnaN06dJUq1aNXDJIKBUDAwM6d+7M/Pnz2bBhgyQ2dOjq1avKyTWLFy9WKkuFEEIIoXuS2BBCCJHpLVu2jISEBGrUqEH16tV1HY74DzExMfj4+ODv74+np6fyO3NxccHQ0BBnZ2eKFStG8eLFc2S7kSlT4KuvcgN/AbWAk0B/YDWQ3LNbqjV0T6VS0bBhQyD5OX337l18fHy4d+8eYWFhhIaGYmCQ/FFaq9USEBBAwYIFs03rNPF2MTExykHOH3/8Ufrsv0dcXBx+fn7cvXsXX19fzM3NGTRoEHp6ehgaGjJw4ED5+b2Hq6sr8+fPZ+/evalmjoiMo1ar6d+/PxqNhk6dOtG0aVNdhySEEEKI10hiQwghRKYWHx/PkiVLAHB3d9dtMOKttFotwcHBSoupx48fK8tu3bqlJDbMzMwYPXq0cjA4p0qu2oDz58uiVm8huR3VWsAGmIO+vkqqNTIZMzMzKlWqRKVKlYiPj8fPzw8zMzNl8HhQUBDr16/HxMSE4sWLU7JkSYoUKYKRkdF/bFlkNatWrSI0NJQiRYrQsWNHXYeT6YSHh+Pj46PMTtJqtcqyXLlyERkZibW1NYAkNf5D5cqVKVWqFLdv3+bPP/+kV69eug4px1mxYgWXLl3C0tKSefPm6TocIYQQQvxLzj6yIIQQItPbsmULwcHB5M+fn3bt2uk6HPEvWq2WJUuW8Pz581S3Ozo6AtCgQYNUt+f0pEaK5KoNgOYkV2r0AOYBVqjVE3NEtYavry/z58+nffv2fP3117oO54MZGxtTpkwZEhMTlcRGREQEuXLlIjY2luvXr3P9+nUMDAwoWrQoJUuWpESJEpiYmOg4cvG5EhISmD17NoAkaV/RaDSoVColSXH+/HkuXbqkLM+dOzfFixenePHi5M+fHz09PV2FmuWoVCrc3NwYN24cGzZskMRGBgsMDFRm6EybNi1HtMsUQgghshr5NC6EECLT0mq1zJ8/H4AhQ4akGuordCM4OBhvb28lYaFSqbCxseHFixcULlxYOYBlamrK/v37cXJy0nHEmdP/V22AWt0diAS+Bybh4mJJ/frZe5aMt7c3jRo1IigoiCVLltC/f39mzZqVZQcHlyhRgpEjR/Lo0SN8fHy4ffs2ERER+Pj44OPjg6urqzKoXKvVypnqWdTGjRt5/PgxTk5OdO/eXdfh6MzLly+5d++e0mLq22+/pVChQgCULFmS58+fK7OTbGxsdBxt1talSxfGjRvHiRMnePjwIQULFtR1SDnGyJEjiYiI4IsvvmDgwIG6DkcIIYQQbyGJDSGEEJnWqVOn8PLywtTUlL59++o6nBzt2bNnnDp1Ch8fHwC++OILpZ1IixYtyJUrV6rEU2Jioi7CzFL+v2oDYCjJyY2fuH9/BH/8YUnv3r11F1w6unTpEk2aNCE8PJy8efPy9OlTli9fzoEDB/jjjz+UuRZZjZ6eHoUKFaJQoUI0btyYwMBAZdaMs7Ozst6RI0d49OgRxYsXx97eHmtra6ytrTExMZGERyamVquZMWMGACNGjMDY2FjHEWWs8PBwpd1gQEAAGo1GWebn56ckNlxcXHBxcdFVmNlOoUKFqFevHidPnmTTpk38+OOPug4pRzhy5AibNm1CT0+P5cuXy+wkIYQQIpOSxIYQQohMK6Vao3v37tja2uo2mBzq0aNHnD59Gl9fX+W20qVLp2onIgNNP03qqg3Q0xtH3rwRPH48i759+2JhYUGnTp10HWaaOn36NC1atCAqKooaNWqwf/9+vLy86NWrFwEBATRq1Ih+/foxa9YsLC0tdR3uJ1OpVDg5OeHk5MRX/5+9QqvV4uPjQ3h4eKpZNABGRkbY29vTp08fJcHx6NEj9PX1sba2xtTUVBIfOrRr1y7u3r2LjY0N/fv313U4GSooKIhly5alus3Ozk6p0JMqgvTl5ubGyZMn2bBhA2PGjJHXgXT28uVLBg0aBMDgwYP54osvdByREEIIId5FEhtCCCEypfv377Nnzx4Avv/+ex1Hk/NERESwZ88e/P39geQDteXKlaNOnTrkzp1bx9FlH69XbWg0Ktavn8nWrZEsX76crl27Ym5uTvPmzXUbZBo5fPgwbdq0IS4ujvr167N3714sLCz46quv8Pb2ZsyYMSxZsoQVK1Zw8OBBVq1aRaNGjXQddppSqVT07NkTHx8fHjx4wIsXL3jx4gUxMTEkJCQQHx+f6qDlgQMHePbsGQCGhoZKdYeVlRV2dnbUqFFDVw8lR9FqtUyfPh1IbouYZi3T4uLA1DRttvUZtFotUVFRBAcHExQUxLNnzwgJCVGWOzg4YGlpiY2NjdJiys7OTocR5ywdOnRg8ODB3Lp1i6tXr1K5cmVdh5StzZgxAz8/P5ycnJg6daquwxFCCCHEe0hiQwghROYSGQkXL/L7rl1otVqaNm1KqVKldB1VjpMrVy6Cg4PR09OjfPny1K1bV6pm0kFK1caZM1C3Lnz1lYovv1xMVFQUmzZton379hw8eJB69erpOtTPsmfPHjp16kRCQgLNmzdnx44dmL52QNfc3JzFixfToUMHevfujb+/P40bN6Zv377Mnj07S1dv/JuFhQVVq1alatWqym2JiYlEREQQHx+fal1zc3PMzc2Jjo4mMTGRkJAQ5YDzvxMba9euJS4ujkKFCuHi4oKzs7MMLE8jR44cwdPTk1y5cqVdov3UKWjaFA4dSv7j14GjR4/y+PFjgoODiYuLS7XMwMAArVYLJCfkhg4dKsPSdcTKyopWrVqxfft2NmzYIImNdHT37l0liblgwYJs9d4jhBBCZEfy6VQIIUTmcvs2kefOsXrdOgDc3d11G08OoNVquXv3Lrdu3aJNmzaoVCoMDQ1p27YtdnZ2yiwNkT6mTYNmzZKvAfT19Vm7di1RUVH89ddftGzZkuPHj6c6EJ6VbN68GTc3N9RqNe3bt2fTpk0YGRm9dd2vvvqK69evM3bsWBYtWsTKlSuV6o3GjRtncOQZx9DQEHt7+zdu79KlCwBJSUlEREQoFR4vXrx4Y8ZDSEgIsbGxBAcHc+nSJVQqFXnz5sXFxYWiRYtKu6DPkHKgs1+/fm/9PX2S8eOTKzbGj09OcqQxjUZDWFgYQUFBSiWGWq2ma9euyjoBAQE8efIESE5e2NnZ4ejoiJ2dnXJ7Cklq6EZICEREQIMGbmzfvh0Pj8307z/rP38fVlYgxZUfR6vVMmjQIBISEmjatCkdOnTQdUhCCCGE+A/yCVUIIUTmEREBN26w2tOTqNhYSpUoka0PZuqaVqvl9u3bnDp1iqCgIABKliypVMgUKVJEl+HlGF9+Cc+fp+5IY2hoyLZt22jRogXHjx+nadOmnDx5krJly+ou0E+watUq+vXrh1arxc3NjdWrV//nATlzc3MWLlxI+/bt6d27N/fv36dJkyb06dOH2bNn58iZLgYGBtjZ2b23/U/v3r0JCgri/v37+Pv7ExoaypMnT3jy5AlPnz7F1dVVWTc4OJjcuXNLr/4PcOHCBU6cOIGhoSEjR45Mm42eOJFcpgVw+nTy9/Xrp9GmT3D37l1CQkJISkpKtUylUpGUlKT8DdasWZOkpCQcHBzInTu3cntiYiL79++X54eOxcRAvnyQmAjQFLDn+fMgSpU6+ur7dzM0hBcvIFeu9I8zu9i8eTPHjh3DxMSERYsWyfNfCCGEyAIksSGEECLz8PFB/fw5v1+8CMCwV9UDIm1pNBpu3LjB6dOnef78OZA8uLhq1apyVreOvK3NvomJCXv27KFhw4ZcvHiRRo0acfr0aYoWLZrxAX6CBQsWKBVXAwYMYPHixamGzv+X+vXrK9UbCxcuZNWqVUr1RpMmTdIp6qzL1tYWW1tbJTEZERGBv78/9+/fp1ChQsp6UVFRLF26FFNTUwoXLoyLiwuFCxfGxsZGXm/fIqVaw83Njfz586fNRidMAH19UKuTr3/++T+rNrRarVKRk9KSLCQkhPDwcIYNG6b8bYWFhaWay+Lg4ICDgwOOjo44ODik+h2XKVMmbR6PSBdmZlC9Opw9C1qtIfAdsAjYwPsSGyoV1KghSY2PER4ezvDhwwH46aef5MQOIYQQIouQxIYQQohP92oeBtWrw2f2Ida+eMGjkyfZduUK/kFB2JqZ4VawYPI+pMdxmomKimLt2rWEhYUBYGxsTPXq1alevTq55ChIpmNubs7+/fuVFk0NGzbkzJkzaXeANZ38+uuvjB8/HoAffviB33777ZMOmpuZmfH777/Tvn17evXqxf3792natCm9e/dmzpw5ObJ640NZWVlRsWJFKlasmOr2kJAQjIyMiIuL49atW9y6dQsAa2trChcuTOXKlTP98yuj3Lhxg71796JSqRg9enTabPT1ag1ITm68VrWh1WqJiYnBzMxM+Zv53//+x6VLl96Yg5EiLCxMaZFVpUoVSpUqhaOjoySrsoEpU+Crr1K+cyU5sbELiALePsReq4XJkzMkvGxj3LhxBAcHU6pUKUaNGqXrcIQQQgjxgSSxIYQQ4tPdvg2ensmJh+rVP/huiYmJ3Llzh6tXr+Ll5ZV8uXyZsMhIZZ3+zZqRKyYmeR8fsW3xJq1WqxzcMjc3x9jYGFNTU2rWrEnVqlVlwHAmZ2try+HDh6lbty6+vr40atSIU6dOkTsTNlDXarWMHz9eOct90qRJ/Pzzz599cLVevXpcv36dcePG8fvvv/PHH39w6NAhVq5cSdOm72/JIlJzcXFh9OjRPHnyRKnoePz4MS9evODq1au4uLgoiY3w8HBCQkLImzcv5ubmOo48482YMQOA9u3bU6JEibTZ6KtqDa1aTYyZGSEODgQ7OhKycSMh/v6EhIQQFxfHsGHDUs03Sklq2NjY4ODggL29vdJCysbGRllPqu6yl/r1oU4dOH8e1OpqQDHAl+TkRrc31tfXh1q10qyzWY5w4cIFli9fDsDSpUvfOQNKCCGEEJmPJDaEEEJ8mlfzMNDXT74uVeqtlRXR0dFcv35dSWJcvXqVGzduEB8f/8a6Bvr6lC5QgOrFizO6Xbvkwarv2bZ4v8TERDw9Pbly5Qq9e/fG2NgYlUpF+/btsbCwkH/esxBHR0eOHj1KnTp18PHxoUmTJhw/fjxTDXbXaDS4u7uzcOFCAGbPnp12MwlIrt5YsGCBUr1x7949mjVrRq9evZgzZ06m+lnowtWrV9m5cyfFihWjfPnylCpV6o0B4yn09fUpWLAgBQsWpF69eiQkJPDgwQPu379P4cKFlfVu3LjB8ePHgeSkqJOTE3ny5FGura2ts21FgL+/P1u2bAFg7Nixn7UtrVZLaGgo1tevY/CqWuNE/fqc+vfR54cPlS/Dw8OV53SlSpUoWbIk9vb2GBoaflYsIuv5/6oNFeAG/ExyO6o3ExtqtVRrfKjQ0FB+++03Fi5ciFarpXv37tSrV0/XYQkhhBDiI0hiQwghxKfx8YGwMCheHO7ehdu3CSxUKFUVxtWrV/Hz80Or1b5xdwsLC6VNSkVLSypGRVHmyy8xfv1gu5kZ3LkjVRsfKSkpiStXrnDmzBmio6MB8PT0pGbNmgDvHUAsMq+CBQty9OhR6taty9WrV2nRogWHDx/GzMxM16GhVqvp27cva9asQaVSsWTJEgYMGJAu+/ryyy+5du0a48eP5/fff2f16tVK9UazZs0+e/uxsbGpZhg8f/6chIQEunTpgunbhqFkAiEhITRr1oygoCDlNn19fUqWLEn58uVTXfLly/dGMsLIyIhixYpRrFixVLcbGBhgb2/P8+fPiY6OxtfXF19fX2X5gAEDcHR0BJIPEmo0Guzs7D5qlkpmNXPmTNRqNU2aNKFy5cofdV+tVsvz588JCAjgwYMHBAQEEBMTQ4/Llyn0araGbVgYaLXYhoWROySE3M+fk9vamty///5GAsPa2jrHJ+5ystRVG11JTmwcA54A+ZT1pFrjw0RFRbFo0SLmzJlD5KtK4Tp16jBnzhwdRyaEEEKIjyWJDSGEEB/vVbWGX1ISqz088PTxwWvqVIJeayX1unz58ilJjEqVKlGxYkUKFy6cfPArIgJ27EiedvnvCgKVCuzspGrjA6UkNM6ePUtUVBSQ3Ge/Tp06b/TZF1lT8eLFOXz4MPXr1+fcuXO0bduWv/76651n5meExMRE3Nzc2Lp1K3p6eqxduxY3N7d03aeZmRnz589Xqjf8/Pxo3rw5PXv2ZO7cucpBYI1Gw4sXL5QExb8TFm/7+l1zDI4fP46Hh0emq1DQarX07duXoKAgnJ2dKVSoENevXyc8PJybN29y8+ZNNm/erKxva2v7RrKjTJkyb52xU7NmTWrWrElCQgJBQUE8e/aMwMBAnj17lmquA8CZM2fw8vLC0NAQR0dH8uTJg52dHUZGRiQmJiptrUJCQrC2tqZLly6Zsg3e06dPGT58ONu2bQM+rlrj2bNnnDlzhoCAAGJjY1Mt01epCH/8mEJqNQClb92i9K1bGCYlpd7I4MHg5PR5D0JkO/9fteEC1AbOAmOAVUDy35FUa7xfXFwcu3fvpk+fPjx//hyAChUqMHXqVFq0aJHpXtuFEEII8d8ksSFEGouMjCQ4OJjcuXNjaWkpH5JFtpR04wbzdu7k56NHeZmQoNyup6dHiRIlUiUwKlSogIODw7s3llL58a7+5fb2UrXxARITE1m8eDEREREAWFpaUrduXSpVqoS+vr6OoxNpqUKFChw4cICGDRty5MgROnfuzLZt2zAwyPiPdS9fvqRTp0789ddfGBoasnnzZtq3b59h+69bt65SvbFgwQLWrFnD33//Te7cuQkJCSE0NBT1qwPJH8PIyIjcuXOTO3du7OzsOHHiBJs2baJJkyZ06/Zm+xddWr16NXv27MHQ0JBdu3ZRsWJFtFotT5484fr166kuPj4+hIWFceLECU6cOKFsQ6VSKS2sXr8UKlQIPT09jIyMyJcvH+bm5lhbW2NnZ0dwcDBr1qxRkhUqlUqpHnr8+DGPHz9Wtp+UlMTMmTNJTEwEkqvG5s6dy+TJk2nbtm2m+KykVqtZunQp48ePJzIyEn19fcaOHcuXX375xrparZbg4GACAgJwdHTE2dlZuT1lGLuBgQEFChSgUKFCODs7k69bNwy8vZVtvJHQgORT7n/+GU6dSpfHKLKu1FUbI0lObGwEbgPb0NcvItUa75CYmMgff/zBlClTePr0KZB8ksDkyZPp2LFjtqgwE0IIIXIqSWwIkYZevHhB6dKlefbsGQCGhobY29uTO3du5Trl8rbv7ezsdHJgSoiPce3MGXq7unLlwQMAvipXjm/r1qWijQ3l8uYll6vrh1dWpMzpsLNLrs54G6naeCeNRqP8Q25oaEihQoUICAigbt26VKxYUV5PsrEaNWqwZ88emjdvzq5du+jduzdr1qzJ0AM0MTExtGnThqNHj2JiYsLOnTvTpBXUx8qVKxfz5s1Tqjd8fX0JDg5OtY6lpeUb773v+9rCwiLVwfapU6cyYcIEBg0aRI0aNShevHhGP8y3unfvHsOGDQOSY0ypzFKpVOTPn5/8+fPTvHlzZf2XL1/i4+PDtWvXlGTHtWvXCAkJ4e7du9y9e5cdO3Yo61tYWJA/f37CwsJ4/vz5fyaJVCoVdnZ2qWZxODk5ER8fT5kyZbC3t8fe3h5ra2vy5MnD1atXuXjxIoULF6ZAgQLY2NhgZ2eXdoO6P5Cnpyf9+/fn8uXLAFSvXp1ly5YpP0+tVktQUJDSWurBgwdKZU+lSpWUxEaePHn4+uuvKVSoEHnz5v3/1+ATJz4sWaFWw+nTyevLEWrxL/9ftdEWOAC4Ap5AZdTqNUye3E6X4WU6arWaTZs2MWnSJO7fvw9A7ty5mTZtGj179pTPSEIIIUQ2IO/mQqSh2bNn8+zZM1QqFVqtlsTERJ49e6YkOv6LSqXCxsbmrQdZ6tatS9OmTTPFWY0iZ3r58iVTp05l5owZJKnVWJuZMbd3b3o0aJD8vNRqP76ywscHAgMhTx4ICXn3elpt8npStQEkn/189epVzp07R9euXZV2ME2aNMHIyEj+Wc8hGjRowPbt22nXrh3r16/HwsKChQsXZsj7REREBC1atODs2bOYmZmxb98+6uv4QGydOnXw8vLixIkTb1RcfG6rrrFjx3L06FFOnjxJ586dOXfunM7P8k1KSsLNzY2YmBi+/PLLDxrUbmJiorQFfF1QUNAb1R23bt0iKiqK27dvp1rX0tLyvSdr/HuZmZkZL1++TNXqasWKFTx9+hQDAwMMDAwICgpS5oNYW1unSmzs3buXhIQErK2tsbGxUa6trKw+uxrtxYsX/PLLL/zxxx/o6+tTuHBh3N3dad++PfnyJc8uiI+PZ8GCBW+0KDM0NKRgwYLKepBctVi3bt03dzRhQnI1xodUD0nVhniH1FUbTYGrwHfAOaA9u3cPo1at3zD6d1vPHEar1bJr1y4mTJigVFA5Ojry448/kj9/flq3bi2fk4QQQohsQt7RhUgjQUFBzJ8/H4CdO3fSpEmTd/bvfluf77CwMLRaLWFhYYSFhXHnzp1U258+fTrNmjXj999/p2jRojp4hCInO3v2LH369MHHxweA9l98waLvvyePjc3/r/QplRXR0VCgwIcFUaBA8vo5mFqt5urVq5w+fVoZeHnx4kVatGgB8NYe+SJ7a9WqFevXr8fV1ZXFixdjZWXFtGnT0nWfz58/p2nTply5cgVra2sOHDhAjRo10nWfHypXrlypKhTSir6+Ph4eHlSoUAFPT0/GjRvHjBkz0nw/H2PGjBmcP38eS0tL1q9f/1kH+R0dHWnUqBGNGjVSbktMTOTu3bsEBgYqlRb29vaflCT692tTv3790Gg03Lhxg7lz5+Lt7a2c2FGuXDkSEhKUg7O+vr5Ev+W1X6VSUaBAAXr27KncduTIEeLi4khMTCQpKYnExETlYm9vT7t2yWe0a7Vapk+fTmJiItbW1qmSQuHh4ezdu5eBAwcCYGxsjJmZGWq1moIFCyqtpZycnD7sZ37iBJw58+E/LKnaEO/x/1UbAAWAE8B4YBYLFizg/PnzbN26Vakiykm0Wi2HDx/mp59+UqqvbGxsGD16NEOHDsXIyIj9+/frOEohhBBCpCVJbAiRRqZPn05MTAxVq1aldevWyj/cBT7woG1SUpLS6uHfCZCAgAA8PDw4cOAAZcqUYcyYMYwdOxZTU9N0flQip4uKimLcuHEsXrwYrVZLHjs7FjdvTrsOHd7eOupj52E0aJD2QWdDarUaLy8vTp8+rczQsLCwoE6dOlSuXFnH0Qld69KlC1FRUQwYMIBff/0VKysrRo8enS77CgwMpGHDhty8eZPcuXNz+PDhHDOYPn/+/KxZs4bWrVszd+5cnVaoXL58mV9++QWARYsWUahQoTTfh6GhIWXKlKFMmTJpvm1Irm4oX748a9eu5eTJk7i7u3Ps2DG2bNnCunXrmDdvHs2bN6dFixaEh4cTHh7OixcvlOukpKQ3qmauXbtGTEzMW/en1WoBePDgAUOGDMHFxQVbW9tUj9fAwABDQ0PMzc1T3dfV1RULC4tPq9KZMCH5/fLV/j+ISiVVG+KtUldtgL6+IbVq/caoUXXp3r07//zzD5UqVWLdunW0atVK1+FmmDNnzjB+/HhOvfqbMTMzY/jw4YwcORJra2sAZcaPEEIIIbIPSWwIkQYePHjA0qVLAfj1118/qQ2IgYEBDg4O7xyyPGbMGIYOHcrhw4eZMmUKGzZs4Pfff+ebb775rNiFeJeDBw/Sv39/Hj58CEAvV1dmV62Kjbm5zMPIQFqtllWrVhEYGAiAubk5derU4YsvvpBWCkLRv39/IiIiGDNmDGPGjMHS0pIBAwak6T4ePnxIgwYN8PPzI2/evBw9epRSpUql6T4yu1atWjFkyBAWLVpE7969+e233zI8htjYWFxdXUlKSqJjx464urpmeAxprV69ely+fJnVq1czfvx47t69S4sWLWjatClz586lZs2aqdbXarVER0e/caCyVq1aqNXqVEmK1y+zZs1i0qRJxMbGYmVlxdChQxk9ejTm5ubv/exmZWX1aQ8sJgYuXvy4pAYkr3/hAsTGglTiiX95vWpDrYbJk6F+/W+4evUqnTp14p9//qF169b88MMP/PrrrxgaGuo24HTk6enJTz/9xIEDB4DkCqtBgwbx448/vvN/KiGEEEJkH3JERIg0MHnyZBISEvj6669p2LBhuuyjePHiHDx4kJ07d+Lu7k5AQACtWrWiZcuWLFiwABcXl3TZr8h5QkNDGT58OBs2bACgcOHCrFixgoYWFnD0KJiZyTyMdKZWq9HT00OlUqFSqShVqhTR0dHUrl2bL774IlsfpBCfbvTo0URGRjJt2jQGDRrEzp07P3sGweuuXbvGs2fPcHZ25tixYzn2fWfWrFmcPHkSb29v5s+fT+fOnTN0/6NGjeLOnTvkzZuXZcuWZZvZW/r6+vTt25dOnToxdepUFixYwMGDBzl69CiDBw9m4sSJ2Lxqf6hSqbCwsHhjG7Vq1Xrrts+dO8eAAQPw9vYGkhMpS5cuTf/EnJkZPHkCryrtPoqVlSQ1xFulVG2cOQN16/5/x7JChQpx+vRpxowZw/z585k9ezbnzp1jy5YtH1xBnlXcvn2bn3/+mR07dgDJJ4j16tWLCRMmkD9/fh1HJ4QQQoiMIokNIT7TnTt3WLt2LUC69zVXqVS0b9+epk2bMmXKFObMmcO+ffs4evQoY8eOZfTo0ZiYmKRrDCL70mq1bN++nSFDhhASEoJKpcLd3Z0pU6ZgZmYGx47JPIx0plaruX79OqdOnaJ58+YUK1YMgJo1a1KzZk1JaIj/NGXKFCIjI1m4cCFHjhxJ8+2XKFGCo0eP5ugDRyYmJmzZsoUqVapw7do15s2bx48//pgh+z5w4ABLliwBYO3atalaKWUXVlZWzJo1i379+jFy5Ej++usvFixYgIeHB5MnT6Zfv34fXK0WHh7Ojz/+yIoVKwCws7Njzpw5dOvWLeMSQrlzJ1+ESEPTpkGzZsnXrzMyMmLevHnUrVuXXr16ce7cOSpVqsSGDRto1qyZboL9CBqNhpiYGGJiYoiOjn7r9bFjx9iwYQMajQaVSkWXLl2YNGmSzCAUQgghciBJbAjxmSZMmIBGo6FVq1YZNjzVzMyMGTNm0L17d4YMGcLx48eZOHEi69atY+HChekyOFVkA5GRyS0xqld/o0XUkydPGDRoEHv37gWgTJkyrFq1KvVzWuZhpLmkpCSePn3KgwcPePjwIY8ePSI+Ph6Af/75R0lsSEJDfCiVSsX8+fNp3bo1T548SdNtGxsb06xZMyylxRylS5dm7ty5DBw4kAkTJtCgQQOqVq2arvt8/vw5vXr1AuD7779PNeg7OypWrBh79+7lyJEjuLu7c+vWLQYPHszSpUuZP38+Dd7znqTVatm0aRMjRowgODgYgF69evHbb79hZ2eXUQ9BiHTz5Zfw/Dm8a9xeu3btqFixIh07dsTT05PmzZszduxYJk+enCFtLJOSkjh//jwXLlwgMjLyvYmK16/j4uI+eB9t2rRhypQplC1bNh0fiRBCCCEyM0lsCPEZPD092b59OyqViqlTp2b4/kuVKsXRo0fZvn07w4cP5/79+7Ro0YLWrVszf/58nJ2dMzwmkYndvg2enslJjVctolLmN/zwww9ERkZiaGjI+PHjGTt2LEZGRjoOOPvRaDTK8Fm1Ws3s2bOVREYKMzMzatWqle4HSUX2paen996DviJt9OrViw0bNnDu3Dk6d+6Mp6dnuiV9tFot/fr1IzAwkNKlSzNjxox02U9m1KhRI65du8ayZcv4+eefuXHjBg0bNqRNmzbMnj2bIkWKpFr/7t27DBo0iGPHjgHJn5WWL19O3bp1dRG+EOnmXUmNFC4uLpw9e5aRI0eyZMkSpk+fztmzZ9m8eTN58+ZN83jCwsI4dOgQ+/bt48CBA4SHh3/ytlQqFebm5piZmb1x7ejoyJAhQ6hWrVoaRi+EEEKIrEgSG0J8hp9++gmALl26UK5cOZ3EoFKp6NSpE82aNWPy5MnMnz+fPXv2cPjwYcaPH88PP/yAsbGxTmITmUhERPJAb319ZbC3X3Aw/fr143//+x8A1apV448//pAz39JQXFwcDx8+VCoytFotffv2BZL7yTs4OBAaGkqhQoUoVKgQBQsWxNHRUUl+CCEyL5VKxaBBg3j8+DH37t1j8ODBymyitLZ27Vp27dqFoaEhHh4emP7XEc1sxsDAgCFDhtC5c2cmTZrE0qVL2b17N/v378fd3Z3x48djZGTEzJkz+fXXX0lISMDExISff/6ZkSNHSqJe5FgmJiYsXryYL7/8kj59+nDq1CkqVqzIpk2bPnsuoFarxcfHh3379rFv3z7Onj2LWq1Wltva2tKgQQMcHBzemaR417WpqWm2mR8khBBCiPQjiQ0hPtHp06c5cOAABgYGTJo0SdfhYGFhwaxZs+jRowdDhgzhxIkT/PTTT6xdu5ZFixbRpEkTXYcodMnHB8LCoHhxkm7fZv5PP/HzqlXExcWRK1cupk2bxtChQ9N00HBO5evri6+vLw8ePFBaoLwuPj5eSTZ27twZExMT+eddiCzK3NycDRs28PXXX+Ph4UHjxo1xc3NL033cv3+f77//HoDJkydTqVKlNN1+VmJnZ8fChQsZMGAAI0aM4PDhw/z222+sW7cOS0tLfH19AWjatCmLFy/OsQPuhfi3b7/9lkqVKtGxY0euX79O48aN+fnnn5kwYcJHffaLj4/n5MmTSjLD398/1fKyZcvSsmVLWrZsSY0aNeRzpRBCCCHSlZwSKsQn0Gq1jBs3DoDevXtnqmF1ZcqU4fjx42zatAknJyf8/Pxo2rQp7du35+HDh7oOT+hCSrWGnR3XHzyg5vLljFq4kLi4OBo0aIC3tzfu7u7yz+dH0mq1hIeHc+3aNbRarXK7t7c3ly5dUpIa9vb2VK5cmbZt2zJs2LBUFVRyRqIQWV/NmjWVExwGDRqkHFxPC0lJSbi5uREdHU3dunUZNWpUmm07KytTpgwHDx7kr7/+olixYgQFBeHr60uePHnYunUr+/fvl6SGEP9SvHhxLly4QJ8+fdBqtfzyyy80adKEoKCg994vMDCQ1atX065dO+zs7GjSpAkLFy7E398fIyMjmjZtyqJFi/D398fb25vp06dTu3Zt+VwphBBCiHQnFRtCfIKDBw9y5swZTExMmDBhgq7DeYNKpaJz5860aNGCSZMm8fvvv7Nz504OHjzIhAkTGDFihLRlyEl8fEgKCWG6tzeTt24lSa3GysSEuSNH0nPKFDmw/gHi4+MJDg4mKCiI4OBg5ZIy5NLJyQkHBwcguZ97rly5lNZSZmZmugxdCJEBxo4dy9GjRzl58iSdO3fm3LlzafI+O3PmTM6dO4eFhQXr16+XA4WvUalUtGzZksaNG7NixQpCQkIYMWIEVlZWug5NiEzL1NSUlStXUq9ePfr378+xY8eoWLEimzdvpn79+kDyiRtXr15VqjIuXbqUahtOTk60aNGCli1b0qBBA8zNzXXwSIQQQgghJLEhxEfTaDSMHz8egCFDhpAvXz4dR/RulpaWzJ07l549ezJ48GBOnz7N2LFjlfZUn9tbV2QBERHcO34c11WruHD/PgBta9RgcceOOFlZQVRU8jBxASQP9H7+/DnBwcG4uLgoSYl//vmH48ePv7G+np4e+fLlIyEhQbmtVKlSlCpVKsNiFkLonr6+Ph4eHlSoUIErV64wbtw4Zs+e/VnbvHz5slIJsmjRIpydnT8/0GzIyMiIIUOG6DoMIbIUV1dXKleuTMeOHbl16xYNGjRg5MiRvHjxgr///punT5+mWr9q1aq0bNmSFi1aUKlSJZkFJoQQQohMQRIbQnykHTt2cPXqVSwsLBgzZoyuw/kg5cqV4+TJk3h4ePDDDz9w584dGjVqRK1atahVqxbVq1enRo0a5M+fX9ehijSk1WpZ/dtvDJs9m5iEBCxz5WLJgAF0qVcPFcCdO3D7NlSvrutQdSI2NpbHjx+nqsJ4/vw5Go0GgE6dOikJCgcHBywsLHB0dMTBwUG55M6dGwMDeSsVQkD+/PlZvXo1bdq0Yc6cOTRs2JCmTZt+0rZiY2NxdXUlKSmJDh06pPncDiGEKF26NP/88w+DBw9m3bp1zJo1S1lmZmZG48aNadmyJc2bNydPnjw6jFQIIYQQ4u3kaIwQHyEpKUlpPTVy5Ejs7e11HNGHU6lUuLm58c033zBx4kQWLVrEuXPnOHfunLJO3rx5qV69upLo+OKLL6S8PIsKCQmhX8+e7P77bwDqlS3LOnd3Cr1qlwSAnV3y7I1SpbJ11YZGoyEwMJDHjx/j7OystIzy9/dnx44db6xvbGyMg4NDqpYvxYsXp0SJEhkWsxAia2rdujWDBw9m8eLFdO/enWvXrn3SAcHRo0dz584dnJycWLZsmbQMFEKkCzMzM9auXUv9+vVZunQp1atXp2XLltSrVy/VTDAhhBBCiMxIEhtCfIT169dz9+5d7O3tGTFihK7D+STW1tYsWLAAd3d3Tp48ycWLF7lw4QLe3t48ffqUXbt2sWvXLiC5zU7ZsmVTJTtKliwpPb4zuQMHDtCzZ0+CgoIw1NdnqqsrI9u0efP3Zm+fLas2tFotoaGh+Pv7K5eXL18C0LBhQyWxkVJ98XoVhqOjI5aWlm8cRJSDikKIDzVr1ixOnTqFt7c33bt358CBAx/VtuXgwYMsXrwYgLVr12JnZ5deoQohBAA9evSgR48eug5DCCGEEOKjSGJDiA/08uVLpdf12LFjsbCw0G1An6lw4cIULlxY+ScmJiYGT09PJdFx8eJFHj9+zPXr17l+/TorV64EwMLCgqpVqyqJjurVq+Po6KjDRyJSxMbGMmrUKJYsWQJAmbx58ejbl4pffPH2O6hU2a5qIzQ0lHXr1hEVFZXqdiMjIwoVKoS1tbVym729PQMHDszgCIUQ2Z2pqSlbtmyhSpUqHD58mLlz5/LDDz980H2fP39Oz549ARg6dCiNGzdOz1CFEEIIIYQQIsuSxIYQH2j58uU8evSIfPnyZcuDoWZmZtStW5e6desqtz19+jRVouPy5ctERUVx/PjxVIOUCxUqpFR1uLq6KmfEi4xz5coVunbtyp07dwAY9u23TC9ZEtMCBSAk5O13SkgAQ0MIDMxyVRtxcXEEBARw//59rKysqFOnDgBWVlbExcWhr69PgQIFKFy4MC4uLuTNm1cGXQohMkzp0qVZsGAB/fr1Y+zYsdSrV4+qVau+9z5arZb+/fsTGBhIqVKlmDlzZgZFK4QQQgghhBBZjyQ2hPgA0dHRTJs2DYCJEydiamqq44gyRt68eWnbti1t27YFkmeM3Lp1S0l0XLx4kVu3bvHgwQMePHjAtm3bWLhwIdevX8/yFS1ZhVqtZubMmUycOJGkpCTy5s3L2rVraaSnB0+evPuOPj4wZw788AOUKAHR0RkX9CdITEzk4cOH3L9/H39/f549e6Yss7e3VxIbBgYG9OrVC3t7ewwNDXUVrhBC0KdPHw4fPsyOHTvo3LkzV69efe9747p169i5cycGBgZ4eHjkmM8aQgghhBBCCPEpJLEhxAdYsGABISEhFC1aNEf3nzUwMKB8+fKUL1+efv36ARAZGcmlS5e4ePEiS5cuJSAggNGjR7N06VIdR5v9+fv74+bmxtmzZwHo0KEDy5cvx9bW9r/vXLducsXG6dPwKmmXmWi12lRzLZYvX05oaGiqdezt7ZWKjNfXd3JyytBYhRDibVQqFStWrOCff/7h3r17DB48mPXr1791XX9/f77//nsAJk+eTOXKlTMyVCGEEEIIIYTIciSxIcR/CAsLY9asWUDywQY5Czw1S0tLGjRoQIMGDahZsyZff/01y5Yto0OHDjRo0EDX4WVLWq2W9evXM3ToUKKiorCwsGDRokW4ubl92JDrEyfgzJnkr0+fTv6+fv2PjiMpKYnw8HBy586t3Hbnzh1CQkJQq9XKJSkpSfm6ZcuWyhDzs2fP4ufn99Z1NRoNw4YNU9pHFSxYkMTERFxcXJT5MFIVJITI7GxsbNi0aRNffvklGzZsoFGjRri5uaVaR61W4+bmRlRUFHXq1GH06NE6ilYIIYQQQvxfe3ceX9Od/3H8fbOSSEIsSRAElfpNa2+NtFokiC6x11aq0rGmQ6naaqu2tsHPVq2WTA0V1fFTLVX7UtugMQlVVWvJTRQNImQ9vz+MO1KiCeHm3Lyej8d9JO755nw/5zzeySPOJ+d7AJgHjQ3gD0yZMkWXLl1SrVq11KlTJ3uXU6g1bdpU/fv31wcffKDIyEjFx8dz8bmAXbhwQX369NE///lPSdLTTz+tf/zjH6pSpUredzJ6tOTsLGVl3fg4Zoy0bdtdvyQjI0NJSUmyWq2217lz5+Tk5KQRI0bYGhDx8fE6dOhQrvsJDw+3NTbOnz+vkydP5jrWarWqQoUKkqRWrVrJxcUlb40bAChEnnrqKY0bN05jxoxR//791ahRI1WvXt22fcqUKdqxY4e8vLy0aNEi289IAAAAAEDuaGwAd2G1WjVr1ixJ0nvvvcfDh/Ng8uTJWrNmDUtSPQDr1q1Tz549ZbVa5eLiogkTJmjo0KH5uwh2690a0o3mxu/u2khPT5erq6utifDNN99o7969Mgzjtt25u7vr8uXLKlmypKQbD5J3dXWVs7PzbS8XF5cc30P169dXtWrVbhvj7Owsd3d3lSlTxjaWO2NmB58AACUHSURBVKUAmNnIkSO1YcMGbdu2TV26dNGOHTvk5uam/fv3a8yYMZKkWbNmKSgoyM6VAgAAAIA50NgA7uLdd9/VtWvX1KhRIz3//PP2LscUSpQooQULFig0NJQlqQrItWvXNHz4cFuT7dFHH9WSJUvubQ32W+/WkHTd3V2JFSrI+vHHsl68KKvVqvPnz+uNN96Qt7e3JMnDw0OGYcjT01MBAQE5Xj4+PjnuonjiiSfyXErFihVVsWLF/B8DAJiMs7OzlixZotq1a2vfvn16++23NW7cOL388svKzMxU+/bt9corr9i7TAAAAAAwDRobQC6OHz+u+fPnS5Lef/99lsDJh2bNmqlfv36aN28eS1Ldp9jYWL388sv64YcfJElRUVGaPHmyPDw88rWftLQ0Oe/YIZf/3K3x71q1tO3ZZ3WxdOn/DoqPt32alJRka2zUr19fdevWlZeXF98HAHCPKlasqIULF6pNmzaaOnWq9u3bpx9//FEBAQH66KOP+PkKAAAAAPlAYwPIxfjx45WZmakWLVqoyT08WLmomzJlir755hudPHlSw4YN0wcffGDvkkzl2rVrmjVrlkaPHq2MjAz5+/srOjpa4eHhtjGGYcgwDNvyTr/++qt++uknXblyRSkpKTk+ZmRkqPOBAwr+z90aToZha2r4JCcrIDFRAa6uChg9WgEBASpRooRtnls/BwDcu9atW2vAgAGaO3euNm/eLEmKjo5W6VubzAAAAACAP0RjA7iDQ4cO6R//+IekG8/WQP7duiTVvHnz1KFDBzVr1szeZRUKhmEoKytL2dnZys7OVlpamjIyMnT8+HFt27ZNa9eu1dq1a5WamqqSJUuqffv26tChg7KysrRs2bIcTYuOHTsqODhYkpSYmKgNGzbkOu/VU6dsS1BVPX5cLy9apACrVR7Xrv13UK9e0iOPPNDjB4CibOrUqdq2bZvi4+MVFRWlli1b2rskAAAAADAdGhvAHYwePVqGYahdu3Zq0KCBvcsxrWbNmqlv37768MMP1atXL4dekurQoUPaunWrrVlxa+MiOztb7dq10yP/aRjExcVp5cqVd9yHJP30009KTU1VYGCg3nrrLV24cEF79uy547xXrlyxfV62bFnVqlVLJUqUkJeXV86P7dvLLS7ONtbz6lVVO348586cnaUxY6Rt2+7zbAAAclO8eHGtX79e69atU+fOne1dDgAAAACYEo0N4Hf27t2r//u//5OTk5MmTJhg73JM7+aSVKdOnXLoJamuX7+uX3/9NdftmZmZto8//fTTbdtvNkAkqUOHDlq0aJHq1Kkjq9WqzZs337lZ8Z+PN/n7+6tt27a3T75li7R16x8fRFaWtH37jfEsvwYAD4yfn5+6d+9u7zIAAAAAwLRobOCBmDlzpq5du6aAgAAFBASofPnyCggIkK+vb6F/OOaoUaMkSd27d9f//M//2Lka8/Py8tKCBQsUFhbm0EtSPfLII+rRo4ecnJzk5OQkZ2dn2+fXr1/Xnj17NGnSJK1evVrJyclydXVVVlaWnJ2d9cwzz6hKlSoaNmyYqlatmmO/5cuXV7du3e6vuNGjb9yN8Z9lqO6KuzYAAAAAAABQyNHYwAMxZ84c/fzzz7e97+bmJn9/f1uj49amx62flylTxvZA5Idp8+bNWr9+vVxdXTV27NiHPr+jCg0NtS1JFRkZqfj4eId7ILW3t7e8vb1t/z579qxWrlypVatWaePGjUpPT7dtK1WqlJ5//nm1bt1aLVq0UPHixbVmzRoFBgYWfGFbtkjffZf38dy1AQAAAAAAgEKOxgYeiJdfflnHjx+X1Wq1vS5cuKD09HSdPn1ap0+fvuvXu7i4yM/PL0fTw8/PT6mpqWrcuLF8fX0LvGbDMDRy5EhJUu/evRUUFFTgcxRlN5ekOnnypIYNG6a5c+fau6QCZRiG4uLitGrVKq1atUr79u3Lsb1atWpq3bq1IiIi9NRTT8nF5b8/fjMyMh5cYaNHSxaLZBh5/xqLhbs2AAAAAAAAUGjR2MADcae7HdLS0pSYmCir1aqEhARbw+P3n//666/KzMzU2bNndfbs2dv2M2fOHD333HPq3Lmznn/+eXl4eBRIzV9//bV2796t4sWL6+233y6QfeK/bl2S6oMPPlD79u0dZkmq2NhYvfTSSznuUrJYLPrzn/+siIgIRUREqGbNmg9/GbarV6U9e/LX1JBujN+9W0pNlQro+wsAAAAAAAAoKDQ28NC4u7urcuXKqly58l3HZWRkKCkpKUfDw2q16pdfftG3336rhIQErVixQitWrJCnp6ciIiLUqVMnhYeHy93d/Z5qy87Otj1bY+DAgfL397+n/eDuQkND1adPH3300UcOsyTV5cuX1aFDBx0/flzFixdX8+bNFRERoRdeeEF+fn72Lc7TUzp7Vrp0Kf9f6+NDUwMAAAAAAACFEo0NFDqurq6qWLGiKlasmOP9jIwMrV69WuXLl9eKFSsUExOjU6dOaenSpVq6dKl8fHzUpk0bde7cWaGhoXJ1dc3znDExMYqPj5ePj4+GDh1a0IeEW0ydOtVhlqQyDEN9+vTR8ePHVblyZX3//fcPZJm0+1K27I0XAAAAAAAA4CAe/tOZgftgsVhUt25dTZo0SSdOnNDu3bs1aNAglS9fXpcuXdKnn36qVq1aKSAgQL1799amTZuUlZV1131mZGRozJgxkqShQ4cWvgvTDubmklSS9MEHH2jz5s12rujeRUdHKyYmRs7Ozlq6dCnZAQAAAAAAAB4CGhswLYvFooYNG2rGjBn65ZdftHXrVvXv31/lypXThQsX9PHHHys0NFQVKlTQ66+/ru+++07Z2dm37WfhwoU6duyYypUrp4EDB9rhSIqesLAw9enTR5LUq1cvpaSk2Lmi/Dt8+LBef/11SdK7776rRo0a2bkiAAAAAAAAoGigsQGH4OTkpGeeeUZz587V2bNntX79er322msqVaqUkpKSNGfOHDVu3FiVK1fWkCFDtHfvXhmGoWvXrumdd96RJI0aNcr0z3swkylTpqhSpUq2JanM5Pr16+rcubNSU1MVFhamt956y94lAQAAAAAAAEUGjQ04HBcXF4WFhenjjz9WYmKiVq9ere7du8vLy0tnzpzR9OnT9eSTT6p69epq166dEhISVKlSJdsdBHg4vL29Tbsk1Ztvvqm4uDiVLVtWixYtkpMTP0oBAAAAAACAh4WrcXBobm5ueu6557Ro0SKdO3dOK1asUKdOneTh4aHjx49r7dq1kqRx48bJ3d3dztUWPWFhYerdu7ck8yxJtXLlStsDzxctWqSAgAA7VwQAAAAAAAAULTQ2UGQUK1ZMbdu2VUxMjM6dO6eYmBh16NBBr732mrp3727v8oqsqVOn2pakGj58uL3LuatffvlFvXr1knTjro3w8HA7VwQAAAAAAAAUPTQ2UCR5enqqU6dOWr58uT7++GO5uLjYu6Qiy9vbW5988okkae7cuYV2SarMzEx17dpVv/32m5544gm999579i4JAAAAAAAAKJJobACwu+bNm9uWpIqMjCyUS1JNmDBB3333nby8vLR06VK5ubnZuyQAAAAAAACgSKKxAaBQuLkk1YkTJwrdklRbt27Vu+++K0n66KOPVK1aNTtXBAAAAAAAABRdNDYAFAq/X5Jqy5Yt9i3oP86fP69u3bopOztbr776qrp06WLvkgAAAAAAAIAijcYGgEKjefPm+stf/iJJ6tWrl92XpDIMQ7169dLZs2cVHBys2bNn27UeAAAAAAAAADQ2ABQyf/vb3xQYGKgTJ05oxIgRdq1l9uzZ+uqrr+Tu7q5ly5bJ09PTrvUAAAAAAAAAoLEBoJC5dUmqOXPm2G1JqtjYWA0dOlTSjWZL7dq17VIHAAAAAAAAgJxobAAodFq0aJFjSaqrV68+1PlTUlLUqVMnpaenq3Xr1howYMBDnR8AAAAAAABA7mhsACiUbl2SqlOnTjp16tRDmzsqKkpHjx5VxYoVtXDhQlksloc2NwAAAAAAAIC7o7EBoFDy9vbWggUL5OzsrNWrVys4OFjDhw/XpUuXHui8ixcv1qeffionJyd99tln8vX1faDzAQAAAAAAAMgfuzY2tm3bphdffFHly5eXxWLRypUrc2zv2bOnLBZLjld4eHiOMRcvXlS3bt3k7e2tkiVLKjIyUikpKTnGxMXFqXHjxipWrJgCAwM1ZcqU22pZvny5Hn30URUrVkyPP/641qxZU+DHCyB/mjdvrn/9619q0qSJ0tLSNHnyZFWvXl1z585VRkZGgc939OhR9evXT5I0duxYNW7cuMDnAAAAAAAAAHB/7NrYuHr1qmrXrq25c+fmOiY8PFxWq9X2Wrp0aY7t3bp106FDh7R+/Xp9/fXX2rZtm3r37m3bfvnyZbVo0UKVK1fW/v37NXXqVI0bN07z58+3jdm5c6e6dOmiyMhIxcbGqk2bNmrTpo0OHjxY8AcNIF/q1aunTZs2adWqVQoODtb58+cVFRWlxx9/XF999ZUMwyiQedLT09WlSxelpKTo2Wef1ahRowpkvwAAAAAAAAAKll0bG61atdK7776rtm3b5jrG3d1d/v7+tlepUqVs2w4fPqy1a9fqk08+UcOGDfX0009r9uzZiomJUUJCgiRpyZIlSk9P18KFC/WnP/1JnTt31l//+ldNnz7dtp+ZM2cqPDxcQ4cOVc2aNTVhwgTVq1dPc+bMeXAHDyDPLBaLXnzxRcXHx2vu3LkqU6aMjhw5ooiICIWGhur777+/7zlGjBih/fv3y9fXV4sXL5azs3MBVA4AAAAAAACgoBX6Z2xs2bJF5cqVU3BwsPr166cLFy7Ytu3atUslS5ZUgwYNbO+FhYXJyclJe/bssY155pln5ObmZhvTsmVLHTlyRL/99pttTFhYWI55W7ZsqV27dj3IQwOQT66ururfv79+/vlnDRs2TO7u7tq8ebMaNGigV155RWfOnLmn/a5Zs8bW7IyOjlbFihULsmwAAAAAAAAABcjF3gXcTXh4uNq1a6egoCAdO3ZMI0eOVKtWrbRr1y45OzsrMTFR5cqVy/E1Li4u8vX1VWJioiQpMTFRQUFBOcb4+fnZtpUqVUqJiYm2924dc3Mfd5KWlqa0tDTbvy9fvixJysjIeCBr/0O288r5hYeHhyZMmKDIyEiNHj1ay5Yt06JFi7R8+XINGjRIb775pry8vPK0r4SEBL3yyiuSpKioKLVq1eqhZ4xswxGRazg6Mg5HRbbhiMg1zI4MwxGRa9xJfvJQqBsbnTt3tn3++OOPq1atWqpWrZq2bNmi0NBQO1YmTZw4UePHj7/t/XXr1snDw8MOFRUd69evt3cJKES6dOmi+vXrKzo6WocPH9bEiRM1b948denSRWFhYXddUiorK0vjxo3T+fPnFRQUpGeffVZr1qx5iNXnRLbhiMg1HB0Zh6Mi23BE5BpmR4bhiMg1bpWamprnsYW6sfF7VatWVZkyZfTzzz8rNDRU/v7+OnfuXI4xmZmZunjxovz9/SVJ/v7+SkpKyjHm5r//aMzN7XcyYsQIDR482Pbvy5cvKzAwUC1atJC3t/e9HyRylZGRofXr16t58+ZydXW1dzkoRJ577jkNHDhQK1eu1KhRo/Tzzz9r3rx52rp1qyZPnqyWLVve8esmTpyo+Ph4eXp62h5Obg9kG46IXMPRkXE4KrINR0SuYXZkGI6IXONObq6KlBemamycOXNGFy5cUEBAgCSpUaNGSk5O1v79+1W/fn1J0qZNm5Sdna2GDRvaxowaNUoZGRm2b5L169crODjY9iDyRo0aaePGjRo0aJBtrvXr16tRo0a51uLu7i53d/fb3nd1deWb8QHjHCM3L730ktq0aaN58+Zp/Pjx+uGHH/Tiiy+qRYsWmjp1qmrVqmUbu3PnTr3zzjuSpLlz5+qxxx6zV9k2ZBuOiFzD0ZFxOCqyDUdErmF2ZBiOiFzjVvnJgl0fHp6SkqIDBw7owIEDkqQTJ07owIEDOn36tFJSUjR06FDt3r1bJ0+e1MaNG9W6dWtVr17d9tfXNWvWVHh4uP7yl7/oX//6l3bs2KGoqCh17txZ5cuXlyR17dpVbm5uioyM1KFDh7Rs2TLNnDkzx90WAwcO1Nq1azVt2jT9+OOPGjdunPbt26eoqKiHfk4A3B83NzcNHDhQx44d0+DBg+Xq6qp169apTp06eu2115SQkKDffvtNXbp0UVZWlrp166YePXrYu2wAAAAAAAAAeWTXxsa+fftUt25d1a1bV5I0ePBg1a1bV2PGjJGzs7Pi4uIUERGhGjVqKDIyUvXr19f27dtz3CmxZMkSPfroowoNDdVzzz2np59+WvPnz7dt9/Hx0bp163TixAnVr19fQ4YM0ZgxY9S7d2/bmJCQEH322WeaP3++ateurS+++EIrV64sFH/BDeDelCpVytas7NixowzD0IIFC/TII4+oWbNmOn36tKpVq6Z58+bJYrHYu1wAAAAAAAAAeWTXpaiaNGkiwzBy3f7tt9/+4T58fX312Wef3XVMrVq1tH379ruO6dixozp27PiH8wEwl6pVq+rzzz/Xzp07NWTIEO3evVsHDhyQq6urYmJi5OXlZe8SAQAAAAAAAOSDXe/YAICHJSQkRDt37tSyZcvUpEkTLVy4UA0aNLB3WQAAAAAAAADyyVQPDweA+2GxWPTSSy/ppZdesncpAAAAAAAAAO4Rd2wAAAAAAAAAAADToLEBAAAAAAAAAABMg8YGAAAAAAAAAAAwDRobAAAAAAAAAADANGhsAAAAAAAAAAAA06CxAQAAAAAAAAAATIPGBgAAAAAAAAAAMA0aGwAAAAAAAAAAwDRobAAAAAAAAAAAANOgsQEAAAAAAAAAAEyDxgYAAAAAAAAAADANGhsAAAAAAAAAAMA0aGwAAAAAAAAAAADToLEBAAAAAAAAAABMg8YGAAAAAAAAAAAwDRobAAAAAAAAAADANGhsAAAAAAAAAAAA06CxAQAAAAAAAAAATIPGBgAAAAAAAAAAMA0aGwAAAAAAAAAAwDRc7F2AozAMQ5J0+fJlO1fiuDIyMpSamqrLly/L1dXV3uUABYZswxGRazg6Mg5HRbbhiMg1zI4MwxGRa9zJzWvrN6+13w2NjQJy5coVSVJgYKCdKwEAAAAAAAAAwJyuXLkiHx+fu46xGHlpf+APZWdnKyEhQV5eXrJYLPYuxyFdvnxZgYGB+uWXX+Tt7W3vcoACQ7bhiMg1HB0Zh6Mi23BE5BpmR4bhiMg17sQwDF25ckXly5eXk9Pdn6LBHRsFxMnJSRUrVrR3GUWCt7c3P/DgkMg2HBG5hqMj43BUZBuOiFzD7MgwHBG5xu/90Z0aN/HwcAAAAAAAAAAAYBo0NgAAAAAAAAAAgGnQ2IBpuLu7a+zYsXJ3d7d3KUCBIttwROQajo6Mw1GRbTgicg2zI8NwROQa94uHhwMAAAAAAAAAANPgjg0AAAAAAAAAAGAaNDYAAAAAAAAAAIBp0NgAAAAAAAAAAACmQWMD92XixIl64okn5OXlpXLlyqlNmzY6cuRIjjHXr1/XgAEDVLp0aZUoUULt27dXUlKSbfu///1vdenSRYGBgSpevLhq1qypmTNn5jrnjh075OLiojp16vxhfYZhaMyYMQoICFDx4sUVFhamo0eP5hgTERGhSpUqqVixYgoICFD37t2VkJCQvxMBh+MI2a5SpYosFkuO16RJk/J3IuBQzJ7rLVu23Jbpm6+9e/fm/4TAIZk955L0/fffq3nz5ipZsqRKly6t3r17KyUlJX8nAg6lsOd6xYoVatGihUqXLi2LxaIDBw7cNmb+/Plq0qSJvL29ZbFYlJycnNfDhwN7WNnO7XeIxMTEu9aXl5/Z7733nkJCQuTh4aGSJUve3wmBqThCfrkegt9zhFxzLaTooLGB+7J161YNGDBAu3fv1vr165WRkaEWLVro6tWrtjFvvPGGvvrqKy1fvlxbt25VQkKC2rVrZ9u+f/9+lStXTosXL9ahQ4c0atQojRgxQnPmzLltvuTkZPXo0UOhoaF5qm/KlCmaNWuWPvzwQ+3Zs0eenp5q2bKlrl+/bhvTtGlTff755zpy5Ij++c9/6tixY+rQocN9nBU4AkfItiS98847slqtttfrr79+j2cEjsDsuQ4JCcmRZ6vVqtdee01BQUFq0KDBfZ4dOAqz5zwhIUFhYWGqXr269uzZo7Vr1+rQoUPq2bPn/Z0YmFphz/XVq1f19NNPa/LkybmOSU1NVXh4uEaOHJmPI4eje9jZPnLkSI7fI8qVK3fX+vLyO3d6ero6duyofv36FcAZgZk4Qn65HoLfc4RcS1wLKTIMoACdO3fOkGRs3brVMAzDSE5ONlxdXY3ly5fbxhw+fNiQZOzatSvX/fTv399o2rTpbe936tTJePvtt42xY8catWvXvmst2dnZhr+/vzF16lTbe8nJyYa7u7uxdOnSXL/uyy+/NCwWi5Genn7X/aNoMWO2K1eubMyYMSOPR4iiyIy5vlV6erpRtmxZ45133rnrvlG0mS3nH330kVGuXDkjKyvLNiYuLs6QZBw9ejRPxwzHV5hyfasTJ04YkozY2Nhcx2zevNmQZPz222953i+KjgeV7XvJXX5/N4mOjjZ8fHzyvH84HjPn9yauh+D3zJhrroUUHdyxgQJ16dIlSZKvr6+kG13ajIwMhYWF2cY8+uijqlSpknbt2nXX/dzcx03R0dE6fvy4xo4dm6daTpw4ocTExBxz+/j4qGHDhrnOffHiRS1ZskQhISFydXXN0zwoGsya7UmTJql06dKqW7eupk6dqszMzDzNgaLBrLm+adWqVbpw4YJeffXVPM2BoslsOU9LS5Obm5ucnP77a3rx4sUlSd99912e5oHjK0y5BgrSg8y2JNWpU0cBAQFq3ry5duzYcdda7uV3ExRtZs8v10NwJ2bNNddCigYXexcAx5Gdna1Bgwbpqaee0mOPPSZJSkxMlJub221rjfr5+eW6bt7OnTu1bNkyrV692vbe0aNHNXz4cG3fvl0uLnmL7c39+/n5/eHcw4YN05w5c5Samqo///nP+vrrr/M0B4oGs2b7r3/9q+rVqydfX1/t3LlTI0aMkNVq1fTp0/M0DxybWXN9qwULFqhly5aqWLFinuZA0WPGnDdr1kyDBw/W1KlTNXDgQF29elXDhw+XJFmt1jzNA8dW2HINFJQHme2AgAB9+OGHatCggdLS0vTJJ5+oSZMm2rNnj+rVq3fH/dzL7yYousycX66HIDdmzTXXQooO7thAgRkwYIAOHjyomJiYe97HwYMH1bp1a40dO1YtWrSQJGVlZalr164aP368atSoccevW7JkiUqUKGF7bd++PV/zDh06VLGxsVq3bp2cnZ3Vo0cPGYZxz8cBx2LWbA8ePFhNmjRRrVq11LdvX02bNk2zZ89WWlraPR8HHIdZc33TmTNn9O233yoyMvKe64fjM2PO//SnP+nTTz/VtGnT5OHhIX9/fwUFBcnPzy/HXRwousyYayAvHlS2JSk4OFh9+vRR/fr1FRISooULFyokJEQzZsyQRLZx/8ycX66HIDdmzTXXQooO/gwHBSIqKkpff/21tm3bluMvZ/39/ZWenq7k5OQc3dykpCT5+/vn2McPP/yg0NBQ9e7dW2+//bbt/StXrmjfvn2KjY1VVFSUpBtdY8Mw5OLionXr1ikiIkINGza0fU2FChVsf9WYlJSkgICAHHPXqVMnx9xlypRRmTJlVKNGDdWsWVOBgYHavXu3GjVqdN/nBuZm9mzfqmHDhsrMzNTJkycVHBx8T+cDjsERch0dHa3SpUsrIiLivs4FHJeZc961a1d17dpVSUlJ8vT0lMVi0fTp01W1atUCOTcwr8KYa6AgPMhs5+bJJ5+0LfFXkL9zo+gxe365HoI7MXuub8W1EAdmx+d7wAFkZ2cbAwYMMMqXL2/89NNPt22/+VChL774wvbejz/+eNtDhQ4ePGiUK1fOGDp06G37yMrKMuLj43O8+vXrZwQHBxvx8fFGSkpKrrX5+/sbf/vb32zvXbp06Q8flnXq1ClDkrF58+a8nAI4KEfM9uLFiw0nJyfj4sWLeToHcDyOkuvs7GwjKCjIGDJkSL7PARyfo+T8VgsWLDA8PDx42HIRVphzfSseHo78ehjZzk1YWJjRtm3bu9aWn5/ZPDy86HGk/N7E9RA4Yq65FuK4aGzgvvTr18/w8fExtmzZYlitVtsrNTXVNqZv375GpUqVjE2bNhn79u0zGjVqZDRq1Mi2PT4+3ihbtqzx8ssv59jHuXPncp137NixRu3atf+wvkmTJhklS5Y0vvzySyMuLs5o3bq1ERQUZFy7ds0wDMPYvXu3MXv2bCM2NtY4efKksXHjRiMkJMSoVq2acf369Xs/MTA9s2d7586dxowZM4wDBw4Yx44dMxYvXmyULVvW6NGjx72fFJie2XN904YNGwxJxuHDh/N/EuDwHCHns2fPNvbv328cOXLEmDNnjlG8eHFj5syZ93ZC4BAKe64vXLhgxMbGGqtXrzYkGTExMUZsbKxhtVptY6xWqxEbG2t8/PHHhiRj27ZtRmxsrHHhwoV7OylwCA8r2zNmzDBWrlxpHD161IiPjzcGDhxoODk5GRs2bLhrfXn5mX3q1CkjNjbWGD9+vFGiRAkjNjbWiI2NNa5cuVKAZwqFkdnzy/UQ3InZc821kKKFxgbui6Q7vqKjo21jrl27ZvTv398oVaqU4eHhYbRt2zbHf3LGjh17x31Urlw513nz+p+s7OxsY/To0Yafn5/h7u5uhIaGGkeOHLFtj4uLM5o2bWr4+voa7u7uRpUqVYy+ffsaZ86cuZfTAQdi9mzv37/faNiwoeHj42MUK1bMqFmzpvH+++/zC2oRZ/Zc39SlSxcjJCQkP4eOIsQRct69e3fD19fXcHNzM2rVqmUsWrQov6cBDqaw5zo6OvqO+x47duwfzn/rMaDoeVjZnjx5slGtWjWjWLFihq+vr9GkSRNj06ZNf1hfXn5mv/LKK3ecn794d3xmzy/XQ3AnZs8110KKFoth8EQgAAAAAAAAAABgDk72LgAAAAAAAAAAACCvaGwAAAAAAAAAAADToLEBAAAAAAAAAABMg8YGAAAAAAAAAAAwDRobAAAAAAAAAADANGhsAAAAAAAAAAAA06CxAQAAAAAAAAAATIPGBgAAAAAAAAAAMA0aGwAAAAAAAAAAwDRobAAAAAAwjZ49e8pischiscjV1VV+fn5q3ry5Fi5cqOzs7Dzv5+9//7tKliz54AoFAAAA8MDQ2AAAAABgKuHh4bJarTp58qS++eYbNW3aVAMHDtQLL7ygzMxMe5cHAAAA4AGjsQEAAADAVNzd3eXv768KFSqoXr16GjlypL788kt98803+vvf/y5Jmj59uh5//HF5enoqMDBQ/fv3V0pKiiRpy5YtevXVV3Xp0iXb3R/jxo2TJKWlpenNN99UhQoV5OnpqYYNG2rLli32OVAAAAAAd0RjAwAAAIDpNWvWTLVr19aKFSskSU5OTpo1a5YOHTqkTz/9VJs2bdJbb70lSQoJCdH//u//ytvbW1arVVarVW+++aYkKSoqSrt27VJMTIzi4uLUsWNHhYeH6+jRo3Y7NgAAAAA5WQzDMOxdBAAAAADkRc+ePZWcnKyVK1fetq1z586Ki4vTDz/8cNu2L774Qn379tX58+cl3XjGxqBBg5ScnGwbc/r0aVWtWlWnT59W+fLlbe+HhYXpySef1Pvvv1/gxwMAAAAg/1zsXQAAAAAAFATDMGSxWCRJGzZs0MSJE/Xjjz/q8uXLyszM1PXr15WamioPD487fn18fLyysrJUo0aNHO+npaWpdOnSD7x+AAAAAHlDYwMAAACAQzh8+LCCgoJ08uRJvfDCC+rXr5/ee+89+fr66rvvvlNkZKTS09NzbWykpKTI2dlZ+/fvl7Ozc45tJUqUeBiHAAAAACAPaGwAAAAAML1NmzYpPj5eb7zxhvbv36/s7GxNmzZNTk43Hiv4+eef5xjv5uamrKysHO/VrVtXWVlZOnfunBo3bvzQagcAAACQPzQ2AAAAAJhKWlqaEhMTlZWVpaSkJK1du1YTJ07UCy+8oB49eujgwYPKyMjQ7Nmz9eKLL2rHjh368MMPc+yjSpUqSklJ0caNG1W7dm15eHioRo0a6tatm3r06KFp06apbt26+vXXX7Vx40bVqlVLzz//vJ2OGAAAAMCtnOxdAAAAAADkx9q1axUQEKAqVaooPDxcmzdv1qxZs/Tll1/K2dlZtWvX1vTp0zV58mQ99thjWrJkiSZOnJhjHyEhIerbt686deqksmXLasqUKZKk6Oho9ejRQ0OGDFFwcLDatGmjvXv3qlKlSvY4VAAAAAB3YDEMw7B3EQAAAAAAAAAAAHnBHRsAAAAAAAAAAMA0aGwAAAAAAAAAAADToLEBAAAAAAAAAABMg8YGAAAAAAAAAAAwDRobAAAAAAAAAADANGhsAAAAAAAAAAAA06CxAQAAAAAAAAAATIPGBgAAAAAAAAAAMA0aGwAAAAAAAAAAwDRobAAAAAAAAAAAANOgsQEAAAAAAAAAAEyDxgYAAAAAAAAAADCN/wfWB656jyXRnQAAAABJRU5ErkJggg==">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685800" y="69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70</xdr:row>
      <xdr:rowOff>0</xdr:rowOff>
    </xdr:from>
    <xdr:ext cx="304800" cy="304800"/>
    <xdr:sp macro="" textlink="">
      <xdr:nvSpPr>
        <xdr:cNvPr id="3" name="AutoShape 1" descr="data:image/png;base64,iVBORw0KGgoAAAANSUhEUgAABjYAAAJOCAYAAAAUHj4bAAAAOnRFWHRTb2Z0d2FyZQBNYXRwbG90bGliIHZlcnNpb24zLjEwLjAsIGh0dHBzOi8vbWF0cGxvdGxpYi5vcmcvlHJYcgAAAAlwSFlzAAAPYQAAD2EBqD+naQABAABJREFUeJzs3XlUlOX7x/HPsIOICy5o4o6C+5IaWoYrpmmYLWaaWmr60za/bWalZbZYZvbN0szSUtPsq7jmEuaOe7iCC64pKG4giDLA/P7AmURQQYFhhvfrnDk4z3M/93PNcFPnzDXXfRlMJpNJAAAAAAAAAAAANsDB2gEAAAAAAAAAAADkFIkNAAAAAAAAAABgM0hsAAAAAAAAAAAAm0FiAwAAAAAAAAAA2AwSGwAAAAAAAAAAwGaQ2AAAAAAAAAAAADaDxAYAAAAAAAAAALAZJDYAAAAAAAAAAIDNILEBAAAAAAAAAABsBokNAAAAAAAAAABgM0hsAAAAoMiJjo7Wiy++qOrVq8vNzU1eXl5q1aqVJk6cqOTkZMu4qlWrymAwqH379tnOM3XqVBkMBhkMBm3fvt1yfPTo0ZbjNz8mT56c76/PrF+/fjIYDPLy8sr0uswOHTpkieuLL77Ido5ly5bJYDCoYsWKSk9Pz3bMypUr9cILL6hevXpydHRU1apVbxlTenq6xo0bp2rVqsnNzU0NGjTQr7/+elevDwAAAEDRRGIDAAAARcrSpUtVv359/fbbb+ratav++9//6pNPPlHlypX1xhtv6JVXXsk03s3NTX/99ZdiY2OzzDVr1iy5ubnd8l7fffedfvnll0yPdu3a5flruh0nJydduXJFixcvznLuTvGbx1StWlUxMTFavXp1tmNmz56t2bNnq0SJEqpYseJt5xs5cqTeeustdejQQf/9739VuXJl9erVS3PmzLntdcuWLZOrq6s8PT2zfTg7OystLS3H43KjIO6dlJQkZ2fnW17r6uqq1atX53jcrTzwwAMqVqxYtte6u7tr1KhR+TIuO2+99Zbc3d2zvbZYsWIKCgrKl3EAAACwfSQ2AAAAUGQcPXpUPXv2VJUqVbR//35NnDhRAwcO1NChQ/Xrr79q//79qlu3bqZrWrVqJU9PT82dOzfT8X/++Ufr169Xly5dbnm/J554Qr1798708PPzy1XMx44dk8Fg0Jo1a3J1nZmrq6vatWuXbVXE7Nmzbxt/UlKSFi5cqOHDh6tx48aaNWtWtuM+/vhjJSQkaOPGjWrYsOEt5zt16pTGjx+voUOH6vvvv9fAgQO1ePFiPfTQQ3rjjTdum3BIT0/Xk08+qcTExGwf3t7eMplMOR6XGwVxb5PJpPLly9/y2u7duys9PT3H424lNTVVu3btyvbaCRMmWH4HeT0uO2lpafrvf/+b7bU7duxQampqvowDAACA7SOxAQAAgCJj3LhxSkxM1LRp01ShQoUs52vWrJltxcbjjz+u2bNnZzr+66+/qlSpUgoODs7XmPNCr1699Mcff+jSpUuWY9u2bdOhQ4fUq1evW163YMECJScn68knn1TPnj01f/58Xb16Ncu4ihUrytnZ+Y5xLFy4UEajUf/3f/9nOWYwGDRkyBD9888/Cg8Pz90Lu0dGo1FRUVGKiYkp0PsCAAAAuDckNgAAAFBkLF68WNWrV1fLli1zdV2vXr20detWRUdHW47Nnj1bTzzxxG0/0L9w4YLOnTtneVy8ePGuY78Xjz/+uAwGg+bPn285Nnv2bPn7+6tJkya3vG7WrFlq06aNfHx81LNnT12+fDnbLa1y6u+//1axYsUUEBCQ6Xjz5s0t5wvSqVOnFBAQoBEjRhTofQEAAADcGxIbAAAAKBISEhJ06tQp1a9fP9fXtm3bVj4+PpbtnCIjIxUREXHbagdJql27tsqWLWt5NG7c+K5iv1fFixfXo48+aqk6SU9P15w5c/TMM8/c8pqzZ8/qzz//VM+ePSVJlStXVmBg4C23o8qJmJgYlS9fXgaDIdNxc/XM6dOn73puAAAAAEWHk7UDAAAAAApCQkKCpIwP+XPL0dFRTz31lH799Ve9++67mjVrlnx9ffXQQw/pyJEjt7zuf//7n7y8vCzP3d3d73ivxMTETNs9mas84uPjde7cOctxZ2dnlShRIsevoVevXnryyScVGxurvXv3KjY29raJmTlz5sjBwUE9evSwHHvmmWf0n//8RxcvXlSpUqVyfG+z5ORkubq6ZjlubmCenJyc6znvRdWqVXPdbwMAAACA9ZHYAAAAQJFgTjBcvnz5rq7v1auXvv76a+3atUuzZ89Wz549s1Qe3Kx169YqU6ZMru4zbNgwzZgxI8vxkJCQTM8ffvjhXDUU79y5s4oXL665c+cqIiJCzZo1U82aNXXs2LFsx8+cOVPNmzfX+fPndf78eUlS48aNlZKSonnz5mnQoEE5vreZu7u7rl27luW4OZGTk8QPAAAAAJDYAAAAQJHg5eWlihUrau/evXd1fYsWLVSjRg29+uqrOnr06B23obpbb775pnr37m15fubMGfXu3VtffPGFGjZsaDme24oJV1dXPf7445oxY4aOHDmi0aNH33LsoUOHtG3bNkmSn59flvOzZs26q8RGhQoV9Ndff8lkMmVKCpmbd1esWDHXcwIAAAAoekhsAAAAoMh49NFH9f333ys8PFyBgYG5vv6ZZ57RRx99pICAADVq1CjvA5RUp04d1alTx/LcXFHRtGlTBQUF3dPcvXr10o8//igHBwdL74zszJo1S87Ozvrll1/k6OiY6dyGDRv09ddf68SJE6pcuXKu7t+oUSP98MMPioyMzPQat2zZYjkPAAAAAHdC83AAAAAUGW+++aaKFSumAQMG6MyZM1nOR0dHa+LEibe8fsCAARo1apTGjx+fn2HmmzZt2mjMmDH65ptv5OPjc8txs2bN0kMPPaSnn35aTzzxRKbHG2+8IUmWRuq58dhjj8nZ2Vnffvut5ZjJZNLkyZN13333qWXLlrl/UffAaDQqKirKUjECAAAAwDZQsQEAAIAio0aNGpo9e7aefvppBQQE6LnnnlO9evWUkpKiTZs2ad68eerXr98tr69Spcptt3Aq7BwcHPTuu+/edsyWLVt0+PBhDRs2LNvz9913n5o0aaJZs2bprbfekiTt3r1bixYtkiQdPnxY8fHx+uijjyRJDRs2VNeuXSVJlSpV0quvvqrPP/9cRqNRzZo1U2hoqNavX69Zs2ZlqQ7Jb6dOnVJAQID69u2r6dOnF+i9AQAAANw9EhsAAAAoUrp166bdu3fr888/18KFC/Xdd9/J1dVVDRo00Pjx4zVw4EBrh2hVs2bNkiRLMiI7Xbt21ejRo7V79241aNBAO3fu1HvvvZdpjPl53759M8316aefqlSpUpoyZYqmT58uPz8/zZw5M996lgAAAACwPyQ2AAAAUOT4+fnp+++/v+M4c3+L2+nXr1+WKo/Ro0fnWWVH1apVZTKZ7ura6dOn37ES4eb5v/76a3399de3vWbUqFEaNWqU5Xl278GtODg4aMSIERoxYkSOxuene3lvAQAAAFgPPTYAAAAAAAAAAIDNoGIDAAAAgE347bfftGTJkmzPJSQk5HpcYbv36dOnVbJkyWzPXblyRQMGDMjVuFtp0qSJHByyfsctJSVFw4cPz7dx2Xn55Zf1+uuvZzmenp6uBg0a5Ns4AAAA2DaDidprAAAAAAAAAABgI9iKCgAAAAAAAAAA2AwSGwAAAAAAAAAAwGaQ2AAAAAAAAAAAADaD5uF5JD09XadPn1bx4sVlMBisHQ4AAAAAAAAAADbDZDLp8uXLqlixohwcbl+TQWIjj5w+fVq+vr7WDgMAAAAAAAAAAJt18uRJVapU6bZjCk1i49NPP9WIESP0yiuv6KuvvpIkXb16Vf/5z380Z84cXbt2TcHBwfr2229Vvnx5y3UnTpzQkCFD9Ndff8nT01N9+/bVJ598Iienf1/amjVrNHz4cO3bt0++vr5699131a9fv0z3nzRpkj7//HPFxsaqYcOG+u9//6vmzZvnOP7ixYtLynjTvby87v6NwC0ZjUatXLlSHTt2lLOzs7XDAfIMaxv2iHUNe8cah71ibcMesa5h61jDsEesa2QnISFBvr6+ls/ab6dQJDa2bdumKVOmqEGDBpmOv/baa1q6dKnmzZunEiVKaNiwYXr88ce1ceNGSVJaWpq6dOkiHx8fbdq0STExMXruuefk7Oysjz/+WJJ09OhRdenSRYMHD9asWbMUFhamAQMGqEKFCgoODpYkzZ07V8OHD9fkyZPVokULffXVVwoODtaBAwdUrly5HL0G8/ZTXl5eJDbyidFolIeHh7y8vPgPHuwKaxv2iHUNe8cah71ibcMesa5h61jDsEesa9xOTlo9WL15eGJiop599llNnTpVpUqVshyPj4/XtGnT9OWXX6pt27Zq2rSpfvrpJ23atEmbN2+WJK1cuVL79+/XzJkz1ahRIz3yyCMaM2aMJk2apJSUFEnS5MmTVa1aNY0fP14BAQEaNmyYnnjiCU2YMMFyry+//FIDBw5U//79VadOHU2ePFkeHh768ccfC/bNAAAAAAAAAAAAt2X1io2hQ4eqS5cuat++vT766CPL8R07dshoNKp9+/aWY/7+/qpcubLCw8P1wAMPKDw8XPXr18+0NVVwcLCGDBmiffv2qXHjxgoPD880h3nMq6++KklKSUnRjh07NGLECMt5BwcHtW/fXuHh4beM+9q1a7p27ZrleUJCgqSMbKPRaLy7NwO3ZX5feX9hb1jbsEesa9g71jjsFWsb9oh1DVvHGoY9Yl0jO7lZD1ZNbMyZM0c7d+7Utm3bspyLjY2Vi4uLSpYsmel4+fLlFRsbaxlzY1LDfN587nZjEhISlJycrIsXLyotLS3bMVFRUbeM/ZNPPtEHH3yQ5fjKlSvl4eFxy+tw71atWmXtEIB8wdqGPWJdw96xxmGvWNuwR6xr2DrWMOwR6xo3unLlSo7HWi2xcfLkSb3yyitatWqV3NzcrBXGXRsxYoSGDx9ueW5ubNKxY8fb9thIS0tTamqqTCZTQYRpV1JTU7Vp0ya1bNkyU3N4ZDAYDHJ2dpaDg9V3mEMuGY1GrVq1Sh06dGBfSdgN1jXsHWsc9oq1DXvEuoatYw3DHrGukR3zrkg5YbVPh3fs2KGzZ8+qSZMmlmNpaWlat26dvvnmG61YsUIpKSm6dOlSpqqNM2fOyMfHR5Lk4+OjrVu3Zpr3zJkzlnPmn+ZjN47x8vKSu7u7HB0d5ejomO0Y8xzZcXV1laura5bjzs7O2f4xmkwmxcbG6tKlS7ecE7dnMpnk4+OjmJiYHDWQKYocHBxUrVo1ubi4WDsU3IVb/fcDsGWsa9g71jjsFWsb9oh1DVvHGoY9Yl3jRrlZC1ZLbLRr10579uzJdKx///7y9/fXW2+9JV9fXzk7OyssLEw9evSQJB04cEAnTpxQYGCgJCkwMFBjx47V2bNnVa5cOUkZ5UteXl6qU6eOZcyyZcsy3WfVqlWWOVxcXNS0aVOFhYUpJCREkpSenq6wsDANGzYsz16vOalRrlw5eXh48MH8XUhPT1diYqI8PT2pSshGenq6Tp8+rZiYGFWuXJk1BgAAAAAAAMAuWS2xUbx4cdWrVy/TsWLFisnb29ty/IUXXtDw4cNVunRpeXl56aWXXlJgYKAeeOABSVLHjh1Vp04d9enTR+PGjVNsbKzeffddDR061FJNMXjwYH3zzTd688039fzzz2v16tX67bfftHTpUst9hw8frr59++r+++9X8+bN9dVXXykpKUn9+/fPk9ealpZmSWp4e3vnyZxFUXp6ulJSUuTm5kZi4xbKli2r06dPKzU1lWw3AAAAAAAAALtUqBsVTJgwQQ4ODurRo4euXbum4OBgffvtt5bzjo6OWrJkiYYMGaLAwEAVK1ZMffv21YcffmgZU61aNS1dulSvvfaaJk6cqEqVKumHH35QcHCwZczTTz+tuLg4vf/++4qNjVWjRo20fPnyLA3F75a5mztNxZHfzFtQpaWlkdgAAAAAAAAAYJcKVWJjzZo1mZ67ublp0qRJmjRp0i2vqVKlSpatpm4WFBSkv//++7Zjhg0blqdbT2WHrYGQ31hjAAAAAAAAAOwd+/kAAAAAAAAAAACbQWID98xgMCg0NNTaYQAAAAAAAAAAigASG7ij2NhYvfTSS6pevbpcXV3l6+urrl27KiwszNqhAQAAAAAAAACKmELVYwOFz7Fjx9SqVSuVLFlSn3/+uerXry+j0agVK1Zo6NChioqKsnaIAAAAAAAAAIAihIoN3Nb//d//yWAwaOvWrerRo4dq1aqlunXravjw4dq8eXO21+zZs0dt27aVu7u7vL29NWjQICUmJlrOr1mzRs2bN1exYsVUsmRJtWrVSsePH7ecX7hwoZo0aSI3NzdVr15dH3zwgVJTU/P9tQIAAAAAAAAACj8qNqzEZDLpypUrBX5fDw8PGQyGHI29cOGCli9frrFjx6pYsWJZzpcsWTLLsaSkJAUHByswMFDbtm3T2bNnNWDAAA0bNkzTp09XamqqQkJCNHDgQP36669KSUnR1q1bLTGtX79ezz33nL7++ms99NBDio6O1qBBgyRJ77333t2/cAAAAAAAAAAoTBISpC1bpBYtJC8va0djU0hsWMmVK1fk6elZ4PdNTEzMNkmRncOHD8tkMsnf3z/H88+ePVtXr17Vzz//bLnPN998o65du+qzzz6Ts7Oz4uPj9eijj6pGjRqSpICAAMv1H3zwgd5++2317dtXklS9enWNGTNGb775JokNAAAAAAAAAPYjMlLauTMjqdGihbWjsSlsRYVbMplMub4mMjJSDRs2zJQ8adWqldLT03XgwAGVLl1a/fr1U3BwsLp27aqJEycqJibGMnbXrl368MMP5enpaXkMHDhQMTExVqlwAQAAAAAAAIA8Fx8v7d0rOTpm/ExIsHZENoWKDSvx8PDI1HeiIO+bU35+fjIYDHneIPynn37Syy+/rOXLl2vu3Ll69913tWrVKj3wwANKTEzUBx98oMcffzzLdW5ublZ5zwAAAAAAAAAgT0VFSRcuSLVqSQcPZlRvULWRYyQ2rMRgMOR4SyhrKV26tIKDgzVp0iS9/PLLWeK9dOlSlj4bAQEBmj59upKSkizjN27cKAcHB9WuXdsyrnHjxmrcuLFGjBihwMBAzZ49Ww888ICaNGmiAwcOqGbNmlniSU9Pz/sXCQAAAAAAAAAF6Xq1hql0aRkcHCRv74yqjYAAem3kEFtR4bYmTZqktLQ0NW/eXP/73/906NAhRUZG6uuvv1ZgYGCW8c8++6zc3NzUt29f7d27V3/99Zdeeukl9enTR+XLl9fRo0c1YsQIhYeH6/jx41q5cqUOHTpk6bPx/vvv6+eff9YHH3ygffv2KTIyUnPmzNG7775b0C8dAAAAAAAAAPJeVJTSz51TwKhRevzjj3XGySmjeiMy0tqR2QwqNnBb1atX186dOzV27Fj95z//UUxMjMqWLaumTZvqu+++yzLew8NDK1as0CuvvKJmzZrJw8NDPXr00Jdffmk5HxUVpRkzZuj8+fOqUKGChg4dqhdffFGSFBwcrCVLlujDDz+0NBv39/fXgAEDCvR1AwAAAAAAAECeu16tse/aNR04dUr/nD+vUp6eUmoqVRu5QGIDd1ShQgV98803+uabb7I9f3OT8fr162v16tXZji1fvrwWLFhw2/sFBwcrODg4y3G2ogIAAAAAAABg06731gg7cUKS9FCdOnJxdpbKlJEOHKDXRg6xFRUAAAAAAAAAAPnterWGvL21es8eSVLbBg0yzhkM//baSEiwYpC2gcQGAAAAAAAAAAD57Xq1RmqpUlq7d6+kGxIbUkbVBr02coTEBgAAAAAAAAAA+emGao2dR44o4coVlfL0VKNq1f4dQ9VGjpHYAAAAAAAAAAAgP0VFSbGxksmksE2bJElBtWrJ8cIFKS7u34fJlDGOqo3bonk4AAAAAAAAAAD5KTFR8vWVJK0+cECS1LZOHckpm4/ofX0zxuOWSGwAAAAAAAAAAJCf2rWTJF27dk0bXnxRktR2xAipTh1rRmWz2IoKAAAAAAAAAIACsHnzZl29elU+Pj4KCAiwdjg2i8QGAAAAAAAAAAAFYPXq1ZKktm3bymAwWDka20ViAwAAAAAAAACAAhAWFiYpI7GBu0diAwAAAAAAAACAfJaYmKgtW7ZIIrFxr0hs4Lb69esng8GgwYMHZzk3dOhQGQwG9evXL9Px8PBwOTo6qkuXLtnO+fLLL6tp06ZydXVVo0aNsh2ze/duPfTQQ3Jzc5Ovr6/GjRt3ry8FAAAAAAAAAKxmw4YNSk1NVdWqVVWtWjVrh2PTSGzgjnx9fTVnzhwlJydbjl29elWzZ89W5cqVs4yfNm2aXnrpJa1bt06nT5/Ods7nn39eTz/9dLbnEhIS1LFjR1WpUkU7duzQ559/rtGjR+v777/PmxcEAAAAAAAAAAXM3F+jXbt2Vo7E9jlZOwAUfk2aNFF0dLTmz5+vZ599VpI0f/58Va5cOUtmMTExUXPnztX27dsVGxur6dOn65133sk05uuvv5YkxcXFaffu3VnuN2vWLKWkpOjHH3+Ui4uL6tatq4iICH311Vfq2bNnPr1KAAAAAAAAAMg/NzYOx72hYsPKUlJSbvlITU3N8Vij0XjHsffi+eef108//WR5/uOPP6p///5Zxv3222/y9/dX7dq11bt3b/34448ymUy5uld4eLhat24tFxcXy7Hg4GAdOHBAly5duuvXAAAAAAAAAADWcOHCBe3cuVOS1KZNGytHY/uo2LCyTz755Jbn/Pz81KtXL8vzL774IksCw6xKlSqZel1MnDhRV65cyTRm1KhRdx1n7969NWLECB0/flyStHHjRs2ZM0dr1qzJNG7atGnq3bu3JKlTp06Kj4/X2rVrFRQUlON7xcbGZqkEKV++vCTpzJkz2W5/BQAAAAAAAACF1dq1a2UymRQQEKAKFSpYOxybR2IDOVK2bFl16dJF06dPl8lkUpcuXVSmTJlMYw4cOKCtW7dqwYIFkiQnJyc9/fTTmjZtWq4SGwAAAAAAAABgT9iGKm+R2LCyESNG3PKcg0PmncJef/31W441GAyZnr/yyiv3Flg2nn/+eQ0bNkySNGnSpCznp02bptTUVFWsWNFyzGQyydXVVd98841KlCiRo/v4+PjozJkzmY6Zn5srNwAAAAAAAADAVtA4PG+R2LCyG/tIWGtsTnXq1EkpKSkyGAwKDg7OdC41NVU///yzxo8fr44dO2Y6FxISol9//VWDBw/O0X0CAwM1cuRIGY1GOTs7S5JWrVql2rVrq2TJknnyWgAAAAAAAACgIMTExGj//v0yGAx6+OGHrR2OXaB5OHLM0dFRkZGR2r9/vxwdHTOdW7JkiS5evKgXXnhB9erVy/To0aOHpk2bZhl7+PBhRUREKDY2VsnJyYqIiFBERISlwXmvXr3k4uKiF154Qfv27dPcuXM1ceJEvfrqqwX5cgEAAAAAAADgnv3111+SpMaNG6t06dJWjsY+ULGBXPHy8sr2+LRp09S+fftst5vq0aOHxo0bp927d6tBgwYaMGCA1q5daznfuHFjSdLRo0dVtWpVlShRQitXrtTQoUPVtGlTlSlTRu+//74GDRqkhISE/HlhAAAAAAAAAJAP6K+R90hs4LamT59+2/OhoaF3nKN58+YymUyW52vWrLnjNQ0aNND69eszHUtPT7/jdQAAAAAAAABQmNBfI++xFRUAAAAAAAAAAPng6NGjOnr0qJycnPTggw9aOxy7QWIDAAAAAAAAAIB8YK7WaNGihTw9Pa0cjf0gsQEAAAAAAAAAQD6gv0b+ILEBAAAAAAAAAEAeM5lMJDbyCYkNAAAAAAAAAADyWFRUlGJjY+Xm5qbAwEBrh2NXSGwAAAAAAAAAAJDHzNUaDz74oFxdXa0cjX0hsQEAAAAAAAAAQB4LCwuTxDZU+YHEBgAAAAAAAAAAeSgtLU1r1qyRRGIjP5DYAAAAAAAAAAAgD+3atUsXL16Ul5eXmjZtau1w7A6JDdg0g8Gg0NDQAr9v1apV9dVXX912TEpKimrWrKlNmzbleN7Ro0erUaNGluf9+vVTSEiI5XnPnj01fvz4XEYLAAAAAAAAoCCZ+2s8/PDDcnJysnI09ofEhi1KSJBWrcr4mc/69esng8FgeXh7e6tTp07avXt3vt87Li5OQ4YMUeXKleXq6qqKFSuqR48e2rhxo2VMTEyMHnnkkXyP5W5MnjxZ1apVU8uWLfNsznfffVdjx45VfHx8ns0JAAAAAAAAIG/RXyN/kdiwRZGR0s6dGT8LQKdOnRQTE6OYmBiFhYXJyclJjz76aL7ft0ePHvr77781Y8YMHTx4UKGhoWrVqpXOnz9vGePj4yNXV9d8jyW3TCaTvvnmG73wwgt5Om+9evVUo0YNzZw5M0/nBQAAAAAAAJA3UlJStH79ekkkNvILiQ1bEx8v7d0rOTpm/CyAqg1XV1f5+PjIx8dHjRo10ttvv62TJ08qLi5OkrRmzRoZDAZdunTJck1ERIQMBoOOHTumpKQkeXl56ffff880b2hoqIoVK6bLly9nueelS5e0fv16ffbZZ2rTpo2qVKmi5s2ba/jw4erWrZtl3M1bUW3atEmNGjWSm5ub7r//foWGhspgMCgiIiJTrGFhYbr//vvl4eGhli1b6sCBA5Y5oqOj9dhjj6l8+fLy9PRUs2bN9Oeff+bqPduxY4eio6PVpUuXTMffeust1apVSx4eHqpevbree+89GY3GXM3dtWtXzZkzJ1fXAAAAAAAAACgY27ZtU1JSksqUKaN69epZOxy7RGLD1kRFSRcuSH5+GT8LqGrDLDExUTNnzlTNmjXl7e2do2uKFSumnj176qeffsp0/KefftITTzyh4sWLZ7nG09NTnp6eCg0N1bVr13J0n4SEBHXt2lX169fXzp07NWbMGL311lvZjh05cqTGjx+v7du3y8nJSc8//3ym19i5c2eFhYXp77//VqdOndS1a1edOHEiR3FI0vr161WrVq0sr6148eKaPn269u/fr4kTJ2rq1KmaMGFCjueVpObNm2vr1q05fl8AAAAAAAAAFBxzf402bdrIwYGP4PMD76otMVdreHtLDg4ZPwugamPJkiWWREPx4sW1aNEizZ07N1d/lAMGDNCKFSsUExMjSTp79qyWLVuWKaFwIycnJ02fPl0zZsxQyZIl1apVK40cOVJ79+695T1mz54tg8GgqVOnqk6dOnrkkUf0xhtvZDt27Nixevjhh1WnTh29/fbb2rRpk65evSpJatiwoV588UXVq1dPfn5+GjNmjGrUqKFFixbl+PUeP35cFStWzHL83XffVcuWLVW1alV17dpVr7/+un777bcczytJFStWVEpKimJjY3N1HQAAAAAAAID8Z05stGvXzsqR2C8SG7bEXK1RpkzG8zJlCqRqo02bNoqIiFBERIS2bt2q4OBgPfLIIzp+/HiO52jevLnq1q2rGTNmSJJmzpypKlWqqHXr1re8pkePHjp9+rQWLVqkTp06ae3atQoKCtL06dOzHX/gwAE1aNBAbm5ume6bnQYNGlj+XaFCBUkZyRYpo2Lj9ddfV0BAgEqWLClPT09FRkbmqmIjOTk5Uxxmc+fOVatWreTj4yNPT0+9++67uZpXktzd3SVJV65cydV1AAAAAAAAAPLXlStXtGnTJkn018hPJDZsxY3VGgZDxjGDoUCqNooVK6aaNWuqZs2aatasmX744QclJSVp6tSpkmSp3DCZTJZrsusbMWDAAEtS4qefflL//v1lML+WW3Bzc1OHDh303nvvacOGDerVq5c++OCDe35Nzs7Oln+bY0hPT5ckvf7661qwYIE+/vhjrV+/XhEREapfv75SUlJyPH+ZMmV08eLFTMfCw8P17LPPqnPnzlqyZIn+/vtvjRw5MlfzStKFCxckSWXLls3VdQAAAAAAAADy16ZNm5SSkqJKlSqpZs2a1g7HbpHYsBU3V2uYFVDVxo0MBoMcHByUnJws6d8P2M3bTEmyNOu+Ue/evXX8+HF9/fXX2r9/v/r27Zvre9euXVtJSUm3PLdnz55MvSe2bduW63ts3LhR/fr1U/fu3VW/fn35+Pjo2LFjuZqjcePGioqKypTs2bRpk6pUqaKRI0fq/vvvl5+fX66qXsz27t2rSpUqqczNawEAAAAAAACAVZm3oWrbtu0dv9SNu0diwxZkV61hVgBVG9euXVNsbKxiY2MVGRmpl156SYmJierataskqWbNmvL19dXo0aN16NAhLV26VOPHj88yT6lSpfT444/rjTfeUMeOHVWpUqVb3vP8+fNq27atZs6cqd27d+vo0aOaN2+evv76a3Xr1i3ba3r16qX09HQNGjRIkZGRWrFihb744gtJytV/RPz8/DR//nxFRERo165dlnlzo02bNkpMTNS+ffsyzXvixAnNmTNH0dHR+vrrr7VgwYJczStlNCbv2LFjrq8DAAAAAAAAkL/or1EwSGzYgltVa5jlc9XG8uXLVaFCBVWoUEEtWrTQtm3bNG/ePAUFBUnK2Nbp119/VVRUlBo0aKDPPvtMH330UbZzvfDCC0pJSbll03AzT09PtWjRQhMmTFDr1q1Vr149jRo1Ss8995z++9//ZnuNl5eXFi9erIiICDVq1EgjR47U+++/L0nZ9ru4lS+//FKlSpVSy5Yt1bVrVwUHB6tJkyY5vl6SvL291b17d82aNctyrFu3bnrttdc0bNgwNWrUSJs2bdJ7772Xq3mvXr2q0NBQDRw4MFfXAQAAAAAAAMhf8fHxlh1k2rRpY+Vo7JvBdONeObhrCQkJKlGihOLj4+Xl5ZXp3NWrV3X06FFVq1YtVx+wS8qo1vj994zKjNv1VIiLk0wm6cknpZvuX5j88ssveu2113T69Gm5uLjk6tr09HQlJCTIy8vL0tfjTmbNmqX+/fsrPj7e0nS7oOzevVsdOnRQdHS0PD0982TO7777TgsWLNDKlSuzPX9Paw1WYzQatWzZMnXu3DlT/xfAlrGuYe9Y47BXrG3YI9Y1bB1rGPbIXtf14sWL1a1bN/n5+engwYPWDsfm3O4z9ps5FVBMuFtRUVJsrOTjk5G8uBWTKWNcZKTUokXBxZdDV65cUUxMjD799FO9+OKLuU5q5NTPP/+s6tWr67777tOuXbv01ltv6amnnirwpIYkS/XK0aNHVb9+/TyZ09nZ+ZYVKwAAAAAAAACs58b+GshfJDYKu8REydc3Z2N9fTPGF0Ljxo3T2LFj1bp1a40YMSLf7hMbG6v3339fsbGxqlChgp588kmNHTs23+53J/369cvT+QYMGJCn8wEAAAAAAADIGyQ2Cg6JjcLOTprMjB49WqNHj873+7z55pt688038/0+AAAAAAAAAGAWFxen3bt3S6K/RkGgeTgAAAAAAAAAAPfgr7/+kpSxPX3Z2/VKRp4gsQEAAAAAAAAAwD1gG6qCRWIDAAAAAAAAAIB7QGKjYJHYAAAAAAAAAADgLp08eVKHDh2Sg4ODWrdube1wigQSGwAAAAAAAAAA3CVzf41mzZqpRIkSVo6maCCxYauSk60dAQAAAAAAAAAUeWFhYZLYhqogkdiwRevWSd7e0vr11o7E6gwGg0JDQ60dBgAAAAAAAIAiyGQy0V/DCkhs2KKRIzMqNkaOLLBbhoeHy9HRUV26dMn1tVWrVtVXX32V90HlQL9+/WQwGCwPb29vderUSbt377ZKPAAAAAAAAADsx+HDh/XPP//IxcVFLVu2tHY4RQaJDVuzZo20YUPGv9evz3heAKZNm6aXXnpJ69at0+nTpwvknnmlU6dOiomJUUxMjMLCwuTk5KRHH33U2mEBAAAAAAAAsHHmao2WLVvKw8PDytEUHSQ2bM1770mOjhn/dnSU3n8/32+ZmJiouXPnasiQIerSpYumT5+eZczixYvVrFkzubm5qUyZMurevbskKSgoSMePH9drr71mqZqQpNGjR6tRo0aZ5vjqq69UtWpVy/Nt27apQ4cOKlOmjEqUKKE2bdpo165duY7f1dVVPj4+8vHxUaNGjfT222/r5MmTiouLkyStWbNGBoNBly5dslwTEREhg8GgY8eOKSkpSV5eXvr9998zzRsaGqpixYrp8uXLuY4JAAAAAAAAgO1jGyrrILFhS8zVGmlpGc/T0gqkauO3336Tv7+/ateurd69e+vHH3+UyWSynF+6dKm6d++uzp076++//1ZYWJiaN28uSZo/f74qVaqkDz/80FI1kVOXL19W3759tWHDBm3evFk1a9bUU089dU+JhMTERM2cOVM1a9aUt7d3jq4pVqyYevbsqZ9++inT8Z9++klPPPGEihcvftfxAAAAAAAAALBN6enpJDasxMnaASAXzNUa5sSG9G/Vxrp1+XbbadOmqXfv3pIytnWKj4/X2rVrFRQUJEkaO3asevbsqQ8++MByTcOGDSVJpUuXlqOjo4oXLy4fH59c3ffm/xhMmTJFpUuX1tq1a9WtW7ccz7NkyRJ5enpKkpKSklShQgUtWbJEDg45z+sNGDBALVu2VExMjCpUqKCzZ89q2bJl+vPPP3M8BwAAAAAAAAD7sXfvXp07d07FihVTs2bNrB1OkULFhq24uVrDLJ+rNg4cOKCtW7fqmWeekSQ5OTnp6aef1rRp0yxjIiIi1K5duzy/95kzZzRw4ED5+fmpRIkSKlmypBITE3Xy5MlczdOmTRtFREQoIiJCW7duVXBwsB555BEdP348x3M0b95cdevW1YwZMyRJM2fOVJUqVdS6detcxQIAAAAAAADAPpirNR566CG5uLhYOZqihcSGrbixt8bN8rHXxrRp05SamqqKFSvKyclJTk5O+u677/S///1P8fHxkiR3d/dcz+vg4JBpOytJMhqNmZ737dtXERERmjhxojZt2qSdO3eqdOnSSklJydW9ihUrppo1a6pmzZpq1qyZfvjhByUlJWnq1KmWWCRliufmWKSMqg1zf5GffvpJ/fv3t/QMAQAAAAAAAFC0mBMb+fGlb9weiQ1bcKtqDbN8qtpITU3Vzz//rPHjx1sqHiIiIrRr1y5VrFhRv/76qySpQYMGCgsLu+U8Li4uSrsp9rJlyyo2NjZTMiEiIiLTmI0bN+rll19W586dVbduXbm6uur8+fP3/LoMBoMcHByUnJxsiUVSpv4fN8ciSb1799bx48f19ddfa//+/erbt+89xwIAAAAAAADA9qSmpmrt2rWS6K9hDSQ2bMHtqjXM8qFqY8mSJbp48aJeeOEF1atXL9OjR48elu2oRo0apV9//VWjRo1SZGSk9uzZo88++8wyT9WqVbVu3TqdOnVK586dkyQFBQUpLi5O48aNU3R0tCZNmqQ//vgj0/39/Pz0yy+/KDIyUlu2bFGfPn3uqjrk2rVrio2NVWxsrCIjI/XSSy8pMTFRXbt2lSTVrFlTvr6+Gj16tA4dOqSlS5dq/PjxWeYpVaqUHn/8cb3xxhvq2LGjKlWqlOtYAAAAAAAAANi+HTt2KCEhQaVKlbL0G0bBIbFR2N2pWsMsH6o2pk2bpvbt26tEiRJZzvXo0UPbt2/X7t27FRQUpHnz5mnRokVq1KiR2rZtq61bt1rGfvjhhzp27Jhq1KhhqY4ICAjQt99+q0mTJqlhw4baunWrXn/99Sz3v3jxopo0aaI+ffpo2LBhKlOmTK5fx/Lly1WhQgVVqFBBLVq00LZt2zRv3jxL83NnZ2f9+uuvioqKUoMGDfTZZ5/po48+ynauF154QSkpKXr++edzHQcAAAAAAAAA+2DehiooKEiOd/pSOvKck7UDwB2YqzXulNiQ/q3aWLcuT269ePHiW55r3rx5pm2kHn/8cT3++OPZjn3ggQe0a9euLMcHDx6swYMHZzr2zjvvWP7duHFjbdu2zfI8PT1dHTt2lJeXl+XYzX06bjZ9+nRLX4zbadWqlXbv3p3pWHZznzp1St7e3nrsscfuOCcAAAAAAAAA+2RObLANlXVQsVGY5bRawyyfem1AunLliqKjo/Xpp5/qxRdflIuLi7VDAgAAAAAAAGAF165d04YNGyTRONxaSGwUZu+9JxkMubvGYMjzXhuQxo0bJ39/f/n4+GjEiBHWDgcAAAAAAACAlYSHh+vq1avy8fGRv7+/tcMpkkhsFFZJSdKWLdIdtlrKwmSSNm+WrlzJn7iKqNGjR8toNCosLEyenp7WDgcAAAAAAACAldy4DZUht19MR56gx0ZhVayYdOqUFB+f+2tLlJA8PPI+JgAAAAAAAAAo4uivYX0kNgqzsmUzHgAAAAAAAAAAq0tMTNSWLVsk0V/DmtiKCgAAAAAAAACAHNiwYYNSU1NVrVo1Va1a1drhFFkkNgAAAAAAAAAAyIGwsDBJbENlbVZNbHz33Xdq0KCBvLy85OXlpcDAQP3xxx+W80FBQTIYDJkegwcPzjTHiRMn1KVLF3l4eKhcuXJ64403lJqammnMmjVr1KRJE7m6uqpmzZqaPn16llgmTZqkqlWrys3NTS1atNDWrVvz5TUDAAAAAAAAAGwT/TUKB6v22KhUqZI+/fRT+fn5yWQyacaMGXrsscf0999/q27dupKkgQMH6sMPP7Rc43FDU+y0tDR16dJFPj4+2rRpk2JiYvTcc8/J2dlZH3/8sSTp6NGj6tKliwYPHqxZs2YpLCxMAwYMUIUKFRQcHCxJmjt3roYPH67JkyerRYsW+uqrrxQcHKwDBw6oXLlyBfiOZBYXd/e9w2nNAQAAAAAAAAB558KFC/r7778lSW3atLFyNEWbVRMbXbt2zfR87Nix+u6777R582ZLYsPDw0M+Pj7ZXr9y5Urt379ff/75p8qXL69GjRppzJgxeuuttzR69Gi5uLho8uTJqlatmsaPHy9JCggI0IYNGzRhwgRLYuPLL7/UwIED1b9/f0nS5MmTtXTpUv344496++238+vl31ZSknTffZLRmPtrnZ2lS5ekG3JAdstgMGjBggUKCQnJt3uMHj1aoaGhioiIkCT169dPly5dUmhoaL7dEwAAAAAAAEDhsnbtWplMJtWpU0cVKlSwdjhFmlUTGzdKS0vTvHnzlJSUpMDAQMvxWbNmaebMmfLx8VHXrl313nvvWao2wsPDVb9+fZUvX94yPjg4WEOGDNG+ffvUuHFjhYeHq3379pnuFRwcrFdffVWSlJKSoh07dmjEiBGW8w4ODmrfvr3Cw8NvGe+1a9d07do1y/OEhARJktFolPGmbITRaJTJZFJ6errS09Nz9H64u0stWhi0caNkMhlydI0kGQwmPfCA5OZmUg5vlSPh4eFq3bq1goODtWTJklxdW716db3yyit65ZVX7ikGk8lk+Xnj+3i79zUuLk6jRo3SsmXLdObMGZUqVUoNGjTQe++9p1atWuXqvuZ7mEymLDEUFunp6TKZTDIajXJ0dLR2OMgh838zbv5vB2DLWNewd6xx2CvWNuwR6xq2jjUMe2ST6/ryZa366SdJGS0UbCp2G5Gb99TqiY09e/YoMDBQV69elaenpxYsWKA6depIknr16qUqVaqoYsWK2r17t9566y0dOHBA8+fPlyTFxsZmSmpIsjyPjY297ZiEhAQlJyfr4sWLSktLy3ZMVFTULeP+5JNP9MEHH2Q5vnLlykzbZUmSk5OTfHx8lJiYqJSUlJy8LZKkt95yUteunjkeL2UkQd58M1EJCal3HpwLU6ZM0aBBgzRz5kwdOHAgVxnJ9PR0Xb161ZL8uVeXL1/O9Dw5OfmWc3fv3l1Go1GTJk1SlSpVFBcXp7Vr1+rkyZM5jufatWtKS0vLlLxKTU3Ns9eTl1JSUpScnKx169Zl6TWDwm/VqlXWDgHIc6xr2DvWOOwVaxv2iHUNW8cahj2ytXW9+Po2VF5eXlq2bJmVo7E/V65cyfFYqyc2ateurYiICMXHx+v3339X3759tXbtWtWpU0eDBg2yjKtfv74qVKigdu3aKTo6WjVq1LBi1NKIESM0fPhwy/OEhAT5+vqqY8eO8vLyyjT26tWrOnnypDw9PeXm5pbje3TuLD34oEnh4VJa2p2rNhwdTWrZUurcOW/3oEpMTNSCBQu0detWXbhwQfPnz89U4SJJixcv1kcffaQ9e/bI09NTDz74oObPn6+2bdvq5MmTeuedd/TOO+9IyqjO+eCDD7Rw4ULt3LnTMsfEiRM1ceJEHTlyRJK0bds2jRw5UhERETIajWrYsKHGjBmjBx98UAbDv++Hu7t7lvdcki5duqTw8HCtXr1aDz/8sOX4zfvfXbp0SW+88YYWLVqka9eu6f7779f48ePVsGFDSZKrq6scHR0t93B2dpaTk1O297S2q1evyt3dXa1bt87VWoN1GY1GrVq1Sh06dJCzs7O1wwHyBOsa9o41DnvF2oY9Yl3D1rGGYY9sbl0nJChmxgz9888/MhgMenXAAJWuXNnaUdmd3HyR3OqJDRcXF9WsWVOS1LRpU23btk0TJ07UlClTsoxt0aKFJOnw4cOqUaOGfHx8tHXr1kxjzpw5I0mWvhw+Pj6WYzeO8fLykru7uxwdHeXo6JjtmFv19pAyPux2dXXNctzZ2TnLH2NaWpoMBoMcHBzk4OBwyzmzM2aMlNM+NGlpBn34oeTgkPOtq3Li999/l7+/vwICAtSnTx+9+uqreueddyzJhaVLl6pHjx4aOXKkfv75Z6WkpGjZsmVycHDQ/Pnz1bBhQw0aNEgDBw6UlLHVl/naG9+Pm48lJSWpX79+uv/++2UymfTFF1/oqaee0sGDB1WiRAnLdbd6X728vOTp6alFixapZcuW2f6+JOnpp5+Wu7u7/vjjD5UoUUJTpkxRhw4ddPDgQZUuXTpLXAaDwfL7LGzM72126xCFH7832CPWNewdaxz2irUNe8S6hq1jDcMe2cy6PnxYG7ZvlyQ1rlhR5c+dk6z8xXt7lJu1UOg+mU1PT8/Uu+JG5ubN5m2QAgMDtWfPHp09e9YyZtWqVfLy8rJsZxUYGKiwsLBM86xatcrSx8PFxUVNmzbNNCY9PV1hYWGZen1YS1CQ9OCD0p3aJTg6Sg89lDE+r02bNk29e/eWJHXq1Enx8fFau3at5fzYsWPVs2dPffDBBwoICFDDhg0tFR2lS5eWo6OjihcvLh8fn9smi27Wtm1b9e7d25JUmTJlipKTkzPd+3acnJw0ffp0zZgxQyVLllSrVq30zjvvaPfu3ZYxGzZs0NatWzVv3jzdf//98vPz0xdffKGSJUvq999/z3GsAAAAAAAAAOxQfLy0d69W//OPJKld/frS3r1SIdymviixamJjxIgRWrdunY4dO6Y9e/ZoxIgRWrNmjZ599llFR0drzJgx2rFjh44dO6ZFixbpueeeU+vWrdWgQQNJUseOHVWnTh316dNHu3bt0ooVK/Tuu+9q6NChlm/nDx48WEeOHNGbb76pqKgoffvtt/rtt9/02muvWeIYPny4pk6dqhkzZigyMlJDhgxRUlKS+vfvb5X35WZjxkhpabcfk5Ymffhh3t/7wIED2rp1q5555hlJGcmCp59+WtOmTbOMiYiIULt27fL83mfOnNHAgQPl5+enEiVKqGTJkkpMTNTJkydzPEePHj10+vRpLVq0SJ06ddKaNWvUpEkTTZ8+XZK0a9cuJSYmytvbW56enpbH0aNHFR0dneevCQAAAAAAAIANiYqSLlxQ2IEDkqS2LVpIFy5IkZFWDqxos+pWVGfPntVzzz2nmJgYlShRQg0aNNCKFSvUoUMHnTx5Un/++ae++uorJSUlydfXVz169NC7775rud7R0VFLlizRkCFDFBgYqGLFiqlv37768IZP+KtVq6alS5fqtdde08SJE1WpUiX98MMPCg4Otox5+umnFRcXp/fff1+xsbFq1KiRli9fnqWhuLWYqzYyem1kPe/oKLVsmX/VGqmpqapYsaLlmMlkkqurq7755huVKFFC7u7uuZ7XwcFBJpMp07Gbu9737dtX58+f18SJE1WlShU5OzurZcuWuWrALklubm7q0KGDOnTooPfee08DBgzQqFGj1K9fPyUmJqpChQpas2ZNlutKliyZ25cFAAAAAAAAwF5cr9aIc3HRseu7BrUKCJCSkjKqNgICpELYh7cosGpi48Zv/d/M19c3R1sOValS5Y4d6IOCgvT39Y71tzJs2DANGzbsjvezltv12sivao3U1FT9/PPPGj9+vDp27JjpXEhIiH799VcNHjxYDRo0UFhY2C0rXFxcXJR2U0ambNmyio2NlclksvSwMG81ZrZx40Z9++236ty5syTp+PHjOn/+/D2/rjp16ig0NFSS1KRJE8XGxsrJyUlVq1a957kBAAAAAAAA2Inr1RpRqamSpCrlyqm4h4fk7i4dOJBRtXG9LzQKVqHrsYHs3arXRn721liyZIkuXryoF154QfXq1cv06NGjhyUxNWrUKP36668aNWqUIiMjtWfPHn322WeWeapWrap169bp1KlTOnfu3PXXE6S4uDiNGzdO0dHRmjRpkv74449M9/fz89Mvv/yiyMhIbdmyRX369MlVdcj58+fVtm1bzZw5U7t379bRo0c1b948jRs3To899pgkqX379goMDFRISIhWrlypY8eOadOmTRo5cqS2X28IBAAAAAAAAKCIuV6tIW9vRV7vrxFQqVLGOYNB8vam14YVkdiwIdn12sivag0po6Kmffv2KlGiRJZzPXr00Pbt27V7924FBQVp3rx5WrRokRo1aqS2bdtq69atlrEffvihjh07pho1aqhs2bKSpICAAH377beaNGmSGjZsqK1bt+r111/Pcv+LFy+qSZMm6tOnj4YNG6YyZcrkOH5PT0+1aNFCEyZMUOvWrVWvXj299957GjhwoL755htJksFg0LJly9S6dWv1799ftWrVUs+ePXX8+PFCsxUZAAAAAAAAgAJ2vVpDZcr8m9jw9f33fJky9NqwIoPp5kYHuCsJCQkqUaKE4uPj5XXTvmpXr17V0aNHVa1aNbm5ud3TfR566N9eG+beGuvW3dOUNiM9PV0JCQny8vKSgwM5uezk5VpDwTEajVq2bJk6d+4sZ2dna4cD5AnWNewdaxz2irUNe8S6hq1jDcMeFfp1HR8v/f57RmVG2bJ6ZPRoLd+5U1P+7/80qFOnf8fFxUkmk/Tkk/TayAO3+4z9Znw6bGNurNrIz2oNAAAAAAAAACiSoqKk2NiMpEVcnCKPH5ckBRQvnpHMMD9MpoxxVG0UOBIbNsbca0PKv94aAAAAAAAAAFBkJSZKvr6Ss7OS0tJ0/Px5Sde3onJy+vfh7JwxLjHRygEXPU7WDgC5N3as9MgjGT8BAAAAAAAAAHmoXTvLPw/+/bckydvbW2WGDrVWRLgJiQ0b1Lq1dO6c5O5u7UgAAAAAAAAAwH5FXt9mKiAgwMqR4EZsRVWA8rJPO0kNZCcv1xgAAAAAAABQ1JHYKJxIbBQAZ2dnSdKVK1esHAnsXUpKiiTJ0dHRypEAAAAAAAAAti8qKkqS5O/vb+VIcCO2oioAjo6OKlmypM6ePStJ8vDwkMFgsHJUtic9PV0pKSm6evWqHBzIyd0sPT1dcXFx8vDwkJMTf9oAAAAAAADAvaJio3Di088C4uPjI0mW5AZyz2QyKTk5We7u7iSGbsHBwUGVK1fm/QEAAAAAAADuUWpqqg4ePCiJxEZhQ2KjgBgMBlWoUEHlypWT0Wi0djg2yWg0at26dWrdurVley9k5uLiQjULAAAAAAAAkAeOHDkio9Eod3d3Va5c2drh4AYkNgqYo6Mj/Q/ukqOjo1JTU+Xm5kZiAwAAAAAAAEC+MvfXqF27Nl8mLmT4bQAAAAAAAAAAcBP6axReJDYAAAAAAAAAALiJObHh7+9v5UhwMxIbAAAAAAAAAADcxLwVFRUbhQ+JDQAAAAAAAAAAbmAymdiKqhAjsQEAAAAAAAAAwA1iYmKUkJAgBwcH+fn5WTsc3ITEBgAAAAAAAAAANzBvQ1W9enW5urpaORrcjMQGAAAAAAAAAAA3YBuqwo3EBgAAAAAAAAAANzAnNvz9/a0cCbJDYgMAAAAAAAAAgBuYt6KiYqNwIrEBAAAAAAAAAMAN2IqqcCOxAQAAAAAAAADAdfHx8Tp9+rQktqIqrEhsAAAAAAAAAABw3YEDByRJPj4+KlmypHWDQbZIbAAAAAAAAAAAcB3bUBV+JDYAAAAAAAAAALjOnNhgG6rCi8QGAAAAAAAAAADXRUVFSaJiozAjsQEAAAAAAAAAwHVsRVX4kdgAAAAAAAAAAEBSSkqKoqOjJZHYKMxIbAAAAAAAAAAAIOnw4cNKS0tT8eLFVbFiRWuHg1sgsQEAAAAAAAAAgDI3DjcYDFaOBrdCYgMAAAAAAAAAANFfw1aQ2AAAAAAAAAAAQFJUVJSkjIoNFF4kNgAAAAAAAAAAEBUbtoLEBgAAAAAAAACgyEtPT7dUbJDYKNxIbAAAAAAAAAAAirx//vlHV65ckZOTk6pXr27tcHAbJDYAAAAAAAAAAEWeeRsqPz8/OTs7Wzka3A6JDQAAAAAAAABAkUd/DdtBYgMAAAAAAAAAUOSZ+2v4+/tbORLcCYkNAAAAAAAAAECRR8WG7SCxAQAAAAAAAAAo8khs2A4SGwAAAAAAAACAIu38+fOKi4uTJNWuXdvK0eBOSGwAAAAAAAAAAIo0c38NX19feXp6Wjka3AmJDQAAAAAAAABAkcY2VLaFxAYAAAAAAAAAoEgzV2z4+/tbORLkBIkNAAAAAAAAAECRRsWGbSGxAQAAAAAAAAAo0khs2BYSGwAAAAAAAACAIis5OVnHjh2TxFZUtoLEBgAAAAAAAACgyDp48KBMJpNKlSqlcuXKWTsc5ACJDQAAAAAAAABAkXXjNlQGg8HK0SAnSGwAAAAAAAAAAIqsqKgoSWxDZUtIbAAAAAAAAAAAiiwah9seEhsAAAAAAAAAgCKLxIbtIbEBAAAAAAAAACiS0tLSdPDgQUlsRWVLSGwAAAAAAAAAAIqkY8eO6dq1a3J1dVXVqlWtHQ5yiMQGAAAAAAAAAKBIMm9DVbt2bTk6Olo5GuQUiQ0AAAAAAAAAQJFkTmywDZVtIbEBAAAAAAAAACiSoqKiJNE43NaQ2AAAAAAAAAAAFEnmig0SG7aFxAYAAAAAAAAAoMgxmUxsRWWjSGwAAAAAAAAAAIqcs2fP6tKlSzIYDKpVq5a1w0EukNgAAAAAAAAAABQ55mqNatWqyd3d3crRIDdIbAAAAAAAAAAAihy2obJdJDYAAAAAAAAAAEVOVFSUJBqH2yISGwAAAAAAAACAIsdcsUFiw/aQ2AAAAAAAAAAAFDlsRWW7SGwAAAAAAAAAAIqUy5cv659//pFExYYtIrEBAAAAAAAAAChSDhw4IEkqV66cSpcubeVokFskNgAAAAAAAAAARQrbUNk2EhsAAAAAAAAAgCIlKipKEttQ2SoSGwAAAAAAAACAIsVcsUFiwzaR2AAAAAAAAAAAFClsRWXbSGwAAAAAAAAAAIoMo9Gow4cPS6Jiw1aR2AAAAAAAAAAAFBnR0dFKTU1VsWLFVKlSJWuHg7tAYgMAAAAAAAAAUGSYt6GqXbu2HBz4iNwW8VsDAAAAAAAAABQZUVFRktiGypaR2AAAAAAAAAAAFBnmig0SG7aLxAYAAAAAAAAAoMgwJzb8/f2tHAnuFokNAAAAAAAAAECRYDKZ2IrKDpDYAAAAAAAAAAAUCadOnVJiYqIcHR1Vs2ZNa4eDu0RiAwAAAAAAAABQJJi3oapRo4ZcXFysHA3uFokNAAAAAAAAAECRwDZU9sGqiY3vvvtODRo0kJeXl7y8vBQYGKg//vjDcv7q1asaOnSovL295enpqR49eujMmTOZ5jhx4oS6dOkiDw8PlStXTm+88YZSU1MzjVmzZo2aNGkiV1dX1axZU9OnT88Sy6RJk1S1alW5ubmpRYsW2rp1a768ZgAAAAAAAACAdZgrNkhs2DarJjYqVaqkTz/9VDt27ND27dvVtm1bPfbYY9q3b58k6bXXXtPixYs1b948rV27VqdPn9bjjz9uuT4tLU1dunRRSkqKNm3apBkzZmj69Ol6//33LWOOHj2qLl26qE2bNoqIiNCrr76qAQMGaMWKFZYxc+fO1fDhwzVq1Cjt3LlTDRs2VHBwsM6ePVtwbwYAAAAAAAAAIF+ZExv+/v5WjgT3wqqJja5du6pz587y8/NTrVq1NHbsWHl6emrz5s2Kj4/XtGnT9OWXX6pt27Zq2rSpfvrpJ23atEmbN2+WJK1cuVL79+/XzJkz1ahRIz3yyCMaM2aMJk2apJSUFEnS5MmTVa1aNY0fP14BAQEaNmyYnnjiCU2YMMESx5dffqmBAweqf//+qlOnjiZPniwPDw/9+OOPVnlfAAAAAAAAAAB5j62o7EOh6bGRlpamOXPmKCkpSYGBgdqxY4eMRqPat29vGePv76/KlSsrPDxckhQeHq769eurfPnyljHBwcFKSEiwVH2Eh4dnmsM8xjxHSkqKduzYkWmMg4OD2rdvbxkDAAAAAAAAALBtly5dUmxsrCQqNmydk7UD2LNnjwIDA3X16lV5enpqwYIFqlOnjiIiIuTi4qKSJUtmGl++fHnL4ouNjc2U1DCfN5+73ZiEhAQlJyfr4sWLSktLy3aMOXuXnWvXrunatWuW5wkJCZIko9Eoo9GYi3cAOWV+X3l/YW9Y27BHrGvYO9Y47BVrG/aIdQ1bxxqGPbLWut6zZ48k6b777pO7uzt/V4VMbn4fVk9s1K5dWxEREYqPj9fvv/+uvn37au3atdYO644++eQTffDBB1mOr1y5Uh4eHlaIqOhYtWqVtUMA8gVrG/aIdQ17xxqHvWJtwx6xrmHrWMOwRwW9rsPCwiRJ3t7eWrZsWYHeG3d25cqVHI+1emLDxcVFNWvWlCQ1bdpU27Zt08SJE/X0008rJSVFly5dylS1cebMGfn4+EiSfHx8tHXr1kzznTlzxnLO/NN87MYxXl5ecnd3l6OjoxwdHbMdY54jOyNGjNDw4cMtzxMSEuTr66uOHTvKy8srl+8CcsJoNGrVqlXq0KGDnJ2drR0OkGdY27BHrGvYO9Y47BVrG/aIdQ1bxxqGPbLWul63bp0k6cEHH1Tnzp0L7L7IGfOuSDlh9cTGzdLT03Xt2jU1bdpUzs7OCgsLU48ePSRJBw4c0IkTJxQYGChJCgwM1NixY3X27FmVK1dOUkaWz8vLS3Xq1LGMuTn7tmrVKsscLi4uatq0qcLCwhQSEmKJISwsTMOGDbtlnK6urnJ1dc1y3NnZmf/J5DPeY9gr1jbsEesa9o41DnvF2oY9Yl3D1rGGYY8Kel0fPHhQklS3bl3+ngqh3PxOrJrYGDFihB555BFVrlxZly9f1uzZs7VmzRqtWLFCJUqU0AsvvKDhw4erdOnS8vLy0ksvvaTAwEA98MADkqSOHTuqTp066tOnj8aNG6fY2Fi9++67Gjp0qCXpMHjwYH3zzTd688039fzzz2v16tX67bfftHTpUkscw4cPV9++fXX//ferefPm+uqrr5SUlKT+/ftb5X0BAAAAAAAAAOQtc09lGofbPqsmNs6ePavnnntOMTExKlGihBo0aKAVK1aoQ4cOkqQJEybIwcFBPXr00LVr1xQcHKxvv/3Wcr2jo6OWLFmiIUOGKDAwUMWKFVPfvn314YcfWsZUq1ZNS5cu1WuvvaaJEyeqUqVK+uGHHxQcHGwZ8/TTTysuLk7vv/++YmNj1ahRIy1fvjxLQ3EAAAAAAAAAgO25evWqjhw5IkkKCAiwcjS4V1ZNbEybNu22593c3DRp0iRNmjTplmOqVKlyx0YvQUFB+vvvv287ZtiwYbfdegoAAAAAAAAAYJsOHTqk9PR0lShR4ra9lWEbHKwdAAAAAAAAAAAA+enGbagMBoOVo8G9IrEBAAAAAAAAALBrkZGRktiGyl6Q2AAAAAAAAAAA2DUSG/aFxAYAAAAAAAAAwK7duBUVbB+JDQAAAAAAAACA3UpPT9eBAwckUbFhL0hsAAAAAAAAAADs1vHjx5WcnCwXFxdVq1bN2uEgD5DYAAAAAAAAAADYLfM2VH5+fnJycrJyNMgLJDYAAAAAAACAu5WQIK1alfETQKFE43D7Q2IDAAAAAAAAuFuRkdLOnRk/ARRKJDbsD4kNAAAAAAAA4G7Ex0t790qOjhk/qdoACiVzYsPf39/KkSCvkNgAAAAAAAAA7kZUlHThguTnl/GTqg2gUDL32KBiw36Q2AAAAAAAAAByy1yt4e0tOThk/KRqAyh04uLidP78eUlS7dq1rRwN8gqJDQAAAAAAACC3oqKUfOaM3vnjDy3Ztk0qU4aqDaAQMm9DVaVKFXl4eFg5GuQVJ2sHAAAAAAAAANiU+HiZ9uzRC4sW6dctW1S6eHGd+flnOZmrNgICJC8va0cJQGxDZa+o2AAAAAAAAAByIypKn82fr1+3bJEkXbh8WRv276dqAyiEzBUbJDbsC4kNAAAAAAAAIKfi47V45ky9s3y5JKlquXKSpNDNmyWDgV4bQCFjTmz4+/tbORLkJRIbAAAAAAAAQA7tXbpUvb7/XiaTSf/XubO+GjBAkhS6ZYtMJhNVG0Ahw1ZU9onEBgAAAAAAAJAD544cUbdXXlFiSora1K+vrwYMUIfGjeXu4qLjZ88q4sgRqjaAQiQpKUnHjx+XRGLD3pDYAAAAAAAAAO7AaDTqySef1NFz51SjbFnNGzBAzhcvyiMhQcF160qSQlevluLiJJNJio2lagOwsgMHDkiSvL29VaZMGStHg7xEYgMAAAAAAAC4g5dffllrdu5UcTc3LXrtNXmXLCk5OUlOTgq5/35JUmhERMYxZ2fJ11dKTLRqzEBRxzZU9svJ2gEAAAAAAAAAhdm3336ryZMny2AwaPa8earz6KOZzj/apYscf/xRu0+e1JEHH1T16tWtFCmAG5kbh5PYsD9UbAAAAAAAAAC3sHr1ar388suSpE8++USP3pTUkDK2uWndurUkaeHChQUaH4BbMyc2/P39rRwJ8hqJDQAAAAAAACAb0dHRevLJJ5WWlqbevXvrzTffvOXYkJAQSdKCBQsKKDoAd8JWVPaLxAYAAAAAAABwk4SEBHXt2lUXLlxQ8+bNNXXqVBkMhluOf+yxxyRJGzdu1NmzZwsqTAC3kJqaqoMHD0oisWGPSGwAAAAAAAAAN0hLS1OvXr0UGRmpihUrKjQ0VG5ubre9pkqVKmrcuLHS09O1ZMmSAooUwK0cOXJERqNR7u7uqly5srXDQR4jsQEAAAAAAADcYOTIkVq6dKnc3Ny0cOFCVahQIUfXde/eXZIUGhqaj9EByAnzNlS1a9eWgwMfg9sbfqMAAAAAAADAdTNnztRnn30mSfrxxx91//335/hac5+NlStXKjExMT/CA5BD5sbhbENln0hsAAAAAAAAAJK2bNmiAQMGSJLeeecdPfPMM7m6vl69eqpevbquXbumFStW5EeIAHLInNjw9/e3ciTIDyQ2AAAAAAAAUOSdOnVK3bt317Vr1/TYY49pzJgxuZ7DYDBYqjbYjgqwLvNWVFRs2CcSGwAAAAAAACjSkpOTFRISopiYGNWrV0+//PLLXe/Jb+6zsWTJEhmNxrwME7C+hARp1aqMn4WYyWQq9FtRpaen68KFC9YOw2aR2AAAAAAAAECRZTKZ9Pzzz2v79u3y9vbWokWLVLx48bueLzAwUGXLltWlS5e0bt26PIwUKAQiI6WdOzN+FmIxMTFKSEiQg4OD/Pz8rB1OtlauXKmpU6fqxIkT1g7FJpHYAAAAAAAAQJH1ySefaM6cOXJyctL//vc/VatW7Z7mc3R0VLdu3SSxHRXsTHy8tHev5OiY8bMQV22Yt6GqXr26XF1drRxN9po2bSo3NzdduXLF2qHYJBIbAAAAAAAAKJIWLlyokSNHSpK++eYbPfzww3ky7419NkwmU57MCVhdVJR04YLk55fxsxBXbRT2bagkqWzZsho6dCjNze8SiQ0AAAAAAAAUDTf0B9izZ4+effZZSdLQoUP14osv5tlt2rdvr2LFiumff/7Rjh078mxewGrM1Rre3pKDQ8bPQly1YU5sFLakwf79+3X06FHLcycnJytGY9tIbAAAAAAAAKBouN4f4Fx4uLp166akpCS1bdtWEyZMyNPbuLm56ZFHHpHEdlSwE1FRMp0/r/6zZsnr6af1yKRJ+jI0VHsWLy6UVUnmragKU8XG0aNHNX/+fM2aNUunT5+2djg2j8QGAAAAAAAA7N/1b5ynmEx64uWXdezYMdWoUUPz5s2Ts7Nznt/uxu2oAJt2/W9n9uHDmr56tS4nJ2v5zp36z5IlatC7typWqKA+ffro559/VkxMTO7nv6GS6m6dO3dOixcv1jvvvKOgoCCtXbtWUuFJbMTExGjOnDlKS0tT7dq15ePjY+2QbB61LgAAAAAAALB/179x/vKaNVp78KCKe3ho0aJFKl26dL7crnPnznJyctK+fft06NAh+fn55ct9gHwXFaXTR49q2OzZkqTXHntMlby9tfLvv7Vu717FnjmjmTNnaubMmZKkunXrqkOHDurQoYMefvhhFStW7PbzX6+kkpeX1KLFHcNJS0vT/v37tWnTJoWHh2vTpk06dOhQlnH+/v5q2LBh7l9vHrt48aJmzZqllJQUVa1aVd27d5eDA/UG94rEBgAAAAAAAOzb9W+cf7t7t6asWCGDwaA5AwaoTqVK+XbLUqVKKSgoSH/++adCQ0P1xhtv5Nu9gHwTHy/Tnj0auGiRLiUl6f6aNTWuXz85OTpqeEiIrp4+rU2HDmlVerpWrVunnTt3at++fdq3b5+++uorOTs7q1WrVpZER5MmTeTo6Pjv/AkJGb06HB0zfgYEZCQ4bnDp0iVt2bLFksTYvHmzLl++nCXUgIAABQYGqmXLlgoMDJS/v7/VEwiJiYn65ZdflJSUpPLly+vpp5+mr0Yeuad3MSUlRUePHlWNGjX4hQAAAAAAAKBwiorSySNH9OqcOZKkz557Tp0rVcr4pngOviF+t7p3705iA7YtKkrTV67Usj175OrsrBmvviqnGxITbhUqqG1Cgtq2bq1PvvxS58+fV1hYmFatWqVVq1bp+PHjWrNmjdasWaORI0eqVKlSateundq2bZuR4Dh4ULpwQapVSzp4UKb9+3WwVKlM1Rj79+/P0sfD09NTLVq0sCQyWrRokW/VV3fr2rVrmj17ti5evKiSJUvq2WeflZubm7XDsht3lY24cuWKXnrpJc2YMUOSdPDgQVWvXl0vvfSS7rvvPr399tt5GiQAAAAAAABwV65Xa6w8fVqpaWlqXquWXn/8cencuVt+QzyvdOvWTUOHDlV4eLhiY2PZVx+2JT5eJ9et06tLlkiSxjz7rOpUrpx5jMEgeXtb/pa8vb311FNP6amnnpLJZNLhw4ctSY7Vq1fr4sWL+v333/X7779LksaVK6cOderovl27tHnPHm3+8EOdT0zMEkqNGjUslRgtW7ZUvXr1Mld+FEJOTk4qW7as4uPj1bt3bxUvXtzaIdmVu0psjBgxQrt27dKaNWvUqVMny/H27dtr9OjRJDYAAAAAAABQOERFSRcuaM2xY5Kkjo0ayWAwSGXKSAcO5GvVRqVKldSsWTNt27ZNixcv1sCBA/PlPkB+MEVG6oUpU5SQnKzAGjU0vFUrKS4um4EmKTY2y9+SwWCQn5+f/Pz89H//939KTU3Vtm3btGrVKq1cuVKbN29W9Nmzij57NtN0bq6uata8eaZtpcqVK5ffLzfPOTo6KiQkRPHx8SpZsqS1w7E7d5XYCA0N1dy5c/XAAw9k/I/gurp16yo6OjrPggMAAAAAAADu2vVqDVPp0vprzx5JUlD9+hnnbvqmeX5VbYSEhGjbtm0KDQ0lsQGb8v3cuVoVHS03Z2dNHzRIji4utx7s6ytlU2lxIycnJwUGBiowMFAjhg7V7ytXym3zZv115IguXL6sZn5+aunjo4aVKsnlmWfy7W8yP5lMJkVFRal27dpycHCQwWAgqZFP7iqxERcXl22WLCkpKVOiAwAAAAAAALCa69Uah4sX16nz5+Xi5KSW/v7/ni+Aqo2QkBCNHDlSf/75pxISEuRlgx/Woug5evSo/jN1qiTpk3HjVOvVV/P2BgcPysPDQ53btlX39u3/PW4y5fvfZH7auHGjwsLCVLduXfXo0YPPyvPRXbWFv//++7V06VLLc/Mv6IcfflBgYGDeRAYAAAAAAADcrevVGvL21pq9eyVJD9SuLXdX13/H3Fi1kZCQL2EEBASoVq1aSklJ0fLly/PlHkBeSk9P1/PPP6+kpCQ99NBDevnll/P2BvHxGYkLKeNv8EYF8DeZXyIiIhQWFiZJuu+++0hq5LO7Smx8/PHHeueddzRkyBClpqZq4sSJ6tixo3766SeNHTs2r2MEAAAAAAAAcicqKmPff5NJf23fLklqU6NGRo+AGx839gfIBwaDQSEhIZIytnfHHSQkSKtW2dyH2vZk0qRJWrNmjTw8PPTTTz/JweGuPkK+tago6eLFW58vU0a6cCHf/ibzw8GDB7Vo0SJJsmy3hfx1V6vywQcfVEREhFJTU1W/fn2tXLlS5cqVU3h4uJo2bZrXMQIAAAAAAAC5k5go+frK5OSkv6KiJElBdepITk6ZH87OOeoPcC/MiY2lS5cqJSUl3+5jFyIjpZ07bepDbXty+PBhvfXWW5Kkzz//XDVq1MjbG5grqUqXvvUYG6va+OeffzRv3jyZTCY1aNBAHTp0sHZIRcJd9diQpBo1amjq9X3WAAAAAAAAgEKlXTtJ0oGoKMXGx8vV1VUPjBolubkVeCgtWrSQj4+PYmNjtWbNGnXs2LHAY7AJ5g+9HR3zvak7skpLS1O/fv2UnJysdu3aafDgwXl/E3MlVYUKGc/Pn8+omrrZjZVUhbjXRlxcnGbPnq3U1FTVrFlT3bp1YwuqAnJXFRvLli3TihUrshxfsWKF/vjjj3sOCgAAAAAAAMgLa9askSS1bNlSblZIakiSg4ODHnvsMUnSggULrBKDTbje7F1+fja3FZE9mDhxojZu3KjixYtr2rRpeb8FlWSppJLT9e/bOzpmraIqoEqqvHDp0iUZjUbdd999evLJJ+Xo6GjtkIqMu6rYePvtt/Xpp59mOW4ymfT222/rkUceuefAAAAAAAAAgHv1119/SZKCgoKsGkdISIimTJmihQsXatKkSfnzobEtu6HZuxwc/t2KiKqNAhEVFaV33nlHkvTll1+qSpUq+XOj65VUMhqlZcukZ57JSGLYKD8/Pz333HPy9vaWi4uLtcMpUu7qv6CHDh1SnTp1shz39/fX4cOH7zkoAAAAAAAA4F6ZTCZLxUabNm2sGkubNm1UvHhxxcTEaNu2bVaNpTCJi4vTokWL9PZLL6n12LGq+Prr+t+mTTbZQNpWpaamqm/fvrp27Zo6deqkF154wdohFWpGo1Hx8fGW576+vvLw8LBiREXTXVVslChRQkeOHFHVqlUzHT98+LCKFSuWF3EBAAAAAAAA9yQyMlJnz56Vu7u7mjdvbtVYXF1d1blzZ82dO1ehoaFqUYj7BuSXtLQ07d27V+Hh4dq0aZPCw8Oz/ZL0e7Nm6fHAQBmo2igQX3zxhbZu3aoSJUpo6tSp9Ii4jfT0dM2fP1///POPevfurfLly1s7pCLrrio2HnvsMb366quKjo62HDt8+LD+85//qFu3bnkWHAAAAAAAAHC3zNtQtWzZUq6urlaOJmM7KkkKDQ21ahwF5eLFi1q+fLnef/99tW/fXiVLllSjRo00ZMgQ/fLLL5akRp1q1TSgeXN9P3Soirm5KfLkSa3ft4+qjQKwd+9ejRo1SlJGj41KlSpZOaLCy2QyaenSpYqKilJycrKSk5OtHVKRdlcVG+PGjVOnTp3k7+9vWez//POPHnroIX3xxRd5GiAAAAAAAABwN8yJDWtvQ2XWuXNnOTs7KyoqSlFRUfL397d2SHkmPT1dBw4cyFSNsX///izjihcvrhYtWqhly5YKDAxUi4AAlfrzT8lgkMqW1fbDh/X9ihWavHy5WterR6+NfGQ0GtW3b1+lpKSoa9eueu6556wdUqFlMpm0evVq7dy5UwaDQT169MiymxEK1l1vRbVp0yatWrVKu3btkru7uxo0aKDWrVvndXwAAAAAAABArqWnpxea/hpmXl5eateunZYvX67Q0FC9/fbb1g7prqWmpmr9+vXauHGjNm3apM2bN+vixYtZxtWsWdOSxGjZsqXq1q0rR0fHfwds2ZJRlVG7tiTpxU6d9P2KFfrfpk2Ki49X2TJlpAMHMqo2iuD2Xfnpk08+0c6dO1WqVClNmTKFLahuITk5WQsXLtSBAwckZSQoAwICrBwV7iqxIUkGg0EdO3ZUx44d8zIeAAAAAAAA4J7t27dP58+fl4eHh5o1a2btcCxCQkJsNrFhMpm0fft2zZw5U3PmzNHZs2cznXd3d1ezZs0siYzAwECVLVv21hPGx2dUY3h7Z1RsSGpSo4aa+flp26FDmh4Wpjcef5yqjXwQERGhMWPGSJImTZqkChUqWDmiwunSpUuaMWOGLl26JEdHR3Xq1En333+/tcOCcpHY+PrrrzVo0CC5ubnp66+/vu3Yl19++Z4DAwAAAAAAAO6WeRuqBx98UM7OzlaO5l/dunXTkCFDtGXLFp0+fVoVK1a0dkh3dOTIEc2aNUszZ87UwYMHLcfLlCmj9u3bW6oxGjZsmLv3OipKio2VfHykuDjL4RdbtdK2Q4f0/bJl+k+rVnIwGDLGUbWRJ1JSUtS3b1+lpqbq8ccfV8+ePa0dUqFVvHhxFS9eXJL05JNP2sTfa1GR48TGhAkT9Oyzz8rNzU0TJky45TiDwUBiAwAAAAAAAFZV2PprmFWoUEEPPPCAwsPDtWjRIg0ePNjaIWXr/PnzmjdvnmbOnKmNGzdajru5uSkkJER9+vRRhw4d7i1plJgo+fpmOdyzZUsNnztXh8+e1epDh9S+bt2McYmJd38vWHz44YfavXu3ypQpo++++44tqG5y7do1OTk5ydHRUY6OjnryySfl7OwsNzc3a4eGG+Q4sXH06NFs/w0AAAAAAAAUJunp6Vq7dq2kwpfYkDK2owoPD9eCBQsKVWLj6tWrWrJkiWbOnKlly5bJaDRKyvgic7t27dS7d291795dXnm1HVS7dtkeLiapz65dmjRpkqYcOaL2n32WN/eDtm3bpk8//VSSNHnyZJUrV87KERUusbGxmjdvnmrVqqXg4GBJslRsoHBxyO0FRqNRNWrUUGRkZH7EAwAAAAAAANyT3bt36+LFi/L09FSTJk2sHU4WISEhkqTVq1fr0qVLVo3F3GR9wIAB8vHx0ZNPPqmFCxfKaDSqUaNG+uKLL3Ty5EmtWrVKffv2zbukxh28+OKLkqTQ0FDFxsYWyD3t3dWrV9W3b1+lpaWpZ8+e6tGjh7VDKjTM/WN++OEHXbhwQZGRkbp69aq1w8Jt5Lp5uLOzM79UAAAAAAAAFFrmbageeuihQtVfw6xWrVoKCAhQZGSk/vjjDz3zzDMFHsO+ffs0c+ZMzZo1SydPnrQc9/X11bPPPqtnn31W9erVK/C4zOrXr6+WLVtq06ZN+vHHH/XOO+9YLRZ7MWrUKEVGRqp8+fL65ptvrB1OoZGSkqIlS5Zoz549kjL+PkNCQth6qpDLdcWGJA0dOlSfffaZUlNT8zoeAAAAAAAA4J4U1v4aNzJXbYSGhhbYPU+fPq3x48ercePGqlevnj799FOdPHlSJUqU0IABA7RmzRodO3ZMn3zyiVWTGmbmbbq+//57paWlWTkaG5SQIK1aJSUkKDw8XF988YWkjPfT29vbysEVDmfOnNH333+vPXv2yGAwqH379urZs6fc3d2tHRruINcVG1LGXmxhYWFauXKl6tevr2LFimU6P3/+/DwJDgAAAAAAAMiNtLQ0rVu3TlLhTmx0795dn3zyiZYtW6arV6/m67fDo6OjNXToUK1cuVImk0lSxq4sXbp0Ue/evdWlS5dC+e30J554Qq+88oqOHz+ulStX6pFHHrF2SLYlMlLauVNXXFzUd+BApaen67nnnlO3bt2sHVmhYDQa9csvvygpKUnFixfXE088ocqVK1s7LOTQXSU2SpYsyR5sAAAAAAAAKHQiIiIUHx8vLy8vNWrUyNrh3FLTpk1133336dSpU1q9erU6d+6cL/fZuHGjQkJCdO7cOUlSq1at1Lt3bz311FMqXbp0vtwzr7i7u6tfv36aMGGCJk+eTGIjN+Ljpb17JUdHjfzoIx06dEgVK1bUV199Ze3ICg1nZ2c98sgj+vvvv9W9e/csX95H4ZarxEZ6ero+//xzHTx4UCkpKWrbtq1Gjx5NaQ4AAAAAAAAKBfM2VK1bt5aT0119p7dAODg46LHHHtO3336r0NDQfElszJ49W/3791dKSoqaNm2qX3/9VX5+fnl+n/w0aNAgTZgwQUuWLNE///yjSpUqWTsk2xAVJV24oHVGoyaGhUmSfvjhB5UqVcrKgVlXXFyckpOTLZUZdevWVZ06dWQwGKwcGXIrVz02xo4dq3feeUeenp6677779PXXX2vo0KH5FRsAAAAAAACQK2vWrJFUuLehMjP32Vi4cGGe9pAwmUz68MMP9eyzzyolJUUhISFau3atzSU1JMnf319BQUFKT0/XDz/8YO1wbMP1ao3EYsXU/7//lclk0gsPPqhHWrWydmRWtXv3bk2dOlW//fabLl++bDlOUsM25Sqx8fPPP+vbb7/VihUrFBoaqsWLF2vWrFlKT0/Pr/gAAAAAAACAHElNTbX01wgKCrJuMDnw8MMPq0SJEjp79qy2bNmSJ3Neu3ZNffv21ahRoyRJr7/+uv73v//Z9DY7L774oqSMioPU1FQrR2MDrldrvL9ihY7Exsq3TBl92bFjRs+NIshoNGrx4sVasGCBjEajypUrRzLDDuQqsXHixIlMZXHt27eXwWDQ6dOn8zwwAAAAAAAAIDd27typy5cvq2TJkmrYsKG1w7kjFxcXPfroo5KkBQsW3PN858+fV4cOHfTLL7/I0dFRU6ZM0eeffy4Hh1x9BFjodO/eXWXLltWpU6e0dOlSa4dTuF2v1oh3d9f3K1dKkqYMHSqv++7L6LmRkGDlAAvW+fPnNW3aNO3cuVNSRjKxd+/e8vT0tHJkuFe5+q9aamqq3NzcMh1zdnaW0WjM06AAAAAAAACA3DL313j44Yfl6Oho5Whyxrwd1YIFC2Qyme56noMHD+qBBx7Q+vXr5eXlpWXLlmnQoEF5FKV1ubq6qn///pKkyZMnWzmaQu56tcasvXuVdPWqAnx91alJE6lMGenChSJVtbFv3z59//33OnPmjIoVK6Y+ffooKCjI5hN9yJCrDkomk0n9+vWTq6ur5djVq1c1ePDgTOVs8+fPz7sIAQAAAAAAgBww99ewhW2ozIKDg+Xq6qro6Gjt379fdevWzfUca9eu1eOPP64LFy6oSpUqWrp06V3NU5gNGjRI48aN04oVK3T06FFVq1bN2iEVPterNUylS2vypEmSpMGdOv277ZK3d0bVRkCA5OVlxUDzR0pKikwmk+Wz64MHDyolJUVVqlRRjx49VLx4cStHiLyUq8RG3759sxzr3bt3ngUDAAAAAAAA3A2j0aj169dLso3G4WbFixdX+/bttXTpUoWGhuY6IfHzzz9rwIABMhqNatGihRYuXKjy5cvnU7TWU6NGDXXs2FErV67U1KlT9fHHH1s7pMLnerXGZpNJe44fl5uLi/rc+LdQpox04EBG1UaLFnd1i5SUFBkMBjk7O+dR0HcnPT1dcXFx+ueff3Tq1CmdPn1aZ8+eVceOHfXAAw9Ikrp06SIfHx+1aNGCKg07lKvExk8//ZRfcQAAAAAAAAB3bfv27UpKSpK3t7fq169v7XBypXv37pbExsiRI3N0jclk0vvvv6+PPvpIkvTkk09qxowZcnd3z89QrerFF1/UypUr9eOPP2r06NFycXGxdkiFx/VqDXl7a/LMmapatapC2rbV8jNnlBYbq3STKeORmqpia9bo6RuqNubMmaPY2Filp6crLS1N6enploe7u7uGDx9uuc2sWbN04sQJeXh4qFSpUipVqpRKlixp+VmtWrV8bcx96dIlLViwQDExMdm2Rzh37pzl3y4uLgoMDMy3WGBduUpsAAAAAAAAAIWReRuqhx9+2Oa+nd21a1cZDAZt375dJ0+elK+v723HX716Vf3799ecOXMkSSNGjNBHH31kc687t7p27aoKFSooJiZGCxcu1JNPPnnLsSaTSRcuXNA///yjuLg4lShRQuXKlVPZsmXl4eFRgFHnP5PJpEs7d6pUbKwueHrqtw0bNGjIEJUsXVoH4+OzjPeSMlVtJCYmKj6bcZKyJA/MvWuuXLmiK1eu6NSpU5ZzLi4uevvtty3P//rrL12+fNmS+DA/7vT+X7lyRadPn9apU6d06tQpVahQwVKFVaxYMZ08eVImk0kuLi667777VLFiRd13332677775GWHW2wheyQ2AAAAAAAAYPPMjcNtqb+GWbly5dSqVStt2LBBCxcu1LBhw245Ni4uTo899pjCw8Pl5OSk77//3tJY2945OzvrhRde0EcffaQpU6Zkm9i4evWqFixYoH/++UdXrlzJct7Pz0+9evWyPN+5c6e8vb1tLuFx8eJFHTlyREeOHNHRo0eVlpKit3x99fPKlbpqNOrsiRN62NdXvm5ucjYY5GgwyEGSg8EgF4NBSky0zNWtWzcZjUY5OjrKwcHB8jA/v9Gzzz4ro9GoS5cu6eLFi5bHpUuX5OjomKlaIyoqSmfPns0Su7OzsyXJJGUkZrZs2WJJZFy8eDHT+CtXrlgSG87Oznrqqafk7e2tMmXK5Gt1CAo3EhsAAAAAAACwaSkpKdq4caMk2+qvcaOQkBBt2LBBoaGht0xsREZGqkuXLjp69KhKliyp+fPn2+zrvVsDBw7Uxx9/rO3bt2vVqlVKTU2Vq6ur2rZtK0lydXXVyZMnlZycLEdHR1WsWFHlypVTQkKC4uLiLB+mS1JSUpIWL15see7h4aFy5cqpTJkyKleunHx9feXj41Pgr/FWjh49qj179ujo0aO6dOlSpnMuLi4637mzpnz6qSSpdceOenzIkBzNW65cuRzH4OjoKEdHR/n4+NzxvWndurXOnTtnSXxcvHhRCQkJMhqNSklJsYwzGAwKDw9XQkKC5Zi3t7elGqNSpUqZ5vX3989xvLBfJDYAAAAAAABg07Zu3aorV66oTJkyuW6+XViEhITo9ddf15o1a3Tx4kWVKlUq0/nVq1fr6aefVnx8vKpXr65ly5apdu3aVoq24J06dUonTpzQyZMn9fbbb8vFxUWbNm2SJJUoUcKS2DAYDOratauKFy8uHx8fOTll/vjTZDJZ/p2SkiI/Pz/FxcXp0qVLunLlio4dO6Zjx45Jklq0aKFOnTpJyqgECQsLU9myZS3JDzc3tyxVCnnFaDTq+PHjqlSpktzc3CRJJ06c0N9//y1JcnBwUKVKlVS9enVVr15dFStW1IYNGxQVFaVixYrp2WefzfOYciu7v8XU1FTFx8frypUr2rlzp+V4s2bNlJ6ebklm2HOvGOQNEhsAAAAAAACwaeb+GkFBQTa7NU2NGjVUv3597dmzR0uXLlXv3r0t51atWqUpU6YoNTVVrVq1UmhoqMqUKWPFaPPX5cuXFRcXp+rVq1uOLV26VDExMZIyqhPS0tJ07tw5de7cWVWrVpXJZLL87gMCAm45943ro1SpUpZtqVJSUnTu3DmdPXtWcXFxiouLy1QpEBcXp+3bt2c7n4uLi4KCgvTAAw9Iki5cuKBly5bJxcVFLi4ucnZ2zvTvypUrW+Y2Go2KjY2Vi4uLUlJSdPToUR09elQnT55UWlqannzySdWpU0eSVLt2bV29elXVq1dXlSpVsjRPnzJliiSpV69ehbbXhJOTk7y9vbPE9+CDD1opItgqEhsAAAAAAACwaeb+Gra+LVNISIj27NmjBQsWqHfv3kpPT9c777yjSZMmScr4wHratGmWb/DbE5PJpL///lsbNmzQxYsX5eDgoLffflvOzs6SMnpjeHl5qVKlSrrvvvvUtm1bHTt2TA8++KDq1at3z/d3cXFRxYoVVbFixWzPe3h4qGXLlpbkh3krKJPJpGvXrmWqBElKSlJ0dPQt7xUUFGRJbFy8eFE//vhjtuO8vLwyNe++3fZPcXFx+v333yVJL7744q1fKGAnSGwAAAAAAADAZl27ds2yJZE9JDbGjBmj5cuX68KFCxo0aJD+97//SZLeffddffjhhzZbkXI7cXFxWrJkiU6cOCEpowqibNmyunz5skqXLi0p6+/2+eef1/vvv6/JkydnagaeX7y9vdWhQwfL8/T0dEuvCKPRmCnZVKpUKYWEhCglJcXyuHHsjckJk8mkUqVKWXpOVK5cWdWqVVP16tVVunTpHP++p0+fLqPRqGbNmqlp06Z59KqBwovEBgAAAAAAAGzWli1bdPXqVZUvX97mmwo3btxYlStX1okTJ1S/fn2dPn1aLi4uGjp0qN5//327S2qkpqZq/fr12rBhg9LT0+Xs7KygoCA1bdpUrq6ut732hRde0AcffKD169dr//79lu2aCoqDg4NcXV2zjdPT01MNGzbM0Tzly5fXyy+/fE+xpKenW7aholoDRYWDtQMAAAAAAAAA7pZ5Gypb7q9hZjAYFBISIkk6ffq0vL29tXz5cj388MPWDSyfJCYmatOmTUpPT5efn5/+7//+Ty1btrxjUkOSKlasqG7dukn6t7dEUbV69WpFR0fLy8tLPXv2tHY4QIEgsQEAAAAAAACbZS/9NcyeffZZGQwG1apVS5s3b7a7pso39owoWbKkOnXqpCeeeELPPPOMSpYsmau5zNUJM2bM0JUrV/IyTJsyefJkSVKfPn1UrFgxK0cDFAwSGwAAAAAAALBJycnJCg8Pl2Q/iY3mzZvr0KFD2rVrl2rWrGntcPKMyWTS7t27NXHiRB0/ftxyvGnTpqpbt+5dVdt06NBB1apVU3x8vH777be8DNdmxMTEaOHChZLYhgpFC4kNAAAAAAAA2KTNmzcrJSVFFSpUkJ+fn7XDyTM1atTI1Iza1l24cEGzZs3SggULlJSUpM2bN+fJvA4ODho0aJCkf6sWipoff/xRqampatmyperXr2/tcIACY9XExieffKJmzZqpePHiKleunEJCQnTgwIFMY8z7I974GDx4cKYxJ06cUJcuXeTh4aFy5crpjTfeUGpqaqYxa9asUZMmTeTq6qqaNWtq+vTpWeKZNGmSqlatKjc3N7Vo0UJbt27N89cMAAAAAACAvHHjNlS23l/DHqWlpWnDhg367rvvFB0dLUdHR7Vp00ZPPPFEnt2jf//+cnZ21pYtWxQREZFn89qCtLQ0ff/995KU5fNSwN5ZNbGxdu1aDR06VJs3b9aqVatkNBrVsWNHJSUlZRo3cOBAxcTEWB7jxo2znEtLS1OXLl2UkpKiTZs2acaMGZo+fbref/99y5ijR4+qS5cuatOmjSIiIvTqq69qwIABWrFihWXM3LlzNXz4cI0aNUo7d+5Uw4YNFRwcrLNnz+b/GwEAAAAAAIBcs7f+Gvbk1KlTmjp1qsLCwpSamqpq1appyJAhat26tRwdHfPsPuXLl1f37t0lFb0m4itWrNCJEydUqlSpPE0WAbbAqomN5cuXq1+/fqpbt64aNmyo6dOn68SJE9qxY0emcR4eHvLx8bE8vLy8LOdWrlyp/fv3a+bMmWrUqJEeeeQRjRkzRpMmTVJKSoqkjFK0atWqafz48QoICNCwYcP0xBNPaMKECZZ5vvzySw0cOFD9+/dXnTp1NHnyZHl4eOjHH38smDcDAAAAAAAAOXblyhVt2bJFUsaOHyhczp8/rzNnzsjd3V0hISHq06ePvL298+Ve5mqFmTNn6vLly/lyj8LIvP1Wv3795O7ubuVogIJVqHpsxMfHS5JKly6d6fisWbNUpkwZ1atXTyNGjNCVK1cs58LDw1W/fn2VL1/eciw4OFgJCQnat2+fZUz79u0zzRkcHGxpLpWSkqIdO3ZkGuPg4KD27dtbxgAAAAAAAKDw2LRpk4xGoypVqqQaNWpYOxxImZIK9evXV4cOHTRs2DA1bNgwX7cKCwoKUq1atZSYmKhff/013+5TmJw8eVJLly6VJEufEaAocbJ2AGbp6el69dVX1apVK9WrV89yvFevXqpSpYoqVqyo3bt366233tKBAwc0f/58SVJsbGympIYky/PY2NjbjklISFBycrIuXryotLS0bMdERUVlG++1a9d07do1y/OEhARJktFolNFovJu3AHdgfl95f2FvWNuwR6xr2DvWOOwVaxv2iHWdjcuXpe3bpfvvl4oXt3Y0d+3PP/+UJD388MNZeq3aE1tYwwkJCVq5cqVOnTqlQYMGWaoHmjVrJqlgYh8wYIDefPNNfffdd+rXr5/d91yZMmWK0tPT9fDDD6tGjRqFen1kxxbWNQpebtZDoUlsDB06VHv37tWGDRsyHb8x41i/fn1VqFBB7dq1U3R0tFWz8Z988ok++OCDLMdXrlwpDw8PK0RUdKxatcraIQD5grUNe8S6hr1jjcNesbZhj1jX2Vi/3toR3JPQ0FBJUqlSpbRs2TLrBlMACuMaNplMOnfunGJiYpSeni4p4/dSokSJAo/Fx8dHzs7OioiI0Ndffy0/P78Cj6GgpKWl6bvvvpOUkTyy5fVfGNc1rOfGnZrupFAkNoYNG6YlS5Zo3bp1qlSp0m3HtmjRQpJ0+PBh1ahRQz4+Ptq6dWumMWfOnJGU8R8080/zsRvHeHl5yd3dXY6OjnJ0dMx2jHmOm40YMULDhw+3PE9ISJCvr686duyYqQcI8o7RaNSqVavUoUMHOTs7WzscIM+wtmGPWNewd6xx2CvWNuwR6/omCQnSwoXSpUtSyZJSSIhNVm0kJiYqOjpakvTSSy+pWrVqVo4o/xTWNXz+/HktWrRIMTExkqRKlSrpkUceUdmyZa0W0/LlyzV79mzt379fr7zyitXiyG8LFy7UhQsXVLZsWY0ePVouLi7WDinXCuu6hnWZd0XKCasmNkwmk1566SUtWLBAa9asydH/hCIiIiRJFSpUkCQFBgZq7NixOnv2rMqVKycpI9Pn5eWlOnXqWMbcnLlctWqVAgMDJUkuLi5q2rSpwsLCFBISIilja6ywsDANGzYs2zhcXV3l6uqa5bizszN/jPmM9xj2irUNe8S6hr1jjcNesbZhj1jX1x0+LJ0/L9WqJR08KB06JF3/Eqkt2bp1q1JTU1WlShXVqlXL2uEUiMK0hvft26dFixYpJSVFrq6uat++vZo2bWr17Z+GDBmi2bNna+7cuZowYYJVKkcKwrRp0yRJzz//vIoVK2blaO5NYVrXsL7crAWrNg8fOnSoZs6cqdmzZ6t48eKKjY1VbGyskpOTJUnR0dEaM2aMduzYoWPHjmnRokV67rnn1Lp1azVo0ECS1LFjR9WpU0d9+vTRrl27tGLFCr377rsaOnSoJfEwePBgHTlyRG+++aaioqL07bff6rffftNrr71miWX48OGaOnWqZsyYocjISA0ZMkRJSUnq379/wb8xAAAAAAAAeS0+Xtq7V/L2lhwcMn7u3ZtRxWFj/vrrL0lSmzZtrBxJ0WMymbR//36lpKSoatWqGjp0qO6//36rJzUkqVWrVqpbt66uXLmimTNnWjucfHH06FGtWLFCkjRw4EArRwNYj1UTG999953i4+MVFBSkChUqWB5z586VlFFJ8eeff6pjx47y9/fXf/7zH/Xo0UOLFy+2zOHo6KglS5bI0dFRgYGB6t27t5577jl9+OGHljHVqlXT0qVLtWrVKjVs2FDjx4/XDz/8oODgYMuYp59+Wl988YXef/99NWrUSBEREVq+fHmWhuIAAAAAAAA2KSpKunBBs/ft08e//aYkT0/pwgUpMtLakeXamjVrJElBQUFWjaMoMhgM6tatm9q3b68+ffqoeCHaysxgMGjw4MGSpMmTJ8tkMlk5orw3depUmUwmdezY0ar9hwFrs/pWVLfj6+urtWvX3nGeKlWq3LFJTlBQkP7+++/bjhk2bNgtt54CAAAAAACwWderNU45OKjPV18pPT1dP//1l3594QU13rtXCgiQbKRn6OXLl7V9+3ZJVGwUlOjoaEVGRqpLly4yGAxydXVVq1atrB1Wtnr37q0333xTe/fuVXh4uFq2bGntkPJMSkqKZRuqF1980crRANZl1YoNAAAA4P/Zu++wpg6vgePfsJE9BHEi7j3qHtXWPerWVgX3HhW1atVaraNq3XWPOnFbV61bf+5RFVEcKCi4GQKyZSR5/0DuK3XUAYRxPs+TJ5B7c+8JhCTcc885QgghhMgAr6o11l+7hkajAeDOkyfU+PVX5u3ejebmTR0H+OFOnz6NWq3GxcWFggUL6jqcbE2r1XLy5Ek8PDy4cuUK165d03VI/8na2prOnTsDyVUb2cmePXsIDg7GycmJb775RtfhCKFTktgQQgghhBBCCCGEyM5eVWtobW1Ze/w4ALN69qR19eokJCUxYt8+mvftS6Cvr44D/TAp8zWkDVX6io2NZdOmTUrbr0qVKlGmTBndBvWBUqoZtm3bRmhoqI6jSTspiZrevXvLwG2R40liQwghhBBCCCGEECI7e1Wtcf75c+4+eYKZiQkDmjZl17hxLB04EBMjIw7dvEmF6tX/s9V3ZpByoF3aUKWfJ0+esGLFCvz8/DAwMKB169a0atUqyxxMr1q1KpUqVSI+Pp7169frOpw0cffuXY4fP46enp4MDRcCSWwIIYQQQgghhBBCZF+vqjWws1OqNTrUqoW5qWnyoOVmzbgydy7l8+cnODycFi1a4O7uzsuXL3Uc+NtFRETg6ekJSMVGerl27RqrV68mIiICW1tbevfuTcWKFXUd1kdRqVRK1cby5cuzxRDxFStWANCsWTNpwSYEktgQQgghhBBCCCGEyL58fCAwkNiXL9ly6hQAPatUgZAQ5VLa1JSL48czrGZNABYsWED16tW5deuWLiN/q1OnTqHRaChatCj58+fXdTjZko2NDVqtlpIlS9K3b1/y5Mmj65A+SZcuXTA3N+fOnTucPHlS1+F8lpcvX7J27VoABgwYoNtghMgkJLEhhBBCCCGEEEIIkV1FR0OBAuy6fp2oly8pnDs3dUuVAgODVBeTXLmYP2AAf0+bRu7cubl+/TpffPEFy5Yty1Rnu0sbqvSRmJiofF2wYEH69OlDp06dMDEx0WFUn8fCwoKuXbsCWX+I+J9//kloaCgFChSgWbNmug5HiEzBQNcBCCGEEEIIIYQQQoh00qABAGtezRnoMWQIej16vHP15sD1Xr3o0aMHhw4dYuDAgRw6dIhVq1ZhZ2eXAQG/X8rgcElspJ2bN29y4MABunXrhoODAwB58+bVcVRpo3///ixfvpydO3cSHBysPL6sJiUx07dvX/T19XUcjRCZg1RsCCGEEEIIIYQQQmRjDx484Pir+RrdunX7z/Xz5MnD/v37mTdvHkZGRuzevZvy5csr29CVsLAwvLy8AJmvkRbUajUHDhxgx44dxMTEcOHCBV2HlOYqVapEtWrVSExMZPr06boO55PcvHmTM2fOoK+vT+/evXUdjhCZhiQ2hBBCCCGEEEIIIbKx9evXo9Vq+frrr3F2dv6g++jp6eHu7s6FCxcoUaIET58+pWHDhowdOzZV26KMdOrUKbRaLSVKlMDJyUknMWQXERERrF27ln/++QeAOnXq0LJlSx1HlT5++uknAObPn8+2bdt0HM3HW758OQCtWrXKNpU0QqQFSWwIIYQQQgghhBBCZFMajUYZOtzjPS2o3qVSpUpcuXKFfv36odVqmTFjBrVr18bPzy9tA/0AMl8jbdy7d48VK1bw+PFjTExM+O6772jQoAF6etnzMOE333zD6NGjAejVqxc3btzQcUQfLjY2lvWv2sjJ0HAhUsuer1hCCCGEEEIIIYQQgjNnznD//n0sLCxo167dJ23DzMyM5cuXs2PHDmxsbLh06RKVKlVi3bp1GTpYXOZrfL779+/j4eFBbGwsTk5O9OvXjxIlSug6rHT366+/0qhRI2JiYmjTpg3h4eG6DumDbN26lYiICFxcXGjYsKGuwxEiU5HEhhBCCCGEEEIIIUQ2tWbNGgA6deqEmZnZZ22rffv2XLt2jXr16hEdHU2PHj3o0qULL168SINI3+/58+dcv34dgHr16qX7/rIrZ2dnnJ2dqVy5Mr169cLGxkbXIWUIfX19Nm/ejLOzM/fu3cPV1RWNRqPrsP5TShuqfv36ZduKGiE+lfxFCCGEEEIIIYQQQmRD0dHRbN++HYCePXumyTYLFCjAsWPHmDZtGvr6+mzZsoWKFSty7ty5NNn+u5w6dQqA0qVL4+jomK77ym6Cg4NRq9VA8uyUrl278s0332BgYKDjyDKWnZ0dO3fuxMTEhP379zNp0iRdh/ReXl5eXLx4EUNDwzT7+xUiO5HEhhBCCCGEEEIIIUQ2tGPHDmJiYihWrBi1atVKs+3q6+szbtw4zp49i4uLCw8ePKBu3bpMmjSJhISENNvP66QN1ae5evUqK1as4NChQ8ptOS2h8bpKlSqxcuVKAKZMmcLu3bt1G9B7pFRrtGvXDgcHBx1HI0TmI4kNIYQQQgghhBBCiGzo9aHhKpUqzbdfvXp1rl69ipubGxqNhl9++YVKlSpx5syZNN+XJDY+TlJSEvv27WPv3r2o1WoiIiKUqo2cztXVlWHDhgHQrVs3fHx8dBzRm6KiovDw8ACgf//+Oo5GiMxJEhtCCCGEEEIIIYQQ2cz9+/c5efIkKpUKNze3dNuPpaUl69evZ8uWLTg4OHDr1i3q1q1L//7902xAc3BwMDdv3gRkvsaHiIyMZO3atVy5cgWA+vXr891336Gvr6/jyDKPWbNmUa9ePaKiomjbti2RkZG6DimVzZs3Ex0dTfHixalfv76uwxEiU5LEhhBCCCGEEEIIIUQ2s27dOgAaNWpEgQIF0n1/3377Lbdv36ZPnz4ArFixglKlSrF161a0Wu1nbfvkyZMAlCtXDnt7+8+ONTvz9/dn+fLlPHnyBBMTE7p06UK9evXSpWInKzM0NGTr1q3kz58fHx8funfvnmmGiWu1WpYtWwYkV2vI706It5PEhhBCCCGEEEIIIUQ2otFolMRGjx49Mmy/tra2rFy5kpMnT1KyZEmCgoL47rvvaNmyJQEBAZ+8XWlD9WHi4+PZvn07sbGx5MmTh379+lGsWDFdh5VpOTo68ueff2JkZMTu3buZPn26rkMC4PLly1y9ehVjY2O6d++u63CEyLQksSGEEEIIIYQQQgiRjZw4cYIHDx5gZWVFmzZtMnz/X375JV5eXkyaNAkjIyP2799PmTJlmDNnDklJSR+9vZTEhrTkeT9jY2Nat25NhQoV6NWrFzY2NroOKdOrVq0aS5YsAWDChAkcOHBAxxGhVGt06tQJOzs7HUcjROYliQ0hhBBCCCGEEEKIbGTNmjUAfPfdd5iamuokBmNjYyZOnMi1a9eoV68esbGx/PDDD1SrVo3Lly9/8HYCAwPx8fFBpVLJfI23eP78OQ8ePFC+L1GiBG3atMHQ0FCHUWUtvXv3ZsCAAWi1Wrp06YKfn5/OYnnx4gVbtmwBZGi4EP9FEhtCCCGEEEIIIYQQ2URkZCR//vknAD179tRxNFCyZEn+97//8ccff2BjY8PVq1epXr067u7uREVF/ef9T5w4AUCFChWwtbVN52izltu3b7Ny5Uq2bt3KixcvdB1OlrZgwQJq1qzJixcvaNu2LdHR0TqJw8PDg9jYWMqWLUutWrV0EoMQWYUkNoQQQgghhBBCCCGyiW3bthEXF0fJkiWpVq2arsMBQKVS0atXL3x8fOjatSsajYYFCxZQpkwZ9u7d+977ShuqN2k0Go4ePcq2bdtISEjAwcEBAwMDXYeVpRkZGbFjxw7y5MnDjRs36N2792cPvf9YMjRciI8jiQ0hhBBCCCGEEEKIbGLt2rVAcrVGZjsw6uDggIeHBwcPHqRw4cI8evSI1q1b0759e548efLmHSIj+d/ffwMyODxFTEwMHh4enD17FoAaNWrg5uaGubm5jiPL+vLmzcuOHTswMDBg27ZtzJkzJ0P3f+7cOW7evEmuXLlwc3PL0H0LkRVJYkMIIYQQQgghhBAiG7h79y5nz55FT08PV1dXXYfzTk2aNOHGjRuMGTMGfX19du7cSalSpViyZAkajUZZ78nJk/g+eYKenh5ffvmlDiPOHJ4+fcqKFSvw9/fH0NCQ9u3b06RJE/T19XUdWrZRu3ZtFixYAMCYMWM4evRouu8zPj6eZcuW0blzZyB5No6VlVW671eIrE4SG0IIIYQQQgghhBDZwLp16wBo2rQpefPm1XE075crVy5mzJiBp6cn1atXJyoqisGDB1O7dm28vb0hIoITr9pUVSpQAGs9OYTl5eVFZGQktra29OnTh7Jly+o6pGxp4MCB9OzZE41Gw3fffUdAQEC67Ofly5csXryYokWLMnDgQB49ekS+fPkYO3ZsuuxPiOxG3hWEEEIIIYQQQgghsji1Wq0kNnr06KHbYD5C+fLlOXv2LAsXLsTCwoILFy5QuXJlxn7/PQeuXAGgfqFCcPu2jiPVvUaNGlGzZk369u2Lg4ODrsPJtlQqFUuWLKFKlSqEhobSrl074uLi0mz7cXFxLFy4kCJFijBkyBAeP35M3rx5+f333/H19aVo0aJpti8hsjNJbAghhBBCCCGEEEJkcceOHePJkyfY2NjQqlUrXYfzUfT19RkyZAi3b9+mbdu2JCUlMWP9ejZevQrAVxUrwo0bEBmp20AzWEREBEeOHFGGWBsaGtK4cWNMTEx0HFn2Z2Jiwp9//om9vT1Xr16lf//+nz1MPDY2lvnz5+Pi4sL333/P06dPyZ8/P4sXL+bevXsMHToUU1PTNHoEQmR/ktgQQgghhBBCCCGEyOLWrFkDQJcuXTA2NtZxNJ8mX7587Ny5k92//Ua+VzMG9PX0qFuzJoSF5aiqjfv377NixQrOnTvH+fPndR1OjlSwYEG2bduGvr4+GzZsYNGiRZ+0nZiYGObMmYOLiwvDhw8nMDCQggULsmzZMvz8/Bg0aJAkq4T4BJLYEEIIIYQQQgghhMjCwsPD2bVrFwA9e/bUcTSfKSKC1ra23J42jUmdO7Nq6FAszczAzi5HVG2o1WqOHz+Oh4cHsbGxODk5Ubp0aV2HlWN99dVXzJo1C4Dhw4dz6tSpD75vdHQ0v/32G4ULF+aHH34gKCgIZ2dnVqxYga+vL/3798+ySUghMgMDXQcghBBCCCGEEEIIIT7d1q1biY+Pp2zZslSuXFnX4XweHx8IC8OiRAkmdu78/7fb28OdO8lVG9Wr6y6+dBQaGsrOnTt5+vQpABUrVqR58+Y6jkq4u7tz+fJlNm3aRMeOHbly5Qr58+d/5/pRUVEsWrSIOXPmEBoaCoCLiwvjx4/Hzc0NQ0PDjApdiGxNEhtCCCGEEEIIIYQQWVhKG6qePXuiUql0HM1niIhIrsqws4N/Pw6V6v+rNkqVAktL3cSYTm7dusXu3btJTEzExMSEli1bUqZMGQASExN1HF3OplKpWLlyJTdv3uTatWu0b9+eU6dOvVFtERERwaJFi5g7dy5hYWEAFC1alJ9++okuXbpIQkOINCatqIQQQgghhBBCCCGyqFu3bvHPP/+gr69P165ddR3O53lVrYG9/duX29tn21kbdnZ2aDQaChcuzMCBA5WkhsgccuXKxc6dO7GxseGff/5hyJAhyrIXL14wefJknJ2d+emnnwgLC6N48eJs2LCB27dv0717d0lqCJEOpGJDCCGEEEIIIYQQIotau3YtAC1atMDR0VG3wXyO91VrpMhmVRvh4eHY2NgA4OjoSK9evXBycsraVTfZmIuLC1u2bKFZs2asWrWKkiVLEhkZyYIFC4iIiACgZMmSTJgwgW+//RZ9fX0dRyxE9iaJDSGEEEIIIYQQQogsKCkpiQ0bNgDQo0cP3QbzuXx8IDAQ8uSBkJB3r6fVJq+XhWdtJCYmcvjwYTw9Penduzd58+YFUK5F5tW4cWOmTZvG2LFj+eGHH5Tby5Qpw4QJE+jQoYMkNITIIJLYEEIIIYQQQgghhMiCDh06RGBgIPb29rRo0ULX4Xye6GgoUODD1i1QIHn9LOjp06fs3LlTGSodEBAgCY0sZsyYMVy9epVt27ZRrlw5fv75Z9q1a4eennT8FyIjSWJDCCGEEEIIIYQQIgtKaUPVtWtXjIyMdBvM52rQQNcRpCuNRsPZs2c5ceIEGo0GCwsLWrduTZEiRXQdmvhIKpWKzZs3M3HiREqWLCkJDSF0RBIbQgghhBBCCCGEEFlMaGgoe/fuBaBnz546jka8z4sXL9i1axcPHz4EoFSpUrRs2ZJcuXLpODLxqfT09ChdurSuwxAiR5PEhhBCCCGEEEIIIUQWs3nzZhISEqhYsSIVKlTQdTjiPe7cucPDhw8xMjKiWbNmVKhQQQaECyHEZ5LEhhBCCCGEEEIIIUQWs2bNGkCqNbKCatWqERkZSZUqVbCxsdF1OEIIkS1IEzghhBBCCCGEEEKILOT69et4enpiaGhIly5ddB2O+Bd/f3/WrVtHQkICkDyToVGjRpLUEEKINCQVG0IIIYQQQgghhBBZSMrQ8G+++QZ7e3vdBiMUSUlJHD9+nPPnzwNw+vRpGmTzoehCCKErktgQQgghhBBCCCGEyCISExPx8PAAoEePHroNRiiCg4PZuXMnQUFBAFSuXJm6devqOCohhMi+JLEhhBBCCCGEEEJERsLFi1C9Olha6joaId5p//79hISE4OjoSNOmTXUdTo6n1Wr5559/OHLkCGq1mly5ctGqVStKlCih69CEECJbk8SGEEIIIYQQQghx+zZ4eiYnNapX13U0QrxTShsqV1dXDA0NdRuM4Pz58xw5cgSAokWL0rp1a8zNzXUclRBCZH+S2BBCCCGEEEIIkbNFRMCNG6Cvn3xdqpRUbYhMKTg4mH379gHShiqzKFOmDFeuXKFy5crUqlULlUql65CEECJHkMSGEEIIIYQQQoiczccHwsKgeHG4eze5ekOqNkQmtGnTJpKSkqhSpQply5bVdTgCsLKyYsCAAVI9I4QQGUxP1wEIIYQQQgghhBA6k1KtYWcHenrJ1zduJM/cECIT0Wq1rFmzBoCePXvqOJqc7dq1a9y6dUv5XpIaQgiR8SSxIYQQQgghhBAia4mMhCNHPjv5EBERweF16/hl61a6rlvH3osXwd4+uXrj9u00ClaItOHl5cX169cxMjLiu+++03U4OdatW7fYs2cPO3bs4PHjx7oORwghcixpRSWEEEIIIYQQImv5hEHfWq0WX19fzp07x/nz5zl37hw3b95Eq9Uq62w6dYpprq6MrV8flczaEJlMSrVGmzZtsLW11XE0OZOvry9//vknWq2WihUrki9fPl2HJIQQOZYkNoQQQgghhBBCZB0fOOg7JiaGS5cuKYmM8+fPExoa+sZ6hW1tqVWuHPp6eqz/3/8Y7+GB79OnLG/YECOZtSEyg8hI4k+fZqOHByBDw3UlICCAbdu2odFoKFOmDN98840MChdCCB2SxIYQQgghhBBCiKzjLYO+tdWq8eDBg1TVGNeuXUOtVqe6q7GxMVWqVKFWrVrULF+emsHB5LG2hty5AahRogRDV6xg7fHj+D95ws5cubCVqg2ha7dvs2/zZsLCw8mbNy+NGzfWdUQ5zuPHj9m8eTNJSUkUL16ctm3boqcn3d2FEEKXJLEhhBBCCCGEECJreFWt8dLSEs87dzh3+TLnt2zh3JMnBAYFvbF6vnz5qFWrVnIio2ZNKlWqhJGRUfLCixfh2bPkmRqvDGzenMKOjnT67TdO3rlDzalT+TtfPop26JBRj1CI1F4959d4egLg1qkT+vr6Og4qZ3nx4gUbN24kISGBwoUL07FjR/kdCCFEJiCJDSGEEEIIIYQQmV5iYiKH//gDj/Xr2XP7NnEJCamWGxgYUKlSJSWJUatWLQoUKPD2jaW0s7Kzg3+1kmn6xRecnTmTllOmcDckhBo9e7LbwoI6TZqk10MT4t18fHgWEMDBO3cA6FGjho4DynmsrKwoV64cz54947vvvsPAQA6lCSFEZiCvxkIIIYQQQgghMiWtVsulS5fw8PBgy+bNhDx/rixzsLKiZsmS1CpQgJouLlQZMQJTR8cP27CPDwQGQp48EBLyxuJyZmZcHDuWVr//zqWAABp88w2r16yha9euafXQhPhvrxJwHnfuoNZoqOHiQsnoaIiMlPZoGUilUtGsWTOSkpIwNDTUdThCCCFekcSGEEIIIYQQQohM5d69e2zcuBEPDw98fX2V2x3Mzfmufn1cv/qKKkWLJg/u1Wrhzh0ICIAPTWxER8O7qjleyWNnx4lx4+i2YgV/Xr6Mq6srvr6+TJw4UQYGi4zh40NCcDArz54FoGfTpsnzZWSofbqLiori7NmzNGrUCH19fVQqlSQ1hBAik5HEhhBCCCGEEEIInXv+/Dnbtm3Dw8OD8+fPK7ebmprStmVLXPPmpVGZMhjkyZP6jipVckupGzfgQwd9N2jwQTHlArb17s24ceOYOXMmv/zyC35+fvzxxx8YGxt/xKMT4iO9qtb47Z9/8H36lNxWVnxbty7Exn7cc118tNjYWDZs2EBISAhJSUm0bNlS1yEJIYR4Cz1dByCEEEIIIYQQImeKi4tj27ZttGrVCicnJwYPHsz58+fR09OjcePGrF+/nqCgIDaOHEmzfPkweFdFhr39/5/Jnsb09PSYMWMGK1euxMDAgI0bN9KwYUOev9YWS4g05+PDHR8fpuzbB8D8Pn2wMjNL1+e6gJcvX+Lh4UFISAgWFhbUqVNH1yEJIYR4B6nYEEIIIYQQQgiRYdRqNSdPnsTDw4MdO3YQFRWlLKtcuTKurq589913ODk5Jd/4nkHfik+p2vhIffr0oXDhwrRv354zZ85Qo0YN/v77b0qUKJHm+xI5XEQEmuvX6bd3LwlJSTStXJnOX36ZvCwDnus5VUJCAps2beLZs2fkypWLbt26YW1treuwhBBCvIMkNoQQQgghhBBCpDtvb282bNjApk2bePLkiXJ7wYIFcXV1pWvXrpQuXfrNO/7HoG+FVpu8XjrOH2jQoAHnz5+nRYsW3Lt3j5o1a7Jz507q16+fLvsTOZSPD6sPHeLU3bvkMjZm6cCBqee62Nsnz5WRWRtpJikpia1bt/Lo0SNMTExwc3PD3t5e12EJIYR4D0lsCCGEEEIIIYRIFxqNhiVLlrBy5UquX7+u3G5tbU2nTp1wdXWldu3a6Om9p0vyBwz6VhQokLx+OipVqhQXLlygTZs2nD9/nsaNG7NixQp69OiRrvsVOUREBIFnzzLqwAEApnTtivO/W7BJ1Uaa27NnD/fv38fQ0JCuXbuS59+zfIQQQmQ6ktgQQgghhBBCCJEupk2bxs8//wyAkZERLVq0wNXVlRYtWnz48O0PHPSdkRwcHDh+/Dg9e/Zky5Yt9OzZE19fX6ZMmfL+JI0Q/8XHh+/XrOFFbCxfFCrE9zVqvL1SKQMqlHKSL774gvv379OhQwfy58+v63CEEEJ8AElsCCGEEEIIIYRIc8ePH2fSpEkATJ48mcGDB2Nra6vboNKQiYkJGzdupGjRokydOpVff/0VPz8/1q5di6mpqa7DE1nUX0eOsP3GDfT19FjZuzcG70sAZkCFUk7h7OzMsGHDMDIy0nUoQgghPpAkNoQQQgghhBBCpKlnz57RpUsXNBoNvXr1YsKECboOKV3o6ekxZcoUihYtSt++fdm2bRsPHz5kz549ODg46Do8kcVERUUxaPlyAEaMHEmlbPp3kxlotVpOnTpFqVKllL9VSWoIIUTWIjWyQgghhBBCCCHSTFJSEl26dCEoKIhy5cqxcOFCXYeU7rp3786RI0ewsbHhwoULVK9enVu3buk6LJHFjB8/nsePH+Pi4qJUO4n0ceLECU6cOMG6deuIi4vTdThCCCE+gSQ2hBBCCCGEEEKkmV9++YUTJ05gbm7O9u3byZUrl65DyhD16tXjwoULFC1alICAAGrWrMmRI0d0HZbIIi5evMiiRYsAWLZsWY75u9GFs2fPcurUKSD571ZaxwkhRNYkiQ0hhBBCZE+RkXDkSPK1EEKIDHHw4EGmTp0KwMqVKylRooSOI8pYxYsX5/z589StW5fIyEiaNWvGnj17dB2WyOQSExPp27cvWq0WNzc3GjVqpOuQsiWtVsvRo0c5evQoAA0aNKBatWo6jkoIIcSnksSGEEIIIbKn27fB0zP5WgghRLp7/Pgxrq6uAAwcOJDvvvtOxxHphr29PUeOHKFz586o1Wp++eUXXYckMrlZs2bh7e2Nvb09c+fO1XU42VJiYiI7duzg7NmzANSvX586deroOCohhBCfQxIbQgghsj85cz/niYiAGzdAXz/5Wn73QgiRrhITE/nuu+8IDQ2lcuXKOf7grLGxMQsXLsTQ0JCrV69y8+ZNXYckMqm7d+8yefJkAObNm4e9vb2OI8qeTp8+za1bt9DT06NNmzbUq1dP1yEJIYT4TJLYEEIIkf3Jmfs5j48PhIVBsWLJ1/K7F0KIdDV+/HjOnj2LpaUl27Ztw8TERNch6ZydnR3NmzcHwMPDQ8fRiMxIq9XSv39/4uPjadSoEV27dtV1SNlW3bp1KVq0KN26daNChQq6DkcIIUQakMSGEEKI7C2Hn7mfkJDAy5cvdR1Gxnr1O48xNydJqwU7uxz5uxdCiIzy119/MWvWLADWrFlDkSJFdBxR5uHm5gbAxo0b0Wg0Oo5GZDZr1qzhxIkTmJqasmzZMlQqla5DylaCgoLQarUAGBoa0rVrVwoVKqTjqIQQQqQVSWwIIYTI3nLwmfuBgYGUL18eBwcHNmzYoOtwMo6PD9dv3qTgmDEU6t2bXb6+Oe53L4QQGSUgIIDu3bsD4O7uTrt27XQcUebSokULrKysePToESdPntR1OCITCQoK4ocffgBg8uTJuLi46Dii7OXKlSssX76cU6dO6ToUIYQQ6UQSG0IIIbKv187c9w0MzFFn7kdGRtK8eXPu3LlDVFQU3bp1w9XVlYiICF2Hlr4iIgg5f55W69cTFhXF07Aw2s2YQZtNm3h06lSO+N0LIURGSUhIoFOnToSHh1OtWjVmzpyp65AyHRMTEzp16gSQs04yEP/J3d2d8PBwKlWqhLu7u67DyTa0Wi1Hjhxh3759aLVawsLClKoNIYQQ2YskNoQQQmRfr6o1vluzhuIDBrD19u0cceZ+QkIC7du35+rVqzg4ODB69Gj09fXZuHEjlSpV4vz587oOMd0k3rhBx4ULeRAaSpE8eRjTvj0G+vrs8fKi9E8/8fukSajVal2HKYQQ2cKoUaO4dOkSNjY2bNu2DSMjI12HlCmltKPasWMHcXFxOo5GZAb79+9ny5Yt6OnpsXLlSgwMDHQdUraQmJjI9u3bOXfuHAD169enTZs20uJLCCGyKUlsCCGEyJ5eVWt4x8Wx79IlAAYuW8ZTPb1sXbWh0Wjo2bMnR48exczMjL///puZM2dy+vRpnJ2d8ff3p27dukydOjX7HeCPiGDYTz9x8v59LExN2fvTT8zo3p2r8+dTq2RJohMSGDZvHjWrVcPLy0vX0QohcprISDhyJNu8//z555/8/vvvAKxfv1761r9H7dq1cXZ2Jioqir179+o6HKFj0dHRDBw4EIDhw4fzxRdf6Dii7CE6Opq1a9dy+/Zt9PX1adeuHfXq1ZOkhhBCZGOS2BBCCJE9varWmH/6tHJTeHQ0fTZvRhsamm2rNsaMGcOmTZswMDDgzz//pEqVKgDUrFkTLy8vunTpglqtZsKECXz11Vc8fPhQxxGnnWW//srSEydQqVRsHDmS0gULAlC2UCFOz5jB0gEDsDQx4ZKnJ1WqVGHUqFHExMToOGohRI5x+zZ4emaL9x8/Pz969eoFJL/vtGzZUscRZW56enp07doVkHZUAiZMmMDDhw9xdnbml19++bSNSOVPKmq1mjVr1vD06VNMTU3p1q0b5cqV03VYQggh0pkkNoQQQmQ/r6o1gg0N2fhqUOfKIUMwNjTkwJUr/HHrVras2pg7dy6zZ88GYPXq1TRp0iTVcisrKzZu3MiGDRswNzfn9OnTVKhQgR07dugi3DR18u+/GTpnDgDTXF35plq1VMv19PQY0Lw5PtOm0bFKFdRqNbNnz6Zs2bIcPHhQFyELIXKSV+9L6Ot/9vtPdHQ0169fZ9euXcybN48DBw5kaP/4ly9f0rFjRyIjI6lTpw5Tp07NsH1nZSntqA4ePEhwcLCOoxG6cunSJaXSadmyZZiZmX38Rk6dSp4b99rJOzmdvr4+devWxc7Ojj59+lDw1cktQgghsjdJbAghhMh+XlVrLL90ifjERKoWK0bvRo2Y5uoKwPCtW/H388sWZ82m2Lx5MyNHjgRg5syZygGUt3F1dcXLy4tq1arx4sULOnbsSJ8+fbJs9UJAQAAdXF1JUqv5rlo1fqxXD0JC3npxsrJiW5s2/DV7NgULFiQgIIBmzZrRuXNngoKCdP1QhBDZ1av3JYoV+89ZT1qtlqdPn3L69GnWrVvHzz//jKurKzVr1sTR0RELCwsqVKhAu3btGDFiBM2bN6devXpcetV2Mb0NHz4cLy8v7O3t2bJli8wG+EAlSpSgatWqqNVqtm7dqutwhA4kJibSp08fNBoNXbt2feMElA82fnxyxcb48WkbYBb08uVL5euKFSsyYMAAbG1tdRiREEKIjCSJDSGEENnLq7Ni4y0tWXLgAADurVqhUqlwb9WKuqVLE/3yJT137UJz/Xq2qNo4duwY3bt3B2DYsGGMGjXqP+9TpEgRzpw5w7hx41CpVPzxxx9UrlwZT0/P9A43TUVHR9O6dWuev3hB5UKF+KNPH1SGhmBg8PaLoSEUKEDLihW5efMmw4cPR09Pjy1btlCyZElWrVqFRqPR9cMSQmQnKdUadnagpwd2dry8ehWfy5f5+++/WbhwIe7u7rRq1YoyZcpgZmZGvnz5+PLLL+nRowdTpkxh48aNXLhwQTnT39bWlqpVq9K6dWtMTU05ffo01apVo2vXrjx48CDdHsqmTZtYtmxZcsu/jRvJly9fuu0rO0o56UDaUeVMc+fO5fr169ja2jJ37txP28iJE3DmTPLXp08nf58DaTQaDh8+zPLly1OdmCOJViGEyFnkVV8IIUT24uMDgYFs8/cnMDycvNbWdCheHEJC0AfWdutG+YkTOXnnDr/v3o17+fJQvbquo/5kXl5etG3blsTERDp16sTcuXM/eEiioaEh06ZNo1GjRri6unL37l1q1KjBr7/+yogRI9DTy9znP2g0Gnr06MH169dxcHBg9+nT5CpQ4IPvb07yQYauXbvSr18/PD096du3L+vXr2f58uWUKlUq/YIXQuQcr6o1Znh7c8DTk/uBgTwJC3tv+yg9PT0KFSqEi4sLRYoUSXXt4uKCtbW1su7jx48ZP348GzZsYNOmTfz555+4u7szduxYrKys0vBh+NCvXz8AfvrpJxo3bpxm284pvv32W4YPH86lS5e4c+cOJUqU0HVIIoP4+fkxadIkIPmzh4ODw6dtaMKE5JZ2anXy9c8/J7emykESEhLYtWsXPj4+APj6+lKxYkXdBiWEEEInMvcRCyGEEOJjRUejzZ+feUePAjC4YUOMTEyUM/ZdnJyY07kzAGOPHMHn1i1dRvtZ/P39adasGVFRUdSvX5/169d/UjKifv36XLt2TUmQjBo1iqZNm/Ls2bN0iDrtTJ06lT///BNDQ0N27txJgY9Iarzuiy++4OLFi8ydOxczMzNl9sjEiRNTtTgQQoiP9qpa43RoKGM3bODUzZs8Dg1Fq9VibmxMhXLlaNeuHT/88ANLly7l0KFD+Pn58fLlS+7fv8/Ro0dZvnw5Y8aMoUOHDlSuXDlVUgMgf/78rFu3jsuXL/PVV18RHx/PzJkzKVq0KEuWLCExMfGzH0ZsbCwdO3YkJiaGr776iokTJ372NnMiBwcHmjZtCkjVRk6i1WoZMGAAL1++pEGDBnTr1u3TNpRSraFWJ3+vVue4qo2oqCjWrl2Lj48P+vr6tGvXTpIaQgiRg0liQwghRPbSoAFnXFy4+uABJiYm9Fu6FLp1S3Xp92qw9svERLotXUpSUpKuo/5oz58/p0mTJgQGBlK+fHl2796NsbHxJ2/Pzs6OP//8k+XLl2NqasqRI0coX748+/btS8Oo086uXbuUA2tLly6ldu3an7U9AwMDhg8fzs2bN2nZsiWJiYlMnjyZChUqcCIHHTAQQqSxV9Ua018l29vXqsWFWbMIXr+eyMmT8Vq5kj///JNZs2YxYMAAGjduTJEiRTA0NPzoXVWuXJljx46xd+9eSpQowfPnzxk8eDDly5fnr7/++qwB40OGDOHGjRvkyZOHTZs2oa+v/8nbyulS2lFt3LhRWh/mEOvXr+fYsWOYmJgordw+SUq1xutSqjZygKCgIFatWsWzZ8/IlSsX3bp1o1y5croOSwghhA5JYkMIIUS2M3/+fCD54IG9vf0by1NmSlhbW3Pp0iVmzJiRwRF+npiYGFq2bImvry+FChXiwIEDadJuRKVS0a9fP65cuUKFChV4/vw533zzDUOHDiUuLi4NIk8b3t7eyoGh77//nt69e6fZtgsVKsTevXvZvn07efLk4e7du3z11Vf06tWL0NDQNNuPECIHeFWt4RUTw4ErV9DT02Nm9+5UL1GC3NbWqOztk2dvpOGsJ5VKxTfffIO3tzeLFy/G3t4eHx8fWrVqRYMGDT5pjtLatWtZs2YNenp6bN68mTx58qRZvDlRq1atsLCwICAggLNnz+o6HJHOgoODGTFiBACTJk2iaNGin7ahf1drpMghVRsPHz5k9erVREZGYmdnR+/evSlYsKCuwxJCCKFjktgQQgiRrfj7+7N7924geZD2u+TLl49FixYB8Msvv3D16tWMCO+zpczSuHjxIra2thw8eJC8efOm6T5KlSrFhQsXcHd3B2DRokVUq1aNGzdupOl+PsXz589p1aoVMTExNGjQgDlz5qT5PlQqFR06dOD27dsMGDAAgDVr1lCqVCk2btz4WWc9CyFykJTZGseOAdCpdm2KODn9/3J7ewgLg9u303zXhoaGDBo0CD8/P3788UeMjY353//+R5UqVejevTuPHz/+oO3cuHGDQYMGATB58mTq16+f5rHmNKampnTo0AGQdlQ5wfDhwwkLC6NChQpKguOTvK1aI0U2rdpITExUPnPlzp0bCwsLnJ2d6d27N7a2tjqOTgghRGag08TG9OnTqVq1KhYWFjg4ONCmTRvu3LmTap2XL18yePBg7OzsMDc3p3379gQFBaVa5+HDh7Ro0YJcuXLh4ODAqFGj3mgrcuLECSpXroyxsTFFixZl7dq1b8SzePFinJ2dMTExoXr16vzzzz9p/piFEEKkr0WLFqHRaGjcuDFlypR577pdunShffv2JCUl0a1bN+Lj4zMoyk+T0qN5//79mJqasm/fPkqWLJku+zIxMWHevHns378fBwcHbty4QZUqVVi8eLHODuwnJibSsWNHAgICcHFxYevWrRgYGKTb/qytrVm6dClnz56lTJkyhISE4OrqSufOnVH/+4xJIYR43atqDb+kJLafOwfAj68OZitUKrCzS/OqjddZWVkxffp07ty5Q5cuXdBqtaxfv57ixYszYcIEoqKi3nnf6OhoOnbsSFxcHE2aNGHs2LHpEmNOlFJ1uG3bNpnllI0dPHiQTZs2oaenx8qVKz+pxRzw7mqNFFm8akOr1RIVFYWvry9nzpxhx44dLF68mOnTpxMeHg4kJwS7deuGq6srpqamOo5YCCFEZqHTxMbJkycZPHgwFy5c4MiRIyQmJtK4cWNiYmKUdYYPH85ff/3F9u3bOXnyJE+fPqVdu3bKcrVaTYsWLUhISODcuXOsW7eOtWvX8vNrZyz4+/vTokULvvrqK7y8vHB3d6dPnz4cOnRIWWfr1q2MGDGCiRMn4unpSYUKFWjSpAnBwcEZ88MQQgjx2aKioli1ahWAUm3wPiqViqVLlyoH7jP7MNSff/6Z1atXo6enx9atW6lZs2a677NZs2Zcv36dpk2bEh8fz5AhQ2jVqhUhISHpvu9/c3d358SJE5ibm7N3717s7OwyZL+1atXC09OTadOmYWRkxNatWxk3blyG7FsIkUX5+EBgIL8dPIhGo6FF+fJUMDeHkJDUF60WAgPTpWrjdYUKFWLjxo1cvHiROnXqEBcXx9SpUylWrBgrVqx446QwrVbLoEGD8PHxIV++fHh4eKCnJ8X+HysmJoZ79+6lus3Pzw8bGxvq169PoUKF8PDwwMvLCy8vL7y9vVOt6+vri6enJ56enly5ciXV5d+Vpo8ePcLHx4e7d+/i5+fH/fv3CQgI4OHDhzx69CjVSQmRkZGEhoYSHh5OREQEUVFRxMbGpjpDXnyemJgYBg4cCCS3zaxateqnb+x91RopskjVhlqtTnVyyNWrV5k9ezZz585l06ZNHDt2jJs3b/L8+XO0Wm2q4zGWlpYy30cIIUQq6Xea4wc4ePBgqu/Xrl2Lg4MDV65c4csvvyQiIoI//viDTZs28fXXXwP/3wriwoUL1KhRg8OHD3Pr1i2OHj2Ko6MjFStWZMqUKYwZM4ZJkyZhZGTEsmXLKFy4sNKuolSpUpw5c4Z58+bRpEkTAObOnUvfvn3p2bMnAMuWLePvv/9m9erV/Pjjjxn4UxFCCPGp1q5dS2RkJCVKlFBe3/9L7ty5WbFiBW3atGHWrFm0atWKWrVqpXOkH2/p0qVMnToVgOXLl/PNN99k2L4dHR35+++/WbhwIaNHj2bfvn2UKlWKUaNGMXjwYMzNzdM9hhUrVrBkyRJUKhUbN278z2qctGZkZMS4ceNwdnama9eu/Pbbb5QqVYoePXpkaBxCiCwiOponZmase1WtMfabb+BdFWYFCkB0dIaEVa1aNU6dOsXu3bsZPXo0fn5+9O/fn99//53Zs2fTtGlTAA4fPsyWLVvQ19dn69atb51XJd6k0Wh4+vQpvr6++Pn58fTpU6ysrFKdbPG///2Pp0+fKm29njx5wpMnTwDIlStXqmHIZ8+e5cGDB2/dl4GBAZUqVVK+P336NL6+vu+M7fUT/w4fPszNmzffup5KpWLUqFHKWfGnT5/m/v37GBkZYWRkhKGhIUZGRhgbG2NkZETVqlUxMjICIDQ0lNjYWGVdU1NTTExM3vMTy75+/vlnAgICKFiwIFOmTPn0DaVUa/yX16s2MknLuNjYWAIDAwkKCiIoKIjAwEBCQkLo3LmzMmvEyMiI2NhYVCoVdnZ25MmTB0dHR+U6Iz5jCiGEyLp0mtj4t4iICAClX+KVK1dITEykYcOGyjolS5akYMGCnD9/nho1anD+/HnKlSuHo6Ojsk6TJk0YOHAgN2/epFKlSpw/fz7VNlLWSfmAmZCQwJUrV1KVV+vp6dGwYUPOnz+fXg9XCCFEGtJoNCxYsABInq3xMWeWtm7dmu7du7Nu3Tq6devGtWvXMDMzS69QP9rOnTsZPHgwkDwPpE+fPhkeg56eHsOGDaN+/fp07dqVmzdv8uOPPzJ79mxGjx7NoEGD0u1ndurUKeXxT5kyhVatWqXLfj5Ely5duH37NlOnTqVfv34ULVqUOnXq6CweIUQm1aABc/fvJyEpibp161L7VWI6M1CpVLRt25YWLVqwbNkyfvnlF27evEmzZs1o3Lgxrq6uSvXjjBkzqF27to4jzvzu3LnDzZs38fPzIy4uLtWyf1cX5suXDxMTE2JiYjh79iwqlYqvvvpKSRa8rkCBAhgbG6NSqZTbVCoVWq32jVaMdnZ2xMXFodFo3rhotdpU2zAwMMDY2PiNdSC5WiclUQEQEhJCQEDAOx975cqVla/Pnz/PlStXUi23t7fH2dkZZ2dnihUrlmrb2dWVK1eYP38+kHxiymcdnE+p1viQFpgpVRunTn36/j5BQkICWq1Wef7eu3ePPXv2vLPVXXBwsJLYcHFxoW/fvuTOnfvTW3UJIYTIsTJNYkOj0eDu7k7t2rUpW7YsAIGBgRgZGWFtbZ1qXUdHRwIDA5V1Xk9qpCxPWfa+dSIjI4mLiyM8PBy1Wv3WdXx8fN4ab3x8fKpe7JGv+uImJiaSmJj4MQ9dfKCUn6v8fEV2I8/ttPHXX39x7949rK2t6dy580f/PGfPns3x48e5d+8eo0aNUpIkunbmzBmlL3rfvn358ccfdfpcKV26NJcuXWLz5s38+uuv3Lt3j9GjRzN79mxGjhxJ//79yZUrV5o9rx88eKDMQenYsSOjRo3S+d/KTz/9xK1bt9i5cydt27bl7NmzFC5cWKcxiYwnr93ifUJDQ1m+fDlApnjdehuVSsXAgQP57rvvmDFjBosXL+bw4cMcPnwYgObNm/P9999nyth1SavV8uzZM5ycnJRkwe3bt5U2UsbGxhQuXJgiRYpQpEgRzM3NU/0MGzVqpHy9fPlyvLy8qFq1KgMGDABSv6Z8+eWX743l9XVTOhx8yLotWrSgRYsWqZZrNBoSExNJSEhQkh0AVapUoUiRIiQkJCiXlPUSEhJQqVTKto2NjbG2tlaWJSUl8fz5c54/f87ly5f5/vvvlZ9ZWFgYpqamGTYvIaNes5OSkujTpw8ajYZOnTrRqFGjT9/nmTNw5Qp8TDLo8mX43/8gHU66iI2NJTQ0VPmdpnwdGRlJo0aNlHZbRkZGSlLD2toaBwcHHB0dcXR0xMHBASsrK+VnYmBgQO7cuQF5P/0v8rlDZEfyvBZv8zHPh0yT2Bg8eDA3btzgzIeUWWYC06dP55dffnnj9sOHD5MrVy4dRJRzHDlyRNchCJEu5Ln9eSZNmgTAV199xcmTJz9pG3369GHixIksXbqUPHnyUKFChTSM8OM9fPiQsWPHEh8fT7Vq1WjatCkHDhzQaUwp7Ozs+O233zhx4gTbtm0jKCiIMWPGMH36dNq1a0eTJk0wNjb+rOf1y5cv+fHHH3n+/DkuLi506NAh0zz+b7/9lmvXrnHv3j0aNWrEjBkz5P0/h5LXbvE2W7ZsISYmhsKFC6NWq9m/f7+uQ3qvevXqUaJECTZs2MDZs2dxdHSkc+fOmeY1V9eSkpKIiooiMjKSqKgokpKSKF68uPK6Hx0djYODA5aWlpiZmaFSqVK1mHqXypUr4+XlxeLFiylYsGBGPJQ0pa+vn2puJYCzs7PydVJSEtHR0URHR5OYmMip1yoJ/Pz8iI6OxtTUFHNzc+WS3jMU0vs1+6+//sLLywszMzOaN2/++X/7mzd//H0iI+ET96vVaklKSuLly5cYGBgoiaeYmJj3tjrz8vJS5q9pNBqKFi2Kqamp8vuMiooiKioKPz+/T4pL/D/53CGyI3lei9fFxsZ+8LqZIrExZMgQ9u3bx6lTp8ifP79ye548eUhISODFixepqjaCgoLIkyePss4///yTantBQUHKspTrlNteX8fS0lJ5s9XX13/rOinb+LexY8cyYsQI5fvIyEgKFChA48aNsbS0/MifgPgQiYmJHDlyhEaNGkmZqshW5Ln9+a5du4a3tzf6+vrMmjXrkw8ONG/enMDAQJYuXcrKlSvx9PR8o2owozx69IghQ4YQExNDzZo1OXjwYIad1fgxvvnmG2bMmMHGjRv59ddfCQgIYPXq1fz999+0bNmSmTNnftL7olarpXPnzgQEBODg4MDhw4cz3UGfatWqUatWLR4+fMiGDRvYuXPnRx2QSUpKIi4ujpcvX6Knp4eVldUbrUVE5iWv3eJdoqOj6dWrF5DcPu/fZ8ZnZr169eLu3bt4eXnRtm3bHP3cjoiIwNvbm3v37vH06dNUQ7WNjIwoXbo0pUuX/qx9VKpUibVr13Lnzh2KFy+utOfJ7rRaLatXryY6Opq4uDji4uIICQlBpVLh5OSULm0eM+I1+8mTJ7i6ugIwa9YsunTp8ukbi42FggXhU85iNjSER4/gPz43xsfH8+jRozcqMFI6U1SpUoXGjRsDySebzJ07F0tLS+zt7bG3t8fOzk75OjN+Rs1u5HOHyI7keS3eJqUr0ofQ6X/PWq2WoUOHsmvXLk6cOPFGG4cvvvgCQ0NDjh07Rvv27YHk/qUPHz6kZs2aANSsWZNp06YRHByMg4MDkJzps7S0VD5o1qxZ840zJY4cOaJsw8jIiC+++IJjx47Rpk0bIPksg2PHjjFkyJC3xm5sbPxGD1QAQ0ND+WNMZ/IzFtmVPLc/3ZIlSwBo3749RYoU+axtzZo1iyNHjuDn58eoUaNYu3ZtGkT4ccLDw/nmm294/PgxpUqVYt++fZk6aW5oaEjfvn3p0aMH69atY+rUqTx48IA//viD/fv38+OPP9KvX7+PGiA6ZcoUdu7ciaGhITt37vzs32t6cHZ2Zu/evdStW5cTJ04wYcIEhg0bRlxcHLGxscTFxVG5cmWln/jFixfx8vJSlv+7xLZfv344OTkByX3Kz507p3zeeH1Qq5GREbVr18bGxgZI7n8eHBycaj1jY2MsLS0/ataM+DTy2i3+be3atYSFhVG0aFG+++67dD8DPa0VL14cPz+/HPfcTmmdlFKFERMTk6rCwMHBgaJFi1KsWDEKFCiQJr/XggUL0qhRIw4dOsTWrVuV6tOcYMCAAURFRREQEIC/vz8BAQGEh4fz9OlTcuXKleq5d+7cOZycnMifP/9nPyfT83n9ww8/EB0dTY0aNejfv//nvQdbWYGfH7yaQ/rR933L58aUzyYpc19iY2PZtm3bG+upVCpsbGxS/R4MDQ0ZO3ZsjpiRktnltNdmkTPI81q87mOeCzpNbAwePJhNmzaxZ88eLCwslJkYVlZWmJqaYmVlRe/evRkxYgS2trZYWloydOhQatasSY0aNQBo3LgxpUuXxs3Njd9++43AwEB++uknBg8erCQeBgwYwKJFixg9ejS9evXi+PHjbNu2jb///luJZcSIEXTv3p0qVapQrVo15s+fT0xMDD179sz4H4wQQogPFhwczMaNGwFwd3f/7O2ZmZmxbt066taty7p162jbti2tW7f+7O1+qLi4OFq3bs2tW7fImzcvBw8exNbWNsP2/zkMDQ3p06cP3bp1448//mDixIk8e/aMYcOGMXPmTMaOHUufPn3+M8Gxa9cufv75ZyA5aZUZBtfGxMQQEBBAQEAADRo0UB5DeHg4P/74o7LeH3/8kep+RYsWxd7eHkg+gJDyWSeFSqXCxMQEjUaT6oSJ2NhYpX3H21SuXFlJbNy5c4djx469sY6pqSlFihShbt26yskfQoj0FR8fz5w5cwAYM2ZMlktq5DRqtZr79+/j7e2Nj48PlSpVolmzZgDkz5+fsmXL4uzsTNGiRbGyskqXGNzc3Dh06BAeHh5MnDgx1ZDv7M7CwoJy5cpRrlw5ILlKxt/fHzMzM2WdyMhIpUWJvr4++fPnVy758uXDwsJCJ7H/299//82ff/6Jvr4+y5YtS5sTC3LnTr58opcvX/LgwQMlcRQUFESxYsWUShIrKyuKFi2KsbEx9vb25M6dW6nEeFsFqSQ1hBBCZDY6TWwsXboUgPr166e6fc2aNfTo0QOAefPmoaenR/v27YmPj6dJkybKmbmQ/OFm3759DBw4kJo1a2JmZkb37t2ZPHmysk7hwoX5+++/GT58OAsWLCB//vysWrWKJk2aKOt8++23hISE8PPPPxMYGEjFihU5ePDgGwPFhRBCZC7Lli0jISGBatWqKUnvz1WrVi1GjRrFzJkz6devH7Vq1VIGG6YntVpN165dOX36NFZWVhw8eDDTtV/6EEZGRvTp04fcuXMTFBTEjBkzePz4MUOHDmXGjBmMGzeO3r17v7Xy0dvbGzc3NwCGDh1Knz59Mjp8IPXBAH9/f4KDg5Vl1atXVxIbr//jHx8fT1xcHPnz58fBwSFVb2mAcuXKkT9/fnLlyqUMTDUxMXnrQawaNWpQunRp4uPjSUhIeOP69QNsFhYWFCpUKNU6L1++JC4ujhs3blC3bl1l3adPnxIfH0/BggXlgKsQ6cDDw4MnT56QN29e5bVMZC5arZbHjx/j7e3NzZs3U/VxfvbsmfK1vr6+0jUgPbVp0wYzMzPu3bvHhQsXlK4COZGVlRUVK1ZMdVtSUhLlypXD39+f6OhoHjx4wIMHD5TldevWVQanq9VqNBpNhp/1Gxsbq3R6cHd31/mMtv/973/4+fnx7NmzVC3UIPnzjVarVT57dO3aVRchCiGEEGlC562o/ouJiQmLFy9m8eLF71ynUKFC/zmUq379+ly9evW96wwZMuSdraeEEEJkPvHx8Uqy293dPU3Pcvzll1/4+++/uXHjBgMGDGDHjh3pehbljRs3mDhxIrt27cLIyIg9e/YoZzBmVYaGhvTr148+ffqwevVqfv31Vx4/fszgwYOVBEevXr2UMwCfP39O69atiYmJ4euvv1bOes5o//zzDwcPHnzjc4qjoyPOzs6pKk5q1KhBlSpVMDExoVu3bmzZsgVbW1v++eefN9pnpfSh/hBmZmapzlh9nwoVKrxxEEWtVvPkyRMePHiQKil37tw5bt68iZGRkXIWctGiRZXqDyHEp1Or1cycOROAkSNHvjV5K3Rv7dq1PHz4UPnezMyMMmXKUK5cOfLly5fh8ZiZmdGuXTs2bNjAhg0bcnRi421sbW1p164dWq2W0NBQHj58yOPHj3ny5AkhISGp3uMeP37MunXrcHR0VCo68ufPr7ReSi9Tp04lICCAAgUKZGg7saSkJB49ekRwcDDVq1dXbn/48CFPnz4FwM7ODmdnZwoXLoyzs/MHf7YQQgghsgKZUCmEECLL2rp1K0FBQeTLl48OHTqk6baNjY1Zv3491apVY+fOnWzatCnNz2rTaDQcPHiQefPmcfToUSC5NdHGjRupV69emu5Ll4yNjRk4cCC9evVi1apV/Prrrzx69IiBAwcyffp0xo8fj6urK506dcLf3x8XFxe2bduWrmdcqtVqHj9+rLRnqFOnjjK01d7eHq1W+0EHA14flrl69Wru3bvHpUuXaNmyJRcuXEi31iX/RV9fn4IFC75R8WNubo6ZmRkxMTHcvXuXu3fvAskHjooWLUrTpk1zVBsUIdLSn3/+ia+vL7a2tvTr10/X4QiS2xjdunWLatWqKa2B8ubNS2BgICVLlqRcuXK4uLjofB6Rm5sbGzZsYOvWrcyfP19a/ryFSqVSThCoXLkykHyCy+u/u8DAQLRaLYGBgQQGBnL58mUg+WRJJyent7ZX+lw3b95k1qxZACxcuBBzc/M030cKtVrN06dPlc8uDx8+RK1WA1C2bFnlc0qNGjWoWLEihQsXztQz2oQQQojPJYkNIYQQWZJWq2X+/PlAcsVdehwEr1SpEhMnTmTChAkMGTKE+vXrp8nZnDExMaxfv54FCxZw584dAKXt4g8//EC1atU+ex+ZkbGxMYMHD6Z3796sXLmS6dOn8/DhQ/r378/IkSOJjo7G3NycPXv2pPnZlRqNhmfPnikHAx48eEBSUpKy3MnJSUlsFCxYkOHDh3/0wQBTU1P27NlD1apV8fHx4dtvv2Xfvn3pciDlUzVt2pQmTZoQGBjIvXv38PPz49GjR4SFhfH48eNUSQ1vb28cHBxwcHCQZIcQ/0Gr1TJ9+nQguY1eeh7cFO8XFxfH7du38fb2JiAgAEge/O3i4gL8f+uizDSk9Ouvv8bJyYlnz56xf/9+2rRpo+uQsoR/V0VVq1aNkiVLKhUdT5484enTp7x8+RJ/f3+KFSumrHv79m1u375Nvnz5cHBwQE9PL1WlZv78+ZX379DQUCIjI4HUXSe0Wi3jxo1DpVLRqlUrWrduTVhYGGFhYWi1WpKSklCr1cq1Wq2mbNmyyoD6+/fvc/fuXWUdjUaT6j5NmjRRKlK8vLzYv38/iYmJqR6zubk5hQsXTnV7iRIl0uLHK4QQQmR6mec/bSGEEOIjnD59mqtXr2Jqakrfvn3TbT8//vgje/fu5dKlS/Tu3ZsDBw588kHeJ0+esGjRIpYvX054eDgAlpaW9O3bl6FDh1KoUKG0DD3TMjExUeZnrFixghkzZihDtT08PChbtmya7EetVitzJMLDw1m1alWq5WZmZko1xuttowwMDD75DEcnJyf++usv6tSpw6FDhxgxYgS///77pz+IdKBSqXBycsLJyYk6deoQHx+Pv79/qud1fHw8u3fvRqPRYGFhQZEiRShSpAiWlpYYGhpiYWGhHLhNOcgjyQ+Rkx06dAgvLy/MzMwYOnSorsPJcZKSkrh79y7e3t74+voqZ7FDcrL69bP6Uw4qZyb6+vp06dKFOXPm4OHhIYmNT6RSqbCyssLKyooyZcoAyZ8FgoODefDgQaoZKvfu3cPb2xtvb++3bsvd3V2purx8+TIXLlx463qVK1fG09NTea+/du0ap06demeMKbO2IHnu1cWLF9+57uvzX+Lj40lMTMTU1FT57FK4cGHs7Ozk/VcIIUSOJYkNIYQQWVJKtUa3bt3StXeygYEB69evp1KlShw6dIgVK1bQv3//j9rGpUuXmDdvHtu3b1eqBFxcXBg2bBg9e/bEwsIiPULP9ExNTRk2bBj9+vVj48aNODo68s0333zWNhMSErh58yaenp7Y29vTunVrILnVkoODA7a2tsrBgNy5c6fLwYBKlSqxYcMG2rdvz8KFCylVqhQDBw5M8/2kFWNjY0qWLJnqttjYWIoUKYK/vz9RUVF4eXnh5eWlLK9Tpw4NGjQAICwsjEWLFmFgYIChoaFynXIpW7as0vv75cuXHDt2TFnHyMgIa2tr7OzssLW1lZkEIstKqdbo379/uvfzF28KDg5m+/btyveOjo6ULVuWcuXK6awl4Mdyc3Njzpw5/PXXX4SHh8vsozSir6+Pk5MT9vb2qeZyVqxYEQsLC548eaKcbPK615Nh5ubmSuVEyucGtVrNnTt3SEpKYsiQIcrJKebm5uTJkweVSoW+vj4GBgaprl9/n8ufPz+1a9d+63oGBgapXktKlSqVrp9dhBBCiKxIEhtCCCGynPv377N7924Avv/++3TfX8mSJZk+fTrDhw9n5MiRNGzY8I3B0P+mVqvZvXs38+bN4+zZs8rt9erVY/jw4bRs2VKpJsjpTE1N6dOnzyffX6vV8vTpUzw9Pblx4wYJCQkAhISE0KJFCwwMDFCpVAwYMCDDDga0a9eOadOmMX78eIYOHUqxYsVo2LBhhuw7LdjY2NClSxeSkpJ4+PAhfn5+PHjwgJcvXypnjKZISdYlJSWlau+V4vU5H3FxcUrP87epWrUqzZs3B5L/hvz8/LCzs8PGxkb+XkSmdfbsWU6dOoWhoSEjRozQdTjZXnx8PJcvXyYuLk55XXVycsLFxQUnJyfKly+Pg4ODjqP8eBUqVKBcuXJ4e3uzfft2mdOSzvLnz0/+/Pk/aN3atWtTu3btVLf17t2b1atXU65cuVSVmVWrVqVq1aoftF1nZ2ecnZ0/aF1LS0uZlyGEEEL8iyQ2hBBCZDmLFi1Cq9XSpEkTSpcunSH7/P7779m9ezcnT56kR48enDhx4q0HWiMiIvjjjz9YuHCh0tvb0NCQ7777Dnd3d2XgpUgb169f5+zZswQHByu32draUrlyZSpUqJBqvkVGn+E4duxYbt26xcaNG+nYsSMXL16kePHiGRrD5zIwMMDFxUXpTf82uXPn5ocffiAxMZHExESSkpKUrxMTE1OddWxsbEy9evWUZfHx8YSHhxMWFkZMTEyquQQvXrxgy5YtQPLvLqWyI+VSsGBBHB0d0+/BC/GBUqo1unfvniZzmMTbxcbGcvHiRf755x9evnyJsbEx9evXV5LXbm5uug7xs7m5uTF69Gg2bNggiY1M7PTp06xevRqAZcuWZap5LUIIIUROIokNIYQQWUpkZKQyK8Hd3T3D9qunp8eaNWsoX748Z86cYf78+YwcOVJZfu/ePX7//XdWr15NdHQ0AHZ2dgwYMIBBgwaRN2/eDIs1O9NqtWi1WqVFxIsXLwgODsbAwIDSpUtTuXJlChYsmCnaNKhUKlatWsX9+/c5f/48LVu25OLFi9muvYienh5mZmYftG6uXLmoX7/+W5e9fPky1VDWhIQE8uTJQ2hoKImJiYSHhxMeHo6fnx+QXP2UktiIiIjg0KFDStKjQIEC2NraZorngcjerl+/zt9//42enh6jR4/WdTjZUmRkJOfOncPT01MZkGxnZ0edOnWy3d94586dGTNmDGfOnMHf35/ChQvrOiTxLwkJCUp7yb59+1KrVi0dRySEEELkXJLYEEIIkaWsWbOGqKgoSpYsSePGjTN034ULF2bevHn07duX8ePH07RpU0JDQ5k3bx579uxRDsqWLl0ad3d3XF1dU7XsEZ8uZc7D1atXadiwoVKpU7FiRUxMTChXrlym/FmbmJiwa9cuqlWrhq+vLy1bdmTVqgMfdXanlRW8au2drZmYmKT63snJif79+6PVaomOjiY0NFS5hIWFpTozPiQkhNu3b6e6v4WFhdLmo2jRotLCQ6SLGTNmANChQweKFSum42iynxs3brBr1y40Gg2Q/LpQp04dSpYsmWoGQnaRP39+vv76a44dO8bGjRv56aefdB2S+Je5c+dy8+ZN7O3tlb9/IYQQQuiGJDaEEEJkGWq1WuljPGzYMJ0c1Ojduze7du1i//79VK1albi4OGVZkyZNGD58OI0bN852Z5HqgkajwdfXF09PT3x9fZXE0fXr15XEhqWlJdWqVdNlmP/J0dGRbdv+okaNWpw7d4zSpb8HlgAf9hwxNIQXLyBXrvSMMvNSqVRYWFgoiYq3sbOzo0mTJoSGhhIcHMyTJ0+IiorC29sbb29vWrVqRaVKlQCIiYkhISEBa2tr+TsVn+XevXts3boVgB9//FHH0WQfarVaafVYoEABIHkWQZ06dXBxccn2f7dubm4cO3aMDRs2MH78+Gz/eLMSf39/Jk+eDMCcOXOwtbXVcURCCCFEziaJDSGEEFnGvn37uH//PjY2Njrrpa1SqVi5ciVly5YlPDwcExMT3NzccHd3z7B5H9mdRqPhf//7H15eXkpbL0geQl2pUqUs+XOuXr08pUpt4vbtNsAyoAww5D/vp1JBjRo5N6nxoWxsbKhRo4byfWJiIo8fPyYgIICAgIBUCRFvb28OHTqElZWVUtHh7OyMtbV1xgcusrRZs2ah0Who1qyZkjgTn+7BgwecOXMGPT09OnfuDICVlRVDhgzJdi383qddu3YMHDiQu3fvcunSpUyfvM8ptFotQ4YMIS4ujvr162eLmS5CCCFEVieJDSGEEFnG/PnzAejXr98H9/RPD3nz5uX48eNcuHCBDh06YG9vr7NYsguNRqNU4Ojp6REQEEB0dDS5cuWiQoUKVK5cOcv/nJcsacVXX80ERgPDgOLA+9upabXw6uRQ8REMDQ0pXLjwW/vTR0dHo6enR0REBNeuXePatWsAWFtb4+zsTIMGDVINMRfibZ49e8aaNWsAGDt2rI6jybq0Wi1+fn6cOXOGhw8fAsknEERERGBlZQWQo5IakNxGr02bNmzevBkPDw9JbGQSKdW6hoaGLF26VCpphBBCiExAEhtCCCGyBC8vL06cOIG+vj6DBw/WdThUrFiRihUr6jqMLC02NhZfX1/u3r3LgwcPGDx4sDIno169eiQkJFCiRAmlJUlWV78+1K79A+fO3UKrXQt0As4Dpd66vr4+1KqVfD+Rdho2bMiXX37Jo0ePlIqOp0+f8uLFC65fv07z5s2VdW/cuIFarcbZ2Vk5yCoEwLx580hISKB27drUrVtX1+FkORqNhlu3bnH27FkCAwMB0NfXp0KFCtSuXTvH/725ubmxefNmtmzZwpw5cz5qLpNIe1FRUXz//fcAjBkzhpIlS+o4IiGEEEKAJDaEEEJkEQsWLACSB7Sm9NwWWYtWqyUkJIS7d+9y9+5dHj16lGr5zZs3qVKlCgBFixbVRYjpbupUFV99tQzwA84A3wAXAbs31lWrpVojvRgZGVGkSBGKFCkCQEJCAg8fPiQ8PDzVAcTXD7rmyZOHkiVLUrJkSRwcHHQSt8gcwsPDWbp0KSDVGp/q+vXr7NmzB0iusKpSpQo1a9bEwsJCx5FlDo0aNcLR0ZGgoCAOHTpEy5YtdR1SjjZx4kSePHmCi4sL48aN03U4QgghhHhFEhtCCCEyvaCgIDZt2gTA8OHDdRyN+FQ3btxg586dqW5zdHSkePHilChRgrx58+oosoxTvz7UqWPMuXM70WiqAfeA9sBhwEhZT6o1MpaRkdEbyTStVkuRIkXQ09Pj2bNnBAYGEhgYyIkTJ7C1taVcuXI6ilbo2qJFi4iOjqZ8+fKpKnzEuyUkJBAREUHu3LkBKFOmDOfOnaN06dJUq1aNXDJIKBUDAwM6d+7M/Pnz2bBhgyQ2dOjq1avKyTWLFy9WKkuFEEIIoXuS2BBCCJHpLVu2jISEBGrUqEH16tV1HY74DzExMfj4+ODv74+np6fyO3NxccHQ0BBnZ2eKFStG8eLFc2S7kSlT4KuvcgN/AbWAk0B/YDWQ3LNbqjV0T6VS0bBhQyD5OX337l18fHy4d+8eYWFhhIaGYmCQ/FFaq9USEBBAwYIFs03rNPF2MTExykHOH3/8Ufrsv0dcXBx+fn7cvXsXX19fzM3NGTRoEHp6ehgaGjJw4ED5+b2Hq6sr8+fPZ+/evalmjoiMo1ar6d+/PxqNhk6dOtG0aVNdhySEEEKI10hiQwghRKYWHx/PkiVLAHB3d9dtMOKttFotwcHBSoupx48fK8tu3bqlJDbMzMwYPXq0cjA4p0qu2oDz58uiVm8huR3VWsAGmIO+vkqqNTIZMzMzKlWqRKVKlYiPj8fPzw8zMzNl8HhQUBDr16/HxMSE4sWLU7JkSYoUKYKRkdF/bFlkNatWrSI0NJQiRYrQsWNHXYeT6YSHh+Pj46PMTtJqtcqyXLlyERkZibW1NYAkNf5D5cqVKVWqFLdv3+bPP/+kV69eug4px1mxYgWXLl3C0tKSefPm6TocIYQQQvxLzj6yIIQQItPbsmULwcHB5M+fn3bt2uk6HPEvWq2WJUuW8Pz581S3Ozo6AtCgQYNUt+f0pEaK5KoNgOYkV2r0AOYBVqjVE3NEtYavry/z58+nffv2fP3117oO54MZGxtTpkwZEhMTlcRGREQEuXLlIjY2luvXr3P9+nUMDAwoWrQoJUuWpESJEpiYmOg4cvG5EhISmD17NoAkaV/RaDSoVColSXH+/HkuXbqkLM+dOzfFixenePHi5M+fHz09PV2FmuWoVCrc3NwYN24cGzZskMRGBgsMDFRm6EybNi1HtMsUQgghshr5NC6EECLT0mq1zJ8/H4AhQ4akGuordCM4OBhvb28lYaFSqbCxseHFixcULlxYOYBlamrK/v37cXJy0nHEmdP/V22AWt0diAS+Bybh4mJJ/frZe5aMt7c3jRo1IigoiCVLltC/f39mzZqVZQcHlyhRgpEjR/Lo0SN8fHy4ffs2ERER+Pj44OPjg6urqzKoXKvVypnqWdTGjRt5/PgxTk5OdO/eXdfh6MzLly+5d++e0mLq22+/pVChQgCULFmS58+fK7OTbGxsdBxt1talSxfGjRvHiRMnePjwIQULFtR1SDnGyJEjiYiI4IsvvmDgwIG6DkcIIYQQbyGJDSGEEJnWqVOn8PLywtTUlL59++o6nBzt2bNnnDp1Ch8fHwC++OILpZ1IixYtyJUrV6rEU2Jioi7CzFL+v2oDYCjJyY2fuH9/BH/8YUnv3r11F1w6unTpEk2aNCE8PJy8efPy9OlTli9fzoEDB/jjjz+UuRZZjZ6eHoUKFaJQoUI0btyYwMBAZdaMs7Ozst6RI0d49OgRxYsXx97eHmtra6ytrTExMZGERyamVquZMWMGACNGjMDY2FjHEWWs8PBwpd1gQEAAGo1GWebn56ckNlxcXHBxcdFVmNlOoUKFqFevHidPnmTTpk38+OOPug4pRzhy5AibNm1CT0+P5cuXy+wkIYQQIpOSxIYQQohMK6Vao3v37tja2uo2mBzq0aNHnD59Gl9fX+W20qVLp2onIgNNP03qqg3Q0xtH3rwRPH48i759+2JhYUGnTp10HWaaOn36NC1atCAqKooaNWqwf/9+vLy86NWrFwEBATRq1Ih+/foxa9YsLC0tdR3uJ1OpVDg5OeHk5MRX/5+9QqvV4uPjQ3h4eKpZNABGRkbY29vTp08fJcHx6NEj9PX1sba2xtTUVBIfOrRr1y7u3r2LjY0N/fv313U4GSooKIhly5alus3Ozk6p0JMqgvTl5ubGyZMn2bBhA2PGjJHXgXT28uVLBg0aBMDgwYP54osvdByREEIIId5FEhtCCCEypfv377Nnzx4Avv/+ex1Hk/NERESwZ88e/P39geQDteXKlaNOnTrkzp1bx9FlH69XbWg0Ktavn8nWrZEsX76crl27Ym5uTvPmzXUbZBo5fPgwbdq0IS4ujvr167N3714sLCz46quv8Pb2ZsyYMSxZsoQVK1Zw8OBBVq1aRaNGjXQddppSqVT07NkTHx8fHjx4wIsXL3jx4gUxMTEkJCQQHx+f6qDlgQMHePbsGQCGhoZKdYeVlRV2dnbUqFFDVw8lR9FqtUyfPh1IbouYZi3T4uLA1DRttvUZtFotUVFRBAcHExQUxLNnzwgJCVGWOzg4YGlpiY2NjdJiys7OTocR5ywdOnRg8ODB3Lp1i6tXr1K5cmVdh5StzZgxAz8/P5ycnJg6daquwxFCCCHEe0hiQwghROYSGQkXL/L7rl1otVqaNm1KqVKldB1VjpMrVy6Cg4PR09OjfPny1K1bV6pm0kFK1caZM1C3Lnz1lYovv1xMVFQUmzZton379hw8eJB69erpOtTPsmfPHjp16kRCQgLNmzdnx44dmL52QNfc3JzFixfToUMHevfujb+/P40bN6Zv377Mnj07S1dv/JuFhQVVq1alatWqym2JiYlEREQQHx+fal1zc3PMzc2Jjo4mMTGRkJAQ5YDzvxMba9euJS4ujkKFCuHi4oKzs7MMLE8jR44cwdPTk1y5cqVdov3UKWjaFA4dSv7j14GjR4/y+PFjgoODiYuLS7XMwMAArVYLJCfkhg4dKsPSdcTKyopWrVqxfft2NmzYIImNdHT37l0liblgwYJs9d4jhBBCZEfy6VQIIUTmcvs2kefOsXrdOgDc3d11G08OoNVquXv3Lrdu3aJNmzaoVCoMDQ1p27YtdnZ2yiwNkT6mTYNmzZKvAfT19Vm7di1RUVH89ddftGzZkuPHj6c6EJ6VbN68GTc3N9RqNe3bt2fTpk0YGRm9dd2vvvqK69evM3bsWBYtWsTKlSuV6o3GjRtncOQZx9DQEHt7+zdu79KlCwBJSUlEREQoFR4vXrx4Y8ZDSEgIsbGxBAcHc+nSJVQqFXnz5sXFxYWiRYtKu6DPkHKgs1+/fm/9PX2S8eOTKzbGj09OcqQxjUZDWFgYQUFBSiWGWq2ma9euyjoBAQE8efIESE5e2NnZ4ejoiJ2dnXJ7Cklq6EZICEREQIMGbmzfvh0Pj8307z/rP38fVlYgxZUfR6vVMmjQIBISEmjatCkdOnTQdUhCCCGE+A/yCVUIIUTmEREBN26w2tOTqNhYSpUoka0PZuqaVqvl9u3bnDp1iqCgIABKliypVMgUKVJEl+HlGF9+Cc+fp+5IY2hoyLZt22jRogXHjx+nadOmnDx5krJly+ou0E+watUq+vXrh1arxc3NjdWrV//nATlzc3MWLlxI+/bt6d27N/fv36dJkyb06dOH2bNn58iZLgYGBtjZ2b23/U/v3r0JCgri/v37+Pv7ExoaypMnT3jy5AlPnz7F1dVVWTc4OJjcuXNLr/4PcOHCBU6cOIGhoSEjR45Mm42eOJFcpgVw+nTy9/Xrp9GmT3D37l1CQkJISkpKtUylUpGUlKT8DdasWZOkpCQcHBzInTu3cntiYiL79++X54eOxcRAvnyQmAjQFLDn+fMgSpU6+ur7dzM0hBcvIFeu9I8zu9i8eTPHjh3DxMSERYsWyfNfCCGEyAIksSGEECLz8PFB/fw5v1+8CMCwV9UDIm1pNBpu3LjB6dOnef78OZA8uLhq1apyVreOvK3NvomJCXv27KFhw4ZcvHiRRo0acfr0aYoWLZrxAX6CBQsWKBVXAwYMYPHixamGzv+X+vXrK9UbCxcuZNWqVUr1RpMmTdIp6qzL1tYWW1tbJTEZERGBv78/9+/fp1ChQsp6UVFRLF26FFNTUwoXLoyLiwuFCxfGxsZGXm/fIqVaw83Njfz586fNRidMAH19UKuTr3/++T+rNrRarVKRk9KSLCQkhPDwcIYNG6b8bYWFhaWay+Lg4ICDgwOOjo44ODik+h2XKVMmbR6PSBdmZlC9Opw9C1qtIfAdsAjYwPsSGyoV1KghSY2PER4ezvDhwwH46aef5MQOIYQQIouQxIYQQohP92oeBtWrw2f2Ida+eMGjkyfZduUK/kFB2JqZ4VawYPI+pMdxmomKimLt2rWEhYUBYGxsTPXq1alevTq55ChIpmNubs7+/fuVFk0NGzbkzJkzaXeANZ38+uuvjB8/HoAffviB33777ZMOmpuZmfH777/Tvn17evXqxf3792natCm9e/dmzpw5ObJ640NZWVlRsWJFKlasmOr2kJAQjIyMiIuL49atW9y6dQsAa2trChcuTOXKlTP98yuj3Lhxg71796JSqRg9enTabPT1ag1ITm68VrWh1WqJiYnBzMxM+Zv53//+x6VLl96Yg5EiLCxMaZFVpUoVSpUqhaOjoySrsoEpU+Crr1K+cyU5sbELiALePsReq4XJkzMkvGxj3LhxBAcHU6pUKUaNGqXrcIQQQgjxgSSxIYQQ4tPdvg2ensmJh+rVP/huiYmJ3Llzh6tXr+Ll5ZV8uXyZsMhIZZ3+zZqRKyYmeR8fsW3xJq1WqxzcMjc3x9jYGFNTU2rWrEnVqlVlwHAmZ2try+HDh6lbty6+vr40atSIU6dOkTsTNlDXarWMHz9eOct90qRJ/Pzzz599cLVevXpcv36dcePG8fvvv/PHH39w6NAhVq5cSdOm72/JIlJzcXFh9OjRPHnyRKnoePz4MS9evODq1au4uLgoiY3w8HBCQkLImzcv5ubmOo48482YMQOA9u3bU6JEibTZ6KtqDa1aTYyZGSEODgQ7OhKycSMh/v6EhIQQFxfHsGHDUs03Sklq2NjY4ODggL29vdJCysbGRllPqu6yl/r1oU4dOH8e1OpqQDHAl+TkRrc31tfXh1q10qyzWY5w4cIFli9fDsDSpUvfOQNKCCGEEJmPJDaEEEJ8mlfzMNDXT74uVeqtlRXR0dFcv35dSWJcvXqVGzduEB8f/8a6Bvr6lC5QgOrFizO6Xbvkwarv2bZ4v8TERDw9Pbly5Qq9e/fG2NgYlUpF+/btsbCwkH/esxBHR0eOHj1KnTp18PHxoUmTJhw/fjxTDXbXaDS4u7uzcOFCAGbPnp12MwlIrt5YsGCBUr1x7949mjVrRq9evZgzZ06m+lnowtWrV9m5cyfFihWjfPnylCpV6o0B4yn09fUpWLAgBQsWpF69eiQkJPDgwQPu379P4cKFlfVu3LjB8ePHgeSkqJOTE3ny5FGura2ts21FgL+/P1u2bAFg7Nixn7UtrVZLaGgo1tevY/CqWuNE/fqc+vfR54cPlS/Dw8OV53SlSpUoWbIk9vb2GBoaflYsIuv5/6oNFeAG/ExyO6o3ExtqtVRrfKjQ0FB+++03Fi5ciFarpXv37tSrV0/XYQkhhBDiI0hiQwghxKfx8YGwMCheHO7ehdu3CSxUKFUVxtWrV/Hz80Or1b5xdwsLC6VNSkVLSypGRVHmyy8xfv1gu5kZ3LkjVRsfKSkpiStXrnDmzBmio6MB8PT0pGbNmgDvHUAsMq+CBQty9OhR6taty9WrV2nRogWHDx/GzMxM16GhVqvp27cva9asQaVSsWTJEgYMGJAu+/ryyy+5du0a48eP5/fff2f16tVK9UazZs0+e/uxsbGpZhg8f/6chIQEunTpgunbhqFkAiEhITRr1oygoCDlNn19fUqWLEn58uVTXfLly/dGMsLIyIhixYpRrFixVLcbGBhgb2/P8+fPiY6OxtfXF19fX2X5gAEDcHR0BJIPEmo0Guzs7D5qlkpmNXPmTNRqNU2aNKFy5cofdV+tVsvz588JCAjgwYMHBAQEEBMTQ4/Llyn0araGbVgYaLXYhoWROySE3M+fk9vamty///5GAsPa2jrHJ+5ystRVG11JTmwcA54A+ZT1pFrjw0RFRbFo0SLmzJlD5KtK4Tp16jBnzhwdRyaEEEKIjyWJDSGEEB/vVbWGX1ISqz088PTxwWvqVIJeayX1unz58ilJjEqVKlGxYkUKFy6cfPArIgJ27EiedvnvCgKVCuzspGrjA6UkNM6ePUtUVBSQ3Ge/Tp06b/TZF1lT8eLFOXz4MPXr1+fcuXO0bduWv/76651n5meExMRE3Nzc2Lp1K3p6eqxduxY3N7d03aeZmRnz589Xqjf8/Pxo3rw5PXv2ZO7cucpBYI1Gw4sXL5QExb8TFm/7+l1zDI4fP46Hh0emq1DQarX07duXoKAgnJ2dKVSoENevXyc8PJybN29y8+ZNNm/erKxva2v7RrKjTJkyb52xU7NmTWrWrElCQgJBQUE8e/aMwMBAnj17lmquA8CZM2fw8vLC0NAQR0dH8uTJg52dHUZGRiQmJiptrUJCQrC2tqZLly6Zsg3e06dPGT58ONu2bQM+rlrj2bNnnDlzhoCAAGJjY1Mt01epCH/8mEJqNQClb92i9K1bGCYlpd7I4MHg5PR5D0JkO/9fteEC1AbOAmOAVUDy35FUa7xfXFwcu3fvpk+fPjx//hyAChUqMHXqVFq0aJHpXtuFEEII8d8ksSFEGouMjCQ4OJjcuXNjaWkpH5JFtpR04wbzdu7k56NHeZmQoNyup6dHiRIlUiUwKlSogIODw7s3llL58a7+5fb2UrXxARITE1m8eDEREREAWFpaUrduXSpVqoS+vr6OoxNpqUKFChw4cICGDRty5MgROnfuzLZt2zAwyPiPdS9fvqRTp0789ddfGBoasnnzZtq3b59h+69bt65SvbFgwQLWrFnD33//Te7cuQkJCSE0NBT1qwPJH8PIyIjcuXOTO3du7OzsOHHiBJs2baJJkyZ06/Zm+xddWr16NXv27MHQ0JBdu3ZRsWJFtFotT5484fr166kuPj4+hIWFceLECU6cOKFsQ6VSKS2sXr8UKlQIPT09jIyMyJcvH+bm5lhbW2NnZ0dwcDBr1qxRkhUqlUqpHnr8+DGPHz9Wtp+UlMTMmTNJTEwEkqvG5s6dy+TJk2nbtm2m+KykVqtZunQp48ePJzIyEn19fcaOHcuXX375xrparZbg4GACAgJwdHTE2dlZuT1lGLuBgQEFChSgUKFCODs7k69bNwy8vZVtvJHQgORT7n/+GU6dSpfHKLKu1FUbI0lObGwEbgPb0NcvItUa75CYmMgff/zBlClTePr0KZB8ksDkyZPp2LFjtqgwE0IIIXIqSWwIkYZevHhB6dKlefbsGQCGhobY29uTO3du5Trl8rbv7ezsdHJgSoiPce3MGXq7unLlwQMAvipXjm/r1qWijQ3l8uYll6vrh1dWpMzpsLNLrs54G6naeCeNRqP8Q25oaEihQoUICAigbt26VKxYUV5PsrEaNWqwZ88emjdvzq5du+jduzdr1qzJ0AM0MTExtGnThqNHj2JiYsLOnTvTpBXUx8qVKxfz5s1Tqjd8fX0JDg5OtY6lpeUb773v+9rCwiLVwfapU6cyYcIEBg0aRI0aNShevHhGP8y3unfvHsOGDQOSY0ypzFKpVOTPn5/8+fPTvHlzZf2XL1/i4+PDtWvXlGTHtWvXCAkJ4e7du9y9e5cdO3Yo61tYWJA/f37CwsJ4/vz5fyaJVCoVdnZ2qWZxODk5ER8fT5kyZbC3t8fe3h5ra2vy5MnD1atXuXjxIoULF6ZAgQLY2NhgZ2eXdoO6P5Cnpyf9+/fn8uXLAFSvXp1ly5YpP0+tVktQUJDSWurBgwdKZU+lSpWUxEaePHn4+uuvKVSoEHnz5v3/1+ATJz4sWaFWw+nTyevLEWrxL/9ftdEWOAC4Ap5AZdTqNUye3E6X4WU6arWaTZs2MWnSJO7fvw9A7ty5mTZtGj179pTPSEIIIUQ2IO/mQqSh2bNn8+zZM1QqFVqtlsTERJ49e6YkOv6LSqXCxsbmrQdZ6tatS9OmTTPFWY0iZ3r58iVTp05l5owZJKnVWJuZMbd3b3o0aJD8vNRqP76ywscHAgMhTx4ICXn3elpt8npStQEkn/189epVzp07R9euXZV2ME2aNMHIyEj+Wc8hGjRowPbt22nXrh3r16/HwsKChQsXZsj7REREBC1atODs2bOYmZmxb98+6uv4QGydOnXw8vLixIkTb1RcfG6rrrFjx3L06FFOnjxJ586dOXfunM7P8k1KSsLNzY2YmBi+/PLLDxrUbmJiorQFfF1QUNAb1R23bt0iKiqK27dvp1rX0tLyvSdr/HuZmZkZL1++TNXqasWKFTx9+hQDAwMMDAwICgpS5oNYW1unSmzs3buXhIQErK2tsbGxUa6trKw+uxrtxYsX/PLLL/zxxx/o6+tTuHBh3N3dad++PfnyJc8uiI+PZ8GCBW+0KDM0NKRgwYLKepBctVi3bt03dzRhQnI1xodUD0nVhniH1FUbTYGrwHfAOaA9u3cPo1at3zD6d1vPHEar1bJr1y4mTJigVFA5Ojry448/kj9/flq3bi2fk4QQQohsQt7RhUgjQUFBzJ8/H4CdO3fSpEmTd/bvfluf77CwMLRaLWFhYYSFhXHnzp1U258+fTrNmjXj999/p2jRojp4hCInO3v2LH369MHHxweA9l98waLvvyePjc3/r/QplRXR0VCgwIcFUaBA8vo5mFqt5urVq5w+fVoZeHnx4kVatGgB8NYe+SJ7a9WqFevXr8fV1ZXFixdjZWXFtGnT0nWfz58/p2nTply5cgVra2sOHDhAjRo10nWfHypXrlypKhTSir6+Ph4eHlSoUAFPT0/GjRvHjBkz0nw/H2PGjBmcP38eS0tL1q9f/1kH+R0dHWnUqBGNGjVSbktMTOTu3bsEBgYqlRb29vaflCT692tTv3790Gg03Lhxg7lz5+Lt7a2c2FGuXDkSEhKUg7O+vr5Ev+W1X6VSUaBAAXr27KncduTIEeLi4khMTCQpKYnExETlYm9vT7t2yWe0a7Vapk+fTmJiItbW1qmSQuHh4ezdu5eBAwcCYGxsjJmZGWq1moIFCyqtpZycnD7sZ37iBJw58+E/LKnaEO/x/1UbAAWAE8B4YBYLFizg/PnzbN26Vakiykm0Wi2HDx/mp59+UqqvbGxsGD16NEOHDsXIyIj9+/frOEohhBBCpCVJbAiRRqZPn05MTAxVq1aldevWyj/cBT7woG1SUpLS6uHfCZCAgAA8PDw4cOAAZcqUYcyYMYwdOxZTU9N0flQip4uKimLcuHEsXrwYrVZLHjs7FjdvTrsOHd7eOupj52E0aJD2QWdDarUaLy8vTp8+rczQsLCwoE6dOlSuXFnH0Qld69KlC1FRUQwYMIBff/0VKysrRo8enS77CgwMpGHDhty8eZPcuXNz+PDhHDOYPn/+/KxZs4bWrVszd+5cnVaoXL58mV9++QWARYsWUahQoTTfh6GhIWXKlKFMmTJpvm1Irm4oX748a9eu5eTJk7i7u3Ps2DG2bNnCunXrmDdvHs2bN6dFixaEh4cTHh7OixcvlOukpKQ3qmauXbtGTEzMW/en1WoBePDgAUOGDMHFxQVbW9tUj9fAwABDQ0PMzc1T3dfV1RULC4tPq9KZMCH5/fLV/j+ISiVVG+KtUldtgL6+IbVq/caoUXXp3r07//zzD5UqVWLdunW0atVK1+FmmDNnzjB+/HhOvfqbMTMzY/jw4YwcORJra2sAZcaPEEIIIbIPSWwIkQYePHjA0qVLAfj1118/qQ2IgYEBDg4O7xyyPGbMGIYOHcrhw4eZMmUKGzZs4Pfff+ebb775rNiFeJeDBw/Sv39/Hj58CEAvV1dmV62Kjbm5zMPIQFqtllWrVhEYGAiAubk5derU4YsvvpBWCkLRv39/IiIiGDNmDGPGjMHS0pIBAwak6T4ePnxIgwYN8PPzI2/evBw9epRSpUql6T4yu1atWjFkyBAWLVpE7969+e233zI8htjYWFxdXUlKSqJjx464urpmeAxprV69ely+fJnVq1czfvx47t69S4sWLWjatClz586lZs2aqdbXarVER0e/caCyVq1aqNXqVEmK1y+zZs1i0qRJxMbGYmVlxdChQxk9ejTm5ubv/exmZWX1aQ8sJgYuXvy4pAYkr3/hAsTGglTiiX95vWpDrYbJk6F+/W+4evUqnTp14p9//qF169b88MMP/PrrrxgaGuo24HTk6enJTz/9xIEDB4DkCqtBgwbx448/vvN/KiGEEEJkH3JERIg0MHnyZBISEvj6669p2LBhuuyjePHiHDx4kJ07d+Lu7k5AQACtWrWiZcuWLFiwABcXl3TZr8h5QkNDGT58OBs2bACgcOHCrFixgoYWFnD0KJiZyTyMdKZWq9HT00OlUqFSqShVqhTR0dHUrl2bL774IlsfpBCfbvTo0URGRjJt2jQGDRrEzp07P3sGweuuXbvGs2fPcHZ25tixYzn2fWfWrFmcPHkSb29v5s+fT+fOnTN0/6NGjeLOnTvkzZuXZcuWZZvZW/r6+vTt25dOnToxdepUFixYwMGDBzl69CiDBw9m4sSJ2Lxqf6hSqbCwsHhjG7Vq1Xrrts+dO8eAAQPw9vYGkhMpS5cuTf/EnJkZPHkCryrtPoqVlSQ1xFulVG2cOQN16/5/x7JChQpx+vRpxowZw/z585k9ezbnzp1jy5YtH1xBnlXcvn2bn3/+mR07dgDJJ4j16tWLCRMmkD9/fh1HJ4QQQoiMIokNIT7TnTt3WLt2LUC69zVXqVS0b9+epk2bMmXKFObMmcO+ffs4evQoY8eOZfTo0ZiYmKRrDCL70mq1bN++nSFDhhASEoJKpcLd3Z0pU6ZgZmYGx47JPIx0plaruX79OqdOnaJ58+YUK1YMgJo1a1KzZk1JaIj/NGXKFCIjI1m4cCFHjhxJ8+2XKFGCo0eP5ugDRyYmJmzZsoUqVapw7do15s2bx48//pgh+z5w4ABLliwBYO3atalaKWUXVlZWzJo1i379+jFy5Ej++usvFixYgIeHB5MnT6Zfv34fXK0WHh7Ojz/+yIoVKwCws7Njzpw5dOvWLeMSQrlzJ1+ESEPTpkGzZsnXrzMyMmLevHnUrVuXXr16ce7cOSpVqsSGDRto1qyZboL9CBqNhpiYGGJiYoiOjn7r9bFjx9iwYQMajQaVSkWXLl2YNGmSzCAUQgghciBJbAjxmSZMmIBGo6FVq1YZNjzVzMyMGTNm0L17d4YMGcLx48eZOHEi69atY+HChekyOFVkA5GRyS0xqld/o0XUkydPGDRoEHv37gWgTJkyrFq1KvVzWuZhpLmkpCSePn3KgwcPePjwIY8ePSI+Ph6Af/75R0lsSEJDfCiVSsX8+fNp3bo1T548SdNtGxsb06xZMyylxRylS5dm7ty5DBw4kAkTJtCgQQOqVq2arvt8/vw5vXr1AuD7779PNeg7OypWrBh79+7lyJEjuLu7c+vWLQYPHszSpUuZP38+Dd7znqTVatm0aRMjRowgODgYgF69evHbb79hZ2eXUQ9BiHTz5Zfw/Dm8a9xeu3btqFixIh07dsTT05PmzZszduxYJk+enCFtLJOSkjh//jwXLlwgMjLyvYmK16/j4uI+eB9t2rRhypQplC1bNh0fiRBCCCEyM0lsCPEZPD092b59OyqViqlTp2b4/kuVKsXRo0fZvn07w4cP5/79+7Ro0YLWrVszf/58nJ2dMzwmkYndvg2enslJjVctolLmN/zwww9ERkZiaGjI+PHjGTt2LEZGRjoOOPvRaDTK8Fm1Ws3s2bOVREYKMzMzatWqle4HSUX2paen996DviJt9OrViw0bNnDu3Dk6d+6Mp6dnuiV9tFot/fr1IzAwkNKlSzNjxox02U9m1KhRI65du8ayZcv4+eefuXHjBg0bNqRNmzbMnj2bIkWKpFr/7t27DBo0iGPHjgHJn5WWL19O3bp1dRG+EOnmXUmNFC4uLpw9e5aRI0eyZMkSpk+fztmzZ9m8eTN58+ZN83jCwsI4dOgQ+/bt48CBA4SHh3/ytlQqFebm5piZmb1x7ejoyJAhQ6hWrVoaRi+EEEKIrEgSG0J8hp9++gmALl26UK5cOZ3EoFKp6NSpE82aNWPy5MnMnz+fPXv2cPjwYcaPH88PP/yAsbGxTmITmUhERPJAb319ZbC3X3Aw/fr143//+x8A1apV448//pAz39JQXFwcDx8+VCoytFotffv2BZL7yTs4OBAaGkqhQoUoVKgQBQsWxNHRUUl+CCEyL5VKxaBBg3j8+DH37t1j8ODBymyitLZ27Vp27dqFoaEhHh4emP7XEc1sxsDAgCFDhtC5c2cmTZrE0qVL2b17N/v378fd3Z3x48djZGTEzJkz+fXXX0lISMDExISff/6ZkSNHSqJe5FgmJiYsXryYL7/8kj59+nDq1CkqVqzIpk2bPnsuoFarxcfHh3379rFv3z7Onj2LWq1Wltva2tKgQQMcHBzemaR417WpqWm2mR8khBBCiPQjiQ0hPtHp06c5cOAABgYGTJo0SdfhYGFhwaxZs+jRowdDhgzhxIkT/PTTT6xdu5ZFixbRpEkTXYcodMnHB8LCoHhxkm7fZv5PP/HzqlXExcWRK1cupk2bxtChQ9N00HBO5evri6+vLw8ePFBaoLwuPj5eSTZ27twZExMT+eddiCzK3NycDRs28PXXX+Ph4UHjxo1xc3NL033cv3+f77//HoDJkydTqVKlNN1+VmJnZ8fChQsZMGAAI0aM4PDhw/z222+sW7cOS0tLfH19AWjatCmLFy/OsQPuhfi3b7/9lkqVKtGxY0euX79O48aN+fnnn5kwYcJHffaLj4/n5MmTSjLD398/1fKyZcvSsmVLWrZsSY0aNeRzpRBCCCHSlZwSKsQn0Gq1jBs3DoDevXtnqmF1ZcqU4fjx42zatAknJyf8/Pxo2rQp7du35+HDh7oOT+hCSrWGnR3XHzyg5vLljFq4kLi4OBo0aIC3tzfu7u7yz+dH0mq1hIeHc+3aNbRarXK7t7c3ly5dUpIa9vb2VK5cmbZt2zJs2LBUFVRyRqIQWV/NmjWVExwGDRqkHFxPC0lJSbi5uREdHU3dunUZNWpUmm07KytTpgwHDx7kr7/+olixYgQFBeHr60uePHnYunUr+/fvl6SGEP9SvHhxLly4QJ8+fdBqtfzyyy80adKEoKCg994vMDCQ1atX065dO+zs7GjSpAkLFy7E398fIyMjmjZtyqJFi/D398fb25vp06dTu3Zt+VwphBBCiHQnFRtCfIKDBw9y5swZTExMmDBhgq7DeYNKpaJz5860aNGCSZMm8fvvv7Nz504OHjzIhAkTGDFihLRlyEl8fEgKCWG6tzeTt24lSa3GysSEuSNH0nPKFDmw/gHi4+MJDg4mKCiI4OBg5ZIy5NLJyQkHBwcguZ97rly5lNZSZmZmugxdCJEBxo4dy9GjRzl58iSdO3fm3LlzafI+O3PmTM6dO4eFhQXr16+XA4WvUalUtGzZksaNG7NixQpCQkIYMWIEVlZWug5NiEzL1NSUlStXUq9ePfr378+xY8eoWLEimzdvpn79+kDyiRtXr15VqjIuXbqUahtOTk60aNGCli1b0qBBA8zNzXXwSIQQQgghJLEhxEfTaDSMHz8egCFDhpAvXz4dR/RulpaWzJ07l549ezJ48GBOnz7N2LFjlfZUn9tbV2QBERHcO34c11WruHD/PgBta9RgcceOOFlZQVRU8jBxASQP9H7+/DnBwcG4uLgoSYl//vmH48ePv7G+np4e+fLlIyEhQbmtVKlSlCpVKsNiFkLonr6+Ph4eHlSoUIErV64wbtw4Zs+e/VnbvHz5slIJsmjRIpydnT8/0GzIyMiIIUOG6DoMIbIUV1dXKleuTMeOHbl16xYNGjRg5MiRvHjxgr///punT5+mWr9q1aq0bNmSFi1aUKlSJZkFJoQQQohMQRIbQnykHTt2cPXqVSwsLBgzZoyuw/kg5cqV4+TJk3h4ePDDDz9w584dGjVqRK1atahVqxbVq1enRo0a5M+fX9ehijSk1WpZ/dtvDJs9m5iEBCxz5WLJgAF0qVcPFcCdO3D7NlSvrutQdSI2NpbHjx+nqsJ4/vw5Go0GgE6dOikJCgcHBywsLHB0dMTBwUG55M6dGwMDeSsVQkD+/PlZvXo1bdq0Yc6cOTRs2JCmTZt+0rZiY2NxdXUlKSmJDh06pPncDiGEKF26NP/88w+DBw9m3bp1zJo1S1lmZmZG48aNadmyJc2bNydPnjw6jFQIIYQQ4u3kaIwQHyEpKUlpPTVy5Ejs7e11HNGHU6lUuLm58c033zBx4kQWLVrEuXPnOHfunLJO3rx5qV69upLo+OKLL6S8PIsKCQmhX8+e7P77bwDqlS3LOnd3Cr1qlwSAnV3y7I1SpbJ11YZGoyEwMJDHjx/j7OystIzy9/dnx44db6xvbGyMg4NDqpYvxYsXp0SJEhkWsxAia2rdujWDBw9m8eLFdO/enWvXrn3SAcHRo0dz584dnJycWLZsmbQMFEKkCzMzM9auXUv9+vVZunQp1atXp2XLltSrVy/VTDAhhBBCiMxIEhtCfIT169dz9+5d7O3tGTFihK7D+STW1tYsWLAAd3d3Tp48ycWLF7lw4QLe3t48ffqUXbt2sWvXLiC5zU7ZsmVTJTtKliwpPb4zuQMHDtCzZ0+CgoIw1NdnqqsrI9u0efP3Zm+fLas2tFotoaGh+Pv7K5eXL18C0LBhQyWxkVJ98XoVhqOjI5aWlm8cRJSDikKIDzVr1ixOnTqFt7c33bt358CBAx/VtuXgwYMsXrwYgLVr12JnZ5deoQohBAA9evSgR48eug5DCCGEEOKjSGJDiA/08uVLpdf12LFjsbCw0G1An6lw4cIULlxY+ScmJiYGT09PJdFx8eJFHj9+zPXr17l+/TorV64EwMLCgqpVqyqJjurVq+Po6KjDRyJSxMbGMmrUKJYsWQJAmbx58ejbl4pffPH2O6hU2a5qIzQ0lHXr1hEVFZXqdiMjIwoVKoS1tbVym729PQMHDszgCIUQ2Z2pqSlbtmyhSpUqHD58mLlz5/LDDz980H2fP39Oz549ARg6dCiNGzdOz1CFEEIIIYQQIsuSxIYQH2j58uU8evSIfPnyZcuDoWZmZtStW5e6desqtz19+jRVouPy5ctERUVx/PjxVIOUCxUqpFR1uLq6KmfEi4xz5coVunbtyp07dwAY9u23TC9ZEtMCBSAk5O13SkgAQ0MIDMxyVRtxcXEEBARw//59rKysqFOnDgBWVlbExcWhr69PgQIFKFy4MC4uLuTNm1cGXQohMkzp0qVZsGAB/fr1Y+zYsdSrV4+qVau+9z5arZb+/fsTGBhIqVKlmDlzZgZFK4QQQgghhBBZjyQ2hPgA0dHRTJs2DYCJEydiamqq44gyRt68eWnbti1t27YFkmeM3Lp1S0l0XLx4kVu3bvHgwQMePHjAtm3bWLhwIdevX8/yFS1ZhVqtZubMmUycOJGkpCTy5s3L2rVraaSnB0+evPuOPj4wZw788AOUKAHR0RkX9CdITEzk4cOH3L9/H39/f549e6Yss7e3VxIbBgYG9OrVC3t7ewwNDXUVrhBC0KdPHw4fPsyOHTvo3LkzV69efe9747p169i5cycGBgZ4eHjkmM8aQgghhBBCCPEpJLEhxAdYsGABISEhFC1aNEf3nzUwMKB8+fKUL1+efv36ARAZGcmlS5e4ePEiS5cuJSAggNGjR7N06VIdR5v9+fv74+bmxtmzZwHo0KEDy5cvx9bW9r/vXLducsXG6dPwKmmXmWi12lRzLZYvX05oaGiqdezt7ZWKjNfXd3JyytBYhRDibVQqFStWrOCff/7h3r17DB48mPXr1791XX9/f77//nsAJk+eTOXKlTMyVCGEEEIIIYTIciSxIcR/CAsLY9asWUDywQY5Czw1S0tLGjRoQIMGDahZsyZff/01y5Yto0OHDjRo0EDX4WVLWq2W9evXM3ToUKKiorCwsGDRokW4ubl92JDrEyfgzJnkr0+fTv6+fv2PjiMpKYnw8HBy586t3Hbnzh1CQkJQq9XKJSkpSfm6ZcuWyhDzs2fP4ufn99Z1NRoNw4YNU9pHFSxYkMTERFxcXJT5MFIVJITI7GxsbNi0aRNffvklGzZsoFGjRri5uaVaR61W4+bmRlRUFHXq1GH06NE6ilYIIYQQQvxfe3ceX9Od/3H8fbOSSEIsSRAElfpNa2+NtFokiC6x11aq0rGmQ6naaqu2tsHPVq2WTA0V1fFTLVX7UtugMQlVVWvJTRQNImQ9vz+MO1KiCeHm3Lyej8d9JO755nw/5zzeySPOJ+d7AJgHjQ3gD0yZMkWXLl1SrVq11KlTJ3uXU6g1bdpU/fv31wcffKDIyEjFx8dz8bmAXbhwQX369NE///lPSdLTTz+tf/zjH6pSpUredzJ6tOTsLGVl3fg4Zoy0bdtdvyQjI0NJSUmyWq2217lz5+Tk5KQRI0bYGhDx8fE6dOhQrvsJDw+3NTbOnz+vkydP5jrWarWqQoUKkqRWrVrJxcUlb40bAChEnnrqKY0bN05jxoxR//791ahRI1WvXt22fcqUKdqxY4e8vLy0aNEi289IAAAAAEDuaGwAd2G1WjVr1ixJ0nvvvcfDh/Ng8uTJWrNmDUtSPQDr1q1Tz549ZbVa5eLiogkTJmjo0KH5uwh2690a0o3mxu/u2khPT5erq6utifDNN99o7969Mgzjtt25u7vr8uXLKlmypKQbD5J3dXWVs7PzbS8XF5cc30P169dXtWrVbhvj7Owsd3d3lSlTxjaWO2NmB58AACUHSURBVKUAmNnIkSO1YcMGbdu2TV26dNGOHTvk5uam/fv3a8yYMZKkWbNmKSgoyM6VAgAAAIA50NgA7uLdd9/VtWvX1KhRIz3//PP2LscUSpQooQULFig0NJQlqQrItWvXNHz4cFuT7dFHH9WSJUvubQ32W+/WkHTd3V2JFSrI+vHHsl68KKvVqvPnz+uNN96Qt7e3JMnDw0OGYcjT01MBAQE5Xj4+PjnuonjiiSfyXErFihVVsWLF/B8DAJiMs7OzlixZotq1a2vfvn16++23NW7cOL388svKzMxU+/bt9corr9i7TAAAAAAwDRobQC6OHz+u+fPnS5Lef/99lsDJh2bNmqlfv36aN28eS1Ldp9jYWL388sv64YcfJElRUVGaPHmyPDw88rWftLQ0Oe/YIZf/3K3x71q1tO3ZZ3WxdOn/DoqPt32alJRka2zUr19fdevWlZeXF98HAHCPKlasqIULF6pNmzaaOnWq9u3bpx9//FEBAQH66KOP+PkKAAAAAPlAYwPIxfjx45WZmakWLVqoyT08WLmomzJlir755hudPHlSw4YN0wcffGDvkkzl2rVrmjVrlkaPHq2MjAz5+/srOjpa4eHhtjGGYcgwDNvyTr/++qt++uknXblyRSkpKTk+ZmRkqPOBAwr+z90aToZha2r4JCcrIDFRAa6uChg9WgEBASpRooRtnls/BwDcu9atW2vAgAGaO3euNm/eLEmKjo5W6VubzAAAAACAP0RjA7iDQ4cO6R//+IekG8/WQP7duiTVvHnz1KFDBzVr1szeZRUKhmEoKytL2dnZys7OVlpamjIyMnT8+HFt27ZNa9eu1dq1a5WamqqSJUuqffv26tChg7KysrRs2bIcTYuOHTsqODhYkpSYmKgNGzbkOu/VU6dsS1BVPX5cLy9apACrVR7Xrv13UK9e0iOPPNDjB4CibOrUqdq2bZvi4+MVFRWlli1b2rskAAAAADAdGhvAHYwePVqGYahdu3Zq0KCBvcsxrWbNmqlv37768MMP1atXL4dekurQoUPaunWrrVlxa+MiOztb7dq10yP/aRjExcVp5cqVd9yHJP30009KTU1VYGCg3nrrLV24cEF79uy547xXrlyxfV62bFnVqlVLJUqUkJeXV86P7dvLLS7ONtbz6lVVO348586cnaUxY6Rt2+7zbAAAclO8eHGtX79e69atU+fOne1dDgAAAACYEo0N4Hf27t2r//u//5OTk5MmTJhg73JM7+aSVKdOnXLoJamuX7+uX3/9NdftmZmZto8//fTTbdtvNkAkqUOHDlq0aJHq1Kkjq9WqzZs337lZ8Z+PN/n7+6tt27a3T75li7R16x8fRFaWtH37jfEsvwYAD4yfn5+6d+9u7zIAAAAAwLRobOCBmDlzpq5du6aAgAAFBASofPnyCggIkK+vb6F/OOaoUaMkSd27d9f//M//2Lka8/Py8tKCBQsUFhbm0EtSPfLII+rRo4ecnJzk5OQkZ2dn2+fXr1/Xnj17NGnSJK1evVrJyclydXVVVlaWnJ2d9cwzz6hKlSoaNmyYqlatmmO/5cuXV7du3e6vuNGjb9yN8Z9lqO6KuzYAAAAAAABQyNHYwAMxZ84c/fzzz7e97+bmJn9/f1uj49amx62flylTxvZA5Idp8+bNWr9+vVxdXTV27NiHPr+jCg0NtS1JFRkZqfj4eId7ILW3t7e8vb1t/z579qxWrlypVatWaePGjUpPT7dtK1WqlJ5//nm1bt1aLVq0UPHixbVmzRoFBgYWfGFbtkjffZf38dy1AQAAAAAAgEKOxgYeiJdfflnHjx+X1Wq1vS5cuKD09HSdPn1ap0+fvuvXu7i4yM/PL0fTw8/PT6mpqWrcuLF8fX0LvGbDMDRy5EhJUu/evRUUFFTgcxRlN5ekOnnypIYNG6a5c+fau6QCZRiG4uLitGrVKq1atUr79u3Lsb1atWpq3bq1IiIi9NRTT8nF5b8/fjMyMh5cYaNHSxaLZBh5/xqLhbs2AAAAAAAAUGjR2MADcae7HdLS0pSYmCir1aqEhARbw+P3n//666/KzMzU2bNndfbs2dv2M2fOHD333HPq3Lmznn/+eXl4eBRIzV9//bV2796t4sWL6+233y6QfeK/bl2S6oMPPlD79u0dZkmq2NhYvfTSSznuUrJYLPrzn/+siIgIRUREqGbNmg9/GbarV6U9e/LX1JBujN+9W0pNlQro+wsAAAAAAAAoKDQ28NC4u7urcuXKqly58l3HZWRkKCkpKUfDw2q16pdfftG3336rhIQErVixQitWrJCnp6ciIiLUqVMnhYeHy93d/Z5qy87Otj1bY+DAgfL397+n/eDuQkND1adPH3300UcOsyTV5cuX1aFDBx0/flzFixdX8+bNFRERoRdeeEF+fn72Lc7TUzp7Vrp0Kf9f6+NDUwMAAAAAAACFEo0NFDqurq6qWLGiKlasmOP9jIwMrV69WuXLl9eKFSsUExOjU6dOaenSpVq6dKl8fHzUpk0bde7cWaGhoXJ1dc3znDExMYqPj5ePj4+GDh1a0IeEW0ydOtVhlqQyDEN9+vTR8ePHVblyZX3//fcPZJm0+1K27I0XAAAAAAAA4CAe/tOZgftgsVhUt25dTZo0SSdOnNDu3bs1aNAglS9fXpcuXdKnn36qVq1aKSAgQL1799amTZuUlZV1131mZGRozJgxkqShQ4cWvgvTDubmklSS9MEHH2jz5s12rujeRUdHKyYmRs7Ozlq6dCnZAQAAAAAAAB4CGhswLYvFooYNG2rGjBn65ZdftHXrVvXv31/lypXThQsX9PHHHys0NFQVKlTQ66+/ru+++07Z2dm37WfhwoU6duyYypUrp4EDB9rhSIqesLAw9enTR5LUq1cvpaSk2Lmi/Dt8+LBef/11SdK7776rRo0a2bkiAAAAAAAAoGigsQGH4OTkpGeeeUZz587V2bNntX79er322msqVaqUkpKSNGfOHDVu3FiVK1fWkCFDtHfvXhmGoWvXrumdd96RJI0aNcr0z3swkylTpqhSpUq2JanM5Pr16+rcubNSU1MVFhamt956y94lAQAAAAAAAEUGjQ04HBcXF4WFhenjjz9WYmKiVq9ere7du8vLy0tnzpzR9OnT9eSTT6p69epq166dEhISVKlSJdsdBHg4vL29Tbsk1Ztvvqm4uDiVLVtWixYtkpMTP0oBAAAAAACAh4WrcXBobm5ueu6557Ro0SKdO3dOK1asUKdOneTh4aHjx49r7dq1kqRx48bJ3d3dztUWPWFhYerdu7ck8yxJtXLlStsDzxctWqSAgAA7VwQAAAAAAAAULTQ2UGQUK1ZMbdu2VUxMjM6dO6eYmBh16NBBr732mrp3727v8oqsqVOn2pakGj58uL3LuatffvlFvXr1knTjro3w8HA7VwQAAAAAAAAUPTQ2UCR5enqqU6dOWr58uT7++GO5uLjYu6Qiy9vbW5988okkae7cuYV2SarMzEx17dpVv/32m5544gm999579i4JAAAAAAAAKJJobACwu+bNm9uWpIqMjCyUS1JNmDBB3333nby8vLR06VK5ubnZuyQAAAAAAACgSKKxAaBQuLkk1YkTJwrdklRbt27Vu+++K0n66KOPVK1aNTtXBAAAAAAAABRdNDYAFAq/X5Jqy5Yt9i3oP86fP69u3bopOztbr776qrp06WLvkgAAAAAAAIAijcYGgEKjefPm+stf/iJJ6tWrl92XpDIMQ7169dLZs2cVHBys2bNn27UeAAAAAAAAADQ2ABQyf/vb3xQYGKgTJ05oxIgRdq1l9uzZ+uqrr+Tu7q5ly5bJ09PTrvUAAAAAAAAAoLEBoJC5dUmqOXPm2G1JqtjYWA0dOlTSjWZL7dq17VIHAAAAAAAAgJxobAAodFq0aJFjSaqrV68+1PlTUlLUqVMnpaenq3Xr1howYMBDnR8AAAAAAABA7mhsACiUbl2SqlOnTjp16tRDmzsqKkpHjx5VxYoVtXDhQlksloc2NwAAAAAAAIC7o7EBoFDy9vbWggUL5OzsrNWrVys4OFjDhw/XpUuXHui8ixcv1qeffionJyd99tln8vX1faDzAQAAAAAAAMgfuzY2tm3bphdffFHly5eXxWLRypUrc2zv2bOnLBZLjld4eHiOMRcvXlS3bt3k7e2tkiVLKjIyUikpKTnGxMXFqXHjxipWrJgCAwM1ZcqU22pZvny5Hn30URUrVkyPP/641qxZU+DHCyB/mjdvrn/9619q0qSJ0tLSNHnyZFWvXl1z585VRkZGgc939OhR9evXT5I0duxYNW7cuMDnAAAAAAAAAHB/7NrYuHr1qmrXrq25c+fmOiY8PFxWq9X2Wrp0aY7t3bp106FDh7R+/Xp9/fXX2rZtm3r37m3bfvnyZbVo0UKVK1fW/v37NXXqVI0bN07z58+3jdm5c6e6dOmiyMhIxcbGqk2bNmrTpo0OHjxY8AcNIF/q1aunTZs2adWqVQoODtb58+cVFRWlxx9/XF999ZUMwyiQedLT09WlSxelpKTo2Wef1ahRowpkvwAAAAAAAAAKll0bG61atdK7776rtm3b5jrG3d1d/v7+tlepUqVs2w4fPqy1a9fqk08+UcOGDfX0009r9uzZiomJUUJCgiRpyZIlSk9P18KFC/WnP/1JnTt31l//+ldNnz7dtp+ZM2cqPDxcQ4cOVc2aNTVhwgTVq1dPc+bMeXAHDyDPLBaLXnzxRcXHx2vu3LkqU6aMjhw5ooiICIWGhur777+/7zlGjBih/fv3y9fXV4sXL5azs3MBVA4AAAAAAACgoBX6Z2xs2bJF5cqVU3BwsPr166cLFy7Ytu3atUslS5ZUgwYNbO+FhYXJyclJe/bssY155pln5ObmZhvTsmVLHTlyRL/99pttTFhYWI55W7ZsqV27dj3IQwOQT66ururfv79+/vlnDRs2TO7u7tq8ebMaNGigV155RWfOnLmn/a5Zs8bW7IyOjlbFihULsmwAAAAAAAAABcjF3gXcTXh4uNq1a6egoCAdO3ZMI0eOVKtWrbRr1y45OzsrMTFR5cqVy/E1Li4u8vX1VWJioiQpMTFRQUFBOcb4+fnZtpUqVUqJiYm2924dc3Mfd5KWlqa0tDTbvy9fvixJysjIeCBr/0O288r5hYeHhyZMmKDIyEiNHj1ay5Yt06JFi7R8+XINGjRIb775pry8vPK0r4SEBL3yyiuSpKioKLVq1eqhZ4xswxGRazg6Mg5HRbbhiMg1zI4MwxGRa9xJfvJQqBsbnTt3tn3++OOPq1atWqpWrZq2bNmi0NBQO1YmTZw4UePHj7/t/XXr1snDw8MOFRUd69evt3cJKES6dOmi+vXrKzo6WocPH9bEiRM1b948denSRWFhYXddUiorK0vjxo3T+fPnFRQUpGeffVZr1qx5iNXnRLbhiMg1HB0Zh6Mi23BE5BpmR4bhiMg1bpWamprnsYW6sfF7VatWVZkyZfTzzz8rNDRU/v7+OnfuXI4xmZmZunjxovz9/SVJ/v7+SkpKyjHm5r//aMzN7XcyYsQIDR482Pbvy5cvKzAwUC1atJC3t/e9HyRylZGRofXr16t58+ZydXW1dzkoRJ577jkNHDhQK1eu1KhRo/Tzzz9r3rx52rp1qyZPnqyWLVve8esmTpyo+Ph4eXp62h5Obg9kG46IXMPRkXE4KrINR0SuYXZkGI6IXONObq6KlBemamycOXNGFy5cUEBAgCSpUaNGSk5O1v79+1W/fn1J0qZNm5Sdna2GDRvaxowaNUoZGRm2b5L169crODjY9iDyRo0aaePGjRo0aJBtrvXr16tRo0a51uLu7i53d/fb3nd1deWb8QHjHCM3L730ktq0aaN58+Zp/Pjx+uGHH/Tiiy+qRYsWmjp1qmrVqmUbu3PnTr3zzjuSpLlz5+qxxx6zV9k2ZBuOiFzD0ZFxOCqyDUdErmF2ZBiOiFzjVvnJgl0fHp6SkqIDBw7owIEDkqQTJ07owIEDOn36tFJSUjR06FDt3r1bJ0+e1MaNG9W6dWtVr17d9tfXNWvWVHh4uP7yl7/oX//6l3bs2KGoqCh17txZ5cuXlyR17dpVbm5uioyM1KFDh7Rs2TLNnDkzx90WAwcO1Nq1azVt2jT9+OOPGjdunPbt26eoqKiHfk4A3B83NzcNHDhQx44d0+DBg+Xq6qp169apTp06eu2115SQkKDffvtNXbp0UVZWlrp166YePXrYu2wAAAAAAAAAeWTXxsa+fftUt25d1a1bV5I0ePBg1a1bV2PGjJGzs7Pi4uIUERGhGjVqKDIyUvXr19f27dtz3CmxZMkSPfroowoNDdVzzz2np59+WvPnz7dt9/Hx0bp163TixAnVr19fQ4YM0ZgxY9S7d2/bmJCQEH322WeaP3++ateurS+++EIrV64sFH/BDeDelCpVytas7NixowzD0IIFC/TII4+oWbNmOn36tKpVq6Z58+bJYrHYu1wAAAAAAAAAeWTXpaiaNGkiwzBy3f7tt9/+4T58fX312Wef3XVMrVq1tH379ruO6dixozp27PiH8wEwl6pVq+rzzz/Xzp07NWTIEO3evVsHDhyQq6urYmJi5OXlZe8SAQAAAAAAAOSDXe/YAICHJSQkRDt37tSyZcvUpEkTLVy4UA0aNLB3WQAAAAAAAADyyVQPDweA+2GxWPTSSy/ppZdesncpAAAAAAAAAO4Rd2wAAAAAAAAAAADToLEBAAAAAAAAAABMg8YGAAAAAAAAAAAwDRobAAAAAAAAAADANGhsAAAAAAAAAAAA06CxAQAAAAAAAAAATIPGBgAAAAAAAAAAMA0aGwAAAAAAAAAAwDRobAAAAAAAAAAAANOgsQEAAAAAAAAAAEyDxgYAAAAAAAAAADANGhsAAAAAAAAAAMA0aGwAAAAAAAAAAADToLEBAAAAAAAAAABMg8YGAAAAAAAAAAAwDRobAAAAAAAAAADANGhsAAAAAAAAAAAA06CxAQAAAAAAAAAATIPGBgAAAAAAAAAAMA0aGwAAAAAAAAAAwDRc7F2AozAMQ5J0+fJlO1fiuDIyMpSamqrLly/L1dXV3uUABYZswxGRazg6Mg5HRbbhiMg1zI4MwxGRa9zJzWvrN6+13w2NjQJy5coVSVJgYKCdKwEAAAAAAAAAwJyuXLkiHx+fu46xGHlpf+APZWdnKyEhQV5eXrJYLPYuxyFdvnxZgYGB+uWXX+Tt7W3vcoACQ7bhiMg1HB0Zh6Mi23BE5BpmR4bhiMg17sQwDF25ckXly5eXk9Pdn6LBHRsFxMnJSRUrVrR3GUWCt7c3P/DgkMg2HBG5hqMj43BUZBuOiFzD7MgwHBG5xu/90Z0aN/HwcAAAAAAAAAAAYBo0NgAAAAAAAAAAgGnQ2IBpuLu7a+zYsXJ3d7d3KUCBIttwROQajo6Mw1GRbTgicg2zI8NwROQa94uHhwMAAAAAAAAAANPgjg0AAAAAAAAAAGAaNDYAAAAAAAAAAIBp0NgAAAAAAAAAAACmQWMD92XixIl64okn5OXlpXLlyqlNmzY6cuRIjjHXr1/XgAEDVLp0aZUoUULt27dXUlKSbfu///1vdenSRYGBgSpevLhq1qypmTNn5jrnjh075OLiojp16vxhfYZhaMyYMQoICFDx4sUVFhamo0eP5hgTERGhSpUqqVixYgoICFD37t2VkJCQvxMBh+MI2a5SpYosFkuO16RJk/J3IuBQzJ7rLVu23Jbpm6+9e/fm/4TAIZk955L0/fffq3nz5ipZsqRKly6t3r17KyUlJX8nAg6lsOd6xYoVatGihUqXLi2LxaIDBw7cNmb+/Plq0qSJvL29ZbFYlJycnNfDhwN7WNnO7XeIxMTEu9aXl5/Z7733nkJCQuTh4aGSJUve3wmBqThCfrkegt9zhFxzLaTooLGB+7J161YNGDBAu3fv1vr165WRkaEWLVro6tWrtjFvvPGGvvrqKy1fvlxbt25VQkKC2rVrZ9u+f/9+lStXTosXL9ahQ4c0atQojRgxQnPmzLltvuTkZPXo0UOhoaF5qm/KlCmaNWuWPvzwQ+3Zs0eenp5q2bKlrl+/bhvTtGlTff755zpy5Ij++c9/6tixY+rQocN9nBU4AkfItiS98847slqtttfrr79+j2cEjsDsuQ4JCcmRZ6vVqtdee01BQUFq0KDBfZ4dOAqz5zwhIUFhYWGqXr269uzZo7Vr1+rQoUPq2bPn/Z0YmFphz/XVq1f19NNPa/LkybmOSU1NVXh4uEaOHJmPI4eje9jZPnLkSI7fI8qVK3fX+vLyO3d6ero6duyofv36FcAZgZk4Qn65HoLfc4RcS1wLKTIMoACdO3fOkGRs3brVMAzDSE5ONlxdXY3ly5fbxhw+fNiQZOzatSvX/fTv399o2rTpbe936tTJePvtt42xY8catWvXvmst2dnZhr+/vzF16lTbe8nJyYa7u7uxdOnSXL/uyy+/NCwWi5Genn7X/aNoMWO2K1eubMyYMSOPR4iiyIy5vlV6erpRtmxZ45133rnrvlG0mS3nH330kVGuXDkjKyvLNiYuLs6QZBw9ejRPxwzHV5hyfasTJ04YkozY2Nhcx2zevNmQZPz222953i+KjgeV7XvJXX5/N4mOjjZ8fHzyvH84HjPn9yauh+D3zJhrroUUHdyxgQJ16dIlSZKvr6+kG13ajIwMhYWF2cY8+uijqlSpknbt2nXX/dzcx03R0dE6fvy4xo4dm6daTpw4ocTExBxz+/j4qGHDhrnOffHiRS1ZskQhISFydXXN0zwoGsya7UmTJql06dKqW7eupk6dqszMzDzNgaLBrLm+adWqVbpw4YJeffXVPM2BoslsOU9LS5Obm5ucnP77a3rx4sUlSd99912e5oHjK0y5BgrSg8y2JNWpU0cBAQFq3ry5duzYcdda7uV3ExRtZs8v10NwJ2bNNddCigYXexcAx5Gdna1Bgwbpqaee0mOPPSZJSkxMlJub221rjfr5+eW6bt7OnTu1bNkyrV692vbe0aNHNXz4cG3fvl0uLnmL7c39+/n5/eHcw4YN05w5c5Samqo///nP+vrrr/M0B4oGs2b7r3/9q+rVqydfX1/t3LlTI0aMkNVq1fTp0/M0DxybWXN9qwULFqhly5aqWLFinuZA0WPGnDdr1kyDBw/W1KlTNXDgQF29elXDhw+XJFmt1jzNA8dW2HINFJQHme2AgAB9+OGHatCggdLS0vTJJ5+oSZMm2rNnj+rVq3fH/dzL7yYousycX66HIDdmzTXXQooO7thAgRkwYIAOHjyomJiYe97HwYMH1bp1a40dO1YtWrSQJGVlZalr164aP368atSoccevW7JkiUqUKGF7bd++PV/zDh06VLGxsVq3bp2cnZ3Vo0cPGYZxz8cBx2LWbA8ePFhNmjRRrVq11LdvX02bNk2zZ89WWlraPR8HHIdZc33TmTNn9O233yoyMvKe64fjM2PO//SnP+nTTz/VtGnT5OHhIX9/fwUFBcnPzy/HXRwousyYayAvHlS2JSk4OFh9+vRR/fr1FRISooULFyokJEQzZsyQRLZx/8ycX66HIDdmzTXXQooO/gwHBSIqKkpff/21tm3bluMvZ/39/ZWenq7k5OQc3dykpCT5+/vn2McPP/yg0NBQ9e7dW2+//bbt/StXrmjfvn2KjY1VVFSUpBtdY8Mw5OLionXr1ikiIkINGza0fU2FChVsf9WYlJSkgICAHHPXqVMnx9xlypRRmTJlVKNGDdWsWVOBgYHavXu3GjVqdN/nBuZm9mzfqmHDhsrMzNTJkycVHBx8T+cDjsERch0dHa3SpUsrIiLivs4FHJeZc961a1d17dpVSUlJ8vT0lMVi0fTp01W1atUCOTcwr8KYa6AgPMhs5+bJJ5+0LfFXkL9zo+gxe365HoI7MXuub8W1EAdmx+d7wAFkZ2cbAwYMMMqXL2/89NNPt22/+VChL774wvbejz/+eNtDhQ4ePGiUK1fOGDp06G37yMrKMuLj43O8+vXrZwQHBxvx8fFGSkpKrrX5+/sbf/vb32zvXbp06Q8flnXq1ClDkrF58+a8nAI4KEfM9uLFiw0nJyfj4sWLeToHcDyOkuvs7GwjKCjIGDJkSL7PARyfo+T8VgsWLDA8PDx42HIRVphzfSseHo78ehjZzk1YWJjRtm3bu9aWn5/ZPDy86HGk/N7E9RA4Yq65FuK4aGzgvvTr18/w8fExtmzZYlitVtsrNTXVNqZv375GpUqVjE2bNhn79u0zGjVqZDRq1Mi2PT4+3ihbtqzx8ssv59jHuXPncp137NixRu3atf+wvkmTJhklS5Y0vvzySyMuLs5o3bq1ERQUZFy7ds0wDMPYvXu3MXv2bCM2NtY4efKksXHjRiMkJMSoVq2acf369Xs/MTA9s2d7586dxowZM4wDBw4Yx44dMxYvXmyULVvW6NGjx72fFJie2XN904YNGwxJxuHDh/N/EuDwHCHns2fPNvbv328cOXLEmDNnjlG8eHFj5syZ93ZC4BAKe64vXLhgxMbGGqtXrzYkGTExMUZsbKxhtVptY6xWqxEbG2t8/PHHhiRj27ZtRmxsrHHhwoV7OylwCA8r2zNmzDBWrlxpHD161IiPjzcGDhxoODk5GRs2bLhrfXn5mX3q1CkjNjbWGD9+vFGiRAkjNjbWiI2NNa5cuVKAZwqFkdnzy/UQ3InZc821kKKFxgbui6Q7vqKjo21jrl27ZvTv398oVaqU4eHhYbRt2zbHf3LGjh17x31Urlw513nz+p+s7OxsY/To0Yafn5/h7u5uhIaGGkeOHLFtj4uLM5o2bWr4+voa7u7uRpUqVYy+ffsaZ86cuZfTAQdi9mzv37/faNiwoeHj42MUK1bMqFmzpvH+++/zC2oRZ/Zc39SlSxcjJCQkP4eOIsQRct69e3fD19fXcHNzM2rVqmUsWrQov6cBDqaw5zo6OvqO+x47duwfzn/rMaDoeVjZnjx5slGtWjWjWLFihq+vr9GkSRNj06ZNf1hfXn5mv/LKK3ecn794d3xmzy/XQ3AnZs8110KKFoth8EQgAAAAAAAAAABgDk72LgAAAAAAAAAAACCvaGwAAAAAAAAAAADToLEBAAAAAAAAAABMg8YGAAAAAAAAAAAwDRobAAAAAAAAAADANGhsAAAAAAAAAAAA06CxAQAAAAAAAAAATIPGBgAAAAAAAAAAMA0aGwAAAAAAAAAAwDRobAAAAAAwjZ49e8pischiscjV1VV+fn5q3ry5Fi5cqOzs7Dzv5+9//7tKliz54AoFAAAA8MDQ2AAAAABgKuHh4bJarTp58qS++eYbNW3aVAMHDtQLL7ygzMxMe5cHAAAA4AGjsQEAAADAVNzd3eXv768KFSqoXr16GjlypL788kt98803+vvf/y5Jmj59uh5//HF5enoqMDBQ/fv3V0pKiiRpy5YtevXVV3Xp0iXb3R/jxo2TJKWlpenNN99UhQoV5OnpqYYNG2rLli32OVAAAAAAd0RjAwAAAIDpNWvWTLVr19aKFSskSU5OTpo1a5YOHTqkTz/9VJs2bdJbb70lSQoJCdH//u//ytvbW1arVVarVW+++aYkKSoqSrt27VJMTIzi4uLUsWNHhYeH6+jRo3Y7NgAAAAA5WQzDMOxdBAAAAADkRc+ePZWcnKyVK1fetq1z586Ki4vTDz/8cNu2L774Qn379tX58+cl3XjGxqBBg5ScnGwbc/r0aVWtWlWnT59W+fLlbe+HhYXpySef1Pvvv1/gxwMAAAAg/1zsXQAAAAAAFATDMGSxWCRJGzZs0MSJE/Xjjz/q8uXLyszM1PXr15WamioPD487fn18fLyysrJUo0aNHO+npaWpdOnSD7x+AAAAAHlDYwMAAACAQzh8+LCCgoJ08uRJvfDCC+rXr5/ee+89+fr66rvvvlNkZKTS09NzbWykpKTI2dlZ+/fvl7Ozc45tJUqUeBiHAAAAACAPaGwAAAAAML1NmzYpPj5eb7zxhvbv36/s7GxNmzZNTk43Hiv4+eef5xjv5uamrKysHO/VrVtXWVlZOnfunBo3bvzQagcAAACQPzQ2AAAAAJhKWlqaEhMTlZWVpaSkJK1du1YTJ07UCy+8oB49eujgwYPKyMjQ7Nmz9eKLL2rHjh368MMPc+yjSpUqSklJ0caNG1W7dm15eHioRo0a6tatm3r06KFp06apbt26+vXXX7Vx40bVqlVLzz//vJ2OGAAAAMCtnOxdAAAAAADkx9q1axUQEKAqVaooPDxcmzdv1qxZs/Tll1/K2dlZtWvX1vTp0zV58mQ99thjWrJkiSZOnJhjHyEhIerbt686deqksmXLasqUKZKk6Oho9ejRQ0OGDFFwcLDatGmjvXv3qlKlSvY4VAAAAAB3YDEMw7B3EQAAAAAAAAAAAHnBHRsAAAAAAAAAAMA0aGwAAAAAAAAAAADToLEBAAAAAAAAAABMg8YGAAAAAAAAAAAwDRobAAAAAAAAAADANGhsAAAAAAAAAAAA06CxAQAAAAAAAAAATIPGBgAAAAAAAAAAMA0aGwAAAAAAAAAAwDRobAAAAAAAAAAAANOgsQEAAAAAAAAAAEyDxgYAAAAAAAAAADCN/wfWB656jyXRnQAAAABJRU5ErkJggg==">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685800" y="104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69</xdr:row>
      <xdr:rowOff>0</xdr:rowOff>
    </xdr:from>
    <xdr:ext cx="304800" cy="304800"/>
    <xdr:sp macro="" textlink="">
      <xdr:nvSpPr>
        <xdr:cNvPr id="4" name="AutoShape 1" descr="data:image/png;base64,iVBORw0KGgoAAAANSUhEUgAABjYAAAJOCAYAAAAUHj4bAAAAOnRFWHRTb2Z0d2FyZQBNYXRwbG90bGliIHZlcnNpb24zLjEwLjAsIGh0dHBzOi8vbWF0cGxvdGxpYi5vcmcvlHJYcgAAAAlwSFlzAAAPYQAAD2EBqD+naQABAABJREFUeJzs3XlUlOX7x/HPsIOICy5o4o6C+5IaWoYrpmmYLWaaWmr60za/bWalZbZYZvbN0szSUtPsq7jmEuaOe7iCC64pKG4giDLA/P7AmURQQYFhhvfrnDk4z3M/93PNcFPnzDXXfRlMJpNJAAAAAAAAAAAANsDB2gEAAAAAAAAAAADkFIkNAAAAAAAAAABgM0hsAAAAAAAAAAAAm0FiAwAAAAAAAAAA2AwSGwAAAAAAAAAAwGaQ2AAAAAAAAAAAADaDxAYAAAAAAAAAALAZJDYAAAAAAAAAAIDNILEBAAAAAAAAAABsBokNAAAAAAAAAABgM0hsAAAAoMiJjo7Wiy++qOrVq8vNzU1eXl5q1aqVJk6cqOTkZMu4qlWrymAwqH379tnOM3XqVBkMBhkMBm3fvt1yfPTo0ZbjNz8mT56c76/PrF+/fjIYDPLy8sr0uswOHTpkieuLL77Ido5ly5bJYDCoYsWKSk9Pz3bMypUr9cILL6hevXpydHRU1apVbxlTenq6xo0bp2rVqsnNzU0NGjTQr7/+elevDwAAAEDRRGIDAAAARcrSpUtVv359/fbbb+ratav++9//6pNPPlHlypX1xhtv6JVXXsk03s3NTX/99ZdiY2OzzDVr1iy5ubnd8l7fffedfvnll0yPdu3a5flruh0nJydduXJFixcvznLuTvGbx1StWlUxMTFavXp1tmNmz56t2bNnq0SJEqpYseJt5xs5cqTeeustdejQQf/9739VuXJl9erVS3PmzLntdcuWLZOrq6s8PT2zfTg7OystLS3H43KjIO6dlJQkZ2fnW17r6uqq1atX53jcrTzwwAMqVqxYtte6u7tr1KhR+TIuO2+99Zbc3d2zvbZYsWIKCgrKl3EAAACwfSQ2AAAAUGQcPXpUPXv2VJUqVbR//35NnDhRAwcO1NChQ/Xrr79q//79qlu3bqZrWrVqJU9PT82dOzfT8X/++Ufr169Xly5dbnm/J554Qr1798708PPzy1XMx44dk8Fg0Jo1a3J1nZmrq6vatWuXbVXE7Nmzbxt/UlKSFi5cqOHDh6tx48aaNWtWtuM+/vhjJSQkaOPGjWrYsOEt5zt16pTGjx+voUOH6vvvv9fAgQO1ePFiPfTQQ3rjjTdum3BIT0/Xk08+qcTExGwf3t7eMplMOR6XGwVxb5PJpPLly9/y2u7duys9PT3H424lNTVVu3btyvbaCRMmWH4HeT0uO2lpafrvf/+b7bU7duxQampqvowDAACA7SOxAQAAgCJj3LhxSkxM1LRp01ShQoUs52vWrJltxcbjjz+u2bNnZzr+66+/qlSpUgoODs7XmPNCr1699Mcff+jSpUuWY9u2bdOhQ4fUq1evW163YMECJScn68knn1TPnj01f/58Xb16Ncu4ihUrytnZ+Y5xLFy4UEajUf/3f/9nOWYwGDRkyBD9888/Cg8Pz90Lu0dGo1FRUVGKiYkp0PsCAAAAuDckNgAAAFBkLF68WNWrV1fLli1zdV2vXr20detWRUdHW47Nnj1bTzzxxG0/0L9w4YLOnTtneVy8ePGuY78Xjz/+uAwGg+bPn285Nnv2bPn7+6tJkya3vG7WrFlq06aNfHx81LNnT12+fDnbLa1y6u+//1axYsUUEBCQ6Xjz5s0t5wvSqVOnFBAQoBEjRhTofQEAAADcGxIbAAAAKBISEhJ06tQp1a9fP9fXtm3bVj4+PpbtnCIjIxUREXHbagdJql27tsqWLWt5NG7c+K5iv1fFixfXo48+aqk6SU9P15w5c/TMM8/c8pqzZ8/qzz//VM+ePSVJlStXVmBg4C23o8qJmJgYlS9fXgaDIdNxc/XM6dOn73puAAAAAEWHk7UDAAAAAApCQkKCpIwP+XPL0dFRTz31lH799Ve9++67mjVrlnx9ffXQQw/pyJEjt7zuf//7n7y8vCzP3d3d73ivxMTETNs9mas84uPjde7cOctxZ2dnlShRIsevoVevXnryyScVGxurvXv3KjY29raJmTlz5sjBwUE9evSwHHvmmWf0n//8RxcvXlSpUqVyfG+z5ORkubq6ZjlubmCenJyc6znvRdWqVXPdbwMAAACA9ZHYAAAAQJFgTjBcvnz5rq7v1auXvv76a+3atUuzZ89Wz549s1Qe3Kx169YqU6ZMru4zbNgwzZgxI8vxkJCQTM8ffvjhXDUU79y5s4oXL665c+cqIiJCzZo1U82aNXXs2LFsx8+cOVPNmzfX+fPndf78eUlS48aNlZKSonnz5mnQoEE5vreZu7u7rl27luW4OZGTk8QPAAAAAJDYAAAAQJHg5eWlihUrau/evXd1fYsWLVSjRg29+uqrOnr06B23obpbb775pnr37m15fubMGfXu3VtffPGFGjZsaDme24oJV1dXPf7445oxY4aOHDmi0aNH33LsoUOHtG3bNkmSn59flvOzZs26q8RGhQoV9Ndff8lkMmVKCpmbd1esWDHXcwIAAAAoekhsAAAAoMh49NFH9f333ys8PFyBgYG5vv6ZZ57RRx99pICAADVq1CjvA5RUp04d1alTx/LcXFHRtGlTBQUF3dPcvXr10o8//igHBwdL74zszJo1S87Ozvrll1/k6OiY6dyGDRv09ddf68SJE6pcuXKu7t+oUSP98MMPioyMzPQat2zZYjkPAAAAAHdC83AAAAAUGW+++aaKFSumAQMG6MyZM1nOR0dHa+LEibe8fsCAARo1apTGjx+fn2HmmzZt2mjMmDH65ptv5OPjc8txs2bN0kMPPaSnn35aTzzxRKbHG2+8IUmWRuq58dhjj8nZ2Vnffvut5ZjJZNLkyZN13333qWXLlrl/UffAaDQqKirKUjECAAAAwDZQsQEAAIAio0aNGpo9e7aefvppBQQE6LnnnlO9evWUkpKiTZs2ad68eerXr98tr69Spcptt3Aq7BwcHPTuu+/edsyWLVt0+PBhDRs2LNvz9913n5o0aaJZs2bprbfekiTt3r1bixYtkiQdPnxY8fHx+uijjyRJDRs2VNeuXSVJlSpV0quvvqrPP/9cRqNRzZo1U2hoqNavX69Zs2ZlqQ7Jb6dOnVJAQID69u2r6dOnF+i9AQAAANw9EhsAAAAoUrp166bdu3fr888/18KFC/Xdd9/J1dVVDRo00Pjx4zVw4EBrh2hVs2bNkiRLMiI7Xbt21ejRo7V79241aNBAO3fu1HvvvZdpjPl53759M8316aefqlSpUpoyZYqmT58uPz8/zZw5M996lgAAAACwPyQ2AAAAUOT4+fnp+++/v+M4c3+L2+nXr1+WKo/Ro0fnWWVH1apVZTKZ7ura6dOn37ES4eb5v/76a3399de3vWbUqFEaNWqU5Xl278GtODg4aMSIERoxYkSOxuene3lvAQAAAFgPPTYAAAAAAAAAAIDNoGIDAAAAgE347bfftGTJkmzPJSQk5HpcYbv36dOnVbJkyWzPXblyRQMGDMjVuFtp0qSJHByyfsctJSVFw4cPz7dx2Xn55Zf1+uuvZzmenp6uBg0a5Ns4AAAA2DaDidprAAAAAAAAAABgI9iKCgAAAAAAAAAA2AwSGwAAAAAAAAAAwGaQ2AAAAAAAAAAAADaD5uF5JD09XadPn1bx4sVlMBisHQ4AAAAAAAAAADbDZDLp8uXLqlixohwcbl+TQWIjj5w+fVq+vr7WDgMAAAAAAAAAAJt18uRJVapU6bZjCk1i49NPP9WIESP0yiuv6KuvvpIkXb16Vf/5z380Z84cXbt2TcHBwfr2229Vvnx5y3UnTpzQkCFD9Ndff8nT01N9+/bVJ598Iienf1/amjVrNHz4cO3bt0++vr5699131a9fv0z3nzRpkj7//HPFxsaqYcOG+u9//6vmzZvnOP7ixYtLynjTvby87v6NwC0ZjUatXLlSHTt2lLOzs7XDAfIMaxv2iHUNe8cah71ibcMesa5h61jDsEesa2QnISFBvr6+ls/ab6dQJDa2bdumKVOmqEGDBpmOv/baa1q6dKnmzZunEiVKaNiwYXr88ce1ceNGSVJaWpq6dOkiHx8fbdq0STExMXruuefk7Oysjz/+WJJ09OhRdenSRYMHD9asWbMUFhamAQMGqEKFCgoODpYkzZ07V8OHD9fkyZPVokULffXVVwoODtaBAwdUrly5HL0G8/ZTXl5eJDbyidFolIeHh7y8vPgPHuwKaxv2iHUNe8cah71ibcMesa5h61jDsEesa9xOTlo9WL15eGJiop599llNnTpVpUqVshyPj4/XtGnT9OWXX6pt27Zq2rSpfvrpJ23atEmbN2+WJK1cuVL79+/XzJkz1ahRIz3yyCMaM2aMJk2apJSUFEnS5MmTVa1aNY0fP14BAQEaNmyYnnjiCU2YMMFyry+//FIDBw5U//79VadOHU2ePFkeHh768ccfC/bNAAAAAAAAAAAAt2X1io2hQ4eqS5cuat++vT766CPL8R07dshoNKp9+/aWY/7+/qpcubLCw8P1wAMPKDw8XPXr18+0NVVwcLCGDBmiffv2qXHjxgoPD880h3nMq6++KklKSUnRjh07NGLECMt5BwcHtW/fXuHh4beM+9q1a7p27ZrleUJCgqSMbKPRaLy7NwO3ZX5feX9hb1jbsEesa9g71jjsFWsb9oh1DVvHGoY9Yl0jO7lZD1ZNbMyZM0c7d+7Utm3bspyLjY2Vi4uLSpYsmel4+fLlFRsbaxlzY1LDfN587nZjEhISlJycrIsXLyotLS3bMVFRUbeM/ZNPPtEHH3yQ5fjKlSvl4eFxy+tw71atWmXtEIB8wdqGPWJdw96xxmGvWNuwR6xr2DrWMOwR6xo3unLlSo7HWi2xcfLkSb3yyitatWqV3NzcrBXGXRsxYoSGDx9ueW5ubNKxY8fb9thIS0tTamqqTCZTQYRpV1JTU7Vp0ya1bNkyU3N4ZDAYDHJ2dpaDg9V3mEMuGY1GrVq1Sh06dGBfSdgN1jXsHWsc9oq1DXvEuoatYw3DHrGukR3zrkg5YbVPh3fs2KGzZ8+qSZMmlmNpaWlat26dvvnmG61YsUIpKSm6dOlSpqqNM2fOyMfHR5Lk4+OjrVu3Zpr3zJkzlnPmn+ZjN47x8vKSu7u7HB0d5ejomO0Y8xzZcXV1laura5bjzs7O2f4xmkwmxcbG6tKlS7ecE7dnMpnk4+OjmJiYHDWQKYocHBxUrVo1ubi4WDsU3IVb/fcDsGWsa9g71jjsFWsb9oh1DVvHGoY9Yl3jRrlZC1ZLbLRr10579uzJdKx///7y9/fXW2+9JV9fXzk7OyssLEw9evSQJB04cEAnTpxQYGCgJCkwMFBjx47V2bNnVa5cOUkZ5UteXl6qU6eOZcyyZcsy3WfVqlWWOVxcXNS0aVOFhYUpJCREkpSenq6wsDANGzYsz16vOalRrlw5eXh48MH8XUhPT1diYqI8PT2pSshGenq6Tp8+rZiYGFWuXJk1BgAAAAAAAMAuWS2xUbx4cdWrVy/TsWLFisnb29ty/IUXXtDw4cNVunRpeXl56aWXXlJgYKAeeOABSVLHjh1Vp04d9enTR+PGjVNsbKzeffddDR061FJNMXjwYH3zzTd688039fzzz2v16tX67bfftHTpUst9hw8frr59++r+++9X8+bN9dVXXykpKUn9+/fPk9ealpZmSWp4e3vnyZxFUXp6ulJSUuTm5kZi4xbKli2r06dPKzU1lWw3AAAAAAAAALtUqBsVTJgwQQ4ODurRo4euXbum4OBgffvtt5bzjo6OWrJkiYYMGaLAwEAVK1ZMffv21YcffmgZU61aNS1dulSvvfaaJk6cqEqVKumHH35QcHCwZczTTz+tuLg4vf/++4qNjVWjRo20fPnyLA3F75a5mztNxZHfzFtQpaWlkdgAAAAAAAAAYJcKVWJjzZo1mZ67ublp0qRJmjRp0i2vqVKlSpatpm4WFBSkv//++7Zjhg0blqdbT2WHrYGQ31hjAAAAAAAAAOwd+/kAAAAAAAAAAACbQWID98xgMCg0NNTaYQAAAAAAAAAAigASG7ij2NhYvfTSS6pevbpcXV3l6+urrl27KiwszNqhAQAAAAAAAACKmELVYwOFz7Fjx9SqVSuVLFlSn3/+uerXry+j0agVK1Zo6NChioqKsnaIAAAAAAAAAIAihIoN3Nb//d//yWAwaOvWrerRo4dq1aqlunXravjw4dq8eXO21+zZs0dt27aVu7u7vL29NWjQICUmJlrOr1mzRs2bN1exYsVUsmRJtWrVSsePH7ecX7hwoZo0aSI3NzdVr15dH3zwgVJTU/P9tQIAAAAAAAAACj8qNqzEZDLpypUrBX5fDw8PGQyGHI29cOGCli9frrFjx6pYsWJZzpcsWTLLsaSkJAUHByswMFDbtm3T2bNnNWDAAA0bNkzTp09XamqqQkJCNHDgQP36669KSUnR1q1bLTGtX79ezz33nL7++ms99NBDio6O1qBBgyRJ77333t2/cAAAAAAAAAAoTBISpC1bpBYtJC8va0djU0hsWMmVK1fk6elZ4PdNTEzMNkmRncOHD8tkMsnf3z/H88+ePVtXr17Vzz//bLnPN998o65du+qzzz6Ts7Oz4uPj9eijj6pGjRqSpICAAMv1H3zwgd5++2317dtXklS9enWNGTNGb775JokNAAAAAAAAAPYjMlLauTMjqdGihbWjsSlsRYVbMplMub4mMjJSDRs2zJQ8adWqldLT03XgwAGVLl1a/fr1U3BwsLp27aqJEycqJibGMnbXrl368MMP5enpaXkMHDhQMTExVqlwAQAAAAAAAIA8Fx8v7d0rOTpm/ExIsHZENoWKDSvx8PDI1HeiIO+bU35+fjIYDHneIPynn37Syy+/rOXLl2vu3Ll69913tWrVKj3wwANKTEzUBx98oMcffzzLdW5ublZ5zwAAAAAAAAAgT0VFSRcuSLVqSQcPZlRvULWRYyQ2rMRgMOR4SyhrKV26tIKDgzVp0iS9/PLLWeK9dOlSlj4bAQEBmj59upKSkizjN27cKAcHB9WuXdsyrnHjxmrcuLFGjBihwMBAzZ49Ww888ICaNGmiAwcOqGbNmlniSU9Pz/sXCQAAAAAAAAAF6Xq1hql0aRkcHCRv74yqjYAAem3kEFtR4bYmTZqktLQ0NW/eXP/73/906NAhRUZG6uuvv1ZgYGCW8c8++6zc3NzUt29f7d27V3/99Zdeeukl9enTR+XLl9fRo0c1YsQIhYeH6/jx41q5cqUOHTpk6bPx/vvv6+eff9YHH3ygffv2KTIyUnPmzNG7775b0C8dAAAAAAAAAPJeVJTSz51TwKhRevzjj3XGySmjeiMy0tqR2QwqNnBb1atX186dOzV27Fj95z//UUxMjMqWLaumTZvqu+++yzLew8NDK1as0CuvvKJmzZrJw8NDPXr00Jdffmk5HxUVpRkzZuj8+fOqUKGChg4dqhdffFGSFBwcrCVLlujDDz+0NBv39/fXgAEDCvR1AwAAAAAAAECeu16tse/aNR04dUr/nD+vUp6eUmoqVRu5QGIDd1ShQgV98803+uabb7I9f3OT8fr162v16tXZji1fvrwWLFhw2/sFBwcrODg4y3G2ogIAAAAAAABg06731gg7cUKS9FCdOnJxdpbKlJEOHKDXRg6xFRUAAAAAAAAAAPnterWGvL21es8eSVLbBg0yzhkM//baSEiwYpC2gcQGAAAAAAAAAAD57Xq1RmqpUlq7d6+kGxIbUkbVBr02coTEBgAAAAAAAAAA+emGao2dR44o4coVlfL0VKNq1f4dQ9VGjpHYAAAAAAAAAAAgP0VFSbGxksmksE2bJElBtWrJ8cIFKS7u34fJlDGOqo3bonk4AAAAAAAAAAD5KTFR8vWVJK0+cECS1LZOHckpm4/ofX0zxuOWSGwAAAAAAAAAAJCf2rWTJF27dk0bXnxRktR2xAipTh1rRmWz2IoKAAAAAAAAAIACsHnzZl29elU+Pj4KCAiwdjg2i8QGAAAAAAAAAAAFYPXq1ZKktm3bymAwWDka20ViAwAAAAAAAACAAhAWFiYpI7GBu0diAwAAAAAAAACAfJaYmKgtW7ZIIrFxr0hs4Lb69esng8GgwYMHZzk3dOhQGQwG9evXL9Px8PBwOTo6qkuXLtnO+fLLL6tp06ZydXVVo0aNsh2ze/duPfTQQ3Jzc5Ovr6/GjRt3ry8FAAAAAAAAAKxmw4YNSk1NVdWqVVWtWjVrh2PTSGzgjnx9fTVnzhwlJydbjl29elWzZ89W5cqVs4yfNm2aXnrpJa1bt06nT5/Ods7nn39eTz/9dLbnEhIS1LFjR1WpUkU7duzQ559/rtGjR+v777/PmxcEAAAAAAAAAAXM3F+jXbt2Vo7E9jlZOwAUfk2aNFF0dLTmz5+vZ599VpI0f/58Va5cOUtmMTExUXPnztX27dsVGxur6dOn65133sk05uuvv5YkxcXFaffu3VnuN2vWLKWkpOjHH3+Ui4uL6tatq4iICH311Vfq2bNnPr1KAAAAAAAAAMg/NzYOx72hYsPKUlJSbvlITU3N8Vij0XjHsffi+eef108//WR5/uOPP6p///5Zxv3222/y9/dX7dq11bt3b/34448ymUy5uld4eLhat24tFxcXy7Hg4GAdOHBAly5duuvXAAAAAAAAAADWcOHCBe3cuVOS1KZNGytHY/uo2LCyTz755Jbn/Pz81KtXL8vzL774IksCw6xKlSqZel1MnDhRV65cyTRm1KhRdx1n7969NWLECB0/flyStHHjRs2ZM0dr1qzJNG7atGnq3bu3JKlTp06Kj4/X2rVrFRQUlON7xcbGZqkEKV++vCTpzJkz2W5/BQAAAAAAAACF1dq1a2UymRQQEKAKFSpYOxybR2IDOVK2bFl16dJF06dPl8lkUpcuXVSmTJlMYw4cOKCtW7dqwYIFkiQnJyc9/fTTmjZtWq4SGwAAAAAAAABgT9iGKm+R2LCyESNG3PKcg0PmncJef/31W441GAyZnr/yyiv3Flg2nn/+eQ0bNkySNGnSpCznp02bptTUVFWsWNFyzGQyydXVVd98841KlCiRo/v4+PjozJkzmY6Zn5srNwAAAAAAAADAVtA4PG+R2LCyG/tIWGtsTnXq1EkpKSkyGAwKDg7OdC41NVU///yzxo8fr44dO2Y6FxISol9//VWDBw/O0X0CAwM1cuRIGY1GOTs7S5JWrVql2rVrq2TJknnyWgAAAAAAAACgIMTExGj//v0yGAx6+OGHrR2OXaB5OHLM0dFRkZGR2r9/vxwdHTOdW7JkiS5evKgXXnhB9erVy/To0aOHpk2bZhl7+PBhRUREKDY2VsnJyYqIiFBERISlwXmvXr3k4uKiF154Qfv27dPcuXM1ceJEvfrqqwX5cgEAAAAAAADgnv3111+SpMaNG6t06dJWjsY+ULGBXPHy8sr2+LRp09S+fftst5vq0aOHxo0bp927d6tBgwYaMGCA1q5daznfuHFjSdLRo0dVtWpVlShRQitXrtTQoUPVtGlTlSlTRu+//74GDRqkhISE/HlhAAAAAAAAAJAP6K+R90hs4LamT59+2/OhoaF3nKN58+YymUyW52vWrLnjNQ0aNND69eszHUtPT7/jdQAAAAAAAABQmNBfI++xFRUAAAAAAAAAAPng6NGjOnr0qJycnPTggw9aOxy7QWIDAAAAAAAAAIB8YK7WaNGihTw9Pa0cjf0gsQEAAAAAAAAAQD6gv0b+ILEBAAAAAAAAAEAeM5lMJDbyCYkNAAAAAAAAAADyWFRUlGJjY+Xm5qbAwEBrh2NXSGwAAAAAAAAAAJDHzNUaDz74oFxdXa0cjX0hsQEAAAAAAAAAQB4LCwuTxDZU+YHEBgAAAAAAAAAAeSgtLU1r1qyRRGIjP5DYAAAAAAAAAAAgD+3atUsXL16Ul5eXmjZtau1w7A6JDdg0g8Gg0NDQAr9v1apV9dVXX912TEpKimrWrKlNmzbleN7Ro0erUaNGluf9+vVTSEiI5XnPnj01fvz4XEYLAAAAAAAAoCCZ+2s8/PDDcnJysnI09ofEhi1KSJBWrcr4mc/69esng8FgeXh7e6tTp07avXt3vt87Li5OQ4YMUeXKleXq6qqKFSuqR48e2rhxo2VMTEyMHnnkkXyP5W5MnjxZ1apVU8uWLfNsznfffVdjx45VfHx8ns0JAAAAAAAAIG/RXyN/kdiwRZGR0s6dGT8LQKdOnRQTE6OYmBiFhYXJyclJjz76aL7ft0ePHvr77781Y8YMHTx4UKGhoWrVqpXOnz9vGePj4yNXV9d8jyW3TCaTvvnmG73wwgt5Om+9evVUo0YNzZw5M0/nBQAAAAAAAJA3UlJStH79ekkkNvILiQ1bEx8v7d0rOTpm/CyAqg1XV1f5+PjIx8dHjRo10ttvv62TJ08qLi5OkrRmzRoZDAZdunTJck1ERIQMBoOOHTumpKQkeXl56ffff880b2hoqIoVK6bLly9nueelS5e0fv16ffbZZ2rTpo2qVKmi5s2ba/jw4erWrZtl3M1bUW3atEmNGjWSm5ub7r//foWGhspgMCgiIiJTrGFhYbr//vvl4eGhli1b6sCBA5Y5oqOj9dhjj6l8+fLy9PRUs2bN9Oeff+bqPduxY4eio6PVpUuXTMffeust1apVSx4eHqpevbree+89GY3GXM3dtWtXzZkzJ1fXAAAAAAAAACgY27ZtU1JSksqUKaN69epZOxy7RGLD1kRFSRcuSH5+GT8LqGrDLDExUTNnzlTNmjXl7e2do2uKFSumnj176qeffsp0/KefftITTzyh4sWLZ7nG09NTnp6eCg0N1bVr13J0n4SEBHXt2lX169fXzp07NWbMGL311lvZjh05cqTGjx+v7du3y8nJSc8//3ym19i5c2eFhYXp77//VqdOndS1a1edOHEiR3FI0vr161WrVq0sr6148eKaPn269u/fr4kTJ2rq1KmaMGFCjueVpObNm2vr1q05fl8AAAAAAAAAFBxzf402bdrIwYGP4PMD76otMVdreHtLDg4ZPwugamPJkiWWREPx4sW1aNEizZ07N1d/lAMGDNCKFSsUExMjSTp79qyWLVuWKaFwIycnJ02fPl0zZsxQyZIl1apVK40cOVJ79+695T1mz54tg8GgqVOnqk6dOnrkkUf0xhtvZDt27Nixevjhh1WnTh29/fbb2rRpk65evSpJatiwoV588UXVq1dPfn5+GjNmjGrUqKFFixbl+PUeP35cFStWzHL83XffVcuWLVW1alV17dpVr7/+un777bcczytJFStWVEpKimJjY3N1HQAAAAAAAID8Z05stGvXzsqR2C8SG7bEXK1RpkzG8zJlCqRqo02bNoqIiFBERIS2bt2q4OBgPfLIIzp+/HiO52jevLnq1q2rGTNmSJJmzpypKlWqqHXr1re8pkePHjp9+rQWLVqkTp06ae3atQoKCtL06dOzHX/gwAE1aNBAbm5ume6bnQYNGlj+XaFCBUkZyRYpo2Lj9ddfV0BAgEqWLClPT09FRkbmqmIjOTk5Uxxmc+fOVatWreTj4yNPT0+9++67uZpXktzd3SVJV65cydV1AAAAAAAAAPLXlStXtGnTJkn018hPJDZsxY3VGgZDxjGDoUCqNooVK6aaNWuqZs2aatasmX744QclJSVp6tSpkmSp3DCZTJZrsusbMWDAAEtS4qefflL//v1lML+WW3Bzc1OHDh303nvvacOGDerVq5c++OCDe35Nzs7Oln+bY0hPT5ckvf7661qwYIE+/vhjrV+/XhEREapfv75SUlJyPH+ZMmV08eLFTMfCw8P17LPPqnPnzlqyZIn+/vtvjRw5MlfzStKFCxckSWXLls3VdQAAAAAAAADy16ZNm5SSkqJKlSqpZs2a1g7HbpHYsBU3V2uYFVDVxo0MBoMcHByUnJws6d8P2M3bTEmyNOu+Ue/evXX8+HF9/fXX2r9/v/r27Zvre9euXVtJSUm3PLdnz55MvSe2bduW63ts3LhR/fr1U/fu3VW/fn35+Pjo2LFjuZqjcePGioqKypTs2bRpk6pUqaKRI0fq/vvvl5+fX66qXsz27t2rSpUqqczNawEAAAAAAACAVZm3oWrbtu0dv9SNu0diwxZkV61hVgBVG9euXVNsbKxiY2MVGRmpl156SYmJierataskqWbNmvL19dXo0aN16NAhLV26VOPHj88yT6lSpfT444/rjTfeUMeOHVWpUqVb3vP8+fNq27atZs6cqd27d+vo0aOaN2+evv76a3Xr1i3ba3r16qX09HQNGjRIkZGRWrFihb744gtJytV/RPz8/DR//nxFRERo165dlnlzo02bNkpMTNS+ffsyzXvixAnNmTNH0dHR+vrrr7VgwYJczStlNCbv2LFjrq8DAAAAAAAAkL/or1EwSGzYgltVa5jlc9XG8uXLVaFCBVWoUEEtWrTQtm3bNG/ePAUFBUnK2Nbp119/VVRUlBo0aKDPPvtMH330UbZzvfDCC0pJSbll03AzT09PtWjRQhMmTFDr1q1Vr149jRo1Ss8995z++9//ZnuNl5eXFi9erIiICDVq1EgjR47U+++/L0nZ9ru4lS+//FKlSpVSy5Yt1bVrVwUHB6tJkyY5vl6SvL291b17d82aNctyrFu3bnrttdc0bNgwNWrUSJs2bdJ7772Xq3mvXr2q0NBQDRw4MFfXAQAAAAAAAMhf8fHxlh1k2rRpY+Vo7JvBdONeObhrCQkJKlGihOLj4+Xl5ZXp3NWrV3X06FFVq1YtVx+wS8qo1vj994zKjNv1VIiLk0wm6cknpZvuX5j88ssveu2113T69Gm5uLjk6tr09HQlJCTIy8vL0tfjTmbNmqX+/fsrPj7e0nS7oOzevVsdOnRQdHS0PD0982TO7777TgsWLNDKlSuzPX9Paw1WYzQatWzZMnXu3DlT/xfAlrGuYe9Y47BXrG3YI9Y1bB1rGPbIXtf14sWL1a1bN/n5+engwYPWDsfm3O4z9ps5FVBMuFtRUVJsrOTjk5G8uBWTKWNcZKTUokXBxZdDV65cUUxMjD799FO9+OKLuU5q5NTPP/+s6tWr67777tOuXbv01ltv6amnnirwpIYkS/XK0aNHVb9+/TyZ09nZ+ZYVKwAAAAAAAACs58b+GshfJDYKu8REydc3Z2N9fTPGF0Ljxo3T2LFj1bp1a40YMSLf7hMbG6v3339fsbGxqlChgp588kmNHTs23+53J/369cvT+QYMGJCn8wEAAAAAAADIGyQ2Cg6JjcLOTprMjB49WqNHj873+7z55pt688038/0+AAAAAAAAAGAWFxen3bt3S6K/RkGgeTgAAAAAAAAAAPfgr7/+kpSxPX3Z2/VKRp4gsQEAAAAAAAAAwD1gG6qCRWIDAAAAAAAAAIB7QGKjYJHYAAAAAAAAAADgLp08eVKHDh2Sg4ODWrdube1wigQSGwAAAAAAAAAA3CVzf41mzZqpRIkSVo6maCCxYauSk60dAQAAAAAAAAAUeWFhYZLYhqogkdiwRevWSd7e0vr11o7E6gwGg0JDQ60dBgAAAAAAAIAiyGQy0V/DCkhs2KKRIzMqNkaOLLBbhoeHy9HRUV26dMn1tVWrVtVXX32V90HlQL9+/WQwGCwPb29vderUSbt377ZKPAAAAAAAAADsx+HDh/XPP//IxcVFLVu2tHY4RQaJDVuzZo20YUPGv9evz3heAKZNm6aXXnpJ69at0+nTpwvknnmlU6dOiomJUUxMjMLCwuTk5KRHH33U2mEBAAAAAAAAsHHmao2WLVvKw8PDytEUHSQ2bM1770mOjhn/dnSU3n8/32+ZmJiouXPnasiQIerSpYumT5+eZczixYvVrFkzubm5qUyZMurevbskKSgoSMePH9drr71mqZqQpNGjR6tRo0aZ5vjqq69UtWpVy/Nt27apQ4cOKlOmjEqUKKE2bdpo165duY7f1dVVPj4+8vHxUaNGjfT222/r5MmTiouLkyStWbNGBoNBly5dslwTEREhg8GgY8eOKSkpSV5eXvr9998zzRsaGqpixYrp8uXLuY4JAAAAAAAAgO1jGyrrILFhS8zVGmlpGc/T0gqkauO3336Tv7+/ateurd69e+vHH3+UyWSynF+6dKm6d++uzp076++//1ZYWJiaN28uSZo/f74qVaqkDz/80FI1kVOXL19W3759tWHDBm3evFk1a9bUU089dU+JhMTERM2cOVM1a9aUt7d3jq4pVqyYevbsqZ9++inT8Z9++klPPPGEihcvftfxAAAAAAAAALBN6enpJDasxMnaASAXzNUa5sSG9G/Vxrp1+XbbadOmqXfv3pIytnWKj4/X2rVrFRQUJEkaO3asevbsqQ8++MByTcOGDSVJpUuXlqOjo4oXLy4fH59c3ffm/xhMmTJFpUuX1tq1a9WtW7ccz7NkyRJ5enpKkpKSklShQgUtWbJEDg45z+sNGDBALVu2VExMjCpUqKCzZ89q2bJl+vPPP3M8BwAAAAAAAAD7sXfvXp07d07FihVTs2bNrB1OkULFhq24uVrDLJ+rNg4cOKCtW7fqmWeekSQ5OTnp6aef1rRp0yxjIiIi1K5duzy/95kzZzRw4ED5+fmpRIkSKlmypBITE3Xy5MlczdOmTRtFREQoIiJCW7duVXBwsB555BEdP348x3M0b95cdevW1YwZMyRJM2fOVJUqVdS6detcxQIAAAAAAADAPpirNR566CG5uLhYOZqihcSGrbixt8bN8rHXxrRp05SamqqKFSvKyclJTk5O+u677/S///1P8fHxkiR3d/dcz+vg4JBpOytJMhqNmZ737dtXERERmjhxojZt2qSdO3eqdOnSSklJydW9ihUrppo1a6pmzZpq1qyZfvjhByUlJWnq1KmWWCRliufmWKSMqg1zf5GffvpJ/fv3t/QMAQAAAAAAAFC0mBMb+fGlb9weiQ1bcKtqDbN8qtpITU3Vzz//rPHjx1sqHiIiIrRr1y5VrFhRv/76qySpQYMGCgsLu+U8Li4uSrsp9rJlyyo2NjZTMiEiIiLTmI0bN+rll19W586dVbduXbm6uur8+fP3/LoMBoMcHByUnJxsiUVSpv4fN8ciSb1799bx48f19ddfa//+/erbt+89xwIAAAAAAADA9qSmpmrt2rWS6K9hDSQ2bMHtqjXM8qFqY8mSJbp48aJeeOEF1atXL9OjR48elu2oRo0apV9//VWjRo1SZGSk9uzZo88++8wyT9WqVbVu3TqdOnVK586dkyQFBQUpLi5O48aNU3R0tCZNmqQ//vgj0/39/Pz0yy+/KDIyUlu2bFGfPn3uqjrk2rVrio2NVWxsrCIjI/XSSy8pMTFRXbt2lSTVrFlTvr6+Gj16tA4dOqSlS5dq/PjxWeYpVaqUHn/8cb3xxhvq2LGjKlWqlOtYAAAAAAAAANi+HTt2KCEhQaVKlbL0G0bBIbFR2N2pWsMsH6o2pk2bpvbt26tEiRJZzvXo0UPbt2/X7t27FRQUpHnz5mnRokVq1KiR2rZtq61bt1rGfvjhhzp27Jhq1KhhqY4ICAjQt99+q0mTJqlhw4baunWrXn/99Sz3v3jxopo0aaI+ffpo2LBhKlOmTK5fx/Lly1WhQgVVqFBBLVq00LZt2zRv3jxL83NnZ2f9+uuvioqKUoMGDfTZZ5/po48+ynauF154QSkpKXr++edzHQcAAAAAAAAA+2DehiooKEiOd/pSOvKck7UDwB2YqzXulNiQ/q3aWLcuT269ePHiW55r3rx5pm2kHn/8cT3++OPZjn3ggQe0a9euLMcHDx6swYMHZzr2zjvvWP7duHFjbdu2zfI8PT1dHTt2lJeXl+XYzX06bjZ9+nRLX4zbadWqlXbv3p3pWHZznzp1St7e3nrsscfuOCcAAAAAAAAA+2RObLANlXVQsVGY5bRawyyfem1AunLliqKjo/Xpp5/qxRdflIuLi7VDAgAAAAAAAGAF165d04YNGyTRONxaSGwUZu+9JxkMubvGYMjzXhuQxo0bJ39/f/n4+GjEiBHWDgcAAAAAAACAlYSHh+vq1avy8fGRv7+/tcMpkkhsFFZJSdKWLdIdtlrKwmSSNm+WrlzJn7iKqNGjR8toNCosLEyenp7WDgcAAAAAAACAldy4DZUht19MR56gx0ZhVayYdOqUFB+f+2tLlJA8PPI+JgAAAAAAAAAo4uivYX0kNgqzsmUzHgAAAAAAAAAAq0tMTNSWLVsk0V/DmtiKCgAAAAAAAACAHNiwYYNSU1NVrVo1Va1a1drhFFkkNgAAAAAAAAAAyIGwsDBJbENlbVZNbHz33Xdq0KCBvLy85OXlpcDAQP3xxx+W80FBQTIYDJkegwcPzjTHiRMn1KVLF3l4eKhcuXJ64403lJqammnMmjVr1KRJE7m6uqpmzZqaPn16llgmTZqkqlWrys3NTS1atNDWrVvz5TUDAAAAAAAAAGwT/TUKB6v22KhUqZI+/fRT+fn5yWQyacaMGXrsscf0999/q27dupKkgQMH6sMPP7Rc43FDU+y0tDR16dJFPj4+2rRpk2JiYvTcc8/J2dlZH3/8sSTp6NGj6tKliwYPHqxZs2YpLCxMAwYMUIUKFRQcHCxJmjt3roYPH67JkyerRYsW+uqrrxQcHKwDBw6oXLlyBfiOZBYXd/e9w2nNAQAAAAAAAAB558KFC/r7778lSW3atLFyNEWbVRMbXbt2zfR87Nix+u6777R582ZLYsPDw0M+Pj7ZXr9y5Urt379ff/75p8qXL69GjRppzJgxeuuttzR69Gi5uLho8uTJqlatmsaPHy9JCggI0IYNGzRhwgRLYuPLL7/UwIED1b9/f0nS5MmTtXTpUv344496++238+vl31ZSknTffZLRmPtrnZ2lS5ekG3JAdstgMGjBggUKCQnJt3uMHj1aoaGhioiIkCT169dPly5dUmhoaL7dEwAAAAAAAEDhsnbtWplMJtWpU0cVKlSwdjhFmlUTGzdKS0vTvHnzlJSUpMDAQMvxWbNmaebMmfLx8VHXrl313nvvWao2wsPDVb9+fZUvX94yPjg4WEOGDNG+ffvUuHFjhYeHq3379pnuFRwcrFdffVWSlJKSoh07dmjEiBGW8w4ODmrfvr3Cw8NvGe+1a9d07do1y/OEhARJktFolPGmbITRaJTJZFJ6errS09Nz9H64u0stWhi0caNkMhlydI0kGQwmPfCA5OZmUg5vlSPh4eFq3bq1goODtWTJklxdW716db3yyit65ZVX7ikGk8lk+Xnj+3i79zUuLk6jRo3SsmXLdObMGZUqVUoNGjTQe++9p1atWuXqvuZ7mEymLDEUFunp6TKZTDIajXJ0dLR2OMgh838zbv5vB2DLWNewd6xx2CvWNuwR6xq2jjUMe2ST6/ryZa366SdJGS0UbCp2G5Gb99TqiY09e/YoMDBQV69elaenpxYsWKA6depIknr16qUqVaqoYsWK2r17t9566y0dOHBA8+fPlyTFxsZmSmpIsjyPjY297ZiEhAQlJyfr4sWLSktLy3ZMVFTULeP+5JNP9MEHH2Q5vnLlykzbZUmSk5OTfHx8lJiYqJSUlJy8LZKkt95yUteunjkeL2UkQd58M1EJCal3HpwLU6ZM0aBBgzRz5kwdOHAgVxnJ9PR0Xb161ZL8uVeXL1/O9Dw5OfmWc3fv3l1Go1GTJk1SlSpVFBcXp7Vr1+rkyZM5jufatWtKS0vLlLxKTU3Ns9eTl1JSUpScnKx169Zl6TWDwm/VqlXWDgHIc6xr2DvWOOwVaxv2iHUNW8cahj2ytXW9+Po2VF5eXlq2bJmVo7E/V65cyfFYqyc2ateurYiICMXHx+v3339X3759tXbtWtWpU0eDBg2yjKtfv74qVKigdu3aKTo6WjVq1LBi1NKIESM0fPhwy/OEhAT5+vqqY8eO8vLyyjT26tWrOnnypDw9PeXm5pbje3TuLD34oEnh4VJa2p2rNhwdTWrZUurcOW/3oEpMTNSCBQu0detWXbhwQfPnz89U4SJJixcv1kcffaQ9e/bI09NTDz74oObPn6+2bdvq5MmTeuedd/TOO+9IyqjO+eCDD7Rw4ULt3LnTMsfEiRM1ceJEHTlyRJK0bds2jRw5UhERETIajWrYsKHGjBmjBx98UAbDv++Hu7t7lvdcki5duqTw8HCtXr1aDz/8sOX4zfvfXbp0SW+88YYWLVqka9eu6f7779f48ePVsGFDSZKrq6scHR0t93B2dpaTk1O297S2q1evyt3dXa1bt87VWoN1GY1GrVq1Sh06dJCzs7O1wwHyBOsa9o41DnvF2oY9Yl3D1rGGYY9sbl0nJChmxgz9888/MhgMenXAAJWuXNnaUdmd3HyR3OqJDRcXF9WsWVOS1LRpU23btk0TJ07UlClTsoxt0aKFJOnw4cOqUaOGfHx8tHXr1kxjzpw5I0mWvhw+Pj6WYzeO8fLykru7uxwdHeXo6JjtmFv19pAyPux2dXXNctzZ2TnLH2NaWpoMBoMcHBzk4OBwyzmzM2aMlNM+NGlpBn34oeTgkPOtq3Li999/l7+/vwICAtSnTx+9+uqreueddyzJhaVLl6pHjx4aOXKkfv75Z6WkpGjZsmVycHDQ/Pnz1bBhQw0aNEgDBw6UlLHVl/naG9+Pm48lJSWpX79+uv/++2UymfTFF1/oqaee0sGDB1WiRAnLdbd6X728vOTp6alFixapZcuW2f6+JOnpp5+Wu7u7/vjjD5UoUUJTpkxRhw4ddPDgQZUuXTpLXAaDwfL7LGzM72126xCFH7832CPWNewdaxz2irUNe8S6hq1jDcMe2cy6PnxYG7ZvlyQ1rlhR5c+dk6z8xXt7lJu1UOg+mU1PT8/Uu+JG5ubN5m2QAgMDtWfPHp09e9YyZtWqVfLy8rJsZxUYGKiwsLBM86xatcrSx8PFxUVNmzbNNCY9PV1hYWGZen1YS1CQ9OCD0p3aJTg6Sg89lDE+r02bNk29e/eWJHXq1Enx8fFau3at5fzYsWPVs2dPffDBBwoICFDDhg0tFR2lS5eWo6OjihcvLh8fn9smi27Wtm1b9e7d25JUmTJlipKTkzPd+3acnJw0ffp0zZgxQyVLllSrVq30zjvvaPfu3ZYxGzZs0NatWzVv3jzdf//98vPz0xdffKGSJUvq999/z3GsAAAAAAAAAOxQfLy0d69W//OPJKld/frS3r1SIdymviixamJjxIgRWrdunY4dO6Y9e/ZoxIgRWrNmjZ599llFR0drzJgx2rFjh44dO6ZFixbpueeeU+vWrdWgQQNJUseOHVWnTh316dNHu3bt0ooVK/Tuu+9q6NChlm/nDx48WEeOHNGbb76pqKgoffvtt/rtt9/02muvWeIYPny4pk6dqhkzZigyMlJDhgxRUlKS+vfvb5X35WZjxkhpabcfk5Ymffhh3t/7wIED2rp1q5555hlJGcmCp59+WtOmTbOMiYiIULt27fL83mfOnNHAgQPl5+enEiVKqGTJkkpMTNTJkydzPEePHj10+vRpLVq0SJ06ddKaNWvUpEkTTZ8+XZK0a9cuJSYmytvbW56enpbH0aNHFR0dneevCQAAAAAAAIANiYqSLlxQ2IEDkqS2LVpIFy5IkZFWDqxos+pWVGfPntVzzz2nmJgYlShRQg0aNNCKFSvUoUMHnTx5Un/++ae++uorJSUlydfXVz169NC7775rud7R0VFLlizRkCFDFBgYqGLFiqlv37768IZP+KtVq6alS5fqtdde08SJE1WpUiX98MMPCg4Otox5+umnFRcXp/fff1+xsbFq1KiRli9fnqWhuLWYqzYyem1kPe/oKLVsmX/VGqmpqapYsaLlmMlkkqurq7755huVKFFC7u7uuZ7XwcFBJpMp07Gbu9737dtX58+f18SJE1WlShU5OzurZcuWuWrALklubm7q0KGDOnTooPfee08DBgzQqFGj1K9fPyUmJqpChQpas2ZNlutKliyZ25cFAAAAAAAAwF5cr9aIc3HRseu7BrUKCJCSkjKqNgICpELYh7cosGpi48Zv/d/M19c3R1sOValS5Y4d6IOCgvT39Y71tzJs2DANGzbsjvezltv12sivao3U1FT9/PPPGj9+vDp27JjpXEhIiH799VcNHjxYDRo0UFhY2C0rXFxcXJR2U0ambNmyio2NlclksvSwMG81ZrZx40Z9++236ty5syTp+PHjOn/+/D2/rjp16ig0NFSS1KRJE8XGxsrJyUlVq1a957kBAAAAAAAA2Inr1RpRqamSpCrlyqm4h4fk7i4dOJBRtXG9LzQKVqHrsYHs3arXRn721liyZIkuXryoF154QfXq1cv06NGjhyUxNWrUKP36668aNWqUIiMjtWfPHn322WeWeapWrap169bp1KlTOnfu3PXXE6S4uDiNGzdO0dHRmjRpkv74449M9/fz89Mvv/yiyMhIbdmyRX369MlVdcj58+fVtm1bzZw5U7t379bRo0c1b948jRs3To899pgkqX379goMDFRISIhWrlypY8eOadOmTRo5cqS2X28IBAAAAAAAAKCIuV6tIW9vRV7vrxFQqVLGOYNB8vam14YVkdiwIdn12sivag0po6Kmffv2KlGiRJZzPXr00Pbt27V7924FBQVp3rx5WrRokRo1aqS2bdtq69atlrEffvihjh07pho1aqhs2bKSpICAAH377beaNGmSGjZsqK1bt+r111/Pcv+LFy+qSZMm6tOnj4YNG6YyZcrkOH5PT0+1aNFCEyZMUOvWrVWvXj299957GjhwoL755htJksFg0LJly9S6dWv1799ftWrVUs+ePXX8+PFCsxUZAAAAAAAAgAJ2vVpDZcr8m9jw9f33fJky9NqwIoPp5kYHuCsJCQkqUaKE4uPj5XXTvmpXr17V0aNHVa1aNbm5ud3TfR566N9eG+beGuvW3dOUNiM9PV0JCQny8vKSgwM5uezk5VpDwTEajVq2bJk6d+4sZ2dna4cD5AnWNewdaxz2irUNe8S6hq1jDcMeFfp1HR8v/f57RmVG2bJ6ZPRoLd+5U1P+7/80qFOnf8fFxUkmk/Tkk/TayAO3+4z9Znw6bGNurNrIz2oNAAAAAAAAACiSoqKk2NiMpEVcnCKPH5ckBRQvnpHMMD9MpoxxVG0UOBIbNsbca0PKv94aAAAAAAAAAFBkJSZKvr6Ss7OS0tJ0/Px5Sde3onJy+vfh7JwxLjHRygEXPU7WDgC5N3as9MgjGT8BAAAAAAAAAHmoXTvLPw/+/bckydvbW2WGDrVWRLgJiQ0b1Lq1dO6c5O5u7UgAAAAAAAAAwH5FXt9mKiAgwMqR4EZsRVWA8rJPO0kNZCcv1xgAAAAAAABQ1JHYKJxIbBQAZ2dnSdKVK1esHAnsXUpKiiTJ0dHRypEAAAAAAAAAti8qKkqS5O/vb+VIcCO2oioAjo6OKlmypM6ePStJ8vDwkMFgsHJUtic9PV0pKSm6evWqHBzIyd0sPT1dcXFx8vDwkJMTf9oAAAAAAADAvaJio3Di088C4uPjI0mW5AZyz2QyKTk5We7u7iSGbsHBwUGVK1fm/QEAAAAAAADuUWpqqg4ePCiJxEZhQ2KjgBgMBlWoUEHlypWT0Wi0djg2yWg0at26dWrdurVley9k5uLiQjULAAAAAAAAkAeOHDkio9Eod3d3Va5c2drh4AYkNgqYo6Mj/Q/ukqOjo1JTU+Xm5kZiAwAAAAAAAEC+MvfXqF27Nl8mLmT4bQAAAAAAAAAAcBP6axReJDYAAAAAAAAAALiJObHh7+9v5UhwMxIbAAAAAAAAAADcxLwVFRUbhQ+JDQAAAAAAAAAAbmAymdiKqhAjsQEAAAAAAAAAwA1iYmKUkJAgBwcH+fn5WTsc3ITEBgAAAAAAAAAANzBvQ1W9enW5urpaORrcjMQGAAAAAAAAAAA3YBuqwo3EBgAAAAAAAAAANzAnNvz9/a0cCbJDYgMAAAAAAAAAgBuYt6KiYqNwIrEBAAAAAAAAAMAN2IqqcCOxAQAAAAAAAADAdfHx8Tp9+rQktqIqrEhsAAAAAAAAAABw3YEDByRJPj4+KlmypHWDQbZIbAAAAAAAAAAAcB3bUBV+JDYAAAAAAAAAALjOnNhgG6rCi8QGAAAAAAAAAADXRUVFSaJiozAjsQEAAAAAAAAAwHVsRVX4kdgAAAAAAAAAAEBSSkqKoqOjJZHYKMxIbAAAAAAAAAAAIOnw4cNKS0tT8eLFVbFiRWuHg1sgsQEAAAAAAAAAgDI3DjcYDFaOBrdCYgMAAAAAAAAAANFfw1aQ2AAAAAAAAAAAQFJUVJSkjIoNFF4kNgAAAAAAAAAAEBUbtoLEBgAAAAAAAACgyEtPT7dUbJDYKNxIbAAAAAAAAAAAirx//vlHV65ckZOTk6pXr27tcHAbJDYAAAAAAAAAAEWeeRsqPz8/OTs7Wzka3A6JDQAAAAAAAABAkUd/DdtBYgMAAAAAAAAAUOSZ+2v4+/tbORLcCYkNAAAAAAAAAECRR8WG7SCxAQAAAAAAAAAo8khs2A4SGwAAAAAAAACAIu38+fOKi4uTJNWuXdvK0eBOSGwAAAAAAAAAAIo0c38NX19feXp6Wjka3AmJDQAAAAAAAABAkcY2VLaFxAYAAAAAAAAAoEgzV2z4+/tbORLkBIkNAAAAAAAAAECRRsWGbSGxAQAAAAAAAAAo0khs2BYSGwAAAAAAAACAIis5OVnHjh2TxFZUtoLEBgAAAAAAAACgyDp48KBMJpNKlSqlcuXKWTsc5ACJDQAAAAAAAABAkXXjNlQGg8HK0SAnSGwAAAAAAAAAAIqsqKgoSWxDZUtIbAAAAAAAAAAAiiwah9seEhsAAAAAAAAAgCKLxIbtIbEBAAAAAAAAACiS0tLSdPDgQUlsRWVLSGwAAAAAAAAAAIqkY8eO6dq1a3J1dVXVqlWtHQ5yiMQGAAAAAAAAAKBIMm9DVbt2bTk6Olo5GuQUiQ0AAAAAAAAAQJFkTmywDZVtIbEBAAAAAAAAACiSoqKiJNE43NaQ2AAAAAAAAAAAFEnmig0SG7aFxAYAAAAAAAAAoMgxmUxsRWWjSGwAAAAAAAAAAIqcs2fP6tKlSzIYDKpVq5a1w0EukNgAAAAAAAAAABQ55mqNatWqyd3d3crRIDdIbAAAAAAAAAAAihy2obJdJDYAAAAAAAAAAEVOVFSUJBqH2yISGwAAAAAAAACAIsdcsUFiw/aQ2AAAAAAAAAAAFDlsRWW7SGwAAAAAAAAAAIqUy5cv659//pFExYYtIrEBAAAAAAAAAChSDhw4IEkqV66cSpcubeVokFskNgAAAAAAAAAARQrbUNk2EhsAAAAAAAAAgCIlKipKEttQ2SoSGwAAAAAAAACAIsVcsUFiwzaR2AAAAAAAAAAAFClsRWXbSGwAAAAAAAAAAIoMo9Gow4cPS6Jiw1aR2AAAAAAAAAAAFBnR0dFKTU1VsWLFVKlSJWuHg7tAYgMAAAAAAAAAUGSYt6GqXbu2HBz4iNwW8VsDAAAAAAAAABQZUVFRktiGypaR2AAAAAAAAAAAFBnmig0SG7aLxAYAAAAAAAAAoMgwJzb8/f2tHAnuFokNAAAAAAAAAECRYDKZ2IrKDpDYAAAAAAAAAAAUCadOnVJiYqIcHR1Vs2ZNa4eDu0RiAwAAAAAAAABQJJi3oapRo4ZcXFysHA3uFokNAAAAAAAAAECRwDZU9sGqiY3vvvtODRo0kJeXl7y8vBQYGKg//vjDcv7q1asaOnSovL295enpqR49eujMmTOZ5jhx4oS6dOkiDw8PlStXTm+88YZSU1MzjVmzZo2aNGkiV1dX1axZU9OnT88Sy6RJk1S1alW5ubmpRYsW2rp1a768ZgAAAAAAAACAdZgrNkhs2DarJjYqVaqkTz/9VDt27ND27dvVtm1bPfbYY9q3b58k6bXXXtPixYs1b948rV27VqdPn9bjjz9uuT4tLU1dunRRSkqKNm3apBkzZmj69Ol6//33LWOOHj2qLl26qE2bNoqIiNCrr76qAQMGaMWKFZYxc+fO1fDhwzVq1Cjt3LlTDRs2VHBwsM6ePVtwbwYAAAAAAAAAIF+ZExv+/v5WjgT3wqqJja5du6pz587y8/NTrVq1NHbsWHl6emrz5s2Kj4/XtGnT9OWXX6pt27Zq2rSpfvrpJ23atEmbN2+WJK1cuVL79+/XzJkz1ahRIz3yyCMaM2aMJk2apJSUFEnS5MmTVa1aNY0fP14BAQEaNmyYnnjiCU2YMMESx5dffqmBAweqf//+qlOnjiZPniwPDw/9+OOPVnlfAAAAAAAAAAB5j62o7EOh6bGRlpamOXPmKCkpSYGBgdqxY4eMRqPat29vGePv76/KlSsrPDxckhQeHq769eurfPnyljHBwcFKSEiwVH2Eh4dnmsM8xjxHSkqKduzYkWmMg4OD2rdvbxkDAAAAAAAAALBtly5dUmxsrCQqNmydk7UD2LNnjwIDA3X16lV5enpqwYIFqlOnjiIiIuTi4qKSJUtmGl++fHnL4ouNjc2U1DCfN5+73ZiEhAQlJyfr4sWLSktLy3aMOXuXnWvXrunatWuW5wkJCZIko9Eoo9GYi3cAOWV+X3l/YW9Y27BHrGvYO9Y47BVrG/aIdQ1bxxqGPbLWut6zZ48k6b777pO7uzt/V4VMbn4fVk9s1K5dWxEREYqPj9fvv/+uvn37au3atdYO644++eQTffDBB1mOr1y5Uh4eHlaIqOhYtWqVtUMA8gVrG/aIdQ17xxqHvWJtwx6xrmHrWMOwRwW9rsPCwiRJ3t7eWrZsWYHeG3d25cqVHI+1emLDxcVFNWvWlCQ1bdpU27Zt08SJE/X0008rJSVFly5dylS1cebMGfn4+EiSfHx8tHXr1kzznTlzxnLO/NN87MYxXl5ecnd3l6OjoxwdHbMdY54jOyNGjNDw4cMtzxMSEuTr66uOHTvKy8srl+8CcsJoNGrVqlXq0KGDnJ2drR0OkGdY27BHrGvYO9Y47BVrG/aIdQ1bxxqGPbLWul63bp0k6cEHH1Tnzp0L7L7IGfOuSDlh9cTGzdLT03Xt2jU1bdpUzs7OCgsLU48ePSRJBw4c0IkTJxQYGChJCgwM1NixY3X27FmVK1dOUkaWz8vLS3Xq1LGMuTn7tmrVKsscLi4uatq0qcLCwhQSEmKJISwsTMOGDbtlnK6urnJ1dc1y3NnZmf/J5DPeY9gr1jbsEesa9o41DnvF2oY9Yl3D1rGGYY8Kel0fPHhQklS3bl3+ngqh3PxOrJrYGDFihB555BFVrlxZly9f1uzZs7VmzRqtWLFCJUqU0AsvvKDhw4erdOnS8vLy0ksvvaTAwEA98MADkqSOHTuqTp066tOnj8aNG6fY2Fi9++67Gjp0qCXpMHjwYH3zzTd688039fzzz2v16tX67bfftHTpUkscw4cPV9++fXX//ferefPm+uqrr5SUlKT+/ftb5X0BAAAAAAAAAOQtc09lGofbPqsmNs6ePavnnntOMTExKlGihBo0aKAVK1aoQ4cOkqQJEybIwcFBPXr00LVr1xQcHKxvv/3Wcr2jo6OWLFmiIUOGKDAwUMWKFVPfvn314YcfWsZUq1ZNS5cu1WuvvaaJEyeqUqVK+uGHHxQcHGwZ8/TTTysuLk7vv/++YmNj1ahRIy1fvjxLQ3EAAAAAAAAAgO25evWqjhw5IkkKCAiwcjS4V1ZNbEybNu22593c3DRp0iRNmjTplmOqVKlyx0YvQUFB+vvvv287ZtiwYbfdegoAAAAAAAAAYJsOHTqk9PR0lShR4ra9lWEbHKwdAAAAAAAAAAAA+enGbagMBoOVo8G9IrEBAAAAAAAAALBrkZGRktiGyl6Q2AAAAAAAAAAA2DUSG/aFxAYAAAAAAAAAwK7duBUVbB+JDQAAAAAAAACA3UpPT9eBAwckUbFhL0hsAAAAAAAAAADs1vHjx5WcnCwXFxdVq1bN2uEgD5DYAAAAAAAAAADYLfM2VH5+fnJycrJyNMgLJDYAAAAAAACAu5WQIK1alfETQKFE43D7Q2IDAAAAAAAAuFuRkdLOnRk/ARRKJDbsD4kNAAAAAAAA4G7Ex0t790qOjhk/qdoACiVzYsPf39/KkSCvkNgAAAAAAAAA7kZUlHThguTnl/GTqg2gUDL32KBiw36Q2AAAAAAAAAByy1yt4e0tOThk/KRqAyh04uLidP78eUlS7dq1rRwN8gqJDQAAAAAAACC3oqKUfOaM3vnjDy3Ztk0qU4aqDaAQMm9DVaVKFXl4eFg5GuQVJ2sHAAAAAAAAANiU+HiZ9uzRC4sW6dctW1S6eHGd+flnOZmrNgICJC8va0cJQGxDZa+o2AAAAAAAAAByIypKn82fr1+3bJEkXbh8WRv276dqAyiEzBUbJDbsC4kNAAAAAAAAIKfi47V45ky9s3y5JKlquXKSpNDNmyWDgV4bQCFjTmz4+/tbORLkJRIbAAAAAAAAQA7tXbpUvb7/XiaTSf/XubO+GjBAkhS6ZYtMJhNVG0Ahw1ZU9onEBgAAAAAAAJAD544cUbdXXlFiSora1K+vrwYMUIfGjeXu4qLjZ88q4sgRqjaAQiQpKUnHjx+XRGLD3pDYAAAAAAAAAO7AaDTqySef1NFz51SjbFnNGzBAzhcvyiMhQcF160qSQlevluLiJJNJio2lagOwsgMHDkiSvL29VaZMGStHg7xEYgMAAAAAAAC4g5dffllrdu5UcTc3LXrtNXmXLCk5OUlOTgq5/35JUmhERMYxZ2fJ11dKTLRqzEBRxzZU9svJ2gEAAAAAAAAAhdm3336ryZMny2AwaPa8earz6KOZzj/apYscf/xRu0+e1JEHH1T16tWtFCmAG5kbh5PYsD9UbAAAAAAAAAC3sHr1ar388suSpE8++USP3pTUkDK2uWndurUkaeHChQUaH4BbMyc2/P39rRwJ8hqJDQAAAAAAACAb0dHRevLJJ5WWlqbevXvrzTffvOXYkJAQSdKCBQsKKDoAd8JWVPaLxAYAAAAAAABwk4SEBHXt2lUXLlxQ8+bNNXXqVBkMhluOf+yxxyRJGzdu1NmzZwsqTAC3kJqaqoMHD0oisWGPSGwAAAAAAAAAN0hLS1OvXr0UGRmpihUrKjQ0VG5ubre9pkqVKmrcuLHS09O1ZMmSAooUwK0cOXJERqNR7u7uqly5srXDQR4jsQEAAAAAAADcYOTIkVq6dKnc3Ny0cOFCVahQIUfXde/eXZIUGhqaj9EByAnzNlS1a9eWgwMfg9sbfqMAAAAAAADAdTNnztRnn30mSfrxxx91//335/hac5+NlStXKjExMT/CA5BD5sbhbENln0hsAAAAAAAAAJK2bNmiAQMGSJLeeecdPfPMM7m6vl69eqpevbquXbumFStW5EeIAHLInNjw9/e3ciTIDyQ2AAAAAAAAUOSdOnVK3bt317Vr1/TYY49pzJgxuZ7DYDBYqjbYjgqwLvNWVFRs2CcSGwAAAAAAACjSkpOTFRISopiYGNWrV0+//PLLXe/Jb+6zsWTJEhmNxrwME7C+hARp1aqMn4WYyWQq9FtRpaen68KFC9YOw2aR2AAAAAAAAECRZTKZ9Pzzz2v79u3y9vbWokWLVLx48bueLzAwUGXLltWlS5e0bt26PIwUKAQiI6WdOzN+FmIxMTFKSEiQg4OD/Pz8rB1OtlauXKmpU6fqxIkT1g7FJpHYAAAAAAAAQJH1ySefaM6cOXJyctL//vc/VatW7Z7mc3R0VLdu3SSxHRXsTHy8tHev5OiY8bMQV22Yt6GqXr26XF1drRxN9po2bSo3NzdduXLF2qHYJBIbAAAAAAAAKJIWLlyokSNHSpK++eYbPfzww3ky7419NkwmU57MCVhdVJR04YLk55fxsxBXbRT2bagkqWzZsho6dCjNze8SiQ0AAAAAAAAUDTf0B9izZ4+effZZSdLQoUP14osv5tlt2rdvr2LFiumff/7Rjh078mxewGrM1Rre3pKDQ8bPQly1YU5sFLakwf79+3X06FHLcycnJytGY9tIbAAAAAAAAKBouN4f4Fx4uLp166akpCS1bdtWEyZMyNPbuLm56ZFHHpHEdlSwE1FRMp0/r/6zZsnr6af1yKRJ+jI0VHsWLy6UVUnmragKU8XG0aNHNX/+fM2aNUunT5+2djg2j8QGAAAAAAAA7N/1b5ynmEx64uWXdezYMdWoUUPz5s2Ts7Nznt/uxu2oAJt2/W9n9uHDmr56tS4nJ2v5zp36z5IlatC7typWqKA+ffro559/VkxMTO7nv6GS6m6dO3dOixcv1jvvvKOgoCCtXbtWUuFJbMTExGjOnDlKS0tT7dq15ePjY+2QbB61LgAAAAAAALB/179x/vKaNVp78KCKe3ho0aJFKl26dL7crnPnznJyctK+fft06NAh+fn55ct9gHwXFaXTR49q2OzZkqTXHntMlby9tfLvv7Vu717FnjmjmTNnaubMmZKkunXrqkOHDurQoYMefvhhFStW7PbzX6+kkpeX1KLFHcNJS0vT/v37tWnTJoWHh2vTpk06dOhQlnH+/v5q2LBh7l9vHrt48aJmzZqllJQUVa1aVd27d5eDA/UG94rEBgAAAAAAAOzb9W+cf7t7t6asWCGDwaA5AwaoTqVK+XbLUqVKKSgoSH/++adCQ0P1xhtv5Nu9gHwTHy/Tnj0auGiRLiUl6f6aNTWuXz85OTpqeEiIrp4+rU2HDmlVerpWrVunnTt3at++fdq3b5+++uorOTs7q1WrVpZER5MmTeTo6Pjv/AkJGb06HB0zfgYEZCQ4bnDp0iVt2bLFksTYvHmzLl++nCXUgIAABQYGqmXLlgoMDJS/v7/VEwiJiYn65ZdflJSUpPLly+vpp5+mr0Yeuad3MSUlRUePHlWNGjX4hQAAAAAAAKBwiorSySNH9OqcOZKkz557Tp0rVcr4pngOviF+t7p3705iA7YtKkrTV67Usj175OrsrBmvviqnGxITbhUqqG1Cgtq2bq1PvvxS58+fV1hYmFatWqVVq1bp+PHjWrNmjdasWaORI0eqVKlSateundq2bZuR4Dh4ULpwQapVSzp4UKb9+3WwVKlM1Rj79+/P0sfD09NTLVq0sCQyWrRokW/VV3fr2rVrmj17ti5evKiSJUvq2WeflZubm7XDsht3lY24cuWKXnrpJc2YMUOSdPDgQVWvXl0vvfSS7rvvPr399tt5GiQAAAAAAABwV65Xa6w8fVqpaWlqXquWXn/8cencuVt+QzyvdOvWTUOHDlV4eLhiY2PZVx+2JT5eJ9et06tLlkiSxjz7rOpUrpx5jMEgeXtb/pa8vb311FNP6amnnpLJZNLhw4ctSY7Vq1fr4sWL+v333/X7779LksaVK6cOderovl27tHnPHm3+8EOdT0zMEkqNGjUslRgtW7ZUvXr1Mld+FEJOTk4qW7as4uPj1bt3bxUvXtzaIdmVu0psjBgxQrt27dKaNWvUqVMny/H27dtr9OjRJDYAAAAAAABQOERFSRcuaM2xY5Kkjo0ayWAwSGXKSAcO5GvVRqVKldSsWTNt27ZNixcv1sCBA/PlPkB+MEVG6oUpU5SQnKzAGjU0vFUrKS4um4EmKTY2y9+SwWCQn5+f/Pz89H//939KTU3Vtm3btGrVKq1cuVKbN29W9Nmzij57NtN0bq6uata8eaZtpcqVK5ffLzfPOTo6KiQkRPHx8SpZsqS1w7E7d5XYCA0N1dy5c/XAAw9k/I/gurp16yo6OjrPggMAAAAAAADu2vVqDVPp0vprzx5JUlD9+hnnbvqmeX5VbYSEhGjbtm0KDQ0lsQGb8v3cuVoVHS03Z2dNHzRIji4utx7s6ytlU2lxIycnJwUGBiowMFAjhg7V7ytXym3zZv115IguXL6sZn5+aunjo4aVKsnlmWfy7W8yP5lMJkVFRal27dpycHCQwWAgqZFP7iqxERcXl22WLCkpKVOiAwAAAAAAALCa69Uah4sX16nz5+Xi5KSW/v7/ni+Aqo2QkBCNHDlSf/75pxISEuRlgx/Woug5evSo/jN1qiTpk3HjVOvVV/P2BgcPysPDQ53btlX39u3/PW4y5fvfZH7auHGjwsLCVLduXfXo0YPPyvPRXbWFv//++7V06VLLc/Mv6IcfflBgYGDeRAYAAAAAAADcrevVGvL21pq9eyVJD9SuLXdX13/H3Fi1kZCQL2EEBASoVq1aSklJ0fLly/PlHkBeSk9P1/PPP6+kpCQ99NBDevnll/P2BvHxGYkLKeNv8EYF8DeZXyIiIhQWFiZJuu+++0hq5LO7Smx8/PHHeueddzRkyBClpqZq4sSJ6tixo3766SeNHTs2r2MEAAAAAAAAcicqKmPff5NJf23fLklqU6NGRo+AGx839gfIBwaDQSEhIZIytnfHHSQkSKtW2dyH2vZk0qRJWrNmjTw8PPTTTz/JweGuPkK+tago6eLFW58vU0a6cCHf/ibzw8GDB7Vo0SJJsmy3hfx1V6vywQcfVEREhFJTU1W/fn2tXLlS5cqVU3h4uJo2bZrXMQIAAAAAAAC5k5go+frK5OSkv6KiJElBdepITk6ZH87OOeoPcC/MiY2lS5cqJSUl3+5jFyIjpZ07bepDbXty+PBhvfXWW5Kkzz//XDVq1MjbG5grqUqXvvUYG6va+OeffzRv3jyZTCY1aNBAHTp0sHZIRcJd9diQpBo1amjq9X3WAAAAAAAAgEKlXTtJ0oGoKMXGx8vV1VUPjBolubkVeCgtWrSQj4+PYmNjtWbNGnXs2LHAY7AJ5g+9HR3zvak7skpLS1O/fv2UnJysdu3aafDgwXl/E3MlVYUKGc/Pn8+omrrZjZVUhbjXRlxcnGbPnq3U1FTVrFlT3bp1YwuqAnJXFRvLli3TihUrshxfsWKF/vjjj3sOCgAAAAAAAMgLa9askSS1bNlSblZIakiSg4ODHnvsMUnSggULrBKDTbje7F1+fja3FZE9mDhxojZu3KjixYtr2rRpeb8FlWSppJLT9e/bOzpmraIqoEqqvHDp0iUZjUbdd999evLJJ+Xo6GjtkIqMu6rYePvtt/Xpp59mOW4ymfT222/rkUceuefAAAAAAAAAgHv1119/SZKCgoKsGkdISIimTJmihQsXatKkSfnzobEtu6HZuxwc/t2KiKqNAhEVFaV33nlHkvTll1+qSpUq+XOj65VUMhqlZcukZ57JSGLYKD8/Pz333HPy9vaWi4uLtcMpUu7qv6CHDh1SnTp1shz39/fX4cOH7zkoAAAAAAAA4F6ZTCZLxUabNm2sGkubNm1UvHhxxcTEaNu2bVaNpTCJi4vTokWL9PZLL6n12LGq+Prr+t+mTTbZQNpWpaamqm/fvrp27Zo6deqkF154wdohFWpGo1Hx8fGW576+vvLw8LBiREXTXVVslChRQkeOHFHVqlUzHT98+LCKFSuWF3EBAAAAAAAA9yQyMlJnz56Vu7u7mjdvbtVYXF1d1blzZ82dO1ehoaFqUYj7BuSXtLQ07d27V+Hh4dq0aZPCw8Oz/ZL0e7Nm6fHAQBmo2igQX3zxhbZu3aoSJUpo6tSp9Ii4jfT0dM2fP1///POPevfurfLly1s7pCLrrio2HnvsMb366quKjo62HDt8+LD+85//qFu3bnkWHAAAAAAAAHC3zNtQtWzZUq6urlaOJmM7KkkKDQ21ahwF5eLFi1q+fLnef/99tW/fXiVLllSjRo00ZMgQ/fLLL5akRp1q1TSgeXN9P3Soirm5KfLkSa3ft4+qjQKwd+9ejRo1SlJGj41KlSpZOaLCy2QyaenSpYqKilJycrKSk5OtHVKRdlcVG+PGjVOnTp3k7+9vWez//POPHnroIX3xxRd5GiAAAAAAAABwN8yJDWtvQ2XWuXNnOTs7KyoqSlFRUfL397d2SHkmPT1dBw4cyFSNsX///izjihcvrhYtWqhly5YKDAxUi4AAlfrzT8lgkMqW1fbDh/X9ihWavHy5WterR6+NfGQ0GtW3b1+lpKSoa9eueu6556wdUqFlMpm0evVq7dy5UwaDQT169MiymxEK1l1vRbVp0yatWrVKu3btkru7uxo0aKDWrVvndXwAAAAAAABArqWnpxea/hpmXl5eateunZYvX67Q0FC9/fbb1g7prqWmpmr9+vXauHGjNm3apM2bN+vixYtZxtWsWdOSxGjZsqXq1q0rR0fHfwds2ZJRlVG7tiTpxU6d9P2KFfrfpk2Ki49X2TJlpAMHMqo2iuD2Xfnpk08+0c6dO1WqVClNmTKFLahuITk5WQsXLtSBAwckZSQoAwICrBwV7iqxIUkGg0EdO3ZUx44d8zIeAAAAAAAA4J7t27dP58+fl4eHh5o1a2btcCxCQkJsNrFhMpm0fft2zZw5U3PmzNHZs2cznXd3d1ezZs0siYzAwECVLVv21hPGx2dUY3h7Z1RsSGpSo4aa+flp26FDmh4Wpjcef5yqjXwQERGhMWPGSJImTZqkChUqWDmiwunSpUuaMWOGLl26JEdHR3Xq1En333+/tcOCcpHY+PrrrzVo0CC5ubnp66+/vu3Yl19++Z4DAwAAAAAAAO6WeRuqBx98UM7OzlaO5l/dunXTkCFDtGXLFp0+fVoVK1a0dkh3dOTIEc2aNUszZ87UwYMHLcfLlCmj9u3bW6oxGjZsmLv3OipKio2VfHykuDjL4RdbtdK2Q4f0/bJl+k+rVnIwGDLGUbWRJ1JSUtS3b1+lpqbq8ccfV8+ePa0dUqFVvHhxFS9eXJL05JNP2sTfa1GR48TGhAkT9Oyzz8rNzU0TJky45TiDwUBiAwAAAAAAAFZV2PprmFWoUEEPPPCAwsPDtWjRIg0ePNjaIWXr/PnzmjdvnmbOnKmNGzdajru5uSkkJER9+vRRhw4d7i1plJgo+fpmOdyzZUsNnztXh8+e1epDh9S+bt2McYmJd38vWHz44YfavXu3ypQpo++++44tqG5y7do1OTk5ydHRUY6OjnryySfl7OwsNzc3a4eGG+Q4sXH06NFs/w0AAAAAAAAUJunp6Vq7dq2kwpfYkDK2owoPD9eCBQsKVWLj6tWrWrJkiWbOnKlly5bJaDRKyvgic7t27dS7d291795dXnm1HVS7dtkeLiapz65dmjRpkqYcOaL2n32WN/eDtm3bpk8//VSSNHnyZJUrV87KERUusbGxmjdvnmrVqqXg4GBJslRsoHBxyO0FRqNRNWrUUGRkZH7EAwAAAAAAANyT3bt36+LFi/L09FSTJk2sHU4WISEhkqTVq1fr0qVLVo3F3GR9wIAB8vHx0ZNPPqmFCxfKaDSqUaNG+uKLL3Ty5EmtWrVKffv2zbukxh28+OKLkqTQ0FDFxsYWyD3t3dWrV9W3b1+lpaWpZ8+e6tGjh7VDKjTM/WN++OEHXbhwQZGRkbp69aq1w8Jt5Lp5uLOzM79UAAAAAAAAFFrmbageeuihQtVfw6xWrVoKCAhQZGSk/vjjDz3zzDMFHsO+ffs0c+ZMzZo1SydPnrQc9/X11bPPPqtnn31W9erVK/C4zOrXr6+WLVtq06ZN+vHHH/XOO+9YLRZ7MWrUKEVGRqp8+fL65ptvrB1OoZGSkqIlS5Zoz549kjL+PkNCQth6qpDLdcWGJA0dOlSfffaZUlNT8zoeAAAAAAAA4J4U1v4aNzJXbYSGhhbYPU+fPq3x48ercePGqlevnj799FOdPHlSJUqU0IABA7RmzRodO3ZMn3zyiVWTGmbmbbq+//57paWlWTkaG5SQIK1aJSUkKDw8XF988YWkjPfT29vbysEVDmfOnNH333+vPXv2yGAwqH379urZs6fc3d2tHRruINcVG1LGXmxhYWFauXKl6tevr2LFimU6P3/+/DwJDgAAAAAAAMiNtLQ0rVu3TlLhTmx0795dn3zyiZYtW6arV6/m67fDo6OjNXToUK1cuVImk0lSxq4sXbp0Ue/evdWlS5dC+e30J554Qq+88oqOHz+ulStX6pFHHrF2SLYlMlLauVNXXFzUd+BApaen67nnnlO3bt2sHVmhYDQa9csvvygpKUnFixfXE088ocqVK1s7LOTQXSU2SpYsyR5sAAAAAAAAKHQiIiIUHx8vLy8vNWrUyNrh3FLTpk1133336dSpU1q9erU6d+6cL/fZuHGjQkJCdO7cOUlSq1at1Lt3bz311FMqXbp0vtwzr7i7u6tfv36aMGGCJk+eTGIjN+Ljpb17JUdHjfzoIx06dEgVK1bUV199Ze3ICg1nZ2c98sgj+vvvv9W9e/csX95H4ZarxEZ6ero+//xzHTx4UCkpKWrbtq1Gjx5NaQ4AAAAAAAAKBfM2VK1bt5aT0119p7dAODg46LHHHtO3336r0NDQfElszJ49W/3791dKSoqaNm2qX3/9VX5+fnl+n/w0aNAgTZgwQUuWLNE///yjSpUqWTsk2xAVJV24oHVGoyaGhUmSfvjhB5UqVcrKgVlXXFyckpOTLZUZdevWVZ06dWQwGKwcGXIrVz02xo4dq3feeUeenp6677779PXXX2vo0KH5FRsAAAAAAACQK2vWrJFUuLehMjP32Vi4cGGe9pAwmUz68MMP9eyzzyolJUUhISFau3atzSU1JMnf319BQUFKT0/XDz/8YO1wbMP1ao3EYsXU/7//lclk0gsPPqhHWrWydmRWtXv3bk2dOlW//fabLl++bDlOUsM25Sqx8fPPP+vbb7/VihUrFBoaqsWLF2vWrFlKT0/Pr/gAAAAAAACAHElNTbX01wgKCrJuMDnw8MMPq0SJEjp79qy2bNmSJ3Neu3ZNffv21ahRoyRJr7/+uv73v//Z9DY7L774oqSMioPU1FQrR2MDrldrvL9ihY7Exsq3TBl92bFjRs+NIshoNGrx4sVasGCBjEajypUrRzLDDuQqsXHixIlMZXHt27eXwWDQ6dOn8zwwAAAAAAAAIDd27typy5cvq2TJkmrYsKG1w7kjFxcXPfroo5KkBQsW3PN858+fV4cOHfTLL7/I0dFRU6ZM0eeffy4Hh1x9BFjodO/eXWXLltWpU6e0dOlSa4dTuF2v1oh3d9f3K1dKkqYMHSqv++7L6LmRkGDlAAvW+fPnNW3aNO3cuVNSRjKxd+/e8vT0tHJkuFe5+q9aamqq3NzcMh1zdnaW0WjM06AAAAAAAACA3DL313j44Yfl6Oho5Whyxrwd1YIFC2Qyme56noMHD+qBBx7Q+vXr5eXlpWXLlmnQoEF5FKV1ubq6qn///pKkyZMnWzmaQu56tcasvXuVdPWqAnx91alJE6lMGenChSJVtbFv3z59//33OnPmjIoVK6Y+ffooKCjI5hN9yJCrDkomk0n9+vWTq6ur5djVq1c1ePDgTOVs8+fPz7sIAQAAAAAAgBww99ewhW2ozIKDg+Xq6qro6Gjt379fdevWzfUca9eu1eOPP64LFy6oSpUqWrp06V3NU5gNGjRI48aN04oVK3T06FFVq1bN2iEVPterNUylS2vypEmSpMGdOv277ZK3d0bVRkCA5OVlxUDzR0pKikwmk+Wz64MHDyolJUVVqlRRjx49VLx4cStHiLyUq8RG3759sxzr3bt3ngUDAAAAAAAA3A2j0aj169dLso3G4WbFixdX+/bttXTpUoWGhuY6IfHzzz9rwIABMhqNatGihRYuXKjy5cvnU7TWU6NGDXXs2FErV67U1KlT9fHHH1s7pMLnerXGZpNJe44fl5uLi/rc+LdQpox04EBG1UaLFnd1i5SUFBkMBjk7O+dR0HcnPT1dcXFx+ueff3Tq1CmdPn1aZ8+eVceOHfXAAw9Ikrp06SIfHx+1aNGCKg07lKvExk8//ZRfcQAAAAAAAAB3bfv27UpKSpK3t7fq169v7XBypXv37pbExsiRI3N0jclk0vvvv6+PPvpIkvTkk09qxowZcnd3z89QrerFF1/UypUr9eOPP2r06NFycXGxdkiFx/VqDXl7a/LMmapatapC2rbV8jNnlBYbq3STKeORmqpia9bo6RuqNubMmaPY2Filp6crLS1N6enploe7u7uGDx9uuc2sWbN04sQJeXh4qFSpUipVqpRKlixp+VmtWrV8bcx96dIlLViwQDExMdm2Rzh37pzl3y4uLgoMDMy3WGBduUpsAAAAAAAAAIWReRuqhx9+2Oa+nd21a1cZDAZt375dJ0+elK+v723HX716Vf3799ecOXMkSSNGjNBHH31kc687t7p27aoKFSooJiZGCxcu1JNPPnnLsSaTSRcuXNA///yjuLg4lShRQuXKlVPZsmXl4eFRgFHnP5PJpEs7d6pUbKwueHrqtw0bNGjIEJUsXVoH4+OzjPeSMlVtJCYmKj6bcZKyJA/MvWuuXLmiK1eu6NSpU5ZzLi4uevvtty3P//rrL12+fNmS+DA/7vT+X7lyRadPn9apU6d06tQpVahQwVKFVaxYMZ08eVImk0kuLi667777VLFiRd13332677775GWHW2wheyQ2AAAAAAAAYPPMjcNtqb+GWbly5dSqVStt2LBBCxcu1LBhw245Ni4uTo899pjCw8Pl5OSk77//3tJY2945OzvrhRde0EcffaQpU6Zkm9i4evWqFixYoH/++UdXrlzJct7Pz0+9evWyPN+5c6e8vb1tLuFx8eJFHTlyREeOHNHRo0eVlpKit3x99fPKlbpqNOrsiRN62NdXvm5ucjYY5GgwyEGSg8EgF4NBSky0zNWtWzcZjUY5OjrKwcHB8jA/v9Gzzz4ro9GoS5cu6eLFi5bHpUuX5OjomKlaIyoqSmfPns0Su7OzsyXJJGUkZrZs2WJJZFy8eDHT+CtXrlgSG87Oznrqqafk7e2tMmXK5Gt1CAo3EhsAAAAAAACwaSkpKdq4caMk2+qvcaOQkBBt2LBBoaGht0xsREZGqkuXLjp69KhKliyp+fPn2+zrvVsDBw7Uxx9/rO3bt2vVqlVKTU2Vq6ur2rZtK0lydXXVyZMnlZycLEdHR1WsWFHlypVTQkKC4uLiLB+mS1JSUpIWL15see7h4aFy5cqpTJkyKleunHx9feXj41Pgr/FWjh49qj179ujo0aO6dOlSpnMuLi4637mzpnz6qSSpdceOenzIkBzNW65cuRzH4OjoKEdHR/n4+NzxvWndurXOnTtnSXxcvHhRCQkJMhqNSklJsYwzGAwKDw9XQkKC5Zi3t7elGqNSpUqZ5vX3989xvLBfJDYAAAAAAABg07Zu3aorV66oTJkyuW6+XViEhITo9ddf15o1a3Tx4kWVKlUq0/nVq1fr6aefVnx8vKpXr65ly5apdu3aVoq24J06dUonTpzQyZMn9fbbb8vFxUWbNm2SJJUoUcKS2DAYDOratauKFy8uHx8fOTll/vjTZDJZ/p2SkiI/Pz/FxcXp0qVLunLlio4dO6Zjx45Jklq0aKFOnTpJyqgECQsLU9myZS3JDzc3tyxVCnnFaDTq+PHjqlSpktzc3CRJJ06c0N9//y1JcnBwUKVKlVS9enVVr15dFStW1IYNGxQVFaVixYrp2WefzfOYciu7v8XU1FTFx8frypUr2rlzp+V4s2bNlJ6ebklm2HOvGOQNEhsAAAAAAACwaeb+GkFBQTa7NU2NGjVUv3597dmzR0uXLlXv3r0t51atWqUpU6YoNTVVrVq1UmhoqMqUKWPFaPPX5cuXFRcXp+rVq1uOLV26VDExMZIyqhPS0tJ07tw5de7cWVWrVpXJZLL87gMCAm45943ro1SpUpZtqVJSUnTu3DmdPXtWcXFxiouLy1QpEBcXp+3bt2c7n4uLi4KCgvTAAw9Iki5cuKBly5bJxcVFLi4ucnZ2zvTvypUrW+Y2Go2KjY2Vi4uLUlJSdPToUR09elQnT55UWlqannzySdWpU0eSVLt2bV29elXVq1dXlSpVsjRPnzJliiSpV69ehbbXhJOTk7y9vbPE9+CDD1opItgqEhsAAAAAAACwaeb+Gra+LVNISIj27NmjBQsWqHfv3kpPT9c777yjSZMmScr4wHratGmWb/DbE5PJpL///lsbNmzQxYsX5eDgoLffflvOzs6SMnpjeHl5qVKlSrrvvvvUtm1bHTt2TA8++KDq1at3z/d3cXFRxYoVVbFixWzPe3h4qGXLlpbkh3krKJPJpGvXrmWqBElKSlJ0dPQt7xUUFGRJbFy8eFE//vhjtuO8vLwyNe++3fZPcXFx+v333yVJL7744q1fKGAnSGwAAAAAAADAZl27ds2yJZE9JDbGjBmj5cuX68KFCxo0aJD+97//SZLeffddffjhhzZbkXI7cXFxWrJkiU6cOCEpowqibNmyunz5skqXLi0p6+/2+eef1/vvv6/JkydnagaeX7y9vdWhQwfL8/T0dEuvCKPRmCnZVKpUKYWEhCglJcXyuHHsjckJk8mkUqVKWXpOVK5cWdWqVVP16tVVunTpHP++p0+fLqPRqGbNmqlp06Z59KqBwovEBgAAAAAAAGzWli1bdPXqVZUvX97mmwo3btxYlStX1okTJ1S/fn2dPn1aLi4uGjp0qN5//327S2qkpqZq/fr12rBhg9LT0+Xs7KygoCA1bdpUrq6ut732hRde0AcffKD169dr//79lu2aCoqDg4NcXV2zjdPT01MNGzbM0Tzly5fXyy+/fE+xpKenW7aholoDRYWDtQMAAAAAAAAA7pZ5Gypb7q9hZjAYFBISIkk6ffq0vL29tXz5cj388MPWDSyfJCYmatOmTUpPT5efn5/+7//+Ty1btrxjUkOSKlasqG7dukn6t7dEUbV69WpFR0fLy8tLPXv2tHY4QIEgsQEAAAAAAACbZS/9NcyeffZZGQwG1apVS5s3b7a7pso39owoWbKkOnXqpCeeeELPPPOMSpYsmau5zNUJM2bM0JUrV/IyTJsyefJkSVKfPn1UrFgxK0cDFAwSGwAAAAAAALBJycnJCg8Pl2Q/iY3mzZvr0KFD2rVrl2rWrGntcPKMyWTS7t27NXHiRB0/ftxyvGnTpqpbt+5dVdt06NBB1apVU3x8vH777be8DNdmxMTEaOHChZLYhgpFC4kNAAAAAAAA2KTNmzcrJSVFFSpUkJ+fn7XDyTM1atTI1Iza1l24cEGzZs3SggULlJSUpM2bN+fJvA4ODho0aJCkf6sWipoff/xRqampatmyperXr2/tcIACY9XExieffKJmzZqpePHiKleunEJCQnTgwIFMY8z7I974GDx4cKYxJ06cUJcuXeTh4aFy5crpjTfeUGpqaqYxa9asUZMmTeTq6qqaNWtq+vTpWeKZNGmSqlatKjc3N7Vo0UJbt27N89cMAAAAAACAvHHjNlS23l/DHqWlpWnDhg367rvvFB0dLUdHR7Vp00ZPPPFEnt2jf//+cnZ21pYtWxQREZFn89qCtLQ0ff/995KU5fNSwN5ZNbGxdu1aDR06VJs3b9aqVatkNBrVsWNHJSUlZRo3cOBAxcTEWB7jxo2znEtLS1OXLl2UkpKiTZs2acaMGZo+fbref/99y5ijR4+qS5cuatOmjSIiIvTqq69qwIABWrFihWXM3LlzNXz4cI0aNUo7d+5Uw4YNFRwcrLNnz+b/GwEAAAAAAIBcs7f+Gvbk1KlTmjp1qsLCwpSamqpq1appyJAhat26tRwdHfPsPuXLl1f37t0lFb0m4itWrNCJEydUqlSpPE0WAbbAqomN5cuXq1+/fqpbt64aNmyo6dOn68SJE9qxY0emcR4eHvLx8bE8vLy8LOdWrlyp/fv3a+bMmWrUqJEeeeQRjRkzRpMmTVJKSoqkjFK0atWqafz48QoICNCwYcP0xBNPaMKECZZ5vvzySw0cOFD9+/dXnTp1NHnyZHl4eOjHH38smDcDAAAAAAAAOXblyhVt2bJFUsaOHyhczp8/rzNnzsjd3V0hISHq06ePvL298+Ve5mqFmTNn6vLly/lyj8LIvP1Wv3795O7ubuVogIJVqHpsxMfHS5JKly6d6fisWbNUpkwZ1atXTyNGjNCVK1cs58LDw1W/fn2VL1/eciw4OFgJCQnat2+fZUz79u0zzRkcHGxpLpWSkqIdO3ZkGuPg4KD27dtbxgAAAAAAAKDw2LRpk4xGoypVqqQaNWpYOxxImZIK9evXV4cOHTRs2DA1bNgwX7cKCwoKUq1atZSYmKhff/013+5TmJw8eVJLly6VJEufEaAocbJ2AGbp6el69dVX1apVK9WrV89yvFevXqpSpYoqVqyo3bt366233tKBAwc0f/58SVJsbGympIYky/PY2NjbjklISFBycrIuXryotLS0bMdERUVlG++1a9d07do1y/OEhARJktFolNFovJu3AHdgfl95f2FvWNuwR6xr2DvWOOwVaxv2iHWdjcuXpe3bpfvvl4oXt3Y0d+3PP/+UJD388MNZeq3aE1tYwwkJCVq5cqVOnTqlQYMGWaoHmjVrJqlgYh8wYIDefPNNfffdd+rXr5/d91yZMmWK0tPT9fDDD6tGjRqFen1kxxbWNQpebtZDoUlsDB06VHv37tWGDRsyHb8x41i/fn1VqFBB7dq1U3R0tFWz8Z988ok++OCDLMdXrlwpDw8PK0RUdKxatcraIQD5grUNe8S6hr1jjcNesbZhj1jX2Vi/3toR3JPQ0FBJUqlSpbRs2TLrBlMACuMaNplMOnfunGJiYpSeni4p4/dSokSJAo/Fx8dHzs7OioiI0Ndffy0/P78Cj6GgpKWl6bvvvpOUkTyy5fVfGNc1rOfGnZrupFAkNoYNG6YlS5Zo3bp1qlSp0m3HtmjRQpJ0+PBh1ahRQz4+Ptq6dWumMWfOnJGU8R8080/zsRvHeHl5yd3dXY6OjnJ0dMx2jHmOm40YMULDhw+3PE9ISJCvr686duyYqQcI8o7RaNSqVavUoUMHOTs7WzscIM+wtmGPWNewd6xx2CvWNuwR6/omCQnSwoXSpUtSyZJSSIhNVm0kJiYqOjpakvTSSy+pWrVqVo4o/xTWNXz+/HktWrRIMTExkqRKlSrpkUceUdmyZa0W0/LlyzV79mzt379fr7zyitXiyG8LFy7UhQsXVLZsWY0ePVouLi7WDinXCuu6hnWZd0XKCasmNkwmk1566SUtWLBAa9asydH/hCIiIiRJFSpUkCQFBgZq7NixOnv2rMqVKycpI9Pn5eWlOnXqWMbcnLlctWqVAgMDJUkuLi5q2rSpwsLCFBISIilja6ywsDANGzYs2zhcXV3l6uqa5bizszN/jPmM9xj2irUNe8S6hr1jjcNesbZhj1jX1x0+LJ0/L9WqJR08KB06JF3/Eqkt2bp1q1JTU1WlShXVqlXL2uEUiMK0hvft26dFixYpJSVFrq6uat++vZo2bWr17Z+GDBmi2bNna+7cuZowYYJVKkcKwrRp0yRJzz//vIoVK2blaO5NYVrXsL7crAWrNg8fOnSoZs6cqdmzZ6t48eKKjY1VbGyskpOTJUnR0dEaM2aMduzYoWPHjmnRokV67rnn1Lp1azVo0ECS1LFjR9WpU0d9+vTRrl27tGLFCr377rsaOnSoJfEwePBgHTlyRG+++aaioqL07bff6rffftNrr71miWX48OGaOnWqZsyYocjISA0ZMkRJSUnq379/wb8xAAAAAAAAeS0+Xtq7V/L2lhwcMn7u3ZtRxWFj/vrrL0lSmzZtrBxJ0WMymbR//36lpKSoatWqGjp0qO6//36rJzUkqVWrVqpbt66uXLmimTNnWjucfHH06FGtWLFCkjRw4EArRwNYj1UTG999953i4+MVFBSkChUqWB5z586VlFFJ8eeff6pjx47y9/fXf/7zH/Xo0UOLFy+2zOHo6KglS5bI0dFRgYGB6t27t5577jl9+OGHljHVqlXT0qVLtWrVKjVs2FDjx4/XDz/8oODgYMuYp59+Wl988YXef/99NWrUSBEREVq+fHmWhuIAAAAAAAA2KSpKunBBs/ft08e//aYkT0/pwgUpMtLakeXamjVrJElBQUFWjaMoMhgM6tatm9q3b68+ffqoeCHaysxgMGjw4MGSpMmTJ8tkMlk5orw3depUmUwmdezY0ar9hwFrs/pWVLfj6+urtWvX3nGeKlWq3LFJTlBQkP7+++/bjhk2bNgtt54CAAAAAACwWderNU45OKjPV18pPT1dP//1l3594QU13rtXCgiQbKRn6OXLl7V9+3ZJVGwUlOjoaEVGRqpLly4yGAxydXVVq1atrB1Wtnr37q0333xTe/fuVXh4uFq2bGntkPJMSkqKZRuqF1980crRANZl1YoNAAAA4P/Zu++wpg6vgePfsJE9BHEi7j3qHtXWPerWVgX3HhW1atVaraNq3XWPOnFbV61bf+5RFVEcKCi4GQKyZSR5/0DuK3XUAYRxPs+TJ5B7c+8JhCTcc885QgghhMgAr6o11l+7hkajAeDOkyfU+PVX5u3ejebmTR0H+OFOnz6NWq3GxcWFggUL6jqcbE2r1XLy5Ek8PDy4cuUK165d03VI/8na2prOnTsDyVUb2cmePXsIDg7GycmJb775RtfhCKFTktgQQgghhBBCCCGEyM5eVWtobW1Ze/w4ALN69qR19eokJCUxYt8+mvftS6Cvr44D/TAp8zWkDVX6io2NZdOmTUrbr0qVKlGmTBndBvWBUqoZtm3bRmhoqI6jSTspiZrevXvLwG2R40liQwghhBBCCCGEECI7e1Wtcf75c+4+eYKZiQkDmjZl17hxLB04EBMjIw7dvEmF6tX/s9V3ZpByoF3aUKWfJ0+esGLFCvz8/DAwMKB169a0atUqyxxMr1q1KpUqVSI+Pp7169frOpw0cffuXY4fP46enp4MDRcCSWwIIYQQQgghhBBCZF+vqjWws1OqNTrUqoW5qWnyoOVmzbgydy7l8+cnODycFi1a4O7uzsuXL3Uc+NtFRETg6ekJSMVGerl27RqrV68mIiICW1tbevfuTcWKFXUd1kdRqVRK1cby5cuzxRDxFStWANCsWTNpwSYEktgQQgghhBBCCCGEyL58fCAwkNiXL9ly6hQAPatUgZAQ5VLa1JSL48czrGZNABYsWED16tW5deuWLiN/q1OnTqHRaChatCj58+fXdTjZko2NDVqtlpIlS9K3b1/y5Mmj65A+SZcuXTA3N+fOnTucPHlS1+F8lpcvX7J27VoABgwYoNtghMgkJLEhhBBCCCGEEEIIkV1FR0OBAuy6fp2oly8pnDs3dUuVAgODVBeTXLmYP2AAf0+bRu7cubl+/TpffPEFy5Yty1Rnu0sbqvSRmJiofF2wYEH69OlDp06dMDEx0WFUn8fCwoKuXbsCWX+I+J9//kloaCgFChSgWbNmug5HiEzBQNcBCCGEEEIIIYQQQoh00qABAGtezRnoMWQIej16vHP15sD1Xr3o0aMHhw4dYuDAgRw6dIhVq1ZhZ2eXAQG/X8rgcElspJ2bN29y4MABunXrhoODAwB58+bVcVRpo3///ixfvpydO3cSHBysPL6sJiUx07dvX/T19XUcjRCZg1RsCCGEEEIIIYQQQmRjDx484Pir+RrdunX7z/Xz5MnD/v37mTdvHkZGRuzevZvy5csr29CVsLAwvLy8AJmvkRbUajUHDhxgx44dxMTEcOHCBV2HlOYqVapEtWrVSExMZPr06boO55PcvHmTM2fOoK+vT+/evXUdjhCZhiQ2hBBCCCGEEEIIIbKx9evXo9Vq+frrr3F2dv6g++jp6eHu7s6FCxcoUaIET58+pWHDhowdOzZV26KMdOrUKbRaLSVKlMDJyUknMWQXERERrF27ln/++QeAOnXq0LJlSx1HlT5++uknAObPn8+2bdt0HM3HW758OQCtWrXKNpU0QqQFSWwIIYQQQgghhBBCZFMajUYZOtzjPS2o3qVSpUpcuXKFfv36odVqmTFjBrVr18bPzy9tA/0AMl8jbdy7d48VK1bw+PFjTExM+O6772jQoAF6etnzMOE333zD6NGjAejVqxc3btzQcUQfLjY2lvWv2sjJ0HAhUsuer1hCCCGEEEIIIYQQgjNnznD//n0sLCxo167dJ23DzMyM5cuXs2PHDmxsbLh06RKVKlVi3bp1GTpYXOZrfL779+/j4eFBbGwsTk5O9OvXjxIlSug6rHT366+/0qhRI2JiYmjTpg3h4eG6DumDbN26lYiICFxcXGjYsKGuwxEiU5HEhhBCCCGEEEIIIUQ2tWbNGgA6deqEmZnZZ22rffv2XLt2jXr16hEdHU2PHj3o0qULL168SINI3+/58+dcv34dgHr16qX7/rIrZ2dnnJ2dqVy5Mr169cLGxkbXIWUIfX19Nm/ejLOzM/fu3cPV1RWNRqPrsP5TShuqfv36ZduKGiE+lfxFCCGEEEIIIYQQQmRD0dHRbN++HYCePXumyTYLFCjAsWPHmDZtGvr6+mzZsoWKFSty7ty5NNn+u5w6dQqA0qVL4+jomK77ym6Cg4NRq9VA8uyUrl278s0332BgYKDjyDKWnZ0dO3fuxMTEhP379zNp0iRdh/ReXl5eXLx4EUNDwzT7+xUiO5HEhhBCCCGEEEIIIUQ2tGPHDmJiYihWrBi1atVKs+3q6+szbtw4zp49i4uLCw8ePKBu3bpMmjSJhISENNvP66QN1ae5evUqK1as4NChQ8ptOS2h8bpKlSqxcuVKAKZMmcLu3bt1G9B7pFRrtGvXDgcHBx1HI0TmI4kNIYQQQgghhBBCiGzo9aHhKpUqzbdfvXp1rl69ipubGxqNhl9++YVKlSpx5syZNN+XJDY+TlJSEvv27WPv3r2o1WoiIiKUqo2cztXVlWHDhgHQrVs3fHx8dBzRm6KiovDw8ACgf//+Oo5GiMxJEhtCCCGEEEIIIYQQ2cz9+/c5efIkKpUKNze3dNuPpaUl69evZ8uWLTg4OHDr1i3q1q1L//7902xAc3BwMDdv3gRkvsaHiIyMZO3atVy5cgWA+vXr891336Gvr6/jyDKPWbNmUa9ePaKiomjbti2RkZG6DimVzZs3Ex0dTfHixalfv76uwxEiU5LEhhBCCCGEEEIIIUQ2s27dOgAaNWpEgQIF0n1/3377Lbdv36ZPnz4ArFixglKlSrF161a0Wu1nbfvkyZMAlCtXDnt7+8+ONTvz9/dn+fLlPHnyBBMTE7p06UK9evXSpWInKzM0NGTr1q3kz58fHx8funfvnmmGiWu1WpYtWwYkV2vI706It5PEhhBCCCGEEEIIIUQ2otFolMRGjx49Mmy/tra2rFy5kpMnT1KyZEmCgoL47rvvaNmyJQEBAZ+8XWlD9WHi4+PZvn07sbGx5MmTh379+lGsWDFdh5VpOTo68ueff2JkZMTu3buZPn26rkMC4PLly1y9ehVjY2O6d++u63CEyLQksSGEEEIIIYQQQgiRjZw4cYIHDx5gZWVFmzZtMnz/X375JV5eXkyaNAkjIyP2799PmTJlmDNnDklJSR+9vZTEhrTkeT9jY2Nat25NhQoV6NWrFzY2NroOKdOrVq0aS5YsAWDChAkcOHBAxxGhVGt06tQJOzs7HUcjROYliQ0hhBBCCCGEEEKIbGTNmjUAfPfdd5iamuokBmNjYyZOnMi1a9eoV68esbGx/PDDD1SrVo3Lly9/8HYCAwPx8fFBpVLJfI23eP78OQ8ePFC+L1GiBG3atMHQ0FCHUWUtvXv3ZsCAAWi1Wrp06YKfn5/OYnnx4gVbtmwBZGi4EP9FEhtCCCGEEEIIIYQQ2URkZCR//vknAD179tRxNFCyZEn+97//8ccff2BjY8PVq1epXr067u7uREVF/ef9T5w4AUCFChWwtbVN52izltu3b7Ny5Uq2bt3KixcvdB1OlrZgwQJq1qzJixcvaNu2LdHR0TqJw8PDg9jYWMqWLUutWrV0EoMQWYUkNoQQQgghhBBCCCGyiW3bthEXF0fJkiWpVq2arsMBQKVS0atXL3x8fOjatSsajYYFCxZQpkwZ9u7d+977ShuqN2k0Go4ePcq2bdtISEjAwcEBAwMDXYeVpRkZGbFjxw7y5MnDjRs36N2792cPvf9YMjRciI8jiQ0hhBBCCCGEEEKIbGLt2rVAcrVGZjsw6uDggIeHBwcPHqRw4cI8evSI1q1b0759e548efLmHSIj+d/ffwMyODxFTEwMHh4enD17FoAaNWrg5uaGubm5jiPL+vLmzcuOHTswMDBg27ZtzJkzJ0P3f+7cOW7evEmuXLlwc3PL0H0LkRVJYkMIIYQQQgghhBAiG7h79y5nz55FT08PV1dXXYfzTk2aNOHGjRuMGTMGfX19du7cSalSpViyZAkajUZZ78nJk/g+eYKenh5ffvmlDiPOHJ4+fcqKFSvw9/fH0NCQ9u3b06RJE/T19XUdWrZRu3ZtFixYAMCYMWM4evRouu8zPj6eZcuW0blzZyB5No6VlVW671eIrE4SG0IIIYQQQgghhBDZwLp16wBo2rQpefPm1XE075crVy5mzJiBp6cn1atXJyoqisGDB1O7dm28vb0hIoITr9pUVSpQAGs9OYTl5eVFZGQktra29OnTh7Jly+o6pGxp4MCB9OzZE41Gw3fffUdAQEC67Ofly5csXryYokWLMnDgQB49ekS+fPkYO3ZsuuxPiOxG3hWEEEIIIYQQQgghsji1Wq0kNnr06KHbYD5C+fLlOXv2LAsXLsTCwoILFy5QuXJlxn7/PQeuXAGgfqFCcPu2jiPVvUaNGlGzZk369u2Lg4ODrsPJtlQqFUuWLKFKlSqEhobSrl074uLi0mz7cXFxLFy4kCJFijBkyBAeP35M3rx5+f333/H19aVo0aJpti8hsjNJbAghhBBCCCGEEEJkcceOHePJkyfY2NjQqlUrXYfzUfT19RkyZAi3b9+mbdu2JCUlMWP9ejZevQrAVxUrwo0bEBmp20AzWEREBEeOHFGGWBsaGtK4cWNMTEx0HFn2Z2Jiwp9//om9vT1Xr16lf//+nz1MPDY2lvnz5+Pi4sL333/P06dPyZ8/P4sXL+bevXsMHToUU1PTNHoEQmR/ktgQQgghhBBCCCGEyOLWrFkDQJcuXTA2NtZxNJ8mX7587Ny5k92//Ua+VzMG9PX0qFuzJoSF5aiqjfv377NixQrOnTvH+fPndR1OjlSwYEG2bduGvr4+GzZsYNGiRZ+0nZiYGObMmYOLiwvDhw8nMDCQggULsmzZMvz8/Bg0aJAkq4T4BJLYEEIIIYQQQgghhMjCwsPD2bVrFwA9e/bUcTSfKSKC1ra23J42jUmdO7Nq6FAszczAzi5HVG2o1WqOHz+Oh4cHsbGxODk5Ubp0aV2HlWN99dVXzJo1C4Dhw4dz6tSpD75vdHQ0v/32G4ULF+aHH34gKCgIZ2dnVqxYga+vL/3798+ySUghMgMDXQcghBBCCCGEEEIIIT7d1q1biY+Pp2zZslSuXFnX4XweHx8IC8OiRAkmdu78/7fb28OdO8lVG9Wr6y6+dBQaGsrOnTt5+vQpABUrVqR58+Y6jkq4u7tz+fJlNm3aRMeOHbly5Qr58+d/5/pRUVEsWrSIOXPmEBoaCoCLiwvjx4/Hzc0NQ0PDjApdiGxNEhtCCCGEEEIIIYQQWVhKG6qePXuiUql0HM1niIhIrsqws4N/Pw6V6v+rNkqVAktL3cSYTm7dusXu3btJTEzExMSEli1bUqZMGQASExN1HF3OplKpWLlyJTdv3uTatWu0b9+eU6dOvVFtERERwaJFi5g7dy5hYWEAFC1alJ9++okuXbpIQkOINCatqIQQQgghhBBCCCGyqFu3bvHPP/+gr69P165ddR3O53lVrYG9/duX29tn21kbdnZ2aDQaChcuzMCBA5WkhsgccuXKxc6dO7GxseGff/5hyJAhyrIXL14wefJknJ2d+emnnwgLC6N48eJs2LCB27dv0717d0lqCJEOpGJDCCGEEEIIIYQQIotau3YtAC1atMDR0VG3wXyO91VrpMhmVRvh4eHY2NgA4OjoSK9evXBycsraVTfZmIuLC1u2bKFZs2asWrWKkiVLEhkZyYIFC4iIiACgZMmSTJgwgW+//RZ9fX0dRyxE9iaJDSGEEEIIIYQQQogsKCkpiQ0bNgDQo0cP3QbzuXx8IDAQ8uSBkJB3r6fVJq+XhWdtJCYmcvjwYTw9Penduzd58+YFUK5F5tW4cWOmTZvG2LFj+eGHH5Tby5Qpw4QJE+jQoYMkNITIIJLYEEIIIYQQQgghhMiCDh06RGBgIPb29rRo0ULX4Xye6GgoUODD1i1QIHn9LOjp06fs3LlTGSodEBAgCY0sZsyYMVy9epVt27ZRrlw5fv75Z9q1a4eennT8FyIjSWJDCCGEEEIIIYQQIgtKaUPVtWtXjIyMdBvM52rQQNcRpCuNRsPZs2c5ceIEGo0GCwsLWrduTZEiRXQdmvhIKpWKzZs3M3HiREqWLCkJDSF0RBIbQgghhBBCCCGEEFlMaGgoe/fuBaBnz546jka8z4sXL9i1axcPHz4EoFSpUrRs2ZJcuXLpODLxqfT09ChdurSuwxAiR5PEhhBCCCGEEEIIIUQWs3nzZhISEqhYsSIVKlTQdTjiPe7cucPDhw8xMjKiWbNmVKhQQQaECyHEZ5LEhhBCCCGEEEIIIUQWs2bNGkCqNbKCatWqERkZSZUqVbCxsdF1OEIIkS1IEzghhBBCCCGEEEKILOT69et4enpiaGhIly5ddB2O+Bd/f3/WrVtHQkICkDyToVGjRpLUEEKINCQVG0IIIYQQQgghhBBZSMrQ8G+++QZ7e3vdBiMUSUlJHD9+nPPnzwNw+vRpGmTzoehCCKErktgQQgghhBBCCCGEyCISExPx8PAAoEePHroNRiiCg4PZuXMnQUFBAFSuXJm6devqOCohhMi+JLEhhBBCCCGEEEJERsLFi1C9Olha6joaId5p//79hISE4OjoSNOmTXUdTo6n1Wr5559/OHLkCGq1mly5ctGqVStKlCih69CEECJbk8SGEEIIIYQQQghx+zZ4eiYnNapX13U0QrxTShsqV1dXDA0NdRuM4Pz58xw5cgSAokWL0rp1a8zNzXUclRBCZH+S2BBCCCGEEEIIkbNFRMCNG6Cvn3xdqpRUbYhMKTg4mH379gHShiqzKFOmDFeuXKFy5crUqlULlUql65CEECJHkMSGEEIIIYQQQoiczccHwsKgeHG4eze5ekOqNkQmtGnTJpKSkqhSpQply5bVdTgCsLKyYsCAAVI9I4QQGUxP1wEIIYQQQgghhBA6k1KtYWcHenrJ1zduJM/cECIT0Wq1rFmzBoCePXvqOJqc7dq1a9y6dUv5XpIaQgiR8SSxIYQQQgghhBAia4mMhCNHPjv5EBERweF16/hl61a6rlvH3osXwd4+uXrj9u00ClaItOHl5cX169cxMjLiu+++03U4OdatW7fYs2cPO3bs4PHjx7oORwghcixpRSWEEEIIIYQQImv5hEHfWq0WX19fzp07x/nz5zl37hw3b95Eq9Uq62w6dYpprq6MrV8flczaEJlMSrVGmzZtsLW11XE0OZOvry9//vknWq2WihUrki9fPl2HJIQQOZYkNoQQQgghhBBCZB0fOOg7JiaGS5cuKYmM8+fPExoa+sZ6hW1tqVWuHPp6eqz/3/8Y7+GB79OnLG/YECOZtSEyg8hI4k+fZqOHByBDw3UlICCAbdu2odFoKFOmDN98840MChdCCB2SxIYQQgghhBBCiKzjLYO+tdWq8eDBg1TVGNeuXUOtVqe6q7GxMVWqVKFWrVrULF+emsHB5LG2hty5AahRogRDV6xg7fHj+D95ws5cubCVqg2ha7dvs2/zZsLCw8mbNy+NGzfWdUQ5zuPHj9m8eTNJSUkUL16ctm3boqcn3d2FEEKXJLEhhBBCCCGEECJreFWt8dLSEs87dzh3+TLnt2zh3JMnBAYFvbF6vnz5qFWrVnIio2ZNKlWqhJGRUfLCixfh2bPkmRqvDGzenMKOjnT67TdO3rlDzalT+TtfPop26JBRj1CI1F4959d4egLg1qkT+vr6Og4qZ3nx4gUbN24kISGBwoUL07FjR/kdCCFEJiCJDSGEEEIIIYQQmV5iYiKH//gDj/Xr2XP7NnEJCamWGxgYUKlSJSWJUatWLQoUKPD2jaW0s7Kzg3+1kmn6xRecnTmTllOmcDckhBo9e7LbwoI6TZqk10MT4t18fHgWEMDBO3cA6FGjho4DynmsrKwoV64cz54947vvvsPAQA6lCSFEZiCvxkIIIYQQQgghMiWtVsulS5fw8PBgy+bNhDx/rixzsLKiZsmS1CpQgJouLlQZMQJTR8cP27CPDwQGQp48EBLyxuJyZmZcHDuWVr//zqWAABp88w2r16yha9euafXQhPhvrxJwHnfuoNZoqOHiQsnoaIiMlPZoGUilUtGsWTOSkpIwNDTUdThCCCFekcSGEEIIIYQQQohM5d69e2zcuBEPDw98fX2V2x3Mzfmufn1cv/qKKkWLJg/u1Wrhzh0ICIAPTWxER8O7qjleyWNnx4lx4+i2YgV/Xr6Mq6srvr6+TJw4UQYGi4zh40NCcDArz54FoGfTpsnzZWSofbqLiori7NmzNGrUCH19fVQqlSQ1hBAik5HEhhBCCCGEEEIInXv+/Dnbtm3Dw8OD8+fPK7ebmprStmVLXPPmpVGZMhjkyZP6jipVckupGzfgQwd9N2jwQTHlArb17s24ceOYOXMmv/zyC35+fvzxxx8YGxt/xKMT4iO9qtb47Z9/8H36lNxWVnxbty7Exn7cc118tNjYWDZs2EBISAhJSUm0bNlS1yEJIYR4Cz1dByCEEEIIIYQQImeKi4tj27ZttGrVCicnJwYPHsz58+fR09OjcePGrF+/nqCgIDaOHEmzfPkweFdFhr39/5/Jnsb09PSYMWMGK1euxMDAgI0bN9KwYUOev9YWS4g05+PDHR8fpuzbB8D8Pn2wMjNL1+e6gJcvX+Lh4UFISAgWFhbUqVNH1yEJIYR4B6nYEEIIIYQQQgiRYdRqNSdPnsTDw4MdO3YQFRWlLKtcuTKurq589913ODk5Jd/4nkHfik+p2vhIffr0oXDhwrRv354zZ85Qo0YN/v77b0qUKJHm+xI5XEQEmuvX6bd3LwlJSTStXJnOX36ZvCwDnus5VUJCAps2beLZs2fkypWLbt26YW1treuwhBBCvIMkNoQQQgghhBBCpDtvb282bNjApk2bePLkiXJ7wYIFcXV1pWvXrpQuXfrNO/7HoG+FVpu8XjrOH2jQoAHnz5+nRYsW3Lt3j5o1a7Jz507q16+fLvsTOZSPD6sPHeLU3bvkMjZm6cCBqee62Nsnz5WRWRtpJikpia1bt/Lo0SNMTExwc3PD3t5e12EJIYR4D0lsCCGEEEIIIYRIFxqNhiVLlrBy5UquX7+u3G5tbU2nTp1wdXWldu3a6Om9p0vyBwz6VhQokLx+OipVqhQXLlygTZs2nD9/nsaNG7NixQp69OiRrvsVOUREBIFnzzLqwAEApnTtivO/W7BJ1Uaa27NnD/fv38fQ0JCuXbuS59+zfIQQQmQ6ktgQQgghhBBCCJEupk2bxs8//wyAkZERLVq0wNXVlRYtWnz48O0PHPSdkRwcHDh+/Dg9e/Zky5Yt9OzZE19fX6ZMmfL+JI0Q/8XHh+/XrOFFbCxfFCrE9zVqvL1SKQMqlHKSL774gvv379OhQwfy58+v63CEEEJ8AElsCCGEEEIIIYRIc8ePH2fSpEkATJ48mcGDB2Nra6vboNKQiYkJGzdupGjRokydOpVff/0VPz8/1q5di6mpqa7DE1nUX0eOsP3GDfT19FjZuzcG70sAZkCFUk7h7OzMsGHDMDIy0nUoQgghPpAkNoQQQgghhBBCpKlnz57RpUsXNBoNvXr1YsKECboOKV3o6ekxZcoUihYtSt++fdm2bRsPHz5kz549ODg46Do8kcVERUUxaPlyAEaMHEmlbPp3kxlotVpOnTpFqVKllL9VSWoIIUTWIjWyQgghhBBCCCHSTFJSEl26dCEoKIhy5cqxcOFCXYeU7rp3786RI0ewsbHhwoULVK9enVu3buk6LJHFjB8/nsePH+Pi4qJUO4n0ceLECU6cOMG6deuIi4vTdThCCCE+gSQ2hBBCCCGEEEKkmV9++YUTJ05gbm7O9u3byZUrl65DyhD16tXjwoULFC1alICAAGrWrMmRI0d0HZbIIi5evMiiRYsAWLZsWY75u9GFs2fPcurUKSD571ZaxwkhRNYkiQ0hhBBCZE+RkXDkSPK1EEKIDHHw4EGmTp0KwMqVKylRooSOI8pYxYsX5/z589StW5fIyEiaNWvGnj17dB2WyOQSExPp27cvWq0WNzc3GjVqpOuQsiWtVsvRo0c5evQoAA0aNKBatWo6jkoIIcSnksSGEEIIIbKn27fB0zP5WgghRLp7/Pgxrq6uAAwcOJDvvvtOxxHphr29PUeOHKFz586o1Wp++eUXXYckMrlZs2bh7e2Nvb09c+fO1XU42VJiYiI7duzg7NmzANSvX586deroOCohhBCfQxIbQgghsj85cz/niYiAGzdAXz/5Wn73QgiRrhITE/nuu+8IDQ2lcuXKOf7grLGxMQsXLsTQ0JCrV69y8+ZNXYckMqm7d+8yefJkAObNm4e9vb2OI8qeTp8+za1bt9DT06NNmzbUq1dP1yEJIYT4TJLYEEIIkf3Jmfs5j48PhIVBsWLJ1/K7F0KIdDV+/HjOnj2LpaUl27Ztw8TERNch6ZydnR3NmzcHwMPDQ8fRiMxIq9XSv39/4uPjadSoEV27dtV1SNlW3bp1KVq0KN26daNChQq6DkcIIUQakMSGEEKI7C2Hn7mfkJDAy5cvdR1Gxnr1O48xNydJqwU7uxz5uxdCiIzy119/MWvWLADWrFlDkSJFdBxR5uHm5gbAxo0b0Wg0Oo5GZDZr1qzhxIkTmJqasmzZMlQqla5DylaCgoLQarUAGBoa0rVrVwoVKqTjqIQQQqQVSWwIIYTI3nLwmfuBgYGUL18eBwcHNmzYoOtwMo6PD9dv3qTgmDEU6t2bXb6+Oe53L4QQGSUgIIDu3bsD4O7uTrt27XQcUebSokULrKysePToESdPntR1OCITCQoK4ocffgBg8uTJuLi46Dii7OXKlSssX76cU6dO6ToUIYQQ6UQSG0IIIbKv187c9w0MzFFn7kdGRtK8eXPu3LlDVFQU3bp1w9XVlYiICF2Hlr4iIgg5f55W69cTFhXF07Aw2s2YQZtNm3h06lSO+N0LIURGSUhIoFOnToSHh1OtWjVmzpyp65AyHRMTEzp16gSQs04yEP/J3d2d8PBwKlWqhLu7u67DyTa0Wi1Hjhxh3759aLVawsLClKoNIYQQ2YskNoQQQmRfr6o1vluzhuIDBrD19u0cceZ+QkIC7du35+rVqzg4ODB69Gj09fXZuHEjlSpV4vz587oOMd0k3rhBx4ULeRAaSpE8eRjTvj0G+vrs8fKi9E8/8fukSajVal2HKYQQ2cKoUaO4dOkSNjY2bNu2DSMjI12HlCmltKPasWMHcXFxOo5GZAb79+9ny5Yt6OnpsXLlSgwMDHQdUraQmJjI9u3bOXfuHAD169enTZs20uJLCCGyKUlsCCGEyJ5eVWt4x8Wx79IlAAYuW8ZTPb1sXbWh0Wjo2bMnR48exczMjL///puZM2dy+vRpnJ2d8ff3p27dukydOjX7HeCPiGDYTz9x8v59LExN2fvTT8zo3p2r8+dTq2RJohMSGDZvHjWrVcPLy0vX0QohcprISDhyJNu8//z555/8/vvvAKxfv1761r9H7dq1cXZ2Jioqir179+o6HKFj0dHRDBw4EIDhw4fzxRdf6Dii7CE6Opq1a9dy+/Zt9PX1adeuHfXq1ZOkhhBCZGOS2BBCCJE9varWmH/6tHJTeHQ0fTZvRhsamm2rNsaMGcOmTZswMDDgzz//pEqVKgDUrFkTLy8vunTpglqtZsKECXz11Vc8fPhQxxGnnWW//srSEydQqVRsHDmS0gULAlC2UCFOz5jB0gEDsDQx4ZKnJ1WqVGHUqFHExMToOGohRI5x+zZ4emaL9x8/Pz969eoFJL/vtGzZUscRZW56enp07doVkHZUAiZMmMDDhw9xdnbml19++bSNSOVPKmq1mjVr1vD06VNMTU3p1q0b5cqV03VYQggh0pkkNoQQQmQ/r6o1gg0N2fhqUOfKIUMwNjTkwJUr/HHrVras2pg7dy6zZ88GYPXq1TRp0iTVcisrKzZu3MiGDRswNzfn9OnTVKhQgR07dugi3DR18u+/GTpnDgDTXF35plq1VMv19PQY0Lw5PtOm0bFKFdRqNbNnz6Zs2bIcPHhQFyELIXKSV+9L6Ot/9vtPdHQ0169fZ9euXcybN48DBw5kaP/4ly9f0rFjRyIjI6lTpw5Tp07NsH1nZSntqA4ePEhwcLCOoxG6cunSJaXSadmyZZiZmX38Rk6dSp4b99rJOzmdvr4+devWxc7Ojj59+lDw1cktQgghsjdJbAghhMh+XlVrLL90ifjERKoWK0bvRo2Y5uoKwPCtW/H388sWZ82m2Lx5MyNHjgRg5syZygGUt3F1dcXLy4tq1arx4sULOnbsSJ8+fbJs9UJAQAAdXF1JUqv5rlo1fqxXD0JC3npxsrJiW5s2/DV7NgULFiQgIIBmzZrRuXNngoKCdP1QhBDZ1av3JYoV+89ZT1qtlqdPn3L69GnWrVvHzz//jKurKzVr1sTR0RELCwsqVKhAu3btGDFiBM2bN6devXpcetV2Mb0NHz4cLy8v7O3t2bJli8wG+EAlSpSgatWqqNVqtm7dqutwhA4kJibSp08fNBoNXbt2feMElA82fnxyxcb48WkbYBb08uVL5euKFSsyYMAAbG1tdRiREEKIjCSJDSGEENnLq7Ni4y0tWXLgAADurVqhUqlwb9WKuqVLE/3yJT137UJz/Xq2qNo4duwY3bt3B2DYsGGMGjXqP+9TpEgRzpw5w7hx41CpVPzxxx9UrlwZT0/P9A43TUVHR9O6dWuev3hB5UKF+KNPH1SGhmBg8PaLoSEUKEDLihW5efMmw4cPR09Pjy1btlCyZElWrVqFRqPR9cMSQmQnKdUadnagpwd2dry8ehWfy5f5+++/WbhwIe7u7rRq1YoyZcpgZmZGvnz5+PLLL+nRowdTpkxh48aNXLhwQTnT39bWlqpVq9K6dWtMTU05ffo01apVo2vXrjx48CDdHsqmTZtYtmxZcsu/jRvJly9fuu0rO0o56UDaUeVMc+fO5fr169ja2jJ37txP28iJE3DmTPLXp08nf58DaTQaDh8+zPLly1OdmCOJViGEyFnkVV8IIUT24uMDgYFs8/cnMDycvNbWdCheHEJC0AfWdutG+YkTOXnnDr/v3o17+fJQvbquo/5kXl5etG3blsTERDp16sTcuXM/eEiioaEh06ZNo1GjRri6unL37l1q1KjBr7/+yogRI9DTy9znP2g0Gnr06MH169dxcHBg9+nT5CpQ4IPvb07yQYauXbvSr18/PD096du3L+vXr2f58uWUKlUq/YIXQuQcr6o1Znh7c8DTk/uBgTwJC3tv+yg9PT0KFSqEi4sLRYoUSXXt4uKCtbW1su7jx48ZP348GzZsYNOmTfz555+4u7szduxYrKys0vBh+NCvXz8AfvrpJxo3bpxm284pvv32W4YPH86lS5e4c+cOJUqU0HVIIoP4+fkxadIkIPmzh4ODw6dtaMKE5JZ2anXy9c8/J7emykESEhLYtWsXPj4+APj6+lKxYkXdBiWEEEInMvcRCyGEEOJjRUejzZ+feUePAjC4YUOMTEyUM/ZdnJyY07kzAGOPHMHn1i1dRvtZ/P39adasGVFRUdSvX5/169d/UjKifv36XLt2TUmQjBo1iqZNm/Ls2bN0iDrtTJ06lT///BNDQ0N27txJgY9Iarzuiy++4OLFi8ydOxczMzNl9sjEiRNTtTgQQoiP9qpa43RoKGM3bODUzZs8Dg1Fq9VibmxMhXLlaNeuHT/88ANLly7l0KFD+Pn58fLlS+7fv8/Ro0dZvnw5Y8aMoUOHDlSuXDlVUgMgf/78rFu3jsuXL/PVV18RHx/PzJkzKVq0KEuWLCExMfGzH0ZsbCwdO3YkJiaGr776iokTJ372NnMiBwcHmjZtCkjVRk6i1WoZMGAAL1++pEGDBnTr1u3TNpRSraFWJ3+vVue4qo2oqCjWrl2Lj48P+vr6tGvXTpIaQgiRg0liQwghRPbSoAFnXFy4+uABJiYm9Fu6FLp1S3Xp92qw9svERLotXUpSUpKuo/5oz58/p0mTJgQGBlK+fHl2796NsbHxJ2/Pzs6OP//8k+XLl2NqasqRI0coX748+/btS8Oo086uXbuUA2tLly6ldu3an7U9AwMDhg8fzs2bN2nZsiWJiYlMnjyZChUqcCIHHTAQQqSxV9Ua018l29vXqsWFWbMIXr+eyMmT8Vq5kj///JNZs2YxYMAAGjduTJEiRTA0NPzoXVWuXJljx46xd+9eSpQowfPnzxk8eDDly5fnr7/++qwB40OGDOHGjRvkyZOHTZs2oa+v/8nbyulS2lFt3LhRWh/mEOvXr+fYsWOYmJgordw+SUq1xutSqjZygKCgIFatWsWzZ8/IlSsX3bp1o1y5croOSwghhA5JYkMIIUS2M3/+fCD54IG9vf0by1NmSlhbW3Pp0iVmzJiRwRF+npiYGFq2bImvry+FChXiwIEDadJuRKVS0a9fP65cuUKFChV4/vw533zzDUOHDiUuLi4NIk8b3t7eyoGh77//nt69e6fZtgsVKsTevXvZvn07efLk4e7du3z11Vf06tWL0NDQNNuPECIHeFWt4RUTw4ErV9DT02Nm9+5UL1GC3NbWqOztk2dvpOGsJ5VKxTfffIO3tzeLFy/G3t4eHx8fWrVqRYMGDT5pjtLatWtZs2YNenp6bN68mTx58qRZvDlRq1atsLCwICAggLNnz+o6HJHOgoODGTFiBACTJk2iaNGin7ahf1drpMghVRsPHz5k9erVREZGYmdnR+/evSlYsKCuwxJCCKFjktgQQgiRrfj7+7N7924geZD2u+TLl49FixYB8Msvv3D16tWMCO+zpczSuHjxIra2thw8eJC8efOm6T5KlSrFhQsXcHd3B2DRokVUq1aNGzdupOl+PsXz589p1aoVMTExNGjQgDlz5qT5PlQqFR06dOD27dsMGDAAgDVr1lCqVCk2btz4WWc9CyFykJTZGseOAdCpdm2KODn9/3J7ewgLg9u303zXhoaGDBo0CD8/P3788UeMjY353//+R5UqVejevTuPHz/+oO3cuHGDQYMGATB58mTq16+f5rHmNKampnTo0AGQdlQ5wfDhwwkLC6NChQpKguOTvK1aI0U2rdpITExUPnPlzp0bCwsLnJ2d6d27N7a2tjqOTgghRGag08TG9OnTqVq1KhYWFjg4ONCmTRvu3LmTap2XL18yePBg7OzsMDc3p3379gQFBaVa5+HDh7Ro0YJcuXLh4ODAqFGj3mgrcuLECSpXroyxsTFFixZl7dq1b8SzePFinJ2dMTExoXr16vzzzz9p/piFEEKkr0WLFqHRaGjcuDFlypR577pdunShffv2JCUl0a1bN+Lj4zMoyk+T0qN5//79mJqasm/fPkqWLJku+zIxMWHevHns378fBwcHbty4QZUqVVi8eLHODuwnJibSsWNHAgICcHFxYevWrRgYGKTb/qytrVm6dClnz56lTJkyhISE4OrqSufOnVH/+4xJIYR43atqDb+kJLafOwfAj68OZitUKrCzS/OqjddZWVkxffp07ty5Q5cuXdBqtaxfv57ixYszYcIEoqKi3nnf6OhoOnbsSFxcHE2aNGHs2LHpEmNOlFJ1uG3bNpnllI0dPHiQTZs2oaenx8qVKz+pxRzw7mqNFFm8akOr1RIVFYWvry9nzpxhx44dLF68mOnTpxMeHg4kJwS7deuGq6srpqamOo5YCCFEZqHTxMbJkycZPHgwFy5c4MiRIyQmJtK4cWNiYmKUdYYPH85ff/3F9u3bOXnyJE+fPqVdu3bKcrVaTYsWLUhISODcuXOsW7eOtWvX8vNrZyz4+/vTokULvvrqK7y8vHB3d6dPnz4cOnRIWWfr1q2MGDGCiRMn4unpSYUKFWjSpAnBwcEZ88MQQgjx2aKioli1ahWAUm3wPiqViqVLlyoH7jP7MNSff/6Z1atXo6enx9atW6lZs2a677NZs2Zcv36dpk2bEh8fz5AhQ2jVqhUhISHpvu9/c3d358SJE5ibm7N3717s7OwyZL+1atXC09OTadOmYWRkxNatWxk3blyG7FsIkUX5+EBgIL8dPIhGo6FF+fJUMDeHkJDUF60WAgPTpWrjdYUKFWLjxo1cvHiROnXqEBcXx9SpUylWrBgrVqx446QwrVbLoEGD8PHxIV++fHh4eKCnJ8X+HysmJoZ79+6lus3Pzw8bGxvq169PoUKF8PDwwMvLCy8vL7y9vVOt6+vri6enJ56enly5ciXV5d+Vpo8ePcLHx4e7d+/i5+fH/fv3CQgI4OHDhzx69CjVSQmRkZGEhoYSHh5OREQEUVFRxMbGpjpDXnyemJgYBg4cCCS3zaxateqnb+x91RopskjVhlqtTnVyyNWrV5k9ezZz585l06ZNHDt2jJs3b/L8+XO0Wm2q4zGWlpYy30cIIUQq6Xea4wc4ePBgqu/Xrl2Lg4MDV65c4csvvyQiIoI//viDTZs28fXXXwP/3wriwoUL1KhRg8OHD3Pr1i2OHj2Ko6MjFStWZMqUKYwZM4ZJkyZhZGTEsmXLKFy4sNKuolSpUpw5c4Z58+bRpEkTAObOnUvfvn3p2bMnAMuWLePvv/9m9erV/Pjjjxn4UxFCCPGp1q5dS2RkJCVKlFBe3/9L7ty5WbFiBW3atGHWrFm0atWKWrVqpXOkH2/p0qVMnToVgOXLl/PNN99k2L4dHR35+++/WbhwIaNHj2bfvn2UKlWKUaNGMXjwYMzNzdM9hhUrVrBkyRJUKhUbN278z2qctGZkZMS4ceNwdnama9eu/Pbbb5QqVYoePXpkaBxCiCwiOponZmase1WtMfabb+BdFWYFCkB0dIaEVa1aNU6dOsXu3bsZPXo0fn5+9O/fn99//53Zs2fTtGlTAA4fPsyWLVvQ19dn69atb51XJd6k0Wh4+vQpvr6++Pn58fTpU6ysrFKdbPG///2Pp0+fKm29njx5wpMnTwDIlStXqmHIZ8+e5cGDB2/dl4GBAZUqVVK+P336NL6+vu+M7fUT/w4fPszNmzffup5KpWLUqFHKWfGnT5/m/v37GBkZYWRkhKGhIUZGRhgbG2NkZETVqlUxMjICIDQ0lNjYWGVdU1NTTExM3vMTy75+/vlnAgICKFiwIFOmTPn0DaVUa/yX16s2MknLuNjYWAIDAwkKCiIoKIjAwEBCQkLo3LmzMmvEyMiI2NhYVCoVdnZ25MmTB0dHR+U6Iz5jCiGEyLp0mtj4t4iICAClX+KVK1dITEykYcOGyjolS5akYMGCnD9/nho1anD+/HnKlSuHo6Ojsk6TJk0YOHAgN2/epFKlSpw/fz7VNlLWSfmAmZCQwJUrV1KVV+vp6dGwYUPOnz+fXg9XCCFEGtJoNCxYsABInq3xMWeWtm7dmu7du7Nu3Tq6devGtWvXMDMzS69QP9rOnTsZPHgwkDwPpE+fPhkeg56eHsOGDaN+/fp07dqVmzdv8uOPPzJ79mxGjx7NoEGD0u1ndurUKeXxT5kyhVatWqXLfj5Ely5duH37NlOnTqVfv34ULVqUOnXq6CweIUQm1aABc/fvJyEpibp161L7VWI6M1CpVLRt25YWLVqwbNkyfvnlF27evEmzZs1o3Lgxrq6uSvXjjBkzqF27to4jzvzu3LnDzZs38fPzIy4uLtWyf1cX5suXDxMTE2JiYjh79iwqlYqvvvpKSRa8rkCBAhgbG6NSqZTbVCoVWq32jVaMdnZ2xMXFodFo3rhotdpU2zAwMMDY2PiNdSC5WiclUQEQEhJCQEDAOx975cqVla/Pnz/PlStXUi23t7fH2dkZZ2dnihUrlmrb2dWVK1eYP38+kHxiymcdnE+p1viQFpgpVRunTn36/j5BQkICWq1Wef7eu3ePPXv2vLPVXXBwsJLYcHFxoW/fvuTOnfvTW3UJIYTIsTJNYkOj0eDu7k7t2rUpW7YsAIGBgRgZGWFtbZ1qXUdHRwIDA5V1Xk9qpCxPWfa+dSIjI4mLiyM8PBy1Wv3WdXx8fN4ab3x8fKpe7JGv+uImJiaSmJj4MQ9dfKCUn6v8fEV2I8/ttPHXX39x7949rK2t6dy580f/PGfPns3x48e5d+8eo0aNUpIkunbmzBmlL3rfvn358ccfdfpcKV26NJcuXWLz5s38+uuv3Lt3j9GjRzN79mxGjhxJ//79yZUrV5o9rx88eKDMQenYsSOjRo3S+d/KTz/9xK1bt9i5cydt27bl7NmzFC5cWKcxiYwnr93ifUJDQ1m+fDlApnjdehuVSsXAgQP57rvvmDFjBosXL+bw4cMcPnwYgObNm/P9999nyth1SavV8uzZM5ycnJRkwe3bt5U2UsbGxhQuXJgiRYpQpEgRzM3NU/0MGzVqpHy9fPlyvLy8qFq1KgMGDABSv6Z8+eWX743l9XVTOhx8yLotWrSgRYsWqZZrNBoSExNJSEhQkh0AVapUoUiRIiQkJCiXlPUSEhJQqVTKto2NjbG2tlaWJSUl8fz5c54/f87ly5f5/vvvlZ9ZWFgYpqamGTYvIaNes5OSkujTpw8ajYZOnTrRqFGjT9/nmTNw5Qp8TDLo8mX43/8gHU66iI2NJTQ0VPmdpnwdGRlJo0aNlHZbRkZGSlLD2toaBwcHHB0dcXR0xMHBASsrK+VnYmBgQO7cuQF5P/0v8rlDZEfyvBZv8zHPh0yT2Bg8eDA3btzgzIeUWWYC06dP55dffnnj9sOHD5MrVy4dRJRzHDlyRNchCJEu5Ln9eSZNmgTAV199xcmTJz9pG3369GHixIksXbqUPHnyUKFChTSM8OM9fPiQsWPHEh8fT7Vq1WjatCkHDhzQaUwp7Ozs+O233zhx4gTbtm0jKCiIMWPGMH36dNq1a0eTJk0wNjb+rOf1y5cv+fHHH3n+/DkuLi506NAh0zz+b7/9lmvXrnHv3j0aNWrEjBkz5P0/h5LXbvE2W7ZsISYmhsKFC6NWq9m/f7+uQ3qvevXqUaJECTZs2MDZs2dxdHSkc+fOmeY1V9eSkpKIiooiMjKSqKgokpKSKF68uPK6Hx0djYODA5aWlpiZmaFSqVK1mHqXypUr4+XlxeLFiylYsGBGPJQ0pa+vn2puJYCzs7PydVJSEtHR0URHR5OYmMip1yoJ/Pz8iI6OxtTUFHNzc+WS3jMU0vs1+6+//sLLywszMzOaN2/++X/7mzd//H0iI+ET96vVaklKSuLly5cYGBgoiaeYmJj3tjrz8vJS5q9pNBqKFi2Kqamp8vuMiooiKioKPz+/T4pL/D/53CGyI3lei9fFxsZ+8LqZIrExZMgQ9u3bx6lTp8ifP79ye548eUhISODFixepqjaCgoLIkyePss4///yTantBQUHKspTrlNteX8fS0lJ5s9XX13/rOinb+LexY8cyYsQI5fvIyEgKFChA48aNsbS0/MifgPgQiYmJHDlyhEaNGkmZqshW5Ln9+a5du4a3tzf6+vrMmjXrkw8ONG/enMDAQJYuXcrKlSvx9PR8o2owozx69IghQ4YQExNDzZo1OXjwYIad1fgxvvnmG2bMmMHGjRv59ddfCQgIYPXq1fz999+0bNmSmTNnftL7olarpXPnzgQEBODg4MDhw4cz3UGfatWqUatWLR4+fMiGDRvYuXPnRx2QSUpKIi4ujpcvX6Knp4eVldUbrUVE5iWv3eJdoqOj6dWrF5DcPu/fZ8ZnZr169eLu3bt4eXnRtm3bHP3cjoiIwNvbm3v37vH06dNUQ7WNjIwoXbo0pUuX/qx9VKpUibVr13Lnzh2KFy+utOfJ7rRaLatXryY6Opq4uDji4uIICQlBpVLh5OSULm0eM+I1+8mTJ7i6ugIwa9YsunTp8ukbi42FggXhU85iNjSER4/gPz43xsfH8+jRozcqMFI6U1SpUoXGjRsDySebzJ07F0tLS+zt7bG3t8fOzk75OjN+Rs1u5HOHyI7keS3eJqUr0ofQ6X/PWq2WoUOHsmvXLk6cOPFGG4cvvvgCQ0NDjh07Rvv27YHk/qUPHz6kZs2aANSsWZNp06YRHByMg4MDkJzps7S0VD5o1qxZ840zJY4cOaJsw8jIiC+++IJjx47Rpk0bIPksg2PHjjFkyJC3xm5sbPxGD1QAQ0ND+WNMZ/IzFtmVPLc/3ZIlSwBo3749RYoU+axtzZo1iyNHjuDn58eoUaNYu3ZtGkT4ccLDw/nmm294/PgxpUqVYt++fZk6aW5oaEjfvn3p0aMH69atY+rUqTx48IA//viD/fv38+OPP9KvX7+PGiA6ZcoUdu7ciaGhITt37vzs32t6cHZ2Zu/evdStW5cTJ04wYcIEhg0bRlxcHLGxscTFxVG5cmWln/jFixfx8vJSlv+7xLZfv344OTkByX3Kz507p3zeeH1Qq5GREbVr18bGxgZI7n8eHBycaj1jY2MsLS0/ataM+DTy2i3+be3atYSFhVG0aFG+++67dD8DPa0VL14cPz+/HPfcTmmdlFKFERMTk6rCwMHBgaJFi1KsWDEKFCiQJr/XggUL0qhRIw4dOsTWrVuV6tOcYMCAAURFRREQEIC/vz8BAQGEh4fz9OlTcuXKleq5d+7cOZycnMifP/9nPyfT83n9ww8/EB0dTY0aNejfv//nvQdbWYGfH7yaQ/rR933L58aUzyYpc19iY2PZtm3bG+upVCpsbGxS/R4MDQ0ZO3ZsjpiRktnltNdmkTPI81q87mOeCzpNbAwePJhNmzaxZ88eLCwslJkYVlZWmJqaYmVlRe/evRkxYgS2trZYWloydOhQatasSY0aNQBo3LgxpUuXxs3Njd9++43AwEB++uknBg8erCQeBgwYwKJFixg9ejS9evXi+PHjbNu2jb///luJZcSIEXTv3p0qVapQrVo15s+fT0xMDD179sz4H4wQQogPFhwczMaNGwFwd3f/7O2ZmZmxbt066taty7p162jbti2tW7f+7O1+qLi4OFq3bs2tW7fImzcvBw8exNbWNsP2/zkMDQ3p06cP3bp1448//mDixIk8e/aMYcOGMXPmTMaOHUufPn3+M8Gxa9cufv75ZyA5aZUZBtfGxMQQEBBAQEAADRo0UB5DeHg4P/74o7LeH3/8kep+RYsWxd7eHkg+gJDyWSeFSqXCxMQEjUaT6oSJ2NhYpX3H21SuXFlJbNy5c4djx469sY6pqSlFihShbt26yskfQoj0FR8fz5w5cwAYM2ZMlktq5DRqtZr79+/j7e2Nj48PlSpVolmzZgDkz5+fsmXL4uzsTNGiRbGyskqXGNzc3Dh06BAeHh5MnDgx1ZDv7M7CwoJy5cpRrlw5ILlKxt/fHzMzM2WdyMhIpUWJvr4++fPnVy758uXDwsJCJ7H/299//82ff/6Jvr4+y5YtS5sTC3LnTr58opcvX/LgwQMlcRQUFESxYsWUShIrKyuKFi2KsbEx9vb25M6dW6nEeFsFqSQ1hBBCZDY6TWwsXboUgPr166e6fc2aNfTo0QOAefPmoaenR/v27YmPj6dJkybKmbmQ/OFm3759DBw4kJo1a2JmZkb37t2ZPHmysk7hwoX5+++/GT58OAsWLCB//vysWrWKJk2aKOt8++23hISE8PPPPxMYGEjFihU5ePDgGwPFhRBCZC7Lli0jISGBatWqKUnvz1WrVi1GjRrFzJkz6devH7Vq1VIGG6YntVpN165dOX36NFZWVhw8eDDTtV/6EEZGRvTp04fcuXMTFBTEjBkzePz4MUOHDmXGjBmMGzeO3r17v7Xy0dvbGzc3NwCGDh1Knz59Mjp8IPXBAH9/f4KDg5Vl1atXVxIbr//jHx8fT1xcHPnz58fBwSFVb2mAcuXKkT9/fnLlyqUMTDUxMXnrQawaNWpQunRp4uPjSUhIeOP69QNsFhYWFCpUKNU6L1++JC4ujhs3blC3bl1l3adPnxIfH0/BggXlgKsQ6cDDw4MnT56QN29e5bVMZC5arZbHjx/j7e3NzZs3U/VxfvbsmfK1vr6+0jUgPbVp0wYzMzPu3bvHhQsXlK4COZGVlRUVK1ZMdVtSUhLlypXD39+f6OhoHjx4wIMHD5TldevWVQanq9VqNBpNhp/1Gxsbq3R6cHd31/mMtv/973/4+fnx7NmzVC3UIPnzjVarVT57dO3aVRchCiGEEGlC562o/ouJiQmLFy9m8eLF71ynUKFC/zmUq379+ly9evW96wwZMuSdraeEEEJkPvHx8Uqy293dPU3Pcvzll1/4+++/uXHjBgMGDGDHjh3pehbljRs3mDhxIrt27cLIyIg9e/YoZzBmVYaGhvTr148+ffqwevVqfv31Vx4/fszgwYOVBEevXr2UMwCfP39O69atiYmJ4euvv1bOes5o//zzDwcPHnzjc4qjoyPOzs6pKk5q1KhBlSpVMDExoVu3bmzZsgVbW1v++eefN9pnpfSh/hBmZmapzlh9nwoVKrxxEEWtVvPkyRMePHiQKil37tw5bt68iZGRkXIWctGiRZXqDyHEp1Or1cycOROAkSNHvjV5K3Rv7dq1PHz4UPnezMyMMmXKUK5cOfLly5fh8ZiZmdGuXTs2bNjAhg0bcnRi421sbW1p164dWq2W0NBQHj58yOPHj3ny5AkhISGp3uMeP37MunXrcHR0VCo68ufPr7ReSi9Tp04lICCAAgUKZGg7saSkJB49ekRwcDDVq1dXbn/48CFPnz4FwM7ODmdnZwoXLoyzs/MHf7YQQgghsgKZUCmEECLL2rp1K0FBQeTLl48OHTqk6baNjY1Zv3491apVY+fOnWzatCnNz2rTaDQcPHiQefPmcfToUSC5NdHGjRupV69emu5Ll4yNjRk4cCC9evVi1apV/Prrrzx69IiBAwcyffp0xo8fj6urK506dcLf3x8XFxe2bduWrmdcqtVqHj9+rLRnqFOnjjK01d7eHq1W+0EHA14flrl69Wru3bvHpUuXaNmyJRcuXEi31iX/RV9fn4IFC75R8WNubo6ZmRkxMTHcvXuXu3fvAskHjooWLUrTpk1zVBsUIdLSn3/+ia+vL7a2tvTr10/X4QiS2xjdunWLatWqKa2B8ubNS2BgICVLlqRcuXK4uLjofB6Rm5sbGzZsYOvWrcyfP19a/ryFSqVSThCoXLkykHyCy+u/u8DAQLRaLYGBgQQGBnL58mUg+WRJJyent7ZX+lw3b95k1qxZACxcuBBzc/M030cKtVrN06dPlc8uDx8+RK1WA1C2bFnlc0qNGjWoWLEihQsXztQz2oQQQojPJYkNIYQQWZJWq2X+/PlAcsVdehwEr1SpEhMnTmTChAkMGTKE+vXrp8nZnDExMaxfv54FCxZw584dAKXt4g8//EC1atU+ex+ZkbGxMYMHD6Z3796sXLmS6dOn8/DhQ/r378/IkSOJjo7G3NycPXv2pPnZlRqNhmfPnikHAx48eEBSUpKy3MnJSUlsFCxYkOHDh3/0wQBTU1P27NlD1apV8fHx4dtvv2Xfvn3pciDlUzVt2pQmTZoQGBjIvXv38PPz49GjR4SFhfH48eNUSQ1vb28cHBxwcHCQZIcQ/0Gr1TJ9+nQguY1eeh7cFO8XFxfH7du38fb2JiAgAEge/O3i4gL8f+uizDSk9Ouvv8bJyYlnz56xf/9+2rRpo+uQsoR/V0VVq1aNkiVLKhUdT5484enTp7x8+RJ/f3+KFSumrHv79m1u375Nvnz5cHBwQE9PL1WlZv78+ZX379DQUCIjI4HUXSe0Wi3jxo1DpVLRqlUrWrduTVhYGGFhYWi1WpKSklCr1cq1Wq2mbNmyyoD6+/fvc/fuXWUdjUaT6j5NmjRRKlK8vLzYv38/iYmJqR6zubk5hQsXTnV7iRIl0uLHK4QQQmR6mec/bSGEEOIjnD59mqtXr2Jqakrfvn3TbT8//vgje/fu5dKlS/Tu3ZsDBw588kHeJ0+esGjRIpYvX054eDgAlpaW9O3bl6FDh1KoUKG0DD3TMjExUeZnrFixghkzZihDtT08PChbtmya7EetVitzJMLDw1m1alWq5WZmZko1xuttowwMDD75DEcnJyf++usv6tSpw6FDhxgxYgS///77pz+IdKBSqXBycsLJyYk6deoQHx+Pv79/qud1fHw8u3fvRqPRYGFhQZEiRShSpAiWlpYYGhpiYWGhHLhNOcgjyQ+Rkx06dAgvLy/MzMwYOnSorsPJcZKSkrh79y7e3t74+voqZ7FDcrL69bP6Uw4qZyb6+vp06dKFOXPm4OHhIYmNT6RSqbCyssLKyooyZcoAyZ8FgoODefDgQaoZKvfu3cPb2xtvb++3bsvd3V2purx8+TIXLlx463qVK1fG09NTea+/du0ap06demeMKbO2IHnu1cWLF9+57uvzX+Lj40lMTMTU1FT57FK4cGHs7Ozk/VcIIUSOJYkNIYQQWVJKtUa3bt3StXeygYEB69evp1KlShw6dIgVK1bQv3//j9rGpUuXmDdvHtu3b1eqBFxcXBg2bBg9e/bEwsIiPULP9ExNTRk2bBj9+vVj48aNODo68s0333zWNhMSErh58yaenp7Y29vTunVrILnVkoODA7a2tsrBgNy5c6fLwYBKlSqxYcMG2rdvz8KFCylVqhQDBw5M8/2kFWNjY0qWLJnqttjYWIoUKYK/vz9RUVF4eXnh5eWlLK9Tpw4NGjQAICwsjEWLFmFgYIChoaFynXIpW7as0vv75cuXHDt2TFnHyMgIa2tr7OzssLW1lZkEIstKqdbo379/uvfzF28KDg5m+/btyveOjo6ULVuWcuXK6awl4Mdyc3Njzpw5/PXXX4SHh8vsozSir6+Pk5MT9vb2qeZyVqxYEQsLC548eaKcbPK615Nh5ubmSuVEyucGtVrNnTt3SEpKYsiQIcrJKebm5uTJkweVSoW+vj4GBgaprl9/n8ufPz+1a9d+63oGBgapXktKlSqVrp9dhBBCiKxIEhtCCCGynPv377N7924Avv/++3TfX8mSJZk+fTrDhw9n5MiRNGzY8I3B0P+mVqvZvXs38+bN4+zZs8rt9erVY/jw4bRs2VKpJsjpTE1N6dOnzyffX6vV8vTpUzw9Pblx4wYJCQkAhISE0KJFCwwMDFCpVAwYMCDDDga0a9eOadOmMX78eIYOHUqxYsVo2LBhhuw7LdjY2NClSxeSkpJ4+PAhfn5+PHjwgJcvXypnjKZISdYlJSWlau+V4vU5H3FxcUrP87epWrUqzZs3B5L/hvz8/LCzs8PGxkb+XkSmdfbsWU6dOoWhoSEjRozQdTjZXnx8PJcvXyYuLk55XXVycsLFxQUnJyfKly+Pg4ODjqP8eBUqVKBcuXJ4e3uzfft2mdOSzvLnz0/+/Pk/aN3atWtTu3btVLf17t2b1atXU65cuVSVmVWrVqVq1aoftF1nZ2ecnZ0/aF1LS0uZlyGEEEL8iyQ2hBBCZDmLFi1Cq9XSpEkTSpcunSH7/P7779m9ezcnT56kR48enDhx4q0HWiMiIvjjjz9YuHCh0tvb0NCQ7777Dnd3d2XgpUgb169f5+zZswQHByu32draUrlyZSpUqJBqvkVGn+E4duxYbt26xcaNG+nYsSMXL16kePHiGRrD5zIwMMDFxUXpTf82uXPn5ocffiAxMZHExESSkpKUrxMTE1OddWxsbEy9evWUZfHx8YSHhxMWFkZMTEyquQQvXrxgy5YtQPLvLqWyI+VSsGBBHB0d0+/BC/GBUqo1unfvniZzmMTbxcbGcvHiRf755x9evnyJsbEx9evXV5LXbm5uug7xs7m5uTF69Gg2bNggiY1M7PTp06xevRqAZcuWZap5LUIIIUROIokNIYQQWUpkZKQyK8Hd3T3D9qunp8eaNWsoX748Z86cYf78+YwcOVJZfu/ePX7//XdWr15NdHQ0AHZ2dgwYMIBBgwaRN2/eDIs1O9NqtWi1WqVFxIsXLwgODsbAwIDSpUtTuXJlChYsmCnaNKhUKlatWsX9+/c5f/48LVu25OLFi9muvYienh5mZmYftG6uXLmoX7/+W5e9fPky1VDWhIQE8uTJQ2hoKImJiYSHhxMeHo6fnx+QXP2UktiIiIjg0KFDStKjQIEC2NraZorngcjerl+/zt9//42enh6jR4/WdTjZUmRkJOfOncPT01MZkGxnZ0edOnWy3d94586dGTNmDGfOnMHf35/ChQvrOiTxLwkJCUp7yb59+1KrVi0dRySEEELkXJLYEEIIkaWsWbOGqKgoSpYsSePGjTN034ULF2bevHn07duX8ePH07RpU0JDQ5k3bx579uxRDsqWLl0ad3d3XF1dU7XsEZ8uZc7D1atXadiwoVKpU7FiRUxMTChXrlym/FmbmJiwa9cuqlWrhq+vLy1bdmTVqgMfdXanlRW8au2drZmYmKT63snJif79+6PVaomOjiY0NFS5hIWFpTozPiQkhNu3b6e6v4WFhdLmo2jRotLCQ6SLGTNmANChQweKFSum42iynxs3brBr1y40Gg2Q/LpQp04dSpYsmWoGQnaRP39+vv76a44dO8bGjRv56aefdB2S+Je5c+dy8+ZN7O3tlb9/IYQQQuiGJDaEEEJkGWq1WuljPGzYMJ0c1Ojduze7du1i//79VK1albi4OGVZkyZNGD58OI0bN852Z5HqgkajwdfXF09PT3x9fZXE0fXr15XEhqWlJdWqVdNlmP/J0dGRbdv+okaNWpw7d4zSpb8HlgAf9hwxNIQXLyBXrvSMMvNSqVRYWFgoiYq3sbOzo0mTJoSGhhIcHMyTJ0+IiorC29sbb29vWrVqRaVKlQCIiYkhISEBa2tr+TsVn+XevXts3boVgB9//FHH0WQfarVaafVYoEABIHkWQZ06dXBxccn2f7dubm4cO3aMDRs2MH78+Gz/eLMSf39/Jk+eDMCcOXOwtbXVcURCCCFEziaJDSGEEFnGvn37uH//PjY2Njrrpa1SqVi5ciVly5YlPDwcExMT3NzccHd3z7B5H9mdRqPhf//7H15eXkpbL0geQl2pUqUs+XOuXr08pUpt4vbtNsAyoAww5D/vp1JBjRo5N6nxoWxsbKhRo4byfWJiIo8fPyYgIICAgIBUCRFvb28OHTqElZWVUtHh7OyMtbV1xgcusrRZs2ah0Who1qyZkjgTn+7BgwecOXMGPT09OnfuDICVlRVDhgzJdi383qddu3YMHDiQu3fvcunSpUyfvM8ptFotQ4YMIS4ujvr162eLmS5CCCFEVieJDSGEEFnG/PnzAejXr98H9/RPD3nz5uX48eNcuHCBDh06YG9vr7NYsguNRqNU4Ojp6REQEEB0dDS5cuWiQoUKVK5cOcv/nJcsacVXX80ERgPDgOLA+9upabXw6uRQ8REMDQ0pXLjwW/vTR0dHo6enR0REBNeuXePatWsAWFtb4+zsTIMGDVINMRfibZ49e8aaNWsAGDt2rI6jybq0Wi1+fn6cOXOGhw8fAsknEERERGBlZQWQo5IakNxGr02bNmzevBkPDw9JbGQSKdW6hoaGLF26VCpphBBCiExAEhtCCCGyBC8vL06cOIG+vj6DBw/WdThUrFiRihUr6jqMLC02NhZfX1/u3r3LgwcPGDx4sDIno169eiQkJFCiRAmlJUlWV78+1K79A+fO3UKrXQt0As4Dpd66vr4+1KqVfD+Rdho2bMiXX37Jo0ePlIqOp0+f8uLFC65fv07z5s2VdW/cuIFarcbZ2Vk5yCoEwLx580hISKB27drUrVtX1+FkORqNhlu3bnH27FkCAwMB0NfXp0KFCtSuXTvH/725ubmxefNmtmzZwpw5cz5qLpNIe1FRUXz//fcAjBkzhpIlS+o4IiGEEEKAJDaEEEJkEQsWLACSB7Sm9NwWWYtWqyUkJIS7d+9y9+5dHj16lGr5zZs3qVKlCgBFixbVRYjpbupUFV99tQzwA84A3wAXAbs31lWrpVojvRgZGVGkSBGKFCkCQEJCAg8fPiQ8PDzVAcTXD7rmyZOHkiVLUrJkSRwcHHQSt8gcwsPDWbp0KSDVGp/q+vXr7NmzB0iusKpSpQo1a9bEwsJCx5FlDo0aNcLR0ZGgoCAOHTpEy5YtdR1SjjZx4kSePHmCi4sL48aN03U4QgghhHhFEhtCCCEyvaCgIDZt2gTA8OHDdRyN+FQ3btxg586dqW5zdHSkePHilChRgrx58+oosoxTvz7UqWPMuXM70WiqAfeA9sBhwEhZT6o1MpaRkdEbyTStVkuRIkXQ09Pj2bNnBAYGEhgYyIkTJ7C1taVcuXI6ilbo2qJFi4iOjqZ8+fKpKnzEuyUkJBAREUHu3LkBKFOmDOfOnaN06dJUq1aNXDJIKBUDAwM6d+7M/Pnz2bBhgyQ2dOjq1avKyTWLFy9WKkuFEEIIoXuS2BBCCJHpLVu2jISEBGrUqEH16tV1HY74DzExMfj4+ODv74+np6fyO3NxccHQ0BBnZ2eKFStG8eLFc2S7kSlT4KuvcgN/AbWAk0B/YDWQ3LNbqjV0T6VS0bBhQyD5OX337l18fHy4d+8eYWFhhIaGYmCQ/FFaq9USEBBAwYIFs03rNPF2MTExykHOH3/8Ufrsv0dcXBx+fn7cvXsXX19fzM3NGTRoEHp6ehgaGjJw4ED5+b2Hq6sr8+fPZ+/evalmjoiMo1ar6d+/PxqNhk6dOtG0aVNdhySEEEKI10hiQwghRKYWHx/PkiVLAHB3d9dtMOKttFotwcHBSoupx48fK8tu3bqlJDbMzMwYPXq0cjA4p0qu2oDz58uiVm8huR3VWsAGmIO+vkqqNTIZMzMzKlWqRKVKlYiPj8fPzw8zMzNl8HhQUBDr16/HxMSE4sWLU7JkSYoUKYKRkdF/bFlkNatWrSI0NJQiRYrQsWNHXYeT6YSHh+Pj46PMTtJqtcqyXLlyERkZibW1NYAkNf5D5cqVKVWqFLdv3+bPP/+kV69eug4px1mxYgWXLl3C0tKSefPm6TocIYQQQvxLzj6yIIQQItPbsmULwcHB5M+fn3bt2uk6HPEvWq2WJUuW8Pz581S3Ozo6AtCgQYNUt+f0pEaK5KoNgOYkV2r0AOYBVqjVE3NEtYavry/z58+nffv2fP3117oO54MZGxtTpkwZEhMTlcRGREQEuXLlIjY2luvXr3P9+nUMDAwoWrQoJUuWpESJEpiYmOg4cvG5EhISmD17NoAkaV/RaDSoVColSXH+/HkuXbqkLM+dOzfFixenePHi5M+fHz09PV2FmuWoVCrc3NwYN24cGzZskMRGBgsMDFRm6EybNi1HtMsUQgghshr5NC6EECLT0mq1zJ8/H4AhQ4akGuordCM4OBhvb28lYaFSqbCxseHFixcULlxYOYBlamrK/v37cXJy0nHEmdP/V22AWt0diAS+Bybh4mJJ/frZe5aMt7c3jRo1IigoiCVLltC/f39mzZqVZQcHlyhRgpEjR/Lo0SN8fHy4ffs2ERER+Pj44OPjg6urqzKoXKvVypnqWdTGjRt5/PgxTk5OdO/eXdfh6MzLly+5d++e0mLq22+/pVChQgCULFmS58+fK7OTbGxsdBxt1talSxfGjRvHiRMnePjwIQULFtR1SDnGyJEjiYiI4IsvvmDgwIG6DkcIIYQQbyGJDSGEEJnWqVOn8PLywtTUlL59++o6nBzt2bNnnDp1Ch8fHwC++OILpZ1IixYtyJUrV6rEU2Jioi7CzFL+v2oDYCjJyY2fuH9/BH/8YUnv3r11F1w6unTpEk2aNCE8PJy8efPy9OlTli9fzoEDB/jjjz+UuRZZjZ6eHoUKFaJQoUI0btyYwMBAZdaMs7Ozst6RI0d49OgRxYsXx97eHmtra6ytrTExMZGERyamVquZMWMGACNGjMDY2FjHEWWs8PBwpd1gQEAAGo1GWebn56ckNlxcXHBxcdFVmNlOoUKFqFevHidPnmTTpk38+OOPug4pRzhy5AibNm1CT0+P5cuXy+wkIYQQIpOSxIYQQohMK6Vao3v37tja2uo2mBzq0aNHnD59Gl9fX+W20qVLp2onIgNNP03qqg3Q0xtH3rwRPH48i759+2JhYUGnTp10HWaaOn36NC1atCAqKooaNWqwf/9+vLy86NWrFwEBATRq1Ih+/foxa9YsLC0tdR3uJ1OpVDg5OeHk5MRX/5+9QqvV4uPjQ3h4eKpZNABGRkbY29vTp08fJcHx6NEj9PX1sba2xtTUVBIfOrRr1y7u3r2LjY0N/fv313U4GSooKIhly5alus3Ozk6p0JMqgvTl5ubGyZMn2bBhA2PGjJHXgXT28uVLBg0aBMDgwYP54osvdByREEIIId5FEhtCCCEypfv377Nnzx4Avv/+ex1Hk/NERESwZ88e/P39geQDteXKlaNOnTrkzp1bx9FlH69XbWg0Ktavn8nWrZEsX76crl27Ym5uTvPmzXUbZBo5fPgwbdq0IS4ujvr167N3714sLCz46quv8Pb2ZsyYMSxZsoQVK1Zw8OBBVq1aRaNGjXQddppSqVT07NkTHx8fHjx4wIsXL3jx4gUxMTEkJCQQHx+f6qDlgQMHePbsGQCGhoZKdYeVlRV2dnbUqFFDVw8lR9FqtUyfPh1IbouYZi3T4uLA1DRttvUZtFotUVFRBAcHExQUxLNnzwgJCVGWOzg4YGlpiY2NjdJiys7OTocR5ywdOnRg8ODB3Lp1i6tXr1K5cmVdh5StzZgxAz8/P5ycnJg6daquwxFCCCHEe0hiQwghROYSGQkXL/L7rl1otVqaNm1KqVKldB1VjpMrVy6Cg4PR09OjfPny1K1bV6pm0kFK1caZM1C3Lnz1lYovv1xMVFQUmzZton379hw8eJB69erpOtTPsmfPHjp16kRCQgLNmzdnx44dmL52QNfc3JzFixfToUMHevfujb+/P40bN6Zv377Mnj07S1dv/JuFhQVVq1alatWqym2JiYlEREQQHx+fal1zc3PMzc2Jjo4mMTGRkJAQ5YDzvxMba9euJS4ujkKFCuHi4oKzs7MMLE8jR44cwdPTk1y5cqVdov3UKWjaFA4dSv7j14GjR4/y+PFjgoODiYuLS7XMwMAArVYLJCfkhg4dKsPSdcTKyopWrVqxfft2NmzYIImNdHT37l0liblgwYJs9d4jhBBCZEfy6VQIIUTmcvs2kefOsXrdOgDc3d11G08OoNVquXv3Lrdu3aJNmzaoVCoMDQ1p27YtdnZ2yiwNkT6mTYNmzZKvAfT19Vm7di1RUVH89ddftGzZkuPHj6c6EJ6VbN68GTc3N9RqNe3bt2fTpk0YGRm9dd2vvvqK69evM3bsWBYtWsTKlSuV6o3GjRtncOQZx9DQEHt7+zdu79KlCwBJSUlEREQoFR4vXrx4Y8ZDSEgIsbGxBAcHc+nSJVQqFXnz5sXFxYWiRYtKu6DPkHKgs1+/fm/9PX2S8eOTKzbGj09OcqQxjUZDWFgYQUFBSiWGWq2ma9euyjoBAQE8efIESE5e2NnZ4ejoiJ2dnXJ7Cklq6EZICEREQIMGbmzfvh0Pj8307z/rP38fVlYgxZUfR6vVMmjQIBISEmjatCkdOnTQdUhCCCGE+A/yCVUIIUTmEREBN26w2tOTqNhYSpUoka0PZuqaVqvl9u3bnDp1iqCgIABKliypVMgUKVJEl+HlGF9+Cc+fp+5IY2hoyLZt22jRogXHjx+nadOmnDx5krJly+ou0E+watUq+vXrh1arxc3NjdWrV//nATlzc3MWLlxI+/bt6d27N/fv36dJkyb06dOH2bNn58iZLgYGBtjZ2b23/U/v3r0JCgri/v37+Pv7ExoaypMnT3jy5AlPnz7F1dVVWTc4OJjcuXNLr/4PcOHCBU6cOIGhoSEjR45Mm42eOJFcpgVw+nTy9/Xrp9GmT3D37l1CQkJISkpKtUylUpGUlKT8DdasWZOkpCQcHBzInTu3cntiYiL79++X54eOxcRAvnyQmAjQFLDn+fMgSpU6+ur7dzM0hBcvIFeu9I8zu9i8eTPHjh3DxMSERYsWyfNfCCGEyAIksSGEECLz8PFB/fw5v1+8CMCwV9UDIm1pNBpu3LjB6dOnef78OZA8uLhq1apyVreOvK3NvomJCXv27KFhw4ZcvHiRRo0acfr0aYoWLZrxAX6CBQsWKBVXAwYMYPHixamGzv+X+vXrK9UbCxcuZNWqVUr1RpMmTdIp6qzL1tYWW1tbJTEZERGBv78/9+/fp1ChQsp6UVFRLF26FFNTUwoXLoyLiwuFCxfGxsZGXm/fIqVaw83Njfz586fNRidMAH19UKuTr3/++T+rNrRarVKRk9KSLCQkhPDwcIYNG6b8bYWFhaWay+Lg4ICDgwOOjo44ODik+h2XKVMmbR6PSBdmZlC9Opw9C1qtIfAdsAjYwPsSGyoV1KghSY2PER4ezvDhwwH46aef5MQOIYQQIouQxIYQQohP92oeBtWrw2f2Ida+eMGjkyfZduUK/kFB2JqZ4VawYPI+pMdxmomKimLt2rWEhYUBYGxsTPXq1alevTq55ChIpmNubs7+/fuVFk0NGzbkzJkzaXeANZ38+uuvjB8/HoAffviB33777ZMOmpuZmfH777/Tvn17evXqxf3792natCm9e/dmzpw5ObJ640NZWVlRsWJFKlasmOr2kJAQjIyMiIuL49atW9y6dQsAa2trChcuTOXKlTP98yuj3Lhxg71796JSqRg9enTabPT1ag1ITm68VrWh1WqJiYnBzMxM+Zv53//+x6VLl96Yg5EiLCxMaZFVpUoVSpUqhaOjoySrsoEpU+Crr1K+cyU5sbELiALePsReq4XJkzMkvGxj3LhxBAcHU6pUKUaNGqXrcIQQQgjxgSSxIYQQ4tPdvg2ensmJh+rVP/huiYmJ3Llzh6tXr+Ll5ZV8uXyZsMhIZZ3+zZqRKyYmeR8fsW3xJq1WqxzcMjc3x9jYGFNTU2rWrEnVqlVlwHAmZ2try+HDh6lbty6+vr40atSIU6dOkTsTNlDXarWMHz9eOct90qRJ/Pzzz599cLVevXpcv36dcePG8fvvv/PHH39w6NAhVq5cSdOm72/JIlJzcXFh9OjRPHnyRKnoePz4MS9evODq1au4uLgoiY3w8HBCQkLImzcv5ubmOo48482YMQOA9u3bU6JEibTZ6KtqDa1aTYyZGSEODgQ7OhKycSMh/v6EhIQQFxfHsGHDUs03Sklq2NjY4ODggL29vdJCysbGRllPqu6yl/r1oU4dOH8e1OpqQDHAl+TkRrc31tfXh1q10qyzWY5w4cIFli9fDsDSpUvfOQNKCCGEEJmPJDaEEEJ8mlfzMNDXT74uVeqtlRXR0dFcv35dSWJcvXqVGzduEB8f/8a6Bvr6lC5QgOrFizO6Xbvkwarv2bZ4v8TERDw9Pbly5Qq9e/fG2NgYlUpF+/btsbCwkH/esxBHR0eOHj1KnTp18PHxoUmTJhw/fjxTDXbXaDS4u7uzcOFCAGbPnp12MwlIrt5YsGCBUr1x7949mjVrRq9evZgzZ06m+lnowtWrV9m5cyfFihWjfPnylCpV6o0B4yn09fUpWLAgBQsWpF69eiQkJPDgwQPu379P4cKFlfVu3LjB8ePHgeSkqJOTE3ny5FGura2ts21FgL+/P1u2bAFg7Nixn7UtrVZLaGgo1tevY/CqWuNE/fqc+vfR54cPlS/Dw8OV53SlSpUoWbIk9vb2GBoaflYsIuv5/6oNFeAG/ExyO6o3ExtqtVRrfKjQ0FB+++03Fi5ciFarpXv37tSrV0/XYQkhhBDiI0hiQwghxKfx8YGwMCheHO7ehdu3CSxUKFUVxtWrV/Hz80Or1b5xdwsLC6VNSkVLSypGRVHmyy8xfv1gu5kZ3LkjVRsfKSkpiStXrnDmzBmio6MB8PT0pGbNmgDvHUAsMq+CBQty9OhR6taty9WrV2nRogWHDx/GzMxM16GhVqvp27cva9asQaVSsWTJEgYMGJAu+/ryyy+5du0a48eP5/fff2f16tVK9UazZs0+e/uxsbGpZhg8f/6chIQEunTpgunbhqFkAiEhITRr1oygoCDlNn19fUqWLEn58uVTXfLly/dGMsLIyIhixYpRrFixVLcbGBhgb2/P8+fPiY6OxtfXF19fX2X5gAEDcHR0BJIPEmo0Guzs7D5qlkpmNXPmTNRqNU2aNKFy5cofdV+tVsvz588JCAjgwYMHBAQEEBMTQ4/Llyn0araGbVgYaLXYhoWROySE3M+fk9vamty///5GAsPa2jrHJ+5ystRVG11JTmwcA54A+ZT1pFrjw0RFRbFo0SLmzJlD5KtK4Tp16jBnzhwdRyaEEEKIjyWJDSGEEB/vVbWGX1ISqz088PTxwWvqVIJeayX1unz58ilJjEqVKlGxYkUKFy6cfPArIgJ27EiedvnvCgKVCuzspGrjA6UkNM6ePUtUVBSQ3Ge/Tp06b/TZF1lT8eLFOXz4MPXr1+fcuXO0bduWv/76651n5meExMRE3Nzc2Lp1K3p6eqxduxY3N7d03aeZmRnz589Xqjf8/Pxo3rw5PXv2ZO7cucpBYI1Gw4sXL5QExb8TFm/7+l1zDI4fP46Hh0emq1DQarX07duXoKAgnJ2dKVSoENevXyc8PJybN29y8+ZNNm/erKxva2v7RrKjTJkyb52xU7NmTWrWrElCQgJBQUE8e/aMwMBAnj17lmquA8CZM2fw8vLC0NAQR0dH8uTJg52dHUZGRiQmJiptrUJCQrC2tqZLly6Zsg3e06dPGT58ONu2bQM+rlrj2bNnnDlzhoCAAGJjY1Mt01epCH/8mEJqNQClb92i9K1bGCYlpd7I4MHg5PR5D0JkO/9fteEC1AbOAmOAVUDy35FUa7xfXFwcu3fvpk+fPjx//hyAChUqMHXqVFq0aJHpXtuFEEII8d8ksSFEGouMjCQ4OJjcuXNjaWkpH5JFtpR04wbzdu7k56NHeZmQoNyup6dHiRIlUiUwKlSogIODw7s3llL58a7+5fb2UrXxARITE1m8eDEREREAWFpaUrduXSpVqoS+vr6OoxNpqUKFChw4cICGDRty5MgROnfuzLZt2zAwyPiPdS9fvqRTp0789ddfGBoasnnzZtq3b59h+69bt65SvbFgwQLWrFnD33//Te7cuQkJCSE0NBT1qwPJH8PIyIjcuXOTO3du7OzsOHHiBJs2baJJkyZ06/Zm+xddWr16NXv27MHQ0JBdu3ZRsWJFtFotT5484fr166kuPj4+hIWFceLECU6cOKFsQ6VSKS2sXr8UKlQIPT09jIyMyJcvH+bm5lhbW2NnZ0dwcDBr1qxRkhUqlUqpHnr8+DGPHz9Wtp+UlMTMmTNJTEwEkqvG5s6dy+TJk2nbtm2m+KykVqtZunQp48ePJzIyEn19fcaOHcuXX375xrparZbg4GACAgJwdHTE2dlZuT1lGLuBgQEFChSgUKFCODs7k69bNwy8vZVtvJHQgORT7n/+GU6dSpfHKLKu1FUbI0lObGwEbgPb0NcvItUa75CYmMgff/zBlClTePr0KZB8ksDkyZPp2LFjtqgwE0IIIXIqSWwIkYZevHhB6dKlefbsGQCGhobY29uTO3du5Trl8rbv7ezsdHJgSoiPce3MGXq7unLlwQMAvipXjm/r1qWijQ3l8uYll6vrh1dWpMzpsLNLrs54G6naeCeNRqP8Q25oaEihQoUICAigbt26VKxYUV5PsrEaNWqwZ88emjdvzq5du+jduzdr1qzJ0AM0MTExtGnThqNHj2JiYsLOnTvTpBXUx8qVKxfz5s1Tqjd8fX0JDg5OtY6lpeUb773v+9rCwiLVwfapU6cyYcIEBg0aRI0aNShevHhGP8y3unfvHsOGDQOSY0ypzFKpVOTPn5/8+fPTvHlzZf2XL1/i4+PDtWvXlGTHtWvXCAkJ4e7du9y9e5cdO3Yo61tYWJA/f37CwsJ4/vz5fyaJVCoVdnZ2qWZxODk5ER8fT5kyZbC3t8fe3h5ra2vy5MnD1atXuXjxIoULF6ZAgQLY2NhgZ2eXdoO6P5Cnpyf9+/fn8uXLAFSvXp1ly5YpP0+tVktQUJDSWurBgwdKZU+lSpWUxEaePHn4+uuvKVSoEHnz5v3/1+ATJz4sWaFWw+nTyevLEWrxL/9ftdEWOAC4Ap5AZdTqNUye3E6X4WU6arWaTZs2MWnSJO7fvw9A7ty5mTZtGj179pTPSEIIIUQ2IO/mQqSh2bNn8+zZM1QqFVqtlsTERJ49e6YkOv6LSqXCxsbmrQdZ6tatS9OmTTPFWY0iZ3r58iVTp05l5owZJKnVWJuZMbd3b3o0aJD8vNRqP76ywscHAgMhTx4ICXn3elpt8npStQEkn/189epVzp07R9euXZV2ME2aNMHIyEj+Wc8hGjRowPbt22nXrh3r16/HwsKChQsXZsj7REREBC1atODs2bOYmZmxb98+6uv4QGydOnXw8vLixIkTb1RcfG6rrrFjx3L06FFOnjxJ586dOXfunM7P8k1KSsLNzY2YmBi+/PLLDxrUbmJiorQFfF1QUNAb1R23bt0iKiqK27dvp1rX0tLyvSdr/HuZmZkZL1++TNXqasWKFTx9+hQDAwMMDAwICgpS5oNYW1unSmzs3buXhIQErK2tsbGxUa6trKw+uxrtxYsX/PLLL/zxxx/o6+tTuHBh3N3dad++PfnyJc8uiI+PZ8GCBW+0KDM0NKRgwYLKepBctVi3bt03dzRhQnI1xodUD0nVhniH1FUbTYGrwHfAOaA9u3cPo1at3zD6d1vPHEar1bJr1y4mTJigVFA5Ojry448/kj9/flq3bi2fk4QQQohsQt7RhUgjQUFBzJ8/H4CdO3fSpEmTd/bvfluf77CwMLRaLWFhYYSFhXHnzp1U258+fTrNmjXj999/p2jRojp4hCInO3v2LH369MHHxweA9l98waLvvyePjc3/r/QplRXR0VCgwIcFUaBA8vo5mFqt5urVq5w+fVoZeHnx4kVatGgB8NYe+SJ7a9WqFevXr8fV1ZXFixdjZWXFtGnT0nWfz58/p2nTply5cgVra2sOHDhAjRo10nWfHypXrlypKhTSir6+Ph4eHlSoUAFPT0/GjRvHjBkz0nw/H2PGjBmcP38eS0tL1q9f/1kH+R0dHWnUqBGNGjVSbktMTOTu3bsEBgYqlRb29vaflCT692tTv3790Gg03Lhxg7lz5+Lt7a2c2FGuXDkSEhKUg7O+vr5Ev+W1X6VSUaBAAXr27KncduTIEeLi4khMTCQpKYnExETlYm9vT7t2yWe0a7Vapk+fTmJiItbW1qmSQuHh4ezdu5eBAwcCYGxsjJmZGWq1moIFCyqtpZycnD7sZ37iBJw58+E/LKnaEO/x/1UbAAWAE8B4YBYLFizg/PnzbN26Vakiykm0Wi2HDx/mp59+UqqvbGxsGD16NEOHDsXIyIj9+/frOEohhBBCpCVJbAiRRqZPn05MTAxVq1aldevWyj/cBT7woG1SUpLS6uHfCZCAgAA8PDw4cOAAZcqUYcyYMYwdOxZTU9N0flQip4uKimLcuHEsXrwYrVZLHjs7FjdvTrsOHd7eOupj52E0aJD2QWdDarUaLy8vTp8+rczQsLCwoE6dOlSuXFnH0Qld69KlC1FRUQwYMIBff/0VKysrRo8enS77CgwMpGHDhty8eZPcuXNz+PDhHDOYPn/+/KxZs4bWrVszd+5cnVaoXL58mV9++QWARYsWUahQoTTfh6GhIWXKlKFMmTJpvm1Irm4oX748a9eu5eTJk7i7u3Ps2DG2bNnCunXrmDdvHs2bN6dFixaEh4cTHh7OixcvlOukpKQ3qmauXbtGTEzMW/en1WoBePDgAUOGDMHFxQVbW9tUj9fAwABDQ0PMzc1T3dfV1RULC4tPq9KZMCH5/fLV/j+ISiVVG+KtUldtgL6+IbVq/caoUXXp3r07//zzD5UqVWLdunW0atVK1+FmmDNnzjB+/HhOvfqbMTMzY/jw4YwcORJra2sAZcaPEEIIIbIPSWwIkQYePHjA0qVLAfj1118/qQ2IgYEBDg4O7xyyPGbMGIYOHcrhw4eZMmUKGzZs4Pfff+ebb775rNiFeJeDBw/Sv39/Hj58CEAvV1dmV62Kjbm5zMPIQFqtllWrVhEYGAiAubk5derU4YsvvpBWCkLRv39/IiIiGDNmDGPGjMHS0pIBAwak6T4ePnxIgwYN8PPzI2/evBw9epRSpUql6T4yu1atWjFkyBAWLVpE7969+e233zI8htjYWFxdXUlKSqJjx464urpmeAxprV69ely+fJnVq1czfvx47t69S4sWLWjatClz586lZs2aqdbXarVER0e/caCyVq1aqNXqVEmK1y+zZs1i0qRJxMbGYmVlxdChQxk9ejTm5ubv/exmZWX1aQ8sJgYuXvy4pAYkr3/hAsTGglTiiX95vWpDrYbJk6F+/W+4evUqnTp14p9//qF169b88MMP/PrrrxgaGuo24HTk6enJTz/9xIEDB4DkCqtBgwbx448/vvN/KiGEEEJkH3JERIg0MHnyZBISEvj6669p2LBhuuyjePHiHDx4kJ07d+Lu7k5AQACtWrWiZcuWLFiwABcXl3TZr8h5QkNDGT58OBs2bACgcOHCrFixgoYWFnD0KJiZyTyMdKZWq9HT00OlUqFSqShVqhTR0dHUrl2bL774IlsfpBCfbvTo0URGRjJt2jQGDRrEzp07P3sGweuuXbvGs2fPcHZ25tixYzn2fWfWrFmcPHkSb29v5s+fT+fOnTN0/6NGjeLOnTvkzZuXZcuWZZvZW/r6+vTt25dOnToxdepUFixYwMGDBzl69CiDBw9m4sSJ2Lxqf6hSqbCwsHhjG7Vq1Xrrts+dO8eAAQPw9vYGkhMpS5cuTf/EnJkZPHkCryrtPoqVlSQ1xFulVG2cOQN16/5/x7JChQpx+vRpxowZw/z585k9ezbnzp1jy5YtH1xBnlXcvn2bn3/+mR07dgDJJ4j16tWLCRMmkD9/fh1HJ4QQQoiMIokNIT7TnTt3WLt2LUC69zVXqVS0b9+epk2bMmXKFObMmcO+ffs4evQoY8eOZfTo0ZiYmKRrDCL70mq1bN++nSFDhhASEoJKpcLd3Z0pU6ZgZmYGx47JPIx0plaruX79OqdOnaJ58+YUK1YMgJo1a1KzZk1JaIj/NGXKFCIjI1m4cCFHjhxJ8+2XKFGCo0eP5ugDRyYmJmzZsoUqVapw7do15s2bx48//pgh+z5w4ABLliwBYO3atalaKWUXVlZWzJo1i379+jFy5Ej++usvFixYgIeHB5MnT6Zfv34fXK0WHh7Ojz/+yIoVKwCws7Njzpw5dOvWLeMSQrlzJ1+ESEPTpkGzZsnXrzMyMmLevHnUrVuXXr16ce7cOSpVqsSGDRto1qyZboL9CBqNhpiYGGJiYoiOjn7r9bFjx9iwYQMajQaVSkWXLl2YNGmSzCAUQgghciBJbAjxmSZMmIBGo6FVq1YZNjzVzMyMGTNm0L17d4YMGcLx48eZOHEi69atY+HChekyOFVkA5GRyS0xqld/o0XUkydPGDRoEHv37gWgTJkyrFq1KvVzWuZhpLmkpCSePn3KgwcPePjwIY8ePSI+Ph6Af/75R0lsSEJDfCiVSsX8+fNp3bo1T548SdNtGxsb06xZMyylxRylS5dm7ty5DBw4kAkTJtCgQQOqVq2arvt8/vw5vXr1AuD7779PNeg7OypWrBh79+7lyJEjuLu7c+vWLQYPHszSpUuZP38+Dd7znqTVatm0aRMjRowgODgYgF69evHbb79hZ2eXUQ9BiHTz5Zfw/Dm8a9xeu3btqFixIh07dsTT05PmzZszduxYJk+enCFtLJOSkjh//jwXLlwgMjLyvYmK16/j4uI+eB9t2rRhypQplC1bNh0fiRBCCCEyM0lsCPEZPD092b59OyqViqlTp2b4/kuVKsXRo0fZvn07w4cP5/79+7Ro0YLWrVszf/58nJ2dMzwmkYndvg2enslJjVctolLmN/zwww9ERkZiaGjI+PHjGTt2LEZGRjoOOPvRaDTK8Fm1Ws3s2bOVREYKMzMzatWqle4HSUX2paen996DviJt9OrViw0bNnDu3Dk6d+6Mp6dnuiV9tFot/fr1IzAwkNKlSzNjxox02U9m1KhRI65du8ayZcv4+eefuXHjBg0bNqRNmzbMnj2bIkWKpFr/7t27DBo0iGPHjgHJn5WWL19O3bp1dRG+EOnmXUmNFC4uLpw9e5aRI0eyZMkSpk+fztmzZ9m8eTN58+ZN83jCwsI4dOgQ+/bt48CBA4SHh3/ytlQqFebm5piZmb1x7ejoyJAhQ6hWrVoaRi+EEEKIrEgSG0J8hp9++gmALl26UK5cOZ3EoFKp6NSpE82aNWPy5MnMnz+fPXv2cPjwYcaPH88PP/yAsbGxTmITmUhERPJAb319ZbC3X3Aw/fr143//+x8A1apV448//pAz39JQXFwcDx8+VCoytFotffv2BZL7yTs4OBAaGkqhQoUoVKgQBQsWxNHRUUl+CCEyL5VKxaBBg3j8+DH37t1j8ODBymyitLZ27Vp27dqFoaEhHh4emP7XEc1sxsDAgCFDhtC5c2cmTZrE0qVL2b17N/v378fd3Z3x48djZGTEzJkz+fXXX0lISMDExISff/6ZkSNHSqJe5FgmJiYsXryYL7/8kj59+nDq1CkqVqzIpk2bPnsuoFarxcfHh3379rFv3z7Onj2LWq1Wltva2tKgQQMcHBzemaR417WpqWm2mR8khBBCiPQjiQ0hPtHp06c5cOAABgYGTJo0SdfhYGFhwaxZs+jRowdDhgzhxIkT/PTTT6xdu5ZFixbRpEkTXYcodMnHB8LCoHhxkm7fZv5PP/HzqlXExcWRK1cupk2bxtChQ9N00HBO5evri6+vLw8ePFBaoLwuPj5eSTZ27twZExMT+eddiCzK3NycDRs28PXXX+Ph4UHjxo1xc3NL033cv3+f77//HoDJkydTqVKlNN1+VmJnZ8fChQsZMGAAI0aM4PDhw/z222+sW7cOS0tLfH19AWjatCmLFy/OsQPuhfi3b7/9lkqVKtGxY0euX79O48aN+fnnn5kwYcJHffaLj4/n5MmTSjLD398/1fKyZcvSsmVLWrZsSY0aNeRzpRBCCCHSlZwSKsQn0Gq1jBs3DoDevXtnqmF1ZcqU4fjx42zatAknJyf8/Pxo2rQp7du35+HDh7oOT+hCSrWGnR3XHzyg5vLljFq4kLi4OBo0aIC3tzfu7u7yz+dH0mq1hIeHc+3aNbRarXK7t7c3ly5dUpIa9vb2VK5cmbZt2zJs2LBUFVRyRqIQWV/NmjWVExwGDRqkHFxPC0lJSbi5uREdHU3dunUZNWpUmm07KytTpgwHDx7kr7/+olixYgQFBeHr60uePHnYunUr+/fvl6SGEP9SvHhxLly4QJ8+fdBqtfzyyy80adKEoKCg994vMDCQ1atX065dO+zs7GjSpAkLFy7E398fIyMjmjZtyqJFi/D398fb25vp06dTu3Zt+VwphBBCiHQnFRtCfIKDBw9y5swZTExMmDBhgq7DeYNKpaJz5860aNGCSZMm8fvvv7Nz504OHjzIhAkTGDFihLRlyEl8fEgKCWG6tzeTt24lSa3GysSEuSNH0nPKFDmw/gHi4+MJDg4mKCiI4OBg5ZIy5NLJyQkHBwcguZ97rly5lNZSZmZmugxdCJEBxo4dy9GjRzl58iSdO3fm3LlzafI+O3PmTM6dO4eFhQXr16+XA4WvUalUtGzZksaNG7NixQpCQkIYMWIEVlZWug5NiEzL1NSUlStXUq9ePfr378+xY8eoWLEimzdvpn79+kDyiRtXr15VqjIuXbqUahtOTk60aNGCli1b0qBBA8zNzXXwSIQQQgghJLEhxEfTaDSMHz8egCFDhpAvXz4dR/RulpaWzJ07l549ezJ48GBOnz7N2LFjlfZUn9tbV2QBERHcO34c11WruHD/PgBta9RgcceOOFlZQVRU8jBxASQP9H7+/DnBwcG4uLgoSYl//vmH48ePv7G+np4e+fLlIyEhQbmtVKlSlCpVKsNiFkLonr6+Ph4eHlSoUIErV64wbtw4Zs+e/VnbvHz5slIJsmjRIpydnT8/0GzIyMiIIUOG6DoMIbIUV1dXKleuTMeOHbl16xYNGjRg5MiRvHjxgr///punT5+mWr9q1aq0bNmSFi1aUKlSJZkFJoQQQohMQRIbQnykHTt2cPXqVSwsLBgzZoyuw/kg5cqV4+TJk3h4ePDDDz9w584dGjVqRK1atahVqxbVq1enRo0a5M+fX9ehijSk1WpZ/dtvDJs9m5iEBCxz5WLJgAF0qVcPFcCdO3D7NlSvrutQdSI2NpbHjx+nqsJ4/vw5Go0GgE6dOikJCgcHBywsLHB0dMTBwUG55M6dGwMDeSsVQkD+/PlZvXo1bdq0Yc6cOTRs2JCmTZt+0rZiY2NxdXUlKSmJDh06pPncDiGEKF26NP/88w+DBw9m3bp1zJo1S1lmZmZG48aNadmyJc2bNydPnjw6jFQIIYQQ4u3kaIwQHyEpKUlpPTVy5Ejs7e11HNGHU6lUuLm58c033zBx4kQWLVrEuXPnOHfunLJO3rx5qV69upLo+OKLL6S8PIsKCQmhX8+e7P77bwDqlS3LOnd3Cr1qlwSAnV3y7I1SpbJ11YZGoyEwMJDHjx/j7OystIzy9/dnx44db6xvbGyMg4NDqpYvxYsXp0SJEhkWsxAia2rdujWDBw9m8eLFdO/enWvXrn3SAcHRo0dz584dnJycWLZsmbQMFEKkCzMzM9auXUv9+vVZunQp1atXp2XLltSrVy/VTDAhhBBCiMxIEhtCfIT169dz9+5d7O3tGTFihK7D+STW1tYsWLAAd3d3Tp48ycWLF7lw4QLe3t48ffqUXbt2sWvXLiC5zU7ZsmVTJTtKliwpPb4zuQMHDtCzZ0+CgoIw1NdnqqsrI9u0efP3Zm+fLas2tFotoaGh+Pv7K5eXL18C0LBhQyWxkVJ98XoVhqOjI5aWlm8cRJSDikKIDzVr1ixOnTqFt7c33bt358CBAx/VtuXgwYMsXrwYgLVr12JnZ5deoQohBAA9evSgR48eug5DCCGEEOKjSGJDiA/08uVLpdf12LFjsbCw0G1An6lw4cIULlxY+ScmJiYGT09PJdFx8eJFHj9+zPXr17l+/TorV64EwMLCgqpVqyqJjurVq+Po6KjDRyJSxMbGMmrUKJYsWQJAmbx58ejbl4pffPH2O6hU2a5qIzQ0lHXr1hEVFZXqdiMjIwoVKoS1tbVym729PQMHDszgCIUQ2Z2pqSlbtmyhSpUqHD58mLlz5/LDDz980H2fP39Oz549ARg6dCiNGzdOz1CFEEIIIYQQIsuSxIYQH2j58uU8evSIfPnyZcuDoWZmZtStW5e6desqtz19+jRVouPy5ctERUVx/PjxVIOUCxUqpFR1uLq6KmfEi4xz5coVunbtyp07dwAY9u23TC9ZEtMCBSAk5O13SkgAQ0MIDMxyVRtxcXEEBARw//59rKysqFOnDgBWVlbExcWhr69PgQIFKFy4MC4uLuTNm1cGXQohMkzp0qVZsGAB/fr1Y+zYsdSrV4+qVau+9z5arZb+/fsTGBhIqVKlmDlzZgZFK4QQQgghhBBZjyQ2hPgA0dHRTJs2DYCJEydiamqq44gyRt68eWnbti1t27YFkmeM3Lp1S0l0XLx4kVu3bvHgwQMePHjAtm3bWLhwIdevX8/yFS1ZhVqtZubMmUycOJGkpCTy5s3L2rVraaSnB0+evPuOPj4wZw788AOUKAHR0RkX9CdITEzk4cOH3L9/H39/f549e6Yss7e3VxIbBgYG9OrVC3t7ewwNDXUVrhBC0KdPHw4fPsyOHTvo3LkzV69efe9747p169i5cycGBgZ4eHjkmM8aQgghhBBCCPEpJLEhxAdYsGABISEhFC1aNEf3nzUwMKB8+fKUL1+efv36ARAZGcmlS5e4ePEiS5cuJSAggNGjR7N06VIdR5v9+fv74+bmxtmzZwHo0KEDy5cvx9bW9r/vXLducsXG6dPwKmmXmWi12lRzLZYvX05oaGiqdezt7ZWKjNfXd3JyytBYhRDibVQqFStWrOCff/7h3r17DB48mPXr1791XX9/f77//nsAJk+eTOXKlTMyVCGEEEIIIYTIciSxIcR/CAsLY9asWUDywQY5Czw1S0tLGjRoQIMGDahZsyZff/01y5Yto0OHDjRo0EDX4WVLWq2W9evXM3ToUKKiorCwsGDRokW4ubl92JDrEyfgzJnkr0+fTv6+fv2PjiMpKYnw8HBy586t3Hbnzh1CQkJQq9XKJSkpSfm6ZcuWyhDzs2fP4ufn99Z1NRoNw4YNU9pHFSxYkMTERFxcXJT5MFIVJITI7GxsbNi0aRNffvklGzZsoFGjRri5uaVaR61W4+bmRlRUFHXq1GH06NE6ilYIIYQQQvxfe3ceX9Od/3H8fbOSSEIsSRAElfpNa2+NtFokiC6x11aq0rGmQ6naaqu2tsHPVq2WTA0V1fFTLVX7UtugMQlVVWvJTRQNImQ9vz+MO1KiCeHm3Lyej8d9JO755nw/5zzeySPOJ+d7AJgHjQ3gD0yZMkWXLl1SrVq11KlTJ3uXU6g1bdpU/fv31wcffKDIyEjFx8dz8bmAXbhwQX369NE///lPSdLTTz+tf/zjH6pSpUredzJ6tOTsLGVl3fg4Zoy0bdtdvyQjI0NJSUmyWq2217lz5+Tk5KQRI0bYGhDx8fE6dOhQrvsJDw+3NTbOnz+vkydP5jrWarWqQoUKkqRWrVrJxcUlb40bAChEnnrqKY0bN05jxoxR//791ahRI1WvXt22fcqUKdqxY4e8vLy0aNEi289IAAAAAEDuaGwAd2G1WjVr1ixJ0nvvvcfDh/Ng8uTJWrNmDUtSPQDr1q1Tz549ZbVa5eLiogkTJmjo0KH5uwh2690a0o3mxu/u2khPT5erq6utifDNN99o7969Mgzjtt25u7vr8uXLKlmypKQbD5J3dXWVs7PzbS8XF5cc30P169dXtWrVbhvj7Owsd3d3lSlTxjaWO2NmB58AACUHSURBVKUAmNnIkSO1YcMGbdu2TV26dNGOHTvk5uam/fv3a8yYMZKkWbNmKSgoyM6VAgAAAIA50NgA7uLdd9/VtWvX1KhRIz3//PP2LscUSpQooQULFig0NJQlqQrItWvXNHz4cFuT7dFHH9WSJUvubQ32W+/WkHTd3V2JFSrI+vHHsl68KKvVqvPnz+uNN96Qt7e3JMnDw0OGYcjT01MBAQE5Xj4+PjnuonjiiSfyXErFihVVsWLF/B8DAJiMs7OzlixZotq1a2vfvn16++23NW7cOL388svKzMxU+/bt9corr9i7TAAAAAAwDRobQC6OHz+u+fPnS5Lef/99lsDJh2bNmqlfv36aN28eS1Ldp9jYWL388sv64YcfJElRUVGaPHmyPDw88rWftLQ0Oe/YIZf/3K3x71q1tO3ZZ3WxdOn/DoqPt32alJRka2zUr19fdevWlZeXF98HAHCPKlasqIULF6pNmzaaOnWq9u3bpx9//FEBAQH66KOP+PkKAAAAAPlAYwPIxfjx45WZmakWLVqoyT08WLmomzJlir755hudPHlSw4YN0wcffGDvkkzl2rVrmjVrlkaPHq2MjAz5+/srOjpa4eHhtjGGYcgwDNvyTr/++qt++uknXblyRSkpKTk+ZmRkqPOBAwr+z90aToZha2r4JCcrIDFRAa6uChg9WgEBASpRooRtnls/BwDcu9atW2vAgAGaO3euNm/eLEmKjo5W6VubzAAAAACAP0RjA7iDQ4cO6R//+IekG8/WQP7duiTVvHnz1KFDBzVr1szeZRUKhmEoKytL2dnZys7OVlpamjIyMnT8+HFt27ZNa9eu1dq1a5WamqqSJUuqffv26tChg7KysrRs2bIcTYuOHTsqODhYkpSYmKgNGzbkOu/VU6dsS1BVPX5cLy9apACrVR7Xrv13UK9e0iOPPNDjB4CibOrUqdq2bZvi4+MVFRWlli1b2rskAAAAADAdGhvAHYwePVqGYahdu3Zq0KCBvcsxrWbNmqlv37768MMP1atXL4dekurQoUPaunWrrVlxa+MiOztb7dq10yP/aRjExcVp5cqVd9yHJP30009KTU1VYGCg3nrrLV24cEF79uy547xXrlyxfV62bFnVqlVLJUqUkJeXV86P7dvLLS7ONtbz6lVVO348586cnaUxY6Rt2+7zbAAAclO8eHGtX79e69atU+fOne1dDgAAAACYEo0N4Hf27t2r//u//5OTk5MmTJhg73JM7+aSVKdOnXLoJamuX7+uX3/9NdftmZmZto8//fTTbdtvNkAkqUOHDlq0aJHq1Kkjq9WqzZs337lZ8Z+PN/n7+6tt27a3T75li7R16x8fRFaWtH37jfEsvwYAD4yfn5+6d+9u7zIAAAAAwLRobOCBmDlzpq5du6aAgAAFBASofPnyCggIkK+vb6F/OOaoUaMkSd27d9f//M//2Lka8/Py8tKCBQsUFhbm0EtSPfLII+rRo4ecnJzk5OQkZ2dn2+fXr1/Xnj17NGnSJK1evVrJyclydXVVVlaWnJ2d9cwzz6hKlSoaNmyYqlatmmO/5cuXV7du3e6vuNGjb9yN8Z9lqO6KuzYAAAAAAABQyNHYwAMxZ84c/fzzz7e97+bmJn9/f1uj49amx62flylTxvZA5Idp8+bNWr9+vVxdXTV27NiHPr+jCg0NtS1JFRkZqfj4eId7ILW3t7e8vb1t/z579qxWrlypVatWaePGjUpPT7dtK1WqlJ5//nm1bt1aLVq0UPHixbVmzRoFBgYWfGFbtkjffZf38dy1AQAAAAAAgEKOxgYeiJdfflnHjx+X1Wq1vS5cuKD09HSdPn1ap0+fvuvXu7i4yM/PL0fTw8/PT6mpqWrcuLF8fX0LvGbDMDRy5EhJUu/evRUUFFTgcxRlN5ekOnnypIYNG6a5c+fau6QCZRiG4uLitGrVKq1atUr79u3Lsb1atWpq3bq1IiIi9NRTT8nF5b8/fjMyMh5cYaNHSxaLZBh5/xqLhbs2AAAAAAAAUGjR2MADcae7HdLS0pSYmCir1aqEhARbw+P3n//666/KzMzU2bNndfbs2dv2M2fOHD333HPq3Lmznn/+eXl4eBRIzV9//bV2796t4sWL6+233y6QfeK/bl2S6oMPPlD79u0dZkmq2NhYvfTSSznuUrJYLPrzn/+siIgIRUREqGbNmg9/GbarV6U9e/LX1JBujN+9W0pNlQro+wsAAAAAAAAoKDQ28NC4u7urcuXKqly58l3HZWRkKCkpKUfDw2q16pdfftG3336rhIQErVixQitWrJCnp6ciIiLUqVMnhYeHy93d/Z5qy87Otj1bY+DAgfL397+n/eDuQkND1adPH3300UcOsyTV5cuX1aFDBx0/flzFixdX8+bNFRERoRdeeEF+fn72Lc7TUzp7Vrp0Kf9f6+NDUwMAAAAAAACFEo0NFDqurq6qWLGiKlasmOP9jIwMrV69WuXLl9eKFSsUExOjU6dOaenSpVq6dKl8fHzUpk0bde7cWaGhoXJ1dc3znDExMYqPj5ePj4+GDh1a0IeEW0ydOtVhlqQyDEN9+vTR8ePHVblyZX3//fcPZJm0+1K27I0XAAAAAAAA4CAe/tOZgftgsVhUt25dTZo0SSdOnNDu3bs1aNAglS9fXpcuXdKnn36qVq1aKSAgQL1799amTZuUlZV1131mZGRozJgxkqShQ4cWvgvTDubmklSS9MEHH2jz5s12rujeRUdHKyYmRs7Ozlq6dCnZAQAAAAAAAB4CGhswLYvFooYNG2rGjBn65ZdftHXrVvXv31/lypXThQsX9PHHHys0NFQVKlTQ66+/ru+++07Z2dm37WfhwoU6duyYypUrp4EDB9rhSIqesLAw9enTR5LUq1cvpaSk2Lmi/Dt8+LBef/11SdK7776rRo0a2bkiAAAAAAAAoGigsQGH4OTkpGeeeUZz587V2bNntX79er322msqVaqUkpKSNGfOHDVu3FiVK1fWkCFDtHfvXhmGoWvXrumdd96RJI0aNcr0z3swkylTpqhSpUq2JanM5Pr16+rcubNSU1MVFhamt956y94lAQAAAAAAAEUGjQ04HBcXF4WFhenjjz9WYmKiVq9ere7du8vLy0tnzpzR9OnT9eSTT6p69epq166dEhISVKlSJdsdBHg4vL29Tbsk1Ztvvqm4uDiVLVtWixYtkpMTP0oBAAAAAACAh4WrcXBobm5ueu6557Ro0SKdO3dOK1asUKdOneTh4aHjx49r7dq1kqRx48bJ3d3dztUWPWFhYerdu7ck8yxJtXLlStsDzxctWqSAgAA7VwQAAAAAAAAULTQ2UGQUK1ZMbdu2VUxMjM6dO6eYmBh16NBBr732mrp3727v8oqsqVOn2pakGj58uL3LuatffvlFvXr1knTjro3w8HA7VwQAAAAAAAAUPTQ2UCR5enqqU6dOWr58uT7++GO5uLjYu6Qiy9vbW5988okkae7cuYV2SarMzEx17dpVv/32m5544gm999579i4JAAAAAAAAKJJobACwu+bNm9uWpIqMjCyUS1JNmDBB3333nby8vLR06VK5ubnZuyQAAAAAAACgSKKxAaBQuLkk1YkTJwrdklRbt27Vu+++K0n66KOPVK1aNTtXBAAAAAAAABRdNDYAFAq/X5Jqy5Yt9i3oP86fP69u3bopOztbr776qrp06WLvkgAAAAAAAIAijcYGgEKjefPm+stf/iJJ6tWrl92XpDIMQ7169dLZs2cVHBys2bNn27UeAAAAAAAAADQ2ABQyf/vb3xQYGKgTJ05oxIgRdq1l9uzZ+uqrr+Tu7q5ly5bJ09PTrvUAAAAAAAAAoLEBoJC5dUmqOXPm2G1JqtjYWA0dOlTSjWZL7dq17VIHAAAAAAAAgJxobAAodFq0aJFjSaqrV68+1PlTUlLUqVMnpaenq3Xr1howYMBDnR8AAAAAAABA7mhsACiUbl2SqlOnTjp16tRDmzsqKkpHjx5VxYoVtXDhQlksloc2NwAAAAAAAIC7o7EBoFDy9vbWggUL5OzsrNWrVys4OFjDhw/XpUuXHui8ixcv1qeffionJyd99tln8vX1faDzAQAAAAAAAMgfuzY2tm3bphdffFHly5eXxWLRypUrc2zv2bOnLBZLjld4eHiOMRcvXlS3bt3k7e2tkiVLKjIyUikpKTnGxMXFqXHjxipWrJgCAwM1ZcqU22pZvny5Hn30URUrVkyPP/641qxZU+DHCyB/mjdvrn/9619q0qSJ0tLSNHnyZFWvXl1z585VRkZGgc939OhR9evXT5I0duxYNW7cuMDnAAAAAAAAAHB/7NrYuHr1qmrXrq25c+fmOiY8PFxWq9X2Wrp0aY7t3bp106FDh7R+/Xp9/fXX2rZtm3r37m3bfvnyZbVo0UKVK1fW/v37NXXqVI0bN07z58+3jdm5c6e6dOmiyMhIxcbGqk2bNmrTpo0OHjxY8AcNIF/q1aunTZs2adWqVQoODtb58+cVFRWlxx9/XF999ZUMwyiQedLT09WlSxelpKTo2Wef1ahRowpkvwAAAAAAAAAKll0bG61atdK7776rtm3b5jrG3d1d/v7+tlepUqVs2w4fPqy1a9fqk08+UcOGDfX0009r9uzZiomJUUJCgiRpyZIlSk9P18KFC/WnP/1JnTt31l//+ldNnz7dtp+ZM2cqPDxcQ4cOVc2aNTVhwgTVq1dPc+bMeXAHDyDPLBaLXnzxRcXHx2vu3LkqU6aMjhw5ooiICIWGhur777+/7zlGjBih/fv3y9fXV4sXL5azs3MBVA4AAAAAAACgoBX6Z2xs2bJF5cqVU3BwsPr166cLFy7Ytu3atUslS5ZUgwYNbO+FhYXJyclJe/bssY155pln5ObmZhvTsmVLHTlyRL/99pttTFhYWI55W7ZsqV27dj3IQwOQT66ururfv79+/vlnDRs2TO7u7tq8ebMaNGigV155RWfOnLmn/a5Zs8bW7IyOjlbFihULsmwAAAAAAAAABcjF3gXcTXh4uNq1a6egoCAdO3ZMI0eOVKtWrbRr1y45OzsrMTFR5cqVy/E1Li4u8vX1VWJioiQpMTFRQUFBOcb4+fnZtpUqVUqJiYm2924dc3Mfd5KWlqa0tDTbvy9fvixJysjIeCBr/0O288r5hYeHhyZMmKDIyEiNHj1ay5Yt06JFi7R8+XINGjRIb775pry8vPK0r4SEBL3yyiuSpKioKLVq1eqhZ4xswxGRazg6Mg5HRbbhiMg1zI4MwxGRa9xJfvJQqBsbnTt3tn3++OOPq1atWqpWrZq2bNmi0NBQO1YmTZw4UePHj7/t/XXr1snDw8MOFRUd69evt3cJKES6dOmi+vXrKzo6WocPH9bEiRM1b948denSRWFhYXddUiorK0vjxo3T+fPnFRQUpGeffVZr1qx5iNXnRLbhiMg1HB0Zh6Mi23BE5BpmR4bhiMg1bpWamprnsYW6sfF7VatWVZkyZfTzzz8rNDRU/v7+OnfuXI4xmZmZunjxovz9/SVJ/v7+SkpKyjHm5r//aMzN7XcyYsQIDR482Pbvy5cvKzAwUC1atJC3t/e9HyRylZGRofXr16t58+ZydXW1dzkoRJ577jkNHDhQK1eu1KhRo/Tzzz9r3rx52rp1qyZPnqyWLVve8esmTpyo+Ph4eXp62h5Obg9kG46IXMPRkXE4KrINR0SuYXZkGI6IXONObq6KlBemamycOXNGFy5cUEBAgCSpUaNGSk5O1v79+1W/fn1J0qZNm5Sdna2GDRvaxowaNUoZGRm2b5L169crODjY9iDyRo0aaePGjRo0aJBtrvXr16tRo0a51uLu7i53d/fb3nd1deWb8QHjHCM3L730ktq0aaN58+Zp/Pjx+uGHH/Tiiy+qRYsWmjp1qmrVqmUbu3PnTr3zzjuSpLlz5+qxxx6zV9k2ZBuOiFzD0ZFxOCqyDUdErmF2ZBiOiFzjVvnJgl0fHp6SkqIDBw7owIEDkqQTJ07owIEDOn36tFJSUjR06FDt3r1bJ0+e1MaNG9W6dWtVr17d9tfXNWvWVHh4uP7yl7/oX//6l3bs2KGoqCh17txZ5cuXlyR17dpVbm5uioyM1KFDh7Rs2TLNnDkzx90WAwcO1Nq1azVt2jT9+OOPGjdunPbt26eoqKiHfk4A3B83NzcNHDhQx44d0+DBg+Xq6qp169apTp06eu2115SQkKDffvtNXbp0UVZWlrp166YePXrYu2wAAAAAAAAAeWTXxsa+fftUt25d1a1bV5I0ePBg1a1bV2PGjJGzs7Pi4uIUERGhGjVqKDIyUvXr19f27dtz3CmxZMkSPfroowoNDdVzzz2np59+WvPnz7dt9/Hx0bp163TixAnVr19fQ4YM0ZgxY9S7d2/bmJCQEH322WeaP3++ateurS+++EIrV64sFH/BDeDelCpVytas7NixowzD0IIFC/TII4+oWbNmOn36tKpVq6Z58+bJYrHYu1wAAAAAAAAAeWTXpaiaNGkiwzBy3f7tt9/+4T58fX312Wef3XVMrVq1tH379ruO6dixozp27PiH8wEwl6pVq+rzzz/Xzp07NWTIEO3evVsHDhyQq6urYmJi5OXlZe8SAQAAAAAAAOSDXe/YAICHJSQkRDt37tSyZcvUpEkTLVy4UA0aNLB3WQAAAAAAAADyyVQPDweA+2GxWPTSSy/ppZdesncpAAAAAAAAAO4Rd2wAAAAAAAAAAADToLEBAAAAAAAAAABMg8YGAAAAAAAAAAAwDRobAAAAAAAAAADANGhsAAAAAAAAAAAA06CxAQAAAAAAAAAATIPGBgAAAAAAAAAAMA0aGwAAAAAAAAAAwDRobAAAAAAAAAAAANOgsQEAAAAAAAAAAEyDxgYAAAAAAAAAADANGhsAAAAAAAAAAMA0aGwAAAAAAAAAAADToLEBAAAAAAAAAABMg8YGAAAAAAAAAAAwDRobAAAAAAAAAADANGhsAAAAAAAAAAAA06CxAQAAAAAAAAAATIPGBgAAAAAAAAAAMA0aGwAAAAAAAAAAwDRc7F2AozAMQ5J0+fJlO1fiuDIyMpSamqrLly/L1dXV3uUABYZswxGRazg6Mg5HRbbhiMg1zI4MwxGRa9zJzWvrN6+13w2NjQJy5coVSVJgYKCdKwEAAAAAAAAAwJyuXLkiHx+fu46xGHlpf+APZWdnKyEhQV5eXrJYLPYuxyFdvnxZgYGB+uWXX+Tt7W3vcoACQ7bhiMg1HB0Zh6Mi23BE5BpmR4bhiMg17sQwDF25ckXly5eXk9Pdn6LBHRsFxMnJSRUrVrR3GUWCt7c3P/DgkMg2HBG5hqMj43BUZBuOiFzD7MgwHBG5xu/90Z0aN/HwcAAAAAAAAAAAYBo0NgAAAAAAAAAAgGnQ2IBpuLu7a+zYsXJ3d7d3KUCBIttwROQajo6Mw1GRbTgicg2zI8NwROQa94uHhwMAAAAAAAAAANPgjg0AAAAAAAAAAGAaNDYAAAAAAAAAAIBp0NgAAAAAAAAAAACmQWMD92XixIl64okn5OXlpXLlyqlNmzY6cuRIjjHXr1/XgAEDVLp0aZUoUULt27dXUlKSbfu///1vdenSRYGBgSpevLhq1qypmTNn5jrnjh075OLiojp16vxhfYZhaMyYMQoICFDx4sUVFhamo0eP5hgTERGhSpUqqVixYgoICFD37t2VkJCQvxMBh+MI2a5SpYosFkuO16RJk/J3IuBQzJ7rLVu23Jbpm6+9e/fm/4TAIZk955L0/fffq3nz5ipZsqRKly6t3r17KyUlJX8nAg6lsOd6xYoVatGihUqXLi2LxaIDBw7cNmb+/Plq0qSJvL29ZbFYlJycnNfDhwN7WNnO7XeIxMTEu9aXl5/Z7733nkJCQuTh4aGSJUve3wmBqThCfrkegt9zhFxzLaTooLGB+7J161YNGDBAu3fv1vr165WRkaEWLVro6tWrtjFvvPGGvvrqKy1fvlxbt25VQkKC2rVrZ9u+f/9+lStXTosXL9ahQ4c0atQojRgxQnPmzLltvuTkZPXo0UOhoaF5qm/KlCmaNWuWPvzwQ+3Zs0eenp5q2bKlrl+/bhvTtGlTff755zpy5Ij++c9/6tixY+rQocN9nBU4AkfItiS98847slqtttfrr79+j2cEjsDsuQ4JCcmRZ6vVqtdee01BQUFq0KDBfZ4dOAqz5zwhIUFhYWGqXr269uzZo7Vr1+rQoUPq2bPn/Z0YmFphz/XVq1f19NNPa/LkybmOSU1NVXh4uEaOHJmPI4eje9jZPnLkSI7fI8qVK3fX+vLyO3d6ero6duyofv36FcAZgZk4Qn65HoLfc4RcS1wLKTIMoACdO3fOkGRs3brVMAzDSE5ONlxdXY3ly5fbxhw+fNiQZOzatSvX/fTv399o2rTpbe936tTJePvtt42xY8catWvXvmst2dnZhr+/vzF16lTbe8nJyYa7u7uxdOnSXL/uyy+/NCwWi5Genn7X/aNoMWO2K1eubMyYMSOPR4iiyIy5vlV6erpRtmxZ45133rnrvlG0mS3nH330kVGuXDkjKyvLNiYuLs6QZBw9ejRPxwzHV5hyfasTJ04YkozY2Nhcx2zevNmQZPz222953i+KjgeV7XvJXX5/N4mOjjZ8fHzyvH84HjPn9yauh+D3zJhrroUUHdyxgQJ16dIlSZKvr6+kG13ajIwMhYWF2cY8+uijqlSpknbt2nXX/dzcx03R0dE6fvy4xo4dm6daTpw4ocTExBxz+/j4qGHDhrnOffHiRS1ZskQhISFydXXN0zwoGsya7UmTJql06dKqW7eupk6dqszMzDzNgaLBrLm+adWqVbpw4YJeffXVPM2BoslsOU9LS5Obm5ucnP77a3rx4sUlSd99912e5oHjK0y5BgrSg8y2JNWpU0cBAQFq3ry5duzYcdda7uV3ExRtZs8v10NwJ2bNNddCigYXexcAx5Gdna1Bgwbpqaee0mOPPSZJSkxMlJub221rjfr5+eW6bt7OnTu1bNkyrV692vbe0aNHNXz4cG3fvl0uLnmL7c39+/n5/eHcw4YN05w5c5Samqo///nP+vrrr/M0B4oGs2b7r3/9q+rVqydfX1/t3LlTI0aMkNVq1fTp0/M0DxybWXN9qwULFqhly5aqWLFinuZA0WPGnDdr1kyDBw/W1KlTNXDgQF29elXDhw+XJFmt1jzNA8dW2HINFJQHme2AgAB9+OGHatCggdLS0vTJJ5+oSZMm2rNnj+rVq3fH/dzL7yYousycX66HIDdmzTXXQooO7thAgRkwYIAOHjyomJiYe97HwYMH1bp1a40dO1YtWrSQJGVlZalr164aP368atSoccevW7JkiUqUKGF7bd++PV/zDh06VLGxsVq3bp2cnZ3Vo0cPGYZxz8cBx2LWbA8ePFhNmjRRrVq11LdvX02bNk2zZ89WWlraPR8HHIdZc33TmTNn9O233yoyMvKe64fjM2PO//SnP+nTTz/VtGnT5OHhIX9/fwUFBcnPzy/HXRwousyYayAvHlS2JSk4OFh9+vRR/fr1FRISooULFyokJEQzZsyQRLZx/8ycX66HIDdmzTXXQooO/gwHBSIqKkpff/21tm3bluMvZ/39/ZWenq7k5OQc3dykpCT5+/vn2McPP/yg0NBQ9e7dW2+//bbt/StXrmjfvn2KjY1VVFSUpBtdY8Mw5OLionXr1ikiIkINGza0fU2FChVsf9WYlJSkgICAHHPXqVMnx9xlypRRmTJlVKNGDdWsWVOBgYHavXu3GjVqdN/nBuZm9mzfqmHDhsrMzNTJkycVHBx8T+cDjsERch0dHa3SpUsrIiLivs4FHJeZc961a1d17dpVSUlJ8vT0lMVi0fTp01W1atUCOTcwr8KYa6AgPMhs5+bJJ5+0LfFXkL9zo+gxe365HoI7MXuub8W1EAdmx+d7wAFkZ2cbAwYMMMqXL2/89NNPt22/+VChL774wvbejz/+eNtDhQ4ePGiUK1fOGDp06G37yMrKMuLj43O8+vXrZwQHBxvx8fFGSkpKrrX5+/sbf/vb32zvXbp06Q8flnXq1ClDkrF58+a8nAI4KEfM9uLFiw0nJyfj4sWLeToHcDyOkuvs7GwjKCjIGDJkSL7PARyfo+T8VgsWLDA8PDx42HIRVphzfSseHo78ehjZzk1YWJjRtm3bu9aWn5/ZPDy86HGk/N7E9RA4Yq65FuK4aGzgvvTr18/w8fExtmzZYlitVtsrNTXVNqZv375GpUqVjE2bNhn79u0zGjVqZDRq1Mi2PT4+3ihbtqzx8ssv59jHuXPncp137NixRu3atf+wvkmTJhklS5Y0vvzySyMuLs5o3bq1ERQUZFy7ds0wDMPYvXu3MXv2bCM2NtY4efKksXHjRiMkJMSoVq2acf369Xs/MTA9s2d7586dxowZM4wDBw4Yx44dMxYvXmyULVvW6NGjx72fFJie2XN904YNGwxJxuHDh/N/EuDwHCHns2fPNvbv328cOXLEmDNnjlG8eHFj5syZ93ZC4BAKe64vXLhgxMbGGqtXrzYkGTExMUZsbKxhtVptY6xWqxEbG2t8/PHHhiRj27ZtRmxsrHHhwoV7OylwCA8r2zNmzDBWrlxpHD161IiPjzcGDhxoODk5GRs2bLhrfXn5mX3q1CkjNjbWGD9+vFGiRAkjNjbWiI2NNa5cuVKAZwqFkdnzy/UQ3InZc821kKKFxgbui6Q7vqKjo21jrl27ZvTv398oVaqU4eHhYbRt2zbHf3LGjh17x31Urlw513nz+p+s7OxsY/To0Yafn5/h7u5uhIaGGkeOHLFtj4uLM5o2bWr4+voa7u7uRpUqVYy+ffsaZ86cuZfTAQdi9mzv37/faNiwoeHj42MUK1bMqFmzpvH+++/zC2oRZ/Zc39SlSxcjJCQkP4eOIsQRct69e3fD19fXcHNzM2rVqmUsWrQov6cBDqaw5zo6OvqO+x47duwfzn/rMaDoeVjZnjx5slGtWjWjWLFihq+vr9GkSRNj06ZNf1hfXn5mv/LKK3ecn794d3xmzy/XQ3AnZs8110KKFoth8EQgAAAAAAAAAABgDk72LgAAAAAAAAAAACCvaGwAAAAAAAAAAADToLEBAAAAAAAAAABMg8YGAAAAAAAAAAAwDRobAAAAAAAAAADANGhsAAAAAAAAAAAA06CxAQAAAAAAAAAATIPGBgAAAAAAAAAAMA0aGwAAAAAAAAAAwDRobAAAAAAwjZ49e8pischiscjV1VV+fn5q3ry5Fi5cqOzs7Dzv5+9//7tKliz54AoFAAAA8MDQ2AAAAABgKuHh4bJarTp58qS++eYbNW3aVAMHDtQLL7ygzMxMe5cHAAAA4AGjsQEAAADAVNzd3eXv768KFSqoXr16GjlypL788kt98803+vvf/y5Jmj59uh5//HF5enoqMDBQ/fv3V0pKiiRpy5YtevXVV3Xp0iXb3R/jxo2TJKWlpenNN99UhQoV5OnpqYYNG2rLli32OVAAAAAAd0RjAwAAAIDpNWvWTLVr19aKFSskSU5OTpo1a5YOHTqkTz/9VJs2bdJbb70lSQoJCdH//u//ytvbW1arVVarVW+++aYkKSoqSrt27VJMTIzi4uLUsWNHhYeH6+jRo3Y7NgAAAAA5WQzDMOxdBAAAAADkRc+ePZWcnKyVK1fetq1z586Ki4vTDz/8cNu2L774Qn379tX58+cl3XjGxqBBg5ScnGwbc/r0aVWtWlWnT59W+fLlbe+HhYXpySef1Pvvv1/gxwMAAAAg/1zsXQAAAAAAFATDMGSxWCRJGzZs0MSJE/Xjjz/q8uXLyszM1PXr15WamioPD487fn18fLyysrJUo0aNHO+npaWpdOnSD7x+AAAAAHlDYwMAAACAQzh8+LCCgoJ08uRJvfDCC+rXr5/ee+89+fr66rvvvlNkZKTS09NzbWykpKTI2dlZ+/fvl7Ozc45tJUqUeBiHAAAAACAPaGwAAAAAML1NmzYpPj5eb7zxhvbv36/s7GxNmzZNTk43Hiv4+eef5xjv5uamrKysHO/VrVtXWVlZOnfunBo3bvzQagcAAACQPzQ2AAAAAJhKWlqaEhMTlZWVpaSkJK1du1YTJ07UCy+8oB49eujgwYPKyMjQ7Nmz9eKLL2rHjh368MMPc+yjSpUqSklJ0caNG1W7dm15eHioRo0a6tatm3r06KFp06apbt26+vXXX7Vx40bVqlVLzz//vJ2OGAAAAMCtnOxdAAAAAADkx9q1axUQEKAqVaooPDxcmzdv1qxZs/Tll1/K2dlZtWvX1vTp0zV58mQ99thjWrJkiSZOnJhjHyEhIerbt686deqksmXLasqUKZKk6Oho9ejRQ0OGDFFwcLDatGmjvXv3qlKlSvY4VAAAAAB3YDEMw7B3EQAAAAAAAAAAAHnBHRsAAAAAAAAAAMA0aGwAAAAAAAAAAADToLEBAAAAAAAAAABMg8YGAAAAAAAAAAAwDRobAAAAAAAAAADANGhsAAAAAAAAAAAA06CxAQAAAAAAAAAATIPGBgAAAAAAAAAAMA0aGwAAAAAAAAAAwDRobAAAAAAAAAAAANOgsQEAAAAAAAAAAEyDxgYAAAAAAAAAADCN/wfWB656jyXRnQAAAABJRU5ErkJggg==">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685800" y="2425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6</xdr:col>
      <xdr:colOff>304800</xdr:colOff>
      <xdr:row>5</xdr:row>
      <xdr:rowOff>304800</xdr:rowOff>
    </xdr:to>
    <xdr:sp macro="" textlink="">
      <xdr:nvSpPr>
        <xdr:cNvPr id="13313" name="AutoShape 1" descr="data:image/png;base64,iVBORw0KGgoAAAANSUhEUgAABjUAAAJOCAYAAAD/KYUYAAAAOnRFWHRTb2Z0d2FyZQBNYXRwbG90bGliIHZlcnNpb24zLjEwLjAsIGh0dHBzOi8vbWF0cGxvdGxpYi5vcmcvlHJYcgAAAAlwSFlzAAAPYQAAD2EBqD+naQABAABJREFUeJzs3XdY1fX7x/HXYSMIKg4cuPckTM00NffIMkeZmYKj7OuobJq5KttWmqaVO7e5cqVmOUoNU3EC7pGCmgMEGQfO+f1BnJ8IKiBwzpHn47rOBefzeX/en/sc3uJ1nZv7fRvMZrNZAAAAAAAAAAAANs7B2gEAAAAAAAAAAABkBkkNAAAAAAAAAABgF0hqAAAAAAAAAAAAu0BSAwAAAAAAAAAA2AWSGgAAAAAAAAAAwC6Q1AAAAAAAAAAAAHaBpAYAAAAAAAAAALALJDUAAAAAAAAAAIBdIKkBAAAAAAAAAADsAkkNAAAAAAAAAABgF0hqAAAAIN85ceKEXnrpJVWsWFFubm7y8vJSkyZNNHHiRMXFxVnGlS9fXgaDQa1bt85wnh9++EEGg0EGg0F///235fjYsWMtx29/TJs2LddfX6rAwEAZDAZ5eXmleV2pjh07Zonriy++yHCOdevWyWAwqFSpUjKZTBmO2bhxo/r376/atWvL0dFR5cuXv2NMJpNJn332mSpUqCA3NzfVrVtXCxcuzNbrAwAAAJD/kNQAAABAvrJ27VrVqVNHS5YsUefOnfXNN9/o448/VtmyZfXmm2/qlVdeSTPezc1Nv//+uyIjI9PNNX/+fLm5ud3xXlOnTtWPP/6Y5tGqVascf0134+TkpJs3b2r16tXpzt0r/tQx5cuXV0REhH777bcMxyxYsEALFiyQt7e3SpUqddf5Ro4cqbfffltt2rTRN998o7Jly6pXr15atGjRXa9bt26dXF1d5enpmeHD2dlZycnJmR6XFXlx79jYWDk7O9/xWldXV/3222+ZHncnjzzyiDw8PDK81t3dXWPGjMmVcRl5++235e7unuG1Hh4eatGiRa6MAwAAgH0jqQEAAIB849SpU+rZs6fKlSunI0eOaOLEiRo4cKAGDx6shQsX6siRI6pVq1aaa5o0aSJPT08tXrw4zfF//vlH27dvV6dOne54v+7du6t3795pHlWqVMlSzKdPn5bBYNCWLVuydF0qV1dXtWrVKsNqiAULFtw1/tjYWK1atUrDhw/XQw89pPnz52c47qOPPlJ0dLT+/PNP1atX747znT9/XhMmTNDgwYP1/fffa+DAgVq9erUee+wxvfnmm3dNNphMJvXo0UMxMTEZPnx8fGQ2mzM9Livy4t5ms1klSpS447VPP/20TCZTpsfdSVJSkvbv35/htV999ZXlZ5DT4zKSnJysb775JsNr9+zZo6SkpFwZBwAAAPtGUgMAAAD5xmeffaaYmBjNmDFDJUuWTHe+cuXKGVZqdO3aVQsWLEhzfOHChSpcuLDatWuXqzHnhF69emn9+vW6fv265dju3bt17Ngx9erV647XrVixQnFxcerRo4d69uyp5cuXKz4+Pt24UqVKydnZ+Z5xrFq1SkajUf/73/8sxwwGg15++WX9888/2rlzZ9Ze2H0yGo0KCwtTREREnt4XAAAAQPaR1AAAAEC+sXr1alWsWFGPPvpolq7r1auXgoODdeLECcuxBQsWqHv37nf9MP/q1av6999/LY9r165lO/b70bVrVxkMBi1fvtxybMGCBapevboCAgLueN38+fP1+OOPy9fXVz179tSNGzcy3MYqs/bt2ycPDw/VqFEjzfGGDRtazuel8+fPq0aNGhoxYkSe3hcAAABA9pHUAAAAQL4QHR2t8+fPq06dOlm+tmXLlvL19bVs4RQaGqqQkJC7VjlIUrVq1VSsWDHL46GHHspW7PerYMGCeuKJJyzVJiaTSYsWLdJzzz13x2suXbqkX3/9VT179pQklS1bVo0bN77jFlSZERERoRIlSshgMKQ5nlo1c+HChWzPDQAAACB/cLJ2AAAAAEBeiI6OlpTyAX9WOTo66plnntHChQv13nvvaf78+fLz89Njjz2mkydP3vG6ZcuWycvLy/Lc3d39nveKiYlJs8VTanVHVFSU/v33X8txZ2dneXt7Z/o19OrVSz169FBkZKQOHTqkyMjIuyZlFi1aJAcHB3Xr1s1y7LnnntPrr7+ua9euqXDhwpm+d6q4uDi5urqmO57arDwuLi7Lc96P8uXLZ7m/BgAAAADrIqkBAACAfCE1uXDjxo1sXd+rVy9NmjRJ+/fv14IFC9SzZ890FQe3a9asmYoWLZql+wwZMkRz5sxJd7xLly5pnjdv3jxLzcM7duyoggULavHixQoJCVGDBg1UuXJlnT59OsPx8+bNU8OGDXXlyhVduXJFkvTQQw8pMTFRS5cu1Ysvvpjpe6dyd3dXQkJCuuOpSZzMJH0AAAAA5G8kNQAAAJAveHl5qVSpUjp06FC2rm/UqJEqVaqkV199VadOnbrn1lPZ9dZbb6l3796W5xcvXlTv3r31xRdfqF69epbjWa2UcHV1VdeuXTVnzhydPHlSY8eOvePYY8eOaffu3ZKkKlWqpDs/f/78bCU1SpYsqd9//11mszlNQii1UXepUqWyPCcAAACA/IWkBgAAAPKNJ554Qt9//7127typxo0bZ/n65557Th9++KFq1Kghf3//nA9QUs2aNVWzZk3L89RKivr166tFixb3NXevXr00c+ZMOTg4WHplZGT+/PlydnbWjz/+KEdHxzTn/vjjD02aNElnz55V2bJls3R/f39/TZ8+XaGhoWle419//WU5DwAAAAB3Q6NwAAAA5BtvvfWWPDw8NGDAAF28eDHd+RMnTmjixIl3vH7AgAEaM2aMJkyYkJth5prHH39cH3zwgSZPnixfX987jps/f74ee+wxPfvss+revXuax5tvvilJlqbpWfHUU0/J2dlZ3377reWY2WzWtGnTVLp0aT366KNZf1H3wWg0KiwszFIpAgAAAMD2UakBAACAfKNSpUpasGCBnn32WdWoUUN9+vRR7dq1lZiYqB07dmjp0qUKDAy84/XlypW767ZNts7BwUHvvffeXcf89ddfOn78uIYMGZLh+dKlSysgIEDz58/X22+/LUk6cOCAfv75Z0nS8ePHFRUVpQ8//FCSVK9ePXXu3FmSVKZMGb366qv6/PPPZTQa1aBBA61cuVLbt2/X/Pnz01WF5Lbz58+rRo0a6tu3r2bPnp2n9wYAAACQPSQ1AAAAkK88+eSTOnDggD7//HOtWrVKU6dOlaurq+rWrasJEyZo4MCB1g7RqubPny9JlkRERjp37qyxY8fqwIEDqlu3rvbu3atRo0alGZP6vG/fvmnm+uSTT1S4cGF99913mj17tqpUqaJ58+blWo8SAAAAAA8WkhoAAADId6pUqaLvv//+nuNS+1ncTWBgYLrqjrFjx+ZYRUf58uVlNpuzde3s2bPvWYFw+/yTJk3SpEmT7nrNmDFjNGbMGMvzjN6DO3FwcNCIESM0YsSITI3PTffz3gIAAACwDnpqAAAAAAAAAAAAu0ClBgAAAAC7sGTJEq1ZsybDc9HR0VkeZ2v3vnDhggoVKpThuZs3b2rAgAFZGncnAQEBcnBI//dtiYmJGj58eK6Ny8iwYcP0xhtvpDtuMplUt27dXBsHAAAA+2UwU28NAAAAAAAAAADsANtPAQAAAAAAAAAAu0BSAwAAAAAAAAAA2AWSGgAAAAAAAAAAwC7QKDyHmEwmXbhwQQULFpTBYLB2OAAAAAAAAAAA2A2z2awbN26oVKlScnC4cz0GSY0ccuHCBfn5+Vk7DAAAAAAAAAAA7Na5c+dUpkyZO54nqZFDChYsKCnlDffy8rJyNP/PaDRq48aNatu2rZydna0dDiCJdQn7wDqFrWONwp6wXmEPWKewdaxR2BLWI2wda9Q+RUdHy8/Pz/JZ+52Q1MghqVtOeXl52VxSo0CBAvLy8uIfMGwG6xL2gHUKW8cahT1hvcIesE5h61ijsCWsR9g61qh9u1d7BxqFAwAAAAAAAAAAu0BSAwAAAAAAAAAA2AWSGgAAAAAAAAAAwC7QUyOPJScny2g05tn9jEajnJycFB8fr+Tk5Dy7L6zDxcVFDg7kKgEAAAAAAAA8mEhq5BGz2azIyEhdv349z+/r6+urc+fO3bPBCuyfg4ODKlSoIBcXF2uHAgAAAAAAAAA5jqRGHklNaBQvXlwFChTIswSDyWRSTEyMPD09+Qv+B5zJZNKFCxcUERGhsmXLksQCAAAAAAAA8MAhqZEHkpOTLQkNHx+fPL23yWRSYmKi3NzcSGrkA8WKFdOFCxeUlJQkZ2dna4cDAAAAAAAAADmKT7nzQGoPjQIFClg5EjzoUredon8KAAAAAAAAgAcRSY08xHZAyG2sMQAAAAAAAAAPMpIaAAAAAAAAAADALpDUwH0zGAxauXKltcMAAAAAAAAAADzgSGrgniIjIzV06FBVrFhRrq6u8vPzU+fOnbV582ZrhwYAAAAAAAAAyEecrB0AbNvp06fVpEkTFSpUSJ9//rnq1Kkjo9GoDRs2aPDgwQoLC7N2iAAAAAAAAACAfIJKDdzV//73PxkMBgUHB6tbt26qWrWqatWqpeHDh2vXrl0ZXnPw4EG1bNlS7u7u8vHx0YsvvqiYmBjL+S1btqhhw4by8PBQoUKF1KRJE505c8ZyftWqVQoICJCbm5sqVqyocePGKSkpKddfKwAAAAAAAADAtlGpYSVms1k3b97M9fuYTCbFxsbK0dFRDg4OKlCggAwGQ6auvXr1qn755ReNHz9eHh4e6c4XKlQo3bHY2Fi1a9dOjRs31u7du3Xp0iUNGDBAQ4YM0ezZs5WUlKQuXbpo4MCBWrhwoRITExUcHGyJafv27erTp48mTZqkxx57TCdOnNCLL74oSRozZkz23wgAAAAAAAAAsCXR0dJff0mNGkleXtaOxm6Q1LCSmzdvytPTM8/vGxMTk2GCIiPHjx+X2WxW9erVMz3/ggULFB8fr7lz51ruM3nyZHXu3FmffvqpnJ2dFRUVpSeeeEKVKlWSJNWoUcNy/bhx4/TOO++ob9++kqSKFSvqgw8+0FtvvUVSAwAAAAAAAMCDIzRU2rs3JaHRqJG1o7EbbD+FOzKbzVm+JjQ0VPXq1UuTOGnSpIlMJpPCw8NVpEgRBQYGql27durcubMmTpyoiIgIy9j9+/fr/fffl6enp+UxcOBARURE5EllCwAAAAAAAADkuqgo6dAhydEx5Wt0tLUjshtUalhJgQIF0vSZyC0mk0nR0dHy8vKybD+VWVWqVJHBYMjxZuCzZs3SsGHD9Msvv2jx4sV67733tGnTJj3yyCOKiYnRuHHj1LVr13TXubm55WgcAAAAAAAAAGAVYWHS1atS1arS0aMpVRtUa2QKSQ0rMRgMmd4G6n6YTCYlJyfLw8NDDg5ZK8wpUqSI2rVrpylTpmjYsGHp4r1+/Xq6vho1atTQ7NmzFRsbaxn/559/ysHBQdWqVbOMe+ihh/TQQw9pxIgRaty4sRYsWKBHHnlEAQEBCg8PV+XKlbP3ggEAAAAAAADAlv1XpWEuUkRxRqMK+PikVGvUqEFvjUxg+ync1ZQpU5ScnKyGDRtq2bJlOnbsmEJDQzVp0iQ1btw43fjnn39ebm5u6tu3rw4dOqTff/9dQ4cO1QsvvKASJUro1KlTGjFihHbu3KkzZ85o48aNOnbsmKWvxujRozV37lyNGzdOhw8fVmhoqBYtWqT33nsvr186AAAAAAAAAOS8sDBFnjmjp3/4QT0+/VRmH5+Uqo3QUGtHZheo1MBdVaxYUXv37tX48eP1+uuvKyIiQsWKFVP9+vU1derUdOMLFCigDRs26JVXXlGDBg1UoEABdevWTV9++aXlfFhYmObMmaMrV66oZMmSGjx4sF566SVJUrt27bRmzRq9//77lsbi1atX14ABA/L0dQMAAAAAAABATjNfv67FM2dq8Pz5uhobK2cnJx06e1Z1qNbINJIauKeSJUtq8uTJmjx5cobnb28oXqdOHf32228Zji1RooRWrFhx1/u1a9dO7dq1y16wAAAAAAAAAGCDLl26pP/17Kllv/8uSXqoYkXNfuUV1SlfXjKbpfBwemtkAttPAQAAAAAAAACQi3766SfVqllTy37/XU6OjhrXq5f++uIL1a1QIWWAwSClVmtER1s3WBtHUgMAAAAAAAAAgFxw5coVPffcc+rRo4f+vXJFdXx9FfzFFxrds6ecnW7bSKloUXprZALbTwEAAAAAAAAAkMNWrVqll156SRcvXpSjo6NGdOigUZ07y6VkyYwvuLVag94ad0RSAwAAAAAAAACAHHLt2jUNGzZM8+bNkyTVrFlTc958Uw+fPy85OkqXL9/5YrNZioykt8ZdsP0UAAAAAAAAAAA5YO3atapVq5bmzZsnBwcHvf3229qzZ48e9vOT/PwkZ2fJyenOD2fnlHExMdZ+KTaLSg0AAAAAAAAAADIjOlr666+UKopbtoe6fv26hg8frlmzZkmSqlWrptmzZ+uRRx5JGdCqlTWifSBRqQEAAAAAAAAAQGaEhkp796Zp5r1hwwbVqVNHs2bNksFg0PDhw7Vv377/T2ggR1GpAQAAAAAAAADAvURFpTTxdnSUDh1SdOnSeuP99/XDDz9IkipXrqxZs2apadOmVg70wUalBgAAAAAAAAAA9xIWJl29KlWpos1//aU6DRpYEhrDhg1TSEgICY08QKUGAAAAAAAAAAB381+VRoyHh97+/nt9u26dJKlCuXKaNWeOmjdvbuUA8w8qNXBXgYGBMhgMGjRoULpzgwcPlsFgUGBgYJrjO3fulKOjozp16pThnMOGDVP9+vXl6uoqf3//DMccOHBAjz32mNzc3OTn56fPPvvsfl8KAAAAAAAAAGRPWJiOhYer7vvvWxIa/2vcWAdmzSKhkcdIauCe/Pz8tGjRIsXFxVmOxcfHa8GCBSpbtmy68TNmzNDQoUO1bds2XbhwIcM5+/Xrp2effTbDc9HR0Wrbtq3KlSunPXv26PPPP9fYsWP1/fff58wLAgAAAAAAAIDM+q9K470tW3Tq4kWVLVZMv37wgaYMGCDPkyel6GhrR5ivkNTAPQUEBMjPz0/Lly+3HFu+fLnKli2rhx56KM3YmJgYLV68WC+//LI6deqk2bNnp5tv0qRJGjx4sCpWrJjh/ebPn6/ExETNnDlTtWrVUs+ePTVs2DB9+eWXOfq6AAAAAAAAAOCewsJ05dw5rdy3T5K0auRItapXTypaNKXHRmiolQPMX0hqWFliYuIdH0lJSZkeazQa7zjWaDQqMTHxvuLs16+fZs2aZXk+c+ZMBQUFpRu3ZMkSVa9eXdWqVVPv3r01c+ZMmc3mLN1r586datasmVxcXCzH2rVrp/DwcF27di37LwIAAAAAAAAAsuK/Ko35R48qMSlJAZUqyT/1j7UNBsnHRzp0iGqNPESjcCv7+OOP73iuSpUq6tWrl+X5F198kS55kapcuXJpeltMnDhRN2/eTDNmzJgx2Y6zd+/eGjFihM6cOSNJ+vPPP7Vo0SJt2bIlzbgZM2aod+/ekqT27dsrKipKW7duVYsWLTJ9r8jISFWoUCHNsRIlSljOFS5cONuvAwAAAAAAAAAyLSxM5itXNGPnTklSv9at054vWlQKD0+p1mjUyAoB5j8kNZApxYoVs2wnZTab1alTJxUtWjTNmPDwcAUHB2vFihWSJCcnJz377LOaMWNGlpIaAAAAAAAAAGB1/1Vp7ImJ0YHTp+Xq7KxetzcFv7Vao0YNycvLOrHmIyQ1rGzEiBF3POfgkHZ3sDfeeOOOYw0GQ5rnr7zyiiTJZDLpxo0bKliw4H1EmaJfv34aMmSIJGnKlCnpzs+YMUNJSUkqVaqU5ZjZbJarq6smT54sb2/vTN3H19dXFy9eTHMs9bmvr292wwcAAAAAAACAzAsLkyIjNWPbNklSt4AAFY6Lk+Li0o4zm6XISKo18ghJDSu7tW9Ebow1mUxydnbO0rV30r59eyUmJspgMKhdu3ZpziUlJWnu3LmaMGGC2rZtm+Zcly5dtHDhQg0aNChT92ncuLFGjhwpo9EoZ2dnSdKmTZtUrVo1tp4CAAAAAAAAkDdiYnSzeHEtCA6WJPVr3lxyusNH6n5+UkxMHgaXf5HUQKY5OjoqNDTU8v2t1qxZo2vXrql///7pKjK6deumGTNmWJIax48fV0xMjCIjIxUXF6eQkBBJUs2aNeXi4qJevXpp3Lhx6t+/v95++20dOnRIEydO1FdffZX7LxIAAAAAAAAAJKlVKy2PiFB0XJwqVKigxz/+WLptdx3kPZIayBKvO+wJN2PGDLVu3TrDLaa6deumzz77TAcOHFDdunU1YMAAbd261XL+oYcekiSdOnVK5cuXl7e3tzZu3KjBgwerfv36Klq0qEaPHq0XX3wxd14UAAAAAAAAAGRgxowZkqSgoKB07QJgHSQ1cFezZ8++6/mVK1fec46GDRvKbDZbnm/ZsuWe19StW1fbt2+/5zgAAAAAAAAAyA0nTpzQli1bZDAY1LdvX2uHg/+QWgIAAAAAAAAA4DazZs2SJLVt21Zly5a1cjRIRVIDAAAAAAAAAIBbJCcnW3ax6d+/v3WDQRokNQAAAAAAAAAAuMXGjRt1/vx5+fj46Mknn7R2OLgFSQ0AAAAAAAAAAG6R2iC8d+/ecnV1tXI0uBVJDQAAAAAAAAAA/nP58mX9/PPPkth6yhaR1AAAAAAAAAAA4D/z5s2T0WjUww8/rDp16lg7HNyGpAYAAAAAAAAAAJLMZrNl6ymqNGwTSQ0AAAAAAAAAACQFBwfr8OHDcnd313PPPWftcJABqyY1pk6dqrp168rLy0teXl5q3Lix1q9fbzkfHx+vwYMHy8fHR56enurWrZsuXryYZo6zZ8+qU6dOKlCggIoXL64333xTSUlJacZs2bJFAQEBcnV1VeXKlTV79ux0sUyZMkXly5eXm5ubGjVqpODg4Fx5zQAAAAAAAAAA25RapdG9e3d5e3tbORpkxKpJjTJlyuiTTz7Rnj179Pfff6tly5Z66qmndPjwYUnSa6+9ptWrV2vp0qXaunWrLly4oK5du1quT05OVqdOnZSYmKgdO3Zozpw5mj17tkaPHm0Zc+rUKXXq1EmPP/64QkJC9Oqrr2rAgAHasGGDZczixYs1fPhwjRkzRnv37lW9evXUrl07Xbp0Ke/eDGSLwWDQypUr8/y+5cuX19dff33XMYmJiapcubJ27NiR6XnHjh0rf39/y/PAwEB16dLF8rxnz56aMGFCFqMFAAAAAAAAcC+xsbFatGiRJKlfv35WjgZ3YtWkRufOndWxY0dVqVJFVatW1fjx4+Xp6aldu3YpKipKM2bM0JdffqmWLVuqfv36mjVrlnbs2KFdu3ZJkjZu3KgjR45o3rx58vf3V4cOHfTBBx9oypQpSkxMlCRNmzZNFSpU0IQJE1SjRg0NGTJE3bt311dffWWJ48svv9TAgQMVFBSkmjVratq0aSpQoIBmzpxplfflnqKjpU2bUr7mssDAQBkMBsvDx8dH7du314EDB3L93pcvX9bLL7+ssmXLytXVVb6+vmrXrp3+/PNPy5iIiAh16NAh12PJjtS19+ijj+bYnO+9957Gjx+vqKioHJsTAAAAAAAAgPTTTz/pxo0bqlSpkpo3b27tcHAHNtNTIzk5WYsWLVJsbKwaN26sPXv2yGg0qnXr1pYx1atXV9myZbVz505J0s6dO1WnTh2VKFHCMqZdu3aKjo62VHvs3LkzzRypY1LnSExM1J49e9KMcXBwUOvWrS1jbE5oqLR3b8rXPNC+fXtFREQoIiJCmzdvlpOTk5544olcv2+3bt20b98+zZkzR0ePHtXPP/+sFi1a6MqVK5Yxvr6+cnV1zfVYsspsNmvy5Mk53kyodu3aqlSpkubNm5ej8wIAAAAAAAD5XerWU/369ZPBYLByNLgTJ2sHcPDgQTVu3Fjx8fHy9PTUihUrVLNmTYWEhMjFxUWFChVKM75EiRKKjIyUJEVGRqZJaKSeTz13tzHR0dGKi4vTtWvXlJycnOGYsLCwO8adkJCghIQEy/Po/6omjEajjEZjmrFGo1Fms1kmk0kmk+leb8ndRUVJBw9KDg4pX6tVk7y87jjcbDZbvmbn3mazWS4uLipevLgkqXjx4nrrrbfUvHlzXbx4UcWKFdOWLVvUqlUrXblyxfLzCgkJUf369XXixAkVK1ZMpUuX1vTp09W9e3fL3CtXrtQLL7ygCxcuqGDBgmnue/36dW3fvl2//fabJSvq5+enhx9+WJIsr8XR0VHLli2zbNG0Y8cODRkyRGFhYapdu7beffdddevWTXv27JG/v78l1o0bN2rEiBE6cuSI/P39NWPGDFWrVk2SdOLECb3++uv666+/FBsbqxo1amj8+PHpkmN3e0///vtvnThxQh06dEgz5p133tHKlSv1zz//yNfXV7169dKoUaPk7OxsmfPW12c2m9Pd54knntCiRYv08ssvp7uvyWSS2WyW0WiUo6NjhrHZgtR/I7f/WwFsCesUto41CnvCeoU9YJ3C1rFGYUtYj7B12VmjR48e1fbt2+Xg4KBevXqxvq0gs++51ZMa1apVU0hIiKKiovTTTz+pb9++2rp1q7XDuqePP/5Y48aNS3d848aNKlCgQJpjTk5O8vX1VUxMjGVbrOxy3LNHThcuKLlSJTmeOKGkv/9W8n8f9N/NjRs3snU/o9GopKQkS9ImJiZGs2bNUsWKFeXs7Kzo6GjdvHnTcg8Hh5Tin9jYWMv4IkWKqGvXrpo+fbratm1rmXv69Ol68sknZTabLfOnMplM8vT01NKlS1WzZs27VmPExcUpOjpa0dHRevLJJ9WmTRtNmzZN586d09tvv22J59ZY3333XY0bN04+Pj4aPny4AgMDLX1WIiMj9fjjj+udd96Rq6urFi1apKeeekrBwcHy8/OzxBcfH58u7lS//vqrKleunO61ubi46JtvvlHJkiV1+PBhvfrqq3J2dtYrr7wiKSVZlpycnCZJduv7L0m1atXSRx99pMuXL6d7XxITExUXF6dt27YpKSnpju+Zrdi0aZO1QwDuiXUKW8cahT1hvcIesE5h61ijsCWsR9i6rKzRH3/8UZL00EMPaf/+/dq/f39uhYU7SP3s9l6sntRwcXFR5cqVJUn169fX7t27NXHiRD377LNKTEzU9evX01RrXLx4Ub6+vpJSth4KDg5OM9/Fixct51K/ph67dYyXl5fc3d3l6OgoR0fHDMekzpGRESNGaPjw4Zbn0dHR8vPzU9u2beV1W+VEfHy8zp07J09PT7m5uWXmbclYVJR0+rRUqpTk6SmVKiXX06elhx++Y7WG2WzWjRs3VLBgwWyVTDk7O2vDhg0qU6aMpJTkQMmSJfXzzz9bfi6pSZyCBQtaXruHh4ckydPTU15eXho0aJCaNm1quf7SpUvatGmTNm7cmO79SjVz5ky99NJLmjVrlgICAtSsWTM9++yzqlu3bppx7u7u8vLy0oIFC+Tg4KBZs2bJzc1NDRs21LVr1/TSSy/Jw8NDXl5ellg/+ugjtWrVSlJKgqNz585ycXGRm5ubmjRpoiZNmljmf+ihh7R+/Xpt2bJFgwcPlpSyRZmbm9sdY7948aLKlCmT7vz7779v+b527dr6559/tHjxYo0aNUqS5OrqKkdHR8t1zs7OcnJySjNP5cqVlZiYqJs3b6pYsWJp5o+Pj5e7u7uaNWt2f2stlxmNRm3atElt2rSxVKkAtoZ1ClvHGoU9Yb3CHrBOYetYo7AlrEfYuqyu0aSkJMuuKG+99ZY6duyY2yEiA3f6A/LbWT2pcTuTyaSEhATVr19fzs7O2rx5s7p16yZJCg8P19mzZ9W4cWNJUuPGjTV+/HhdunTJsj3Spk2b5OXlpZo1a1rGrFu3Ls09Nm3aZJnDxcVF9evX1+bNmy1bGJlMJm3evFlDhgy5Y5yurq4ZVg84Ozun+4eSnJwsg8EgBwcHSyVDthw9Kl27lrLllMEgFS8uhYenPBo1yvCS1G2LUu+fVQaDQY8//rimTp0qSbp27Zq+/fZbderUScHBwSpXrpxl3ltf3+3HHnnkEdWqVUs//vij3nnnHS1YsEDlypVTixYt7phs6dGjhzp37qzt27dr165dWr9+vT7//HNNnz5dgYGBlnGp9zh27Jjq1q2bplLmkUceSTMmNS5/f3/L96VLl5Yk/fvvvypbtqxiYmI0duxYrV27VhEREUpKSlJcXJzOnTuX5j2823saHx8vNze3dOcXL16sSZMm6cSJE4qJiVFSUpK8vLws41Lfi1uf336f1IRRfHx8uvkdHBxkMBgyXIe2yF7iRP7GOoWtY43CnrBeYQ9Yp7B1rFHYEtYjbF1m1+iGDRsUERGhYsWKqUuXLqxrK8ns+27VRuEjRozQtm3bdPr0aR08eFAjRozQli1b9Pzzz8vb21v9+/fX8OHD9fvvv2vPnj0KCgpS48aNLR9Ut23bVjVr1tQLL7yg/fv3a8OGDXrvvfc0ePBgS8Jh0KBBOnnypN566y2FhYXp22+/1ZIlS/Taa69Z4hg+fLh++OEHzZkzR6GhoXr55ZcVGxuroKAgq7wvGYqKkg4dknx8UhIaUspXH5+U45nMYmWHh4eHKleurMqVK6tBgwaaPn26YmNj9cMPP0j6/w/gU/tBSBnvfzZgwADNnj1bkjRr1iwFBQXds3rEzc1Nbdq00ahRo7Rjxw4FBgZqzJgx9/2abv0HkhpDagLojTfe0IoVK/TRRx9p+/btCgkJUZ06dbK0dVjRokV17dq1NMd27typ559/Xh07dtSaNWu0b98+jRw5Mstbkl29elWS0lVpAAAAAAAAAMi61AbhL7zwglxcXKwcDe7FqkmNS5cuqU+fPqpWrZpatWql3bt3a8OGDWrTpo0k6auvvtITTzyhbt26qVmzZvL19dXy5cst1zs6OmrNmjVydHRU48aN1bt3b/Xp0yfNFj8VKlTQ2rVrtWnTJtWrV08TJkzQ9OnT1a5dO8uYZ599Vl988YVGjx4tf39/hYSE6JdffknXPNyqwsKkq1elokXTHi9aNOV4aGiehZJaORAXFyfp/z9cj4iIsIwJCQlJd13v3r115swZTZo0SUeOHFHfvn2zfO+aNWta+nXcrlq1ajp48GCaBu67d+/O8j3+/PNPBQYG6umnn1adOnXk6+ur06dPZ2mOhx56SGFhYWkSPTt27FC5cuU0cuRIPfzww6pSpYrOnDmT5fgOHTqkMmXKqOjtawEAAAAAAABAlly8eFFr1qyRJPXr18/K0SAzrLr9VGoG7E7c3Nw0ZcoUTZky5Y5jypUrl257qdu1aNFC+/btu+uYIUOG3HW7KavKqEoj1a3VGjVq3LG3xv1ISEhQZGSkpJTtpyZPnqyYmBh17txZUkqPBz8/P40dO1bjx4/X0aNHNWHChHTzFC5cWF27dtWbb76ptm3bWvp0ZOTKlSvq0aOH+vXrp7p166pgwYL6+++/9dlnn+mpp57K8JpevXpp5MiRevHFF/XOO+/o7Nmz+uKLLyQpS/1EqlSpouXLl6tz584yGAwaNWqUpYojsx5//HHFxMTo8OHDql27tmXes2fPatGiRWrQoIHWrl2rFStWZGleSdq+fXuahusAAAAAAAAAsufHH39UUlKSGjVqpFq1alk7HGSCVSs1kEl3qtJIlcvVGr/88otKliypkiVLqlGjRtq9e7eWLl2qFi1aSErZymnhwoUKCwtT3bp19emnn+rDDz/McK7+/fsrMTHxnllPT09PNWrUSF999ZWaNWum2rVra9SoURo4cKAmT56c4TVeXl5avXq1QkJC5O/vr5EjR2r06NGSlKWm2V9++aUKFy6sRx99VJ07d1a7du0UEBCQ6eslycfHR08//bTmz59vOfbkk0/qtdde05AhQ+Tv768dO3ZYGoRnVnx8vFauXKmBAwdm6ToAAAAAAAAAaZnNZssf3vfv39/K0SCzDOZb98dBtkVHR8vb21tRUVHyuq1aIj4+XqdOnVKFChWy9OG6pJQqjZ9+SqnIuFsPhcuXJbNZ6tEjTbWGyWRSdHR0mmbU1vTjjz/qtdde04ULF/Jkf7r58+crKChIUVFRcnd3z/X73erAgQNq06aNTpw4IU9PzxyZc+rUqVqxYoU2btyY4fn7Wmt5yGg0at26derYsSONl2CzWKewdaxR2BPWK+wB6xS2jjUKW8J6hK3L7BrdsWOHmjRpogIFCigiIiLd57rIW3f7jP1WVt1+CpkQFiZFRkq+vimJizsxm1PGhYZKjRrlXXyZdPPmTUVEROiTTz7RSy+9lGsJjblz56pixYoqXbq09u/fr7ffflvPPPNMnic0JFmqVk6dOqU6derkyJzOzs765ptvcmQuAAAAAAAAID+bOXOmJKlHjx4kNOwISQ1bFxMj+fllbqyfX8p4G/TZZ59p/PjxatasmUaMGJFr94mMjNTo0aMVGRmpkiVLqkePHho/fnyu3e9eAgMDc3S+AQMG5Oh8AAAAAAAAQH4UExOjxYsXS2LrKXtDUsPWtWpl7QhyxNixYzV27Nhcv89bb72lt956K9fvAwAAAAAAAMB+LVmyRDExMapSpYqaNm1q7XCQBdZvsgAAAAAAAAAAQB5KbRDer18/GQwGK0eDrCCpAQAAAAAAAADIN8LCwrRjxw45Ojqqb9++1g4HWURSAwAAAAAAAACQb6Q2CO/YsaNKlixp5WiQVSQ1AAAAAAAAAAD5gtFo1Jw5cySlbD0F+0NSAwAAAAAAAACQL6xbt06XLl1SiRIl1KlTJ2uHg2wgqWGv4uKsHQEAAAAAAAAA2JXUBuF9+vSRs7OzlaNBdpDUsEfbtkk+PtL27daOxOoMBoNWrlxp7TAAAAAAAAAA2LiIiAitW7dOEltP2TOSGvZo5MiUSo2RI/Psljt37pSjo2O2SrLKly+vr7/+OueDyoTAwEAZDAbLw8fHR+3bt9eBAwesEg8AAAAAAAAA65g7d66Sk5P16KOPqnr16tYOB9lEUsPebNki/fFHyvfbt6c8zwMzZszQ0KFDtW3bNl24cCFP7plT2rdvr4iICEVERGjz5s1ycnLSE088Ye2wAAAAAAAAAOQRs9msmTNnSpL69+9v5WhwP0hq2JtRoyRHx5TvHR2l0aNz/ZYxMTFavHixXn75ZXXq1EmzZ89ON2b16tVq0KCB3NzcVLRoUT399NOSpBYtWujMmTN67bXXLNUSkjR27Fj5+/unmePrr79W+fLlLc93796tNm3aqGjRovL29lbz5s21d+/eLMfv6uoqX19f+fr6yt/fX++8847OnTuny5cvS5K2bNkig8Gg69evW64JCQmRwWDQ6dOnFRsbKy8vL/30009p5l25cqU8PDx048aNLMcEAAAAAAAAIO/88ccfOnr0qDw8PPTMM89YOxzcB5Ia9iS1SiM5OeV5cnKeVGssWbJE1atXV7Vq1dS7d2/NnDlTZrPZcn7t2rV6+umn1bFjR+3bt0+bN29Ww4YNJUnLly9XmTJl9P7771uqJTLrxo0b6tu3r/744w/t2rVLVapUUceOHe8riRATE6N58+apcuXK8vHxydQ1Hh4e6tmzp2bNmpXm+KxZs9S9e3cVLFgw2/EAAAAAAAAAyH2pVRrPPvusPD09rRwN7oeTtQNAFqRWaaQmNaT/r9bYti3Xbjtjxgz17t1bUspWTlFRUdq6datatGghSRo/frx69uypcePGWa6pV6+eJKlIkSJydHRUwYIF5evrm6X7tmzZMs3z77//XoUKFdLWrVuztH3UmjVrLL+oYmNjVbJkSa1Zs0YODpnP6Q0YMECPPvqoIiIiVLJkSV26dEnr1q3Tr7/+muk5AAAAAAAAAOSx6GhF//ablixZIomtpx4EVGrYi9urNFLlcrVGeHi4goOD9dxzz0mSnJyc9Oyzz2rGjBmWMSEhIWrVqlWO3/vixYsaOHCgqlSpIm9vb3l5eSkmJkZnz57N0jyPP/64QkJCFBISouDgYLVr104dOnTQmTNnMj1Hw4YNVatWLc2ZM0eSNG/ePJUrV07NmjXLUiwAAAAAAAAA8lBoqBb/+KNu3ryp6tWrq3HjxtaOCPeJpIa9uLWXxu1ysbfGjBkzlJSUpFKlSsnJyUlOTk6aOnWqli1bpqioKEmSu7t7lud1cHBIs4WVJBmNxjTP+/btq5CQEE2cOFE7duxQSEiIfHx8lJiYmKV7eXh4qHLlyqpcubIaNGig6dOnKzY2Vj/88IMlFklp4rk9FimlWiO1n8isWbMUFBRk6RECAAAAAAAAwMZER0uHDmnG339Lkvr16sXneQ8Akhr24E5VGqlyqVojKSlJc+fO1YQJEyyVDiEhIdq/f79KlSqlhQsXSpLq1q2rzZs333EeFxcXJd8We7FixRQZGZkmkRASEpJmzJ9//qlhw4apY8eOqlWrllxdXfXvv//e9+syGAxycHBQXFycJRZJafp93B6LJPXu3VtnzpzRpEmTdOTIEfXt2/e+YwEAAAAAAACQS44e1eEjR/TX2bNycnBQn/r1rR0RcgBJDXtwtyqNVLlQrbFmzRpdu3ZN/fv3V+3atdM8unXrZtmCasyYMVq4cKHGjBmj0NBQHTx4UJ9++qllnvLly2vbtm06f/68JSnRokULXb58WZ999plOnDihKVOmaP369WnuX6VKFf34448KDQ3VX3/9peeffz5bVSEJCQmKjIxUZGSkQkNDNXToUMXExKhz586SpMqVK8vPz09jx47VsWPHtHbtWk2YMCHdPIULF1bXrl315ptvqm3btipTpkyWYwEAAAAAAACQR0JDNfPQIUnSE/XqqUREREr1BuwaSQ1bd68qjVS5UK0xY8YMtW7dWt7e3unOdevWTX///bcOHDigFi1aaOnSpfr555/l7++vli1bKjg42DL2/fff1+nTp1WpUiVLVUSNGjX07bffasqUKapXr56Cg4P1xhtvpLv/tWvXFBAQoBdeeEHDhg1T8eLFs/w6fvnlF5UsWVIlS5ZUo0aNtHv3bi1dutTS6NzZ2VkLFy5UWFiY6tatq08//VQffvhhhnP1799fiYmJ6tevX5bjAAAAAAAAAJB3zFevasHu3ZKkfh07SlevSqGhVo4K98vJ2gHgHlKrNO6V1JD+v1pj27YcufXq1avveK5hw4Zpto7q2rWrunbtmuHYRx55RPv37093fNCgQRo0aFCaY++++67l+4ceeki7//ulk6p79+5pnt/el+N2s2fPtvTBuJsmTZrowIED95z7/Pnz8vHx0VNPPXXPOQEAAAAAAABYwX/VGJednRV57ZoMBoNa+/tbemyoRg3Jy8u6MSLbqNSwZZmt0kiVS701IN28eVMnTpzQJ598opdeekkuLi7WDgkAAAAAAABARo4elSSFx8ZKkiqUKCF3V1epaFGqNR4AJDVs2ahRksGQtWsMhhzvrQHps88+U/Xq1eXr66sRI0ZYOxwAAAAAAAAAGYmKsiQtws+flyRVK1065ZzBIPn4pFRr0FvDbpHUsFWxsdJff0n32F4pHbNZ2rVLunkzd+LKp8aOHSuj0ajNmzfL09PT2uEAAAAAAAAAyEhYmHTtmiTp6H9Jjeplyvz/eao17B49NWyVh4d0/nxKZjGrvL2lAgVyPiYAAAAAAAAAsFVRUSlVGEWKSJLC//lHklQ9tVJDSlutQW8Nu0RSw5YVK5byAAAAAAAAAADcXViYFBkplSwpSQo/e1aSVN3TU7p8+f/Hmc0p40JDpUaNrBEp7gNJDQAAAAAAAACA/YuJkfz8JEmJiYk69e+/kqRqZcpITrd9FO7nlzIedoekBgAAAAAAAADA/rVqlfLVaNSFb7+V2WxWoUKFVHzIkJRtp/BAoFE4AAAAAAAAAOCBcuHCBUlS9erVZSCh8UChUsOGXb6c/T7htOIAAAAAAAAAkF/9k9okvHp1K0eCnEZSw0bFxkqlS0tGY9avdXaWrl+XChTI8bBsjsFg0IoVK9SlS5dcu8fYsWO1cuVKhYSESJICAwN1/fp1rVy5MtfuCQAAAAAAACD7zp8/L4mkxoOI7adslIeH1KhR1rd6MxikRx7J+YTGzp075ejoqE6dOmX52vLly+vrr7/O2YAy6fLly3r55ZdVtmxZubq6ytfXV+3atdOff/5plXgAAAAAAAAA5L7USo1q1apZORLkNJIaNuyDDySzOWvXmM3S++/nfCwzZszQ0KFDtW3bNst+dPagW7du2rdvn+bMmaOjR4/q559/VosWLXTlyhVrhwYAAAAAAAAgF5jNZio1HmAkNWxYixZS06aSo2Pmxjs6So89lnJdToqJidHixYv18ssvq1OnTpo9e3a6MatXr1aDBg3k5uamokWL6umnn5YktWjRQmfOnNFrr70mg8FgacozduxY+fv7p5nj66+/Vvny5S3Pd+/erTZt2qho0aLy9vZW8+bNtXfv3kzHff36dW3fvl2ffvqpHn/8cZUrV04NGzbUiBEj9OSTT6YZN2DAABUrVkxeXl5q2bKl9u/fn/k3CAAAAAAAAIDNuHDhguLj4+Xk5KRKlSpZOxzkMJIaNu6DD6Tk5MyNTU7OnSqNJUuWqHr16qpWrZp69+6tmTNnynxLCcnatWv19NNPq2PHjtq3b582b96shg0bSpKWL1+uMmXK6P3331dERIQiIiIyfd8bN26ob9+++uOPP7Rr1y5VqVJFHTt21I0bNzJ1vaenpzw9PbVy5UolJCTccVyPHj106dIlrV+/Xnv27FFAQIBatWqlq1evZjpWAAAAAAAAALYhPDxcklSxYkU5OztbORrkNBqF27jUao2dO++e3HB0lB59NOerNKSUrad69+4tSWrfvr2ioqK0detWtfjvZuPHj1fPnj01btw4yzX16tWTJBUpUkSOjo4qWLCgfH19s3Tfli1bpnn+/fffq1ChQtq6daueeOKJe17v5OSk2bNna+DAgZo2bZoCAgLUvHlz9ezZU3Xr1pUk/fHHHwoODtalS5fk6uoqSfriiy+0cuVK/fTTT3rxxRezFDMAAAAAAAAA60pNalStWtXKkSA3UKlhBzJTrZFbVRrh4eEKDg7Wc889JyklUfDss89qxowZljEhISFq1apVjt/74sWLGjhwoKpUqSJvb295eXkpJiZGZ8+ezfQc3bp104ULF/Tzzz+rffv22rJliwICAixbaO3fv18xMTHy8fGxVHZ4enrq1KlTOnHiRI6/JgAAAAAAAAC56+jRo5JoEv6golLDDtyrWiO3qzSSkpJUqlQpyzGz2SxXV1dNnjxZ3t7ecnd3z/K8Dg4OabawkiSj0Zjmed++fXXlyhVNnDhR5cqVk6urqxo3bqzExMQs3cvNzU1t2rRRmzZtNGrUKA0YMEBjxoxRYGCgYmJiVLJkSW3ZsiXddYUKFcrqywIAAAAAAABgZamVGjQJfzBRqWEn7latkVtVGklJSZo7d64mTJigkJAQy2P//v0qVaqUFi5cKEmqW7euNm/efMd5XFxclHxb8MWKFVNkZGSaxEZISEiaMX/++aeGDRumjh07qlatWnJ1ddW///5736+rZs2aio2NlSQFBAQoMjJSTk5Oqly5cppH0aJF7/teAAAAAAAAAPJWalKDSo0HE0kNO5FareHomPa4o6P02GO5U6WxZs0aXbt2Tf3791ft2rXTPLp162bZgmrMmDFauHChxowZo9DQUB08eFCffvqpZZ7y5ctr27ZtOn/+vCUp0aJFC12+fFmfffaZTpw4oSlTpmj9+vVp7l+lShX9+OOPCg0N1V9//aXnn38+S1UhV65cUcuWLTVv3jwdOHBAp06d0tKlS/XZZ5/pqaeekiS1bt1ajRs3VpcuXbRx40adPn1aO3bs0MiRI/X333/f71sIAAAAAAAAIA/FxMTo3Llzkuip8aAiqWFHMqrWyK0qDSll66nWrVvL29s73blu3brp77//1oEDB9SiRQstXbpUP//8s/z9/dWyZUsFBwdbxr7//vs6ffq0KlWqpGLFikmSatSooW+//VZTpkxRvXr1FBwcrDfeeCPd/a9du6aAgAC98MILGjZsmIoXL57p+D09PdWoUSN99dVXatasmWrXrq1Ro0Zp4MCBmjx5siTJYDBo3bp1atasmYKCglS1alX17NlTZ86cUYkSJbLztgEAAAAAAACwktR+Gt7e3ipSpIiVo0FuMJhvb2yAbImOjpa3t7eioqLk5eWV5lx8fLxOnTqlChUqyM3N7b7u89hj/99bI7WXxrZtdx5vMpkUHR0tLy8vOTiQw3rQ5eRay01Go1Hr1q1Tx44d5ezsbO1wgAyxTmHrWKOwJ6xX2APWKWwdaxS2hPUIW7Zw4UL16tVLNWvWVEhICGvUjtztM/Zb8Sm3nbm1WiM3qzQAAAAAAAAAwN6EhYVJkkqXLm3lSJBbSGrYmdTeGlLu9dIAAAAAAAAAAHuUmtQoU6aMlSNBbiGpYYfGj5cKFEj5CgAAAAAAAABIQaXGg8/J2gEg65o1k/79V3J3t3YkAAAAAAAAAGAbTCaTpVE4SY0HF5UaeSgne7KT0EBGcnKNAQAAAAAAAPbk7Nmzio+Pl4uLi4oXL27tcJBLSGrkAWdnZ0nSzZs3rRwJHnSJiYmSJEdHRytHAgAAAAAAAOSt1K2nqlSpwudjDzC2n8oDjo6OKlSokC5duiRJKlCggAwGQ57c22QyKTExUfHx8XJwIIf1IDOZTLp8+bIKFCggJyf+aQMAAAAAACB/SU1qVK1a1cqRIDfxyWce8fX1lSRLYiOvmM1mxcXFyd3dPc8SKbAeBwcHlS1blp81AAAAAAAA8p3w8HBJUrVq1awcCXITSY08YjAYVLJkSRUvXlxGozHP7ms0GrVt2zY1a9bMsg0WHlwuLi5U5AAAAAAAACBfSq3UIKnxYCOpkcccHR3zdD83R0dHJSUlyc3NjaQGAAAAAAAAgAdWalKjevXqunjxopWjQW7hT7oBAAAAAAAAAHbt+vXrioyMlJTSKBwPLpIaAAAAAAAAAAC7ltpPo1SpUvLy8rJyNMhNJDUAAAAAAAAAAHYtNalRvXp1K0eC3EZSAwAAAAAAAABg127tp4EHG0kNAAAAAAAAAIBdS01qVKtWzcqRILeR1AAAAAAAAAAA2DUqNfIPkhoAAAAAAAAAALuVlJSk48ePSyKpkR+Q1AAAAAAAAAAA2K1Tp07JaDSqQIECKlOmjLXDQS4jqQEAAAAAAAAAsFu39tNwcOAj7wcdP2EAAAAAAAAAgN2iSXj+QlIDAAAAAAAAAGC3wsPDJdFPI78gqQEAAAAAAAAAsFuplRokNfIHkhoAAAAAAAAAALtFUiN/IakBAAAAAAAAALBL//77r65cuSJJqlKlipWjQV4gqQEAAAAAAAAAsEupVRrlypVTgQIFrBwN8gJJDQAAAAAAAACAXaJJeP5DUgMAAAAAAAAAYJfop5H/kNQAAAAAAAAAANil1KRGtWrVrBwJ8gpJDQAAAAAAAACAXaJSI/8hqQEAAAAAAAAAsDsJCQk6deqUJJIa+QlJDQAAAAAAAACA3Tlx4oSSk5Pl5eUlX19fa4eDPEJSAwAAAAAAAABgd27despgMFg5GuQVkhoAAAAAAAAAALtDk/D8iaQGAAAAAAAAAMDuhIeHS6KfRn5DUgMAAAAAAAAAYHdu3X4K+QdJDQAAAAAAAACAXTGbzSQ18imSGgAAAAAAAAAAuxIZGano6Gg5ODioUqVK1g4HeYikBgAAAAAAAADArqRWaVSsWFGurq5WjgZ5iaQGAAAAAAAAAMCu0CQ8/7JqUuPjjz9WgwYNVLBgQRUvXlxdunSxLMZULVq0kMFgSPMYNGhQmjFnz55Vp06dVKBAARUvXlxvvvmmkpKS0ozZsmWLAgIC5OrqqsqVK2v27Nnp4pkyZYrKly8vNzc3NWrUSMHBwTn+mgEAAAAAAAAA94d+GvmXVZMaW7du1eDBg7Vr1y5t2rRJRqNRbdu2VWxsbJpxAwcOVEREhOXx2WefWc4lJyerU6dOSkxM1I4dOzRnzhzNnj1bo0ePtow5deqUOnXqpMcff1whISF69dVXNWDAAG3YsMEyZvHixRo+fLjGjBmjvXv3ql69emrXrp0uXbqU+28EAAAAAAAAACDTUpMa1apVs3IkyGtO1rz5L7/8kub57NmzVbx4ce3Zs0fNmjWzHC9QoIB8fX0znGPjxo06cuSIfv31V5UoUUL+/v764IMP9Pbbb2vs2LFycXHRtGnTVKFCBU2YMEGSVKNGDf3xxx/66quv1K5dO0nSl19+qYEDByooKEiSNG3aNK1du1YzZ87UO++8kxsvHwAAAAAAAACQDVRq5F9WTWrcLioqSpJUpEiRNMfnz5+vefPmydfXV507d9aoUaNUoEABSdLOnTtVp04dlShRwjK+Xbt2evnll3X48GE99NBD2rlzp1q3bp1mznbt2unVV1+VJCUmJmrPnj0aMWKE5byDg4Nat26tnTt3ZhhrQkKCEhISLM+jo6MlSUajUUajMZvvQM5LjcWWYgJYl7AHrFPYOtYo7AnrFfaAdQpbxxqFLWE9wtpu3ryps2fPSpIqVaqUbi2yRu1TZn9eNpPUMJlMevXVV9WkSRPVrl3bcrxXr14qV66cSpUqpQMHDujtt99WeHi4li9fLkmKjIxMk9CQZHkeGRl51zHR0dGKi4vTtWvXlJycnOGY1Izf7T7++GONGzcu3fGNGzdaEi62ZNOmTdYOAUiHdQl7wDqFrWONwp6wXmEPWKewdaxR2BLWI6zl1KlTMpvNKliw4F37IrNG7cvNmzczNc5mkhqDBw/WoUOH9Mcff6Q5/uKLL1q+r1OnjkqWLKlWrVrpxIkTqlSpUl6HaTFixAgNHz7c8jw6Olp+fn5q27atvLy8rBbX7YxGozZt2qQ2bdrI2dnZ2uEAkliXsA+sU9g61ijsCesV9oB1ClvHGoUtYT3C2pYsWSIp5fPijh07pjvPGrVPqbsh3YtNJDWGDBmiNWvWaNu2bSpTpsxdxzZq1EiSdPz4cVWqVEm+vr7psnEXL16UJEsfDl9fX8uxW8d4eXnJ3d1djo6OcnR0zHDMnXp5uLq6ytXVNd1xZ2dnm/yHYqtxIX9jXcIesE5h61ijsCesV9gD1ilsHWsUtoT1CGs5fvy4pJR+Gndbg6xR+5LZn5VDLsdxV2azWUOGDNGKFSv022+/qUKFCve8JiQkRJJUsmRJSVLjxo118OBBXbp0yTJm06ZN8vLyUs2aNS1jNm/enGaeTZs2qXHjxpIkFxcX1a9fP80Yk8mkzZs3W8YAAAAAAAAAAKwvPDxcEk3C8yurVmoMHjxYCxYs0KpVq1SwYEFLDwxvb2+5u7vrxIkTWrBggTp27CgfHx8dOHBAr732mpo1a6a6detKktq2bauaNWvqhRde0GeffabIyEi99957Gjx4sKWSYtCgQZo8ebLeeust9evXT7/99puWLFmitWvXWmIZPny4+vbtq4cfflgNGzbU119/rdjYWAUFBeX9GwMAAAAAAAAAyFBqH2SSGvmTVZMaU6dOlSS1aNEizfFZs2YpMDBQLi4u+vXXXy0JBj8/P3Xr1k3vvfeeZayjo6PWrFmjl19+WY0bN5aHh4f69u2r999/3zKmQoUKWrt2rV577TVNnDhRZcqU0fTp09WuXTvLmGeffVaXL1/W6NGjFRkZKX9/f/3yyy/pmocDAAAAAAAAAKzDZDJRqZHPWTWpYTab73rez89PW7duvec85cqV07p16+46pkWLFtq3b99dxwwZMkRDhgy55/0AAAAAAAAAAHnvn3/+0c2bN+Xs7JypdgZ48Fi1pwYAAAAAAAAAAJmVuvVU5cqV5eRk1b/Zh5WQ1AAAAAAAAAAA2AW2ngJJDQAAAAAAAACAXaBJOEhqAAAAAAAAAADsQmpSo1q1alaOBNZCUgMAAAAAAAAAYBeo1ABJDQAAAAAAAACAzbtx44YuXLggiUqN/IykBgAAAAAAAADA5qU2Cff19VWhQoWsGwyshqQGAAAAAAAAAMDm0U8DEkkNAAAAAAAAAIAdoJ8GJJIaAAAAAAAAAAA7kLr9FEmN/I2kBgAAAAAAAADA5lGpAYmkBgAAAAAAAADAxiUnJ+vo0aOSSGrkdyQ1AAAAAAAAAAA27fTp00pMTJSbm5vKli1r7XBgRSQ1AAAAAAAAAAA2LXXrqapVq8rBgY+18zN++gAAAAAAAAAAm0aTcKQiqQEAAAAAAADbFh0tbdqU8hVAvkSTcKQiqQEAAAAAAADbFhoq7d2b8hVAvpSa1KhWrZqVI4G1kdQAAAAAAACA7YqKkg4dkhwdU75SrQHkS1RqIBVJDQAAAAAAANiusDDp6lWpSpWUr1RrAPnO1atXdfnyZUkpjcKRv5HUAAAAAAAAgG1KrdLw8ZEcHFK+Uq0B5DupTcL9/Pzk6elp5WhgbSQ1AAAAAAAAYJvCwpT877/qMWOGXpw8WaYiRajWAPIh+mngVk7WDgAAAAAAAABI578qjX2xsfppxw5Jkn/FivpfgwYp1Ro1akheXlYOEkBeoJ8GbkWlBgAAAAAAAGzPf7009l29ajn05qxZOpmURLUGkM+kbj9FUgMSSQ0AAAAAAADYmlt6aew7eVKS5ODgoJsJCQqaNEmmwoXprQHkI1Rq4FYkNQAAAAAAAGBb/qvSUNGilqTGh88/Lw83N207fFiT//rrwazWiI6WNm0iWQPcwmg06sSJE5JIaiAFSQ0AAAAAAADYjluqNJJNJh04fVqS1LVxY30eGChJemfuXB1LSnrwqjVCQ6W9ex+8ZA1wH06cOKGkpCR5enqqVKlS1g4HNoCkBgAAAAAAAGxHWJgUGSmZzTp66JBuJiTIw9VVVZyd9VL9+mpVo4biEhMVNHOmki9ceHASAKnJHEfHBy9ZA9yH1K2nqlWrJoPBYOVoYAtIagAAAAAAAMB2xMRIfn6Ss7P2/vOPJKmen58cXFzk4OKiGQMGyNPNTX8eP66JoaEp4x8EqVtuVanyYG6tBWQTTcJxOydrBwAAAAAAAABYtGpl+XbfgQOSpID27aU+fSRJ5SR9WbCgXnzxRY1csUIdR4+W3X/UecuWW3JwSPl66JBUo4bk5WXt6ACrokk4bkelBgAAAAAAAGzSvn37JEkPPfRQmuMDBgxQ27ZtFR8fr6CgICUnJ1sjvJzzX5XG/hs3NHXdOiUXLky1BvCfW7efAiSSGgAAAAAAALBBZrP5jkkNg8Gg6dOny8vLS7t27dKXX35pjRBzxn9VGuYiRfTM55/rf9Om6dtffvn/ag16ayAfM5vNVGogHZIaAAAAAAAAsDlnz57VtWvX5OzsrFq1aqU77+fnp6+//lqSNGrUKB05ciSPI8wh/1VpHIiJ0dHz5yVJ45csUaynJ9UayPcuX76s69evy2AwqEqVKtYOBzaCpAYAAAAAAABsTmqVRq1ateTi4pLhmMDAQHXs2FEJCQkKDAxUUlJSXoZ4/27ppfHTjh2WwxevX9fkdeuo1kC+l1qlUaFCBbm5uVk5GtgKkhoAAAAAAACwOXv37pWUfuupWxkMBn3//ffy9vbW7t279fnnn+dVeDnjvyoNs4+Plv75pySpQ/36kqRPly3TdTc3qjWQrz3o/TSMRqO1Q7BLJDUAAAAAAABgc+7UT+N2pUuX1qRJkyRJY8aM0cGDB3M9thxxS5XGkX/+Ufj583JxctL8119XDT8/XYuJ0Zc//0y1BvK1B7mfxvbt2zVjxgzFxsZaOxS7Q1IDAAAAAAAANic1qREQEHDPsS+88II6d+4so9GowMBA+/jr57AwKTJSMpv108aNkqS2tWqpcFycPnjiCUnSVytX6nJ0dMo4qjWQD4WHh0t68JIaO3fu1G+//aaLFy9aEjfIPJIaAAAAAAAAsCmXL1/W+fPnZTAYVK9evXuONxgM+u6771S4cGHt3btXn3zySR5EeZ9iYiQ/P8nZWT/9t9VWj4YNJScndW3USAHlyikmIUGfbtiQMi4mxsoBA3nvQazUCA4O1sb/EpnNmzdX/f+2nEPmkdQAAAAAAACATUmt0qhSpYo8PT0zdU3JkiU1efJkSdL777+vkJCQ3AovZ7RqJfXpo7CGDXXon3/k7Oyszp9+KvXpI0Pfvvpw6lRJ0uTff9f5Vq1SxgP5SHx8vE6dOiXpwUlq7NmzR+vXr5ckNW3aVM2bN7dyRPaJpAYAAAAAAABsSmb7adzuueee09NPP62kpCQFBgYqMTExN8LLUcuWLZMktW7dWoULF7Ycb9++vZo0aaKEhAR9+OGH1goPsJpjx47JbDarUKFCKlasmLXDuW8hISFas2aNJOmRRx5Ry5YtZTAYrByVfSKpAQAAAAAAAJuy97/tmLKa1DAYDJo6dap8fHy0f/9+jR8/PjfCy1E//fSTJKl79+5pjhsMBn300UeSpOnTp+vkyZN5HhtgTbf207D3D/+NRqO2bNkiSWrQoIHatm1r96/JmkhqAAAAAAAAwKZkt1JDkkqUKKFvv/1WkvTRRx9ZEiS26Pjx4woJCZGjo6OeeuqpdOebNWumtm3bKikpSePGjbNChID1PEj9NJydndW3b1899thj6tChAwmN+0RSAwAAAAAAADbjxo0bOnbsmKTsJTUk6ZlnnlGPHj0s21AlJCTkZIg5JnXrqZYtW8rHxyfDMalbT82bN09HjhzJs9gAa3sQkhpxcXGW7wsXLsyWUzmEpAYAAAAAAABsxv79+yVJZcqUua999KdMmaJixYrp4MGD+uCDD3IqvBx1p62nbtWgQQN16dJFJpNJo0ePzqvQAKtLTWpUq1bNypFkz/Hjx/X1119bXgdyDkkNAAAAAAAA2Iz72XrqVsWKFdPUqVMlSZ988ol2795937HlpNOnT+vvv/+Wg4ODunTpctexH3zwgQwGg5YtW2bT22kBOcVsNqfpqWFvTp48qUWLFikxMVGHDx+2djgPHJIaAAAAAAAAsBk5ldSQpG7duum5555TcnKyAgMDFR8ff99z5pTUraeaN2+u4sWL33Vs7dq11atXL0nSe++9l+uxAdZ24cIFxcTEyMnJSZUqVbJ2OFly5swZLVy4UMnJyapWrdo9k5bIOpIaAAAAAAAAsBmplQg5kdSQpG+++UYlSpTQkSNHNHbs2ByZMydkZuupW40dO1aOjo5av369/vjjj9wMDbC61C2bKlWqJGdnZytHk3nnzp3TggULlJSUpMqVK6t79+5ydHS0dlgPHJIaAAAAAAAAsAkJCQmWrVpyKqnh4+Oj7777TpL0+eefa9euXTky7/04d+6cdu3aJYPBoKeffjpT11SuXFn9+vWTJI0cOVJmszk3QwSsyh77aZw/f17z589XYmKiKlasqGeeeUZOTk7WDuuBRFIDAAAAAAAANuHw4cNKSkpS4cKFVbZs2Ryb96mnnlLv3r1lMpkUGBiouLi4HJs7O5YvXy5Jatq0qUqWLJnp60aNGiUXFxdt27ZNmzZtyq3wAKsLO3BAklS9QgUrR5J5Bw4cUEJCgsqVK6eePXvaVYWJvSGpAQAAAAAAAJuQ2k8jICBABoMhR+eeOHGiSpYsqfDwcI0aNSpH586qpUuXSsr81lOp/Pz89L///U8S1Rp4sIWHhEiSqhcsaN1AsqB9+/Zq3bq1nnvuORIauYykBgAAAAAAAGxCTjYJv12RIkX0/fffS5K+/PJL/fXXXzl+j8w4f/68/vzzT0lS165ds3z9iBEj5OHhob///lurVq3K6fAA64uKUtjx45Kk6snJUnS0lQO6s6ioKJlMJkmSwWBQkyZN5OrqauWoHnwkNQAAAAAAAGATcjOpIUlPPPGEXnjhBZnNZo0ePTpX7nEvK1askCQ1btxYZcqUyfL1xYsX1yuvvCIpZTuq5OTkHI0PsLaYvXt17upVSVI1V1cpNNTKEWXs6tWrmj59ulasWMG/wzxGUgMAAAAAAABWl5ycrJD/tpzJraSGJI0bN06Ojo7auHGjVZqG//TTT5KyvvXUrd544w15e3vr0KFDWrRoUU6FBlhfVJSO/v67JKmYt7eK+PlJhw7ZXLXG9evXNWfOHMXExOjixYtKTEy0dkj5CkkNAAAAAAAAWN2xY8d08+ZNFShQQFWrVs21+1SoUEF9+vSRJH3wwQe5dp+MXLx4Udu2bZMkdevWLdvzFC5cWG+99ZYkacyYMTIajTkSH2BtoevXa+SSJZKk6qVLS0WLSlev2lS1RlRUlObMmaPo6GgVLVpUffr0kbu7u7XDyldIagAAAAAAAMDqUreeqlu3rhwdHXP1Xu+++64cHBy0bt067dmzJ1fvdasVK1bIbDarQYMGKleu3H3NNWzYMBUvXlwnTpzQ7NmzcyZAwErOnj2rfr17q3avXvolPFwGg0GDOnSQDAbJx8dmqjVu3LihuXPn6vr16ypSpIj69OkjT09Pa4eV75DUAAAAAAAAgNWlJjUCAgJy/V6VK1dWr169JOVttUbq1lM9evS477k8PT01YsQISdL777+v+Pj4+54TyGuXLl3Sq6++qipVqmjW/Pkymc3q0qiRDn7zjXo1b54yyEaqNeLi4jRv3jxdvXpVhQoVUp8+fVSwYEGrxpRfkdQAAAAAAACA1eV2k/DbjRw5UgaDQatWrdL+/ftz/X6XL1/Wli1bJN3f1lO3GjRokMqUKaN//vlH06ZNy5E5gbwQHR2tMWPGqFKlSpo4caISExP1ePXq2jVypFaMHKlaZcv+/2AbqdaIjIzUlStX5OnpqT59+sjb29tqseR3JDUAAAAAAABgVWazOc+TGtWrV9ezzz4rSfrwww9z/X6rVq1ScnKyAgICVLFixRyZ083NTaNGjZIkffTRR4qJicmReYHcEhcXpwkTJqhixYp6//33FRMTo/r162vjxInaHBSkRg0bZnyhDVRrVKhQQb1791bv3r1VuHBhq8UBkhoAAAAAAACwsnPnzunKlStycnJS7dq18+y+I0eOlJSyLdShQ4dy9V6pW0917949R+cNCgpSpUqVdPnyZU2aNClH5wYyLTpa2rTpjpUUSUlJmj59uqpUqaI33nhDV65cUfXq1fXTTz9p96+/qo2HhwxFi6ZUZWTEStUaZrM5TbKwfPnyKlGiRJ7dHxkjqQEAAAAAAACrSq3SqFmzplxdXfPsvrVr17ZsBTV+/Phcu8/Vq1e1efNmSTm39VQqZ2dnjRs3TpL0+eef6/r16zk6P5ApoaHS3r3pKilMJpOWLFmiWrVqaeDAgTp//rz8/Pw0Y8YMHTx4UN26dZMhPFyKjJTMZuny5Ts/zOaUcXlUrWE2m7V+/Xp9//33unTpUp7cE5lDUgMAAAAAAABWlddbT93qvffekyQtXrxYYWFhuXKPn3/+WUlJSapbt66qVq2a4/P37NlTtWrV0vXr1/XFF1/k+PzAXUVFpVRQODpaKinMZrM2bNighx9+WM8++6yOHj2qokWL6quvvtLRo0fVr18/OTk5pVwfEyP5+UnOzpKT050fzs4p4/Jom7Vt27Zp9+7dunHjBkkNG+Nk7QAAAAAAAACQv1kzqeHv768nn3xSP//8sz766CPNnTs3x++RW1tPpXJ0dNQHH3ygrl276uuvv9awYcNUvHjxXLkXkE5YWEq/i6pVpaNHtXPJEo2YN09bt26VJBUsWFCvv/66hg8froIFC6a/vlWrPA743oKDg7VlyxZJUvv27fN0WzzcG5UaAAAAAAAAsKrUpEZAQIBV7p/abHv+/Pk6fvx4js4dFRWljRs3Ssq9pIYkdenSRQ8//LBiY2P18ccf59p9gDRSqzR8fHTo3Dk9tWCBHh04UFu3bpWrq6uGDx+ukydPasyYMRknNGzQwYMHtX79eklS8+bN1ahRIytHhNuR1AAAAAAAAIDV/Pvvvzp37pwkqV69elaJ4eGHH1bHjh1lMplyPCGwevVqGY1G1axZUzVq1MjRuW9lMBgsfUGmTp2qf/75J9fuBVj8V6Xx6datqjtsmH4OCZGDwaD+nTvr2LFjmjBhgooWLWrtKDPt+PHjWrlypSSpQYMGat68uXUDQoZIagAAAAAAAMBqUqs0KleuLC8vL6vFkVqtMXfuXJ06dSrH5s3tradu1aZNGzVr1kwJCQn64IMPcv1+2bVp0yZVrVpVQUFBlp8/7NB/VRqxnp4at2iRzGazuj36qA5/8IGmP/WU/Ly9rR1hlpjNZm3fvl0mk0m1a9dWhw4dZDAYrB0WMkBSAwAAAAAAAFZjzX4at3rkkUfUpk0bJSUl6ZNPPsmROW/cuKFffvlFUt4kNW6t1pgxY0aOb6WVE44dO6YePXro2LFjmj17tgICAtSsWTMtW7ZMSUlJ1g4PWfFflcYvZ84oLjFRFUqU0NK331b1OnVSemyEhlo7wiwxGAzq1auXHnvsMXXp0oWEhg0jqQEAAAAAAACrsZWkhiSNHj1akjRr1izLllj3Y+3atUpISFDVqlXzrNFw06ZN1b59eyUnJ2vs2LF5cs/MunHjhrp06aKoqCg98sgjeu655+Tk5KTt27ere/fuqlSpkj777DNdvXrV2qHiXm7ppbFs505JUrdHH01JBBgMko9PyvnoaCsHem9Go9Hyvaurq1q2bClHR0crRoR7IakBAAAAAAAAq7GlpEbTpk3VokULGY1Gffrpp/c9361bT+XlX31/+OGHkqQFCxbo0KFDeXbfuzGZTOrbt6+OHDmiUqVKacWKFVqwYIFOnz6tkSNHqmjRojp79qzefvttlSlTRi+99JIOHz5s7bBxJ/9VaSR4e2vN7t2SpG6NG///+aJF7aJaIyYmRtOmTdOff/5p7VCQBSQ1AAAAAAAAYBUxMTE6evSoJNtIakj/X60xffp0XbhwIdvzxMbGat26dZLyZuupW9WvX1/dunWT2WzWSy+9pJs3b+bp/TPy0UcfacWKFXJxcdHy5cvl6+srSSpdurQ+/PBDnTt3TjNnzlS9evUUFxen77//XrVr11abNm20evVqmUwmK78CWNxSpbFp/37diItTaR8fNaxa9f/H2EG1Rnx8vObPn6+rV6/q77//Vnx8vLVDQiY5WTsAAAAAAAAA5E8HDhyQ2WxWqVKlVKJECWuHI0lq0aKFmjZtqj/++EOff/65vvrqq2zNs379esXFxalixYry9/fP2SAz4aOPPtKmTZu0Y8cOde3aVatWrZKrq2uexyGlbMOVmiz69ttv1ahRo3Rj3NzcFBQUpMDAQG3btk2TJk3SypUr9euvv+rXX39VpUqVNHToUAUFBeVaQ/n4+HgtWbJEZ8+elbOzs9zc3CwPd3d3FStWTI8//rhl/NGjR2UwGOTu7m4Z4+bm9uBvXRQWJkVGSr6+Wvbbb5Kkrv7+crhyJe04szllXGiolMHP3JqMRqMWLVqkyMhIeXh4qHfv3nJzc7N2WMgkkhoAAAAAAACwir1790qynSoNKaVZ8KhRo9SuXTtNmzZNb7/9tqWqICustfVUqqpVq2rdunVq27atNmzYoOeff16LFi2Sk1Pefhx49OhR9erVS2azWS+//LL69+9/1/EGg0HNmzdX8+bNdfr0aU2ZMkXTp0/XiRMn9Oqrr+q9995TUFCQhg4dqipVqtxXbEajUZcvX1apUqUkpfRTiI6OVnJyspKTk9P95X5MTEyapMaaNWt048aNdPM6OzurdOnS6tu3733FZ7NiYiQ/PxmTkrQqJESS1K1hQymjteXnlzLehphMJi1btkxnzpyRq6urnn/+efn4+Fg7LGQBSQ0AAAAAAABYhS3107hVmzZt1KhRI/3111+aMGGCPv/88yxdHxcXpzVr1kjK+62nbtWkSROtXLlSTzzxhJYtW6b+/ftr1qxZcnDImx3po6Oj1aVLF0VHR6tp06b6+uuvs3R9+fLl9fnnn2vs2LH68ccfNWnSJIWGhuqbb77R5MmT1bFjRw0bNkxt2rTJdOLIZDLp1KlTOnjwoEL/6/fwxhtvyNnZWQaDQU8++aTc3d1lMBgUHx+vuLg4y9cCBQqkmcvX11ceHh6W8wkJCZJSkiXJycmWcWazWStXrpS/v78qVKiQpffAJrVqJUnasmmTrsXGqnjx4mr6wQeSHVSomM1m/fzzzwoPD5ejo6N69uypkiVLWjssZBFJDQAAAAAAAFiFrSY1DAaDRo8erU6dOunbb7/VW2+9pWLFimX6+g0bNig2NlblypXTww8/nIuR3lubNm20ePFide/eXXPnzlXBggX1zTff5Hr1SGpj8NDQUJUuXVpLly6Vi4tLtuby8PDQoEGD9NJLL+nXX3/VxIkTtXbtWsujRo0aev311xUYGJjh1k9ms1nnz5/XwYMHdfjwYcXGxlrOeXt769q1aypevLgkqWzZspmOq1evXulec0JCguLj42U2my3H9+3bpwMHDujAgQPy9/dX27Zt5e7untW3weYsW7ZMktSlSxe72XLr5MmT2r9/vwwGg3r06KHy5ctbOyRkA43CAQAAAAAAkOcSExN16NAhSbaX1JCkDh06qH79+rp582aW+2osXbpUkvW2nrpdly5dNGfOHBkMBk2ZMkUjR47M9XuOHz9eK1eulIuLi5YtW5atLbxuZzAY1KZNG61Zs0ZHjx7V0KFD5enpqdDQUA0YMEABAQH6/fff0123a9cuzZgxQ8HBwYqNjZW7u7sefvhhBQUF6ZVXXrEkNO6Xg4OD3N3dVbhwYRUpUsRyvFatWpbkVkhIiKZMmaLDhw+nSXzYm+TkZK1YsUKS1K1bNytHk3mVKlVShw4d9OSTT6patWrWDgfZRFIDAAAAAAAAee7IkSMyGo0qVKiQTf61dGpvDUn65ptvdPXq1UxdFx8fr9WrV0uy7tZTt3v++ec1depUSdLHH3+sjz/+ONfutWbNGo0ZM0aSNHXq1Awbg9+vKlWqaNKkSTp//ry++OILFSpUSAcOHFCXLl00aNAg7dixwzK2atWqcnZ2Vp06ddSrVy+9/vrr6tSpk8qWLZsnSSdXV1d16tRJQUFBKlq0qGJjY/XTTz9p0aJFioqKyvX754Y///xTly5dUuHChdP0GbFVtyaQGjZsKH9/f+sFg/tGUgMAAAAAAAB57tatp2yhmiEjTz75pOrVq6eYmJhM94PYtGmTbty4oTJlyqhhw4a5G2AWvfTSS5b+IO+++64mT56c4/cIDw/X888/L7PZrP/973/q169fjt/jVl5eXvrf//6nFStW6N1339Xw4cNVsmRJffPNNxo5cqRiYmLk4+OjN998U127dlWVKlWstlVS2bJl9dJLL6l58+ZycHDQ0aNHLdUO9iZ166knn3xSzs7OVo7m7o4cOaLZs2crLi7O2qEgh5DUAAAAAAAAQJ7bu3evJNvceiqVwWDQe++9J0maNGmSrl+/fs9rfvrpJ0kpW/LkVUPurHjjjTcsFShDhw7VnDlzcmzu2xuDZ3XbrqxKSkrSH3/8oa+//lpbt2619Oy4fv26wsLC9NFHH6lq1aqaO3euzfR8cHJyUosWLTRo0CCVK1dO7dq1s3ZIWWYymbR8+XJJtr31lMlk0u+//66lS5fq7NmzCg4OtnZIyCG295sVAAAAAAAADzxbbRJ+u65du6pmzZqKiorSN998c9exiYmJWrVqlSTb2nrqduPGjdMrr7wiSerXr5/lr+7vh8lkUp8+fRQWFqbSpUvrp59+ynZj8MyaN2+eNm/erMTERBUvXlxt2rTRq6++qi+//FJjx45VxYoVFRERob59+6px48batWtXrsaTFcWKFVPfvn1VsmRJy7Ft27bp999/V1JSkhUju7fdu3frn3/+kaenp9q0aWPtcDJ09epVHTt2TDt37pQk1a9fX4899piVo0JOIakBAAAAAACAPGUymbR//35Jtp/UcHBwsFQ2fPXVV4qOjr7j2M2bNysqKkolS5bUo48+mlchZpnBYNBXX32l/v37y2Qy6bnnntP69evva84PP/xQq1atkqurq5YvX64SJUrkULR3Vr9+fRUsWFBPP/20Bg0apEcffVTe3t4yGAx66qmndOTIEX366afy9PRUcHCwGjdurBdeeEHnz5/P9dgy49Zt165fv66tW7dq27Zt+u6773T27FkrRnZ3qUmwJ554Qm5ublaOJi2z2ayQkBDNmDFDcXFxcnNz0zPPPKMnnnjCJiunkD38JAEAAAAAAJCnjh8/rpiYGLm5ualatWrWDueeevTooWrVqunatWv69ttv7zgudeuprl272vwHqAaDQd99952eeeYZGY1Gde3aVVu3bs3WXKtXr07TGDw3eolER0dr5cqVlgofSapdu7aGDh2qunXrZtiXxdXVVW+99ZaOHTumoKAgGQwGzZs3T1WrVtWHH35oUz0WvL291bVrV3l4eOjff//VrFmztHbtWsXHx1s7tDTMZrMlqWGLW0/t2rVLq1atktFolIeHhwYMGKAaNWpYOyzksPv67ZqYmKjw8HCbL4kCAAAAAACA7Uj9YLpu3bpycnKycjT35ujoqJEjR0qSJkyYoJiYmHRjjEajVq5cKcm2t566laOjo3788Ud16tRJ8fHx6ty5s3bv3p2lOcLDw9W7d29J0uDBgxUUFJSjMRqNRm3ZskWTJ0/W/v379dtvv1k+izQYDJlqUu3r66uZM2cqODhYjz76qG7evKlRo0apRo0aWrp0qcxmc47GnB0Gg0G1atXS4MGDLdVLf//9t7799luFhYVZObr/t3//fp08eVLu7u7q0KGDtcNJp27duvLy8lLz5s1VuXJleXl5WTsk5IJsJTVu3ryp/v37q0CBAqpVq5alHGro0KH65JNPcjRAAAAAAAAAPFhSkxoBAQFWjiTznnvuOVWqVEn//vuvpk2blu78li1bdPXqVRUrVsyu9u53cXHR0qVL9fjjj+vGjRtq3769Dh06lKlrb20M/thjj+VoY3Cz2awDBw7om2++0datW2U0GuXn56eePXtmOxH28MMP648//tDChQtVpkwZnTlzRs8884xatGihkJCQHIv9fri7u+vJJ59Unz59VKRIEd24cUPLli3LMJFmDalVGu3bt5eHh4eVo0nZyi40NNTy3MPDQ0OGDFGTJk0yrN7BgyFbSY0RI0Zo//792rJlS5p901q3bq3FixfnWHAAAAAAAAB48Ozdu1eS7ffTuJWTk5PeffddSdIXX3yhmzdvpjl/69ZTjo6OeR7f/XB3d9eqVavUqFEjXb16VW3atNGxY8fueo3JZFJgYKDCwsJUpkwZLV26NFNVE5kRERGh6dOna8WKFbpx44a8vb3VvXt3BQUFqXTp0vc1t8FgUM+ePRUeHq6xY8fK3d1d27ZtU0BAgF588UVdunQpR17D/apQoYIGDRqkpk2bqlWrVvL09JQkJScnKzk52Wpx2dLWU1FRUZozZ46WLFmiAwcOWI7n1DqE7cpWUmPlypWaPHmymjZtmibjVatWLZ04cSLT83z88cdq0KCBChYsqOLFi6tLly4KDw9PMyY+Pl6DBw+Wj4+PPD091a1bN128eDHNmLNnz6pTp04qUKCAihcvrjfffDPdllhbtmxRQECAXF1dVblyZc2ePTtdPFOmTFH58uXl5uamRo0aKTg4ONOvBQAAAAAAAPdmNpstlRr2lNSQpBdeeEHlypXTxYsX9cMPP1iOJyUlacWKFZLsZ+up2xUsWFDr1q1T3bp1FRkZqdatW+vcuXN3HL9kyRKtWbMmVxqDm0wmXbhwQS4uLmrZsqWGDBmiWrVq5ehf3hcoUEBjxoxReHi4nnvuOZnNZv3www+qUqWKJkyYYNXEQSpnZ2e1atVKjzzyiOVYeHi4JkyYoPXr1ysiIiJP4wkNDVVoaKicnZ31xBNP5Om9b3fkyBFNmzZNZ8+elYuLC1UZ+Uy2khqXL19W8eLF0x2PjY3N0gLaunWrBg8erF27dmnTpk0yGo1q27atYmNjLWNee+01rV69WkuXLtXWrVt14cIFde3a1XI+OTlZnTp1UmJionbs2KE5c+Zo9uzZGj16tGXMqVOn1KlTJz3++OMKCQnRq6++qgEDBmjDhg2WMYsXL9bw4cM1ZswY7d27V/Xq1VO7du1sJjsLAAAAAADwIDh//rz+/fdfOTo6qk6dOtYOJ0ucnZ0t1RqffvqppYnz9u3bdfnyZfn4+Kh58+bWDPG+FClSRBs3blTVqlV19uxZtW7dOt0fF0spjcEXLVokSZo2bZoaNGhwX/dNSEjQ8ePHLc9Lly6tzp07a+jQoXrsscdyte+Kn5+fFixYoO3bt6t+/fqKjo7WG2+8oYkTJ+baPe9HeHi44uLiFBwcrO+//17Tpk3Trl270nyemltSqzTatGkjb2/vXL9fRhITE/Xzzz9r6dKlio+PV+nSpfXSSy/Z3e8S3J9sJTUefvhhrV271vI8NZExffp0NW7cONPz/PLLLwoMDFStWrVUr149zZ49W2fPntWePXskpZQQzZgxQ19++aVatmyp+vXra9asWdqxY4d27dolSdq4caOOHDmiefPmyd/fXx06dNAHH3ygKVOmKDExUVLKL9cKFSpowoQJqlGjhoYMGaLu3bun2efvyy+/1MCBAxUUFKSaNWtq2rRpKlCggGbOnJmdtwgAAAAAAAAZSK3SqFGjRpptze1F37595efnp4iICMvnRqlbT3Xp0sXut74pUaKEfv31V5UtW1ZHjx5V27Ztde3aNcv5sLAwBQYGSpL+97//Wb7PDpPJpL179+qbb77RokWL0twnICDAsuVSXmjatKmCg4M1ZswYSSmfJ9pCA/HbPfXUU+rVq5dq1aolR0dHXbx4URs2bNCXX36pRYsWpdu9JidZe+upyMhIff/995bfIU2aNFFQUJCKFClilXhgPdlKanz00Ud699139fLLLyspKUkTJ05U27ZtNWvWLI0fPz7bwURFRUmSZSHu2bNHRqNRrVu3toypXr26ypYtq507d0qSdu7cqTp16qQpcWvXrp2io6N1+PBhy5hb50gdkzpHYmKi9uzZk2aMg4ODWrdubRkDAAAAAACA+2evW0+lcnV11dtvvy0pZWv1uLg4LV++XJL9bj11Oz8/P23evFm+vr46cOCAOnTooBs3bigqKkpdunTRjRs3VKtWLX3++efZvsfp06f1ww8/aPXq1YqNjZW3t3eeVBvcjYODg9544w15eHjo2LFj2rFjh1XjyYiDg4OqVKmi7t276/XXX1fHjh1VunRpmUwmxcTEpKlqSf2sNSecPHlSISEhcnR01FNPPZVj82ZFbGysrly5ooIFC6pPnz5q3bq13fWvQc7IVu1W06ZNFRISok8++UR16tTRxo0bFRAQYEkwZIfJZNKrr76qJk2aqHbt2pJSsm8uLi4qVKhQmrElSpRQZGSkZczte/alPr/XmOjoaMXFxenatWtKTk7OcExYWFiG8SYkJCghIcHyPDo6WpJkNBplNBqz8tJzVWosthQTwLqEPWCdwtaxRmFPWK+wB6xT2LoHaY2m7tBRt25du309ffr00fjx4/XPP/9owIABioyMVKFChfTYY4/Z7Wu6Xbly5bRu3Tq1bt1af/31l5588kl5eHgoPDxcpUuX1ptvvikp62vy0qVL2rJli2W7KVdXVzVt2lQPP/ywHB0drf7+ubq6qlu3bpo7d65mzJihhg0bWjWeu3FycpK/v7/8/f11+fJlJSQkWN6/uLg4ffPNNypatKjq1KmjWrVqycPDI9v3WrJkiSSpefPm8vLy0s2bN3X9+nVdu3bN8tVoNKpTp06WXX2io6Pl4uJyXxVZJpNJDg4pf5dftmxZde7cWZUqVVKBAgXuulYepN+Z+Ulmf17Z3pCuUqVKaRoi3a/Bgwfr0KFD+uOPP3Jsztz08ccfa9y4cemOb9y4UQUKFLBCRHe3adMma4cApMO6hD1gncLWsUZhT1ivsAesU9i6B2GNpu6KkZCQoHXr1lk5muzr2LGjZsyYoQULFkhKqTz59ddfrRxVzhsxYoRGjx6tLVu2SErpK/Laa6+pUKFCWV6PycnJOnz4sEwmkySpaNGi8vX11ZUrV9L0vrW2atWqSZIWLlyodu3a2dU2aQcOHJCUklAwmUy6ePGiLl68qF9//VXe3t4qUqSIvLy87tkX2Ww2Kzk5WUlJSXJzc9OsWbMkSQ0aNNDnn3+e4YfPzs7OlgSEJB07dkyxsbFycHCQi4uLnJ2d03y917ZR0dHROn/+vCpWrChXV1fL8bs1sL/dg/A7Mz+5efNmpsZlK6mxbt06OTo6ql27dmmOb9iwQSaTSR06dMjSfEOGDNGaNWu0bds2lSlTxnLc19dXiYmJun79eppqjYsXL8rX19cyJjg4OM18qQ2Mbh1ze1OjixcvysvLS+7u7nJ0dLTsQXf7mNQ5bjdixAgNHz7c8jw6Olp+fn5q27atvLy8svT6c5PRaNSmTZvUpk0bu9/TEQ8O1iXsAesUto41CnvCeoU9YJ3C1j0oa/TKlSu6fPmyJOmll16yWrPhnNCiRQutXr1aly5dkiQNGzZMHTt2tHJUuSMgIECdOnVSfHy8pk6dqueeey7T6zE+Pj5NUsDb21tXrlxRs2bN5OPjk9uhZ0uHDh00c+ZMnThxQrGxseratau1Q8qWmzdv6siRIzpw4IAiIyMVFRWlqKgoFShQQF26dFH58uUlSefPn9fly5d17dq1NJUXCQkJKlCggLp3766jR4/KYDCocuXKOn/+vKSUqpZChQqpcOHCKly4sHx8fFS3bl3L/adPn67Y2FiZTCbFx8crPj7ecq5gwYLq3bu35fmyZcsUHR0tLy8veXl5KSEhQSdPnpQkubi4ZPnf1oPyOzO/Sd0N6V6yldR455139Mknn6Q7bjab9c4772Q6qWE2mzV06FCtWLFCW7ZsUYUKFdKcr1+/vpydnbV582ZLA5rw8HCdPXvW0pC8cePGGj9+vC5duqTixYtLSsnAeXl5qWbNmpYxt2f+N23aZJnDxcVF9evX1+bNm9WlSxdJKaVNmzdv1pAhQzKM3dXVNU2GMJWzs7NN/kOx1biQv7EuYQ9Yp7B1rFHYE9Yr7AHrFLbO3tdoav/TihUrqmjRolaO5v54e3vrzTff1JtvvikvLy916NDBrn82d9OyZUvt27dPERERevzxxy1/pX+39ZiQkKAdO3Zo586d6tWrl+UD9JYtW96zSsAWBAYGatSoUfrxxx/Vr18/a4eTLd7e3mrcuLEaN26sixcvav/+/Tpw4IBu3rypkiVLWn5227dvtyQQbufo6Kiff/5ZUkpj7o4dO8psNqtw4cJyd3e/68/y5ZdfVmJioqKjoy0JlaioKMu2VLeunYsXL+r69euKiIhIM0fDhg3Vpk2bNL1CssLef2fmN5n9WWVrNRw7dsySMLhV9erVLfvhZcbgwYO1YMECrVq1SgULFrT0wPD29pa7u7u8vb3Vv39/DR8+3FIaNXToUDVu3FiPPPKIJKlt27aqWbOmXnjhBX322WeKjIzUe++9p8GDB1uSDoMGDdLkyZP11ltvqV+/fvrtt9+0ZMkSrV271hLL8OHD1bdvXz388MNq2LChvv76a8XGxiooKCg7bxEAAAAAAABuY+9Nwm83ePBgnT59Wk2aNMnwj18fJNWrV1f16tXvOS4pKUm7d+/W9u3bFRcXJ0k6ePCgJalhDwkNKaVvSuq2WydPnlTFihWtHdJ9KVGihNq2batWrVopIiJCnp6elnN+fn5ycHCwVFwUKVLE8r2zs7OaN28uSerWrZtKlSqVpfu6uLioaNGi90xiPvvss7p+/bol8REXF6datWqpcuXKWX+xeOBlK6nh7e2tkydPWn4ZpTp+/HiWGs5MnTpVUkq53q1mzZqlwMBASdJXX30lBwcHdevWTQkJCWrXrp2+/fZby1hHR0etWbNGL7/8sho3biwPDw/17dtX77//vmVMhQoVtHbtWr322muaOHGiypQpo+nTp6fZPuvZZ5/V5cuXNXr0aEVGRsrf31+//PJLuubhAAAAAAAAyJ4HLanh7u6uyZMnWzsMm2AymXTgwAFt2bJFUVFRkiQfHx+1atUqU8kQW1O2bFm1atVKv/76q+bOnauxY8daO6Qc4ejomGb7fyn9Z7O3unjxorZv3y5JuboNl6+v7x3bAAC3y1ZS46mnntKrr76qFStWqFKlSpJSEhqvv/66nnzyyUzPYzab7znGzc1NU6ZM0ZQpU+44ply5cvdsLNWiRQvLf5x3MmTIkDtuNwUAAAAAAID786AlNfD/Fi9erKNHj0pK6ZfQokUL+fv7p2kcbW+CgoL066+/avbs2Ro9erRdv5bsWrlypcxmsxo0aKCyZctaOxxAkpStf4mfffaZPDw8VL16dVWoUEEVKlRQjRo15OPjoy+++CKnYwQAAAAAAICdi42NVXh4uKSUxtOwf7f+wXKtWrXk5uamNm3aaOjQoQoICLD7JMDTTz8tb29vnTlzRlu2bLF2OFaxbNkySbL0OwZsQba3n9qxY4c2bdqk/fv3y93dXXXr1lWzZs1yOj4AAAAAAAA8AA4cOCCTycQ2Mw+AyMhInThxQvv27VOjRo0kSXXq1FHVqlXl5uZm5ehyjru7u3r27KnvvvtOs2bNUsuWLa0dUp66evWqfv/9d0kkNWBbstc2XilNfdq2bau2bdvmZDwAAAAAAAB4ALH1lP1L/ZD70KFDkqSdO3eqQYMGcnBwkMFgeKASGqmCgoL03XffadmyZZo8ebK8vb2tHVKe+fnnn5WUlKS6devSsBs2JdNJjUmTJunFF1+Um5ubJk2adNexw4YNu+/AAAAAAAAA8OAgqWG/oqOjtW3bNu3bt08mk0mSVLhwYfXs2dPut5i6l4YNG6pGjRoKDQ3VkiVLNHDgQGuHlGfYegq2KtNJja+++krPP/+83Nzc9NVXX91xnMFgIKkBAAAAAIAtio6W/vpLatRI8vKydjTIZ0hq2Ke9e/dq3bp1Sk5OliRVrlxZzZs31549e1S4cGErR5f7DAaDgoKC9NZbb2nWrFn5JqkRHR2tjRs3SiKpAduT6aTGqVOnMvweAAAAAADYidBQae/elITGf/vgA3nBaDTq4MGDkkhq2JsSJUooOTlZZcuWVcuWLVWuXDkZjUZrh5WnevfurREjRmjnzp0KCwtT9erVrR1Srlu7dq0SExNVrVo11axZ09rhAGlkuT7MaDSqUqVKCg0NzY14AAAAAABAboiKkg4dkhwdU75GR1s7IuQjoaGhSkxMlJeXlypUqGDtcHAH8fHx+v333/Xbb79ZjpUuXVovvviiAgMDVa5cOStGZz0lS5ZU+/btJUmzZ8+2bjB55NatpwwGg5WjAdLKclLD2dlZ8fHxuRELAAAAAADILWFh0tWrUpUqKV/5Y0Xkob1790pKqdJ40Hsw2KPExERt375dEydO1LZt27Rjxw7duHHDcr5kyZL5/oPtoKAgSdKPP/5o2YrrQXXz5k2tX79eEltPwTZl63+RwYMH69NPP1VSUlJOxwMAAAAAAHJaapWGj4/k4JDylWoN5CH6adgmo9GoHTt2aOLEifrtt98UHx+vYsWKqWvXrvL09LR2eDalc+fO8vHx0YULFyy9Jh5Uv/zyi27evKny5cvzbxY2KdM9NW61e/dubd68WRs3blSdOnXk4eGR5vzy5ctzJDgAAAAAAJAD/qvS+OLIETk7OemVzp2l8PCUag16ayAPkNSwPWfOnNFPP/2kmJgYSVKRIkXUokUL1apVi2qaDLi4uOj555/XpEmTNGvWLHXo0MHaIeUatp6CrctWUqNQoUKUHgEAAAAAYA/+q9I4npSkN//bC/6RatXUKLVao0aNlMbhQC4xmUwKCQmRRFLDlvj4+CghIUGFChVSs2bNVK9ePZIZ9xAUFKRJkyZp1apVunr1qooUKWLtkHJcQkKC1qxZI4mtp2C7spTUMJlM+vzzz3X06FElJiaqZcuWGjt2rNzd3XMrPgAAAAAAcD/+q9LYeuGC5dCHS5Zo9XvvUa2BPHHy5EnduHFDrq6uql69urXDyZdMJpMOHjyos2fPqnPnzpIkT09P9enTRyVLlpSjo6OVI7QP/v7+8vf3V0hIiBYsWKAhQ4ZYO6Qc9+uvvyo6OlqlSpVSI/5vgI3KUvp1/Pjxevfdd+Xp6anSpUtr0qRJGjx4cG7FBgAAAAAA7sctvTS2HT5sObxm927tO3mS3hrIE6lbT9WpU0fOzs5WjiZ/MZvNOnTokKZOnaqVK1dq7969Onv2rOV8mTJlSGhkUWrD8FmzZlk5ktyRuvVU165dqdyBzcrSypw7d66+/fZbbdiwQStXrtTq1as1f/58mUym3IoPAAAAAABk139VGipa1JLUqFCihCRp/NKlUtGiKedDQ60ZJR5we/fulSQFBARYOZL8JSIiQt99952WLVumf//9V+7u7mrVqpV8fX2tHZpd69Wrl5ydnbV3714dOHDA2uHkKKPRqFWrVkli6ynYtiwlNc6ePauOHTtanrdu3VoGg0EXbilhBQAAAAAANuCWKo2z//6r05cuydHBQQtef12StGzHDh0+d45qDeQ6moTnLbPZrODgYM2YMUMXL16Uq6urWrRooVdeeUVNmzaVi4uLtUO0a0WLFtWTTz4p6cGr1ti6dauuXr2qYsWK6bHHHrN2OMAdZSmpkZSUJDc3tzTHnJ2dZTQaczQoAAAAAABwn8LCpMhIyWzWtp07JUn1y5XTIz4+6vrfX8x/9OOPktmcMo5qDeQCs9lMUiOPJSYm6s8//1RycrKqVaumYcOGqXnz5nJ1dbV2aA+M1C2o5s2bp8TERCtHk3NSt57q0qUL25LBpmWpUbjZbFZgYGCaX4Lx8fEaNGiQPDw8LMeWL1+ecxECAAAAAICsi4mR/PwkSduOHZMkNateXXJy0sinntLyvXu1KDhYY7t2VRU/v5TxQA6LiIjQpUuX5ODwf+zdd3gUVRfH8e+mJ5AeCC30Fum9hSYdVHqNFEVABBsqoCgiYgWVoqLSFAFBumDoRaRIbwFCr0IIpPe2+/4Rsi8RUEqSTcLv8zzzJLtzd+7ZMKTMmXOPFVWqVLF0OI8Fe3t7unXrxpUrV6hfvz4Gg8HSIeU5bdq0oVChQgQHBxMQEECnTp0sHdIjS01NZfny5YCWnpKc74GSGv3797/juWeffTbTghERERERERGRTNKihfnTbR9/DECToUPh6aepCXTYs4fff/+dT4KCmD1ypIWClLwuvUqjYsWKODk5WTiavMlkMrF7924cHByoXr06AD4+PvjcSmpK5rOxsaFv375MnDiROXPm5Imkxs6dO7l+/Tpubm40b97c0uGI/KsHSmrktXXiRERERERERPK669evc/LkSQwGA35+fubn3333XX7//Xd+/vlnxo4dS8mSJS0XpORZWnoqa8XHx7Ny5UpOnjyJjY0NJUuWxM3NzdJhPRaee+45Jk6cyO+//87169fx9va2dEiPJH3pqWeeeUZ9VyTHe6CeGiIiIiIiIiKSu2zbtg2AqlWr4u7ubn6+fv36tGzZkpSUFD777DNLhSd53IEDBwCoeauPi2SeK1eu8P3333Py5Emsra1p1aoVrq6ulg7rseHr60u9evVITU1l3rx5lg7nkZhMJnM7AS09JbmBkhoiIiIiIiIieVh6UqNJkyZ37Hv33XcBmD17Nn///Xe2xiWPB1VqZD6TycSOHTuYM2cOkZGRuLu7M3DgQOrWrav+GdksvWH4nDlzMJlMFo7m4e3du5fLly+TP39+WrdubelwRP6TkhoiIiIiIiIiedi/JTWaNm1K48aNSUpKYuLEidkdmuRx4eHhXLhwAcDc60EejclkYuHChWzcuBGj0UilSpUYMmQIhQsXtnRoj6VevXrh4ODAsWPH2Ldvn6XDeWjpS0916NABBwcHC0cj8t+U1BARERERERHJo8LCwjh69Chw96QG/L9a44cffuD69evZFpvkfYcOHQKgZMmSGZY+k4dnMBjw9vbG2tqaDh060LVrV+zt7S0d1mPL1dWVLl26ALm3F7HJZDInNbT0lOQWSmqIiIiIiIiI5FHbt2/HZDJRsWJFChYseNcxrVq1om7dusTHx/Pll19mc4SSZ0VFcXDhQkBLTz0qk8lEXFyc+XGzZs148cUXqV27tpabygHSl6D65ZdfSEhIsHA0D+7IkSOcPXsWBwcH2rVrZ+lwRO6LkhoiIiIiIiIiedS/LT2VzmAwmKs1vv32W0JDQ7MlNsnjTpzg4N69gJIajyI2Npb58+czb948UlJSALCyssLLy8vCkUm6J598Eh8fHyIiIlixYoWlw3lg6VUabdu2JX/+/BaORuT+KKkhIiIiIiIikkfdT1ID4KmnnqJatWrExMQwZcqU7AhN8rLISAgM5MDVqwDUqFDBwgHlThcuXOC7777j7Nmz3Lhxg2vXrlk6JLkLKysr+vfvD8CPP/5o2WAegpaektxISQ0RERERERGRPCg6OpoDBw4A/53UuL1aY+rUqURGRmZ5fJKHBQURFxxM0I0bANR0crJwQLmL0Wjkjz/+YO7cucTExODl5cWgQYPw8fGxdGhyDwMGDABg/fr1XLlyxbLBPICgoCCOHz+Ora0tTz31lKXDEblvSmqIiIiIiIiI5EE7d+4kNTWVUqVK3dfF0C5duuDr60tkZCRff/11NkQoedKtKo2j8fEYjUYKurhQODgYoqIsHVmuEBMTw7x589i6dSsmk4lq1aoxaNCge/bEkZyhTJkyNGnSBJPJxNy5cy0dzn1Lr9Jo2bIlbm5ulg1G5AEoqSEiIiIiIiKSB93v0lPprKysGDNmDABfffUVMTExWRab5GFBQRAWxsFbvVlqlCmDITwcTpywcGC5w4oVKzh//jy2trZ07NiRTp06YWdnZ+mw5D6kNwyfM2cOJpPJwtHcHy09JbmVkhoiIiIiIiIiedCDJjUAevbsSdmyZQkNDeW7777LqtAkr7pVpZHk6sr0tWsBqFu+PHh6QmCgqjXuw1NPPUXJkiUZNGgQ1atXt3Q48gC6detGvnz5OHPmDDt27LB0OP8pMDCQgwcPYm1tTceOHS0djsgDUVJDREREREREJI+Jj49nz549ADRt2vS+X2djY8Pbb78NwKRJk4iPj8+S+CSPulWl8enWrRy5cAFPZ2defuop8PKCsDBVa9zD7T1s3Nzc6N+/PwUKFLBgRPIw8ufPT48ePYC0ao2cLCQkxJzIaNeuHV5eXhaOSOTBKKkhIiIiIiIiksfs3r2bpKQkihQpQunSpR/otX379qV48eJcv36dmTNnZlGEkufcqtIIjI9nwuLFAEwbPJgCrq5gMKha4x7279/P1KlTCQoKsnQokgnSl6D69ddfiY2NtXA0dxcXF8fTTz/NuXPnKF26NLNmzbJ0SCIPTEkNERERERERkTzm9qWnDAbDA73W1taW0aNHA/D555+TmJiY6fFJHhQURMqNGzw/bx7JKSk8XbcuvW5f+kzVGhmYTCa2bNnC6tWrMRqNnDt3ztIhSSbw8/OjbNmyxMTEsGTJEkuHc4fU1FT69OnDnj178PDwICAgQE3oJVdSUkNEREREREQkj3mYfhq3e+655yhSpAhXrlzhp59+yszQJC+6VaUx+cAB9p4+jWu+fEwfOjRjQk3VGmZGo5FVq1Zl+H/arl07C0clmcFgMDBgwAAg5y1BZTKZeO2111i5ciX29vasXLmSChUqWDoskYeipIaIiIiIiIhIHpKUlMTOnTuBB+uncTsHBwfeeustAD755BOSk5MzLT7Jg4KCOBUYyHsrVgDwZffuFDUa4caNjJvJBMHBj3W1RnJyMosWLeLgwYMYDAY6dOhA8+bNH7iiSnKufv36YTAY+OOPP3JUBc5XX33F119/DcDPP/+Mn5+fhSMSeXhKaoiIiIiIiIjkIfv37yc+Ph4vLy98fX0f+jiDBw+mQIECXLhwgQULFmRihJLXGKOieCEggITkZFpVqsRzzZqBjc2dm60t+PhATIylQ7aI5ORk5s6dy6lTp7CxsaFHjx7Url3b0mFJJvPx8aFly5YAOabSbcmSJbz55psATJo0ie7du1s4IpFHY2PpAEREREREREQk86QvadO4ceNHuvvbycmJN954g9GjR/Pxxx/z7LPPYm1tnVlhSh4y/dQp/jx1inz58vHD6tUYSpa0dEg5ko2NDUWKFOHmzZv07t2b4sWLWzokySLPPfccGzZs4KeffuL999/Hyspy95Xv3LmTZ599FpPJxPDhwxkxYoTFYhHJLKrUEBEREREREclDHrWfxu1eeukl3N3dOXXqVI5seiuWd+HCBUaNGgXAp59+SkklNO7JYDDQpk0bhgwZooRGHtepUydcXV25ePEiW7ZssVgcp06d4plnniExMZFnnnmGyZMna6kzyROU1BARERERERHJI1JTU9m+fTvw8P00bufs7Mxrr70GwIQJEzAajY98TMk7TCYTgwcPJjY2Fj8/P1566SVLh5TjnD9/nsWLF5OamgqAlZUVbm5ulg1KspyjoyO9e/cGLNcwPCQkhHbt2hEaGkrdunX55ZdfVG0neYaSGiIiIiIiIiJ5xOHDh4mKisLFxYWqVatmyjFfeeUVXFxcCAwM5LfffsuUY0reMGfOHDZs2ICDgwOzZs2y6BI7OVFgYCDz58/n+PHj7Nq1y9LhSDZ77rnnAFi6dCmRkZHZOndcXBzPPPMM586do1SpUqxatQonJ6dsjUEkK+mnjYiIiIiIiEgekb70lJ+fX6bdkevm5sbw4cMB+PDDDzGZTJlyXMndrl69al6bf/z48ZQvX97CEeUsf/31F0uXLiU1NZUnnniC+vXrWzokyWZ16tThiSeeICEhgUWLFmXbvKmpqfj7+7N79248PDxYs2YNBQsWzLb5RbKDkhoiIiIiIiIieURm9tO43euvv46TkxMHDhxg7dq1mXpsyX1MJhNDhw4lMjKSOnXq8Prrr1s6pBzDZDKxYcMG1q1bB6Rd2O7atSs2NjYWjkyym8FgMFdrfP755+bvz1nJZDLx+uuvs2LFCuzt7Vm5ciUVKlTI8nlFspuSGiIiIiIiIiJ5gMlkMl80y4x+Grfz8vJi6NChgKo1BBYtWsRvv/2Gra0ts2fP1gX7W1JTU1mxYgU7d+4EoEWLFrRr107Lcj3G+vXrR4ECBTh79ixNmzalXbt2HDx4MMvmmzx5MtOmTQNg7ty5+Pn5ZdlcIpak76oiIiIiIiIiecDx48cJDQ3FycmJmjVrZvrx33zzTezt7dm1axdbtmzJ9ONL7nDjxg1efvllAN59910qV65s4YhyjvDwcE6ePInBYKBjx474+flhMBgsHZZYUMGCBTl06BAvvvgiNjY2rF27lpo1a9KrVy9Onz6dqXMtWbKEN954A4CJEyfSo0ePTD2+SE6ipIaIiIiIiIhIHpBepdGgQQPs7Owy/fiFChVi0KBBQFq1hjyeXn75ZW7evEmVKlUYPXq0pcPJUby8vOjZsye9e/emevXqlg5HcogiRYowffp0Tpw4Qe/evYG0aidfX18GDx7MlStXHnmOnTt38uyzz2IymRg2bJg5uSGSVympISIiIiIiIpIHZFU/jduNHDkSW1tbtm7dyvbt27NsHsmZVqxYwaJFi7C2tmbOnDlZkjzLLZKTkzl79izr169n69at5udLlSpFuXLlLBeY5Fhly5ZlwYIFHDp0iA4dOpCamsqMGTMoV64cb731FqGhoQ913FOnTvHMM8+QmJjI008/zZQpU1QhJHmekhoiIiIiIiIiuVxW9tO4nY+PDwMGDABgwoQJWTaP5Dzh4eHmvipvvfUWtWrVsnBE2ctkMhESEsKuXbuYN28en3/+OfPmzWPXrl0cOHBAfWbkvlWrVo3Vq1fz559/4ufnR0JCApMmTaJ06dJMmDCBmJiY+z7WjRs3aNeuHaGhodSpU4dffvkFa2vrLIxeJGdQUkNEREREREQklzt79ixXr17Fzs6OunXrZulco0ePxtramnXr1rF3794snUtyjjfeeIPg4GAqVKjA+++/b+lwst3PP//M9OnTWb9+PWfPniUlJQVnZ2eqV69O69atldSQB+bn58e2bdv4/fffqVatGlFRUbz33nuUKVOGqVOnkpiY+K+vj4uL4+mnn+bcuXOUKlWKVatWkS9fvmyKXsSylNQQERERERERyeXSqzTq1q2Lo6Njls5VunRp/P39AVVrPC7WrVvHnDlzMBgMzJo1CwcHB0uHlCVSU1O5ePEimzdvZs6cOaSkpJj3FSxYEBsbG8qUKUPr1q0ZOnQor7/+Oh07dqRy5cpYWekSmzw4g8FA+/btOXDgAAsWLKBMmTKEhITw6quvUqFCBX766SdSU1PveF1qairPPvssu3fvxt3dnYCAALy9vS3wDkQsw8bSAYiIiIiIiIjIo8mOpadu98477/Dzzz/z22+/cfjwYapVq5Yt80r2i46OZvDgwUBak/BGjRpZOKLMFRYWxtmzZzl79iznz58nKSnJvO/SpUuULl0aSOtV06JFC2xtbS0VquRhVlZW9O7dm27dujF79mzGjx/PxYsXGTBgAJ9//jkTJkygU6dO5l4Zb7zxBsuXL8fOzo6VK1dSsWJFC78DkeylNLKIiIiIiIhILpcdTcJvV6FCBbp16wbA7Nmzs2VOsYzRo0dz6dIlSpUqxccff2zpcDLV3r17mTZtGgEBAZw8eZKkpCScnJyoXLkyHTt2pFChQuaxTk5OSmhIlrO1tWXIkCGcPn2azz77DHd3d44fP06XLl2oX78+mzdvZvLkyUyZMgWAuXPn0rhxYwtHLZL9VKkhIiIiIiIikotdvnyZ8+fPY21tTYMGDbJtXn9/fxYvXsyKFSuYPHmy+Q5iyTv++OMPvv32WwBmzJiRK9frNxqNXL16lbNnz3Lu3Dlq165NlSpVgLTG91ZWVvj4+FCmTBnKlClD4cKFdS6LxTk5OTFy5EgGDx7MpEmT+Oqrr9izZw8tWrQwj/n888/p2bOnBaMUsRwlNURERERERERysfQqjZo1a+Ls7Jxt87Zu3RonJycuXbrEgQMHqFWrVrbNLVkvLi6OF154AYBBgwZluJia00VERHDu3DlzIiMhIcG8z83NzZzU8Pb2ZuTIkdjb21sqVJF/5ebmxoQJE3j55Zf56KOP+O6770hOTuall17izTfftHR4IhajpIaIiIiIiIhILpbd/TTSOTo60rZtW5YtW8by5cuV1MgLoqJg926oV4+x48dz5swZihYtysSJEy0d2b8ymUzm6oq4uDjz0jzp7O3tKV26NKVLl6Zs2bLm5w0GgxIakit4e3szdepU3njjDY4ePUq7du1UUSSPNSU1RERERERERHKxP/74A8i+fhq369y5szmpMWHChGyfXzLZiRNw4AC7L13iq6++AuD777/H1dXVwoFlZDKZuHbtmrkSw8bGBn9/fyBt2Z4iRYpgbW1N6dKlKVOmDEWLFsXKSm1lJfcrUaIEJUqUsHQYIhanpIaIiIiIiIhILnX9+nVOnjyJwWDAz88v2+fv0KEDNjY2HD9+nFOnTlG+fPlsj0EySWQkBAaSaDLx/NixGI1Gnn32WTp06GDpyACIiYnh9OnT5mWl4uPjzfusra1JTk42N/IeOHCgkhgiInmYkhoiIiIiIiIiudSff/4JQJUqVXB3d8/2+d3d3WnevDkbNmxg+fLljBo1KttjkEwSFARhYXx08CDHr16loLs7kydPtnRUAKSmpjJr1iwiIiLMz9nZ2ZmXlCpTpow5oQEooSEikscpqSEiIiIiIiKSS1mqn8btOnfurKRGbnerSuNwXByfLF0KwDc9e+J5W6LAkqytrenUqRNr166lfPny5iWlrK2tLR2aiIhYgFLXIiIiIiIiIrmUJftppOvYsSMAu3fv5u+//7ZYHPIIgoJIuXGD53/+mZTUVLo0aEC30qXTemxYSEpKClevXjU/LlGiBEOGDKF58+YUL15cCQ0RkceYkhoiIiIiIiIiuVBYWBhHjx4FoHHjxhaLo0iRItSvXx+AlStXWiwOeUi3qjSmHDzIgbNncc+fn29efBE8PSEwEKKisj2kmJgYfvrpJ3766SdCQkKyfX4REcnZlNQQERERERERyYV27NiByWSiQoUKeHt7WzSWzp07A7B8+XKLxiEPISiIC2fOMPZWQmrigAEUcncHLy8IC8v2ao3g4GBmzJjBlStXsLKyytAQXEREBJTUEBEREREREcmVckI/jXTpSY2tW7cSHh5u4WjkvkVGYjp6lKGrVxOXmEjTypV5vlWrtH0GQ7ZXawQFBTF79myioqLw9PTkhRdeoESJEtkyt4iI5B5KaoiIiIiIiIjkQjmhn0a6cuXKUalSJVJSUli9erWlw5H7FRTEoi1bWBsYiJ2NDd+/9BIGg+H/+7OpWsNkMvHnn3+yaNEikpOTKV26NC+88AKenp5ZOq+IiOROSmqIiIiIiIiI5DLR0dEcOHAAyBlJDdASVLlOZCThu3fz6q0k1JgePahQrFjGMdlUrXH48GE2b94MQJ06dfD398fBwSHL5hMRkdxNSQ0RERERERGRXGbXrl2kpqZSsmRJfHx8LB0O8P+kxtq1a4mLi7NwNPKfgoIYOXcuIVFRVCxcmFFNmsCNG3duJhMEB2dptUaVKlUoU6YM7du3p3379lhZ6XKViIjcm35KiIiIiIiIiOQyOamfRroaNWpQokQJ4uPjWb9+vaXDkf/w565dzNy/H4AfnnsOe0dHsLG5c7O1BR8fiInJ1Plv3ryJ0WgEwNraGn9/f+rUqZOpc4iISN5kY+kAREREREREROTB5KR+GukMBgOdOnViypQpLF++nE6dOlk6JLmHxMREBn//PQCDBg2i8UcfZev8QUFBLFu2jOrVq9O+fXuAjL08RERE/oUqNURERERERERykfj4ePbs2QPkrKQG/H8JqlWrVpGcnGzhaORePv30U4KCgvD29uazzz7LtnlNJhPbt283NwQPDQ0lJSUl2+YXEZG8QUkNERERERERkVxkz549JCUlUbhwYcqUKWPpcDLw8/PDy8uL8PBw8xJZkrMEBQXx8ccfAzBlyhTc3d2zZd6UlBRWrFjBpk2bgLSG4H369MHGRouIiIjIg1FSQ0RERERERCQXub2fRk5bssfa2ppnnnkGgOXLl1s4Gvkno9HIkCFDSEpKol27dvTo0SNb5o2JieGnn37iyJEjGAwGc0Nwa2vrbJlfRETyFiU1RERERERERHKRnNhP43bpS1CtWLHC3AhacoY5c+awbds2nJyc+Pbbb7MlKWY0Gpk7dy5XrlzBwcGBZ599Vg3BRUTkkSipISIiIiIiIpJLJCUlsXPnTiDnJjVatmxJ/vz5+fvvv9m3b5+lw5Fbrl+/zptvvgnA+PHjKVmyZLbMa2VlRYsWLfDy8uKFF16gdOnS2TKviIjkXUpqiIiIiIiIiOQSBw4cID4+Hk9PT3x9fS0dzl05ODjQrl07QEtQ5SSvv/46ERER1KhRg1dffTVL54qMjOTUqVPmxxUqVODFF1/E09MzS+cVEZHHg5IaIiIiIiIiIrlEej+NJk2aYGWVc/+kT1+CSkmNOx07doxly5Zl69Jca9eu5ZdffsHKyooZM2ZkWXPuqKgofv/9d6ZOncqyZcuIj48371P/DBERySxZ81NMRERERERERDJdTu+nka59+/bY2tpy8uRJTpw4kWOrSrLbzp07adWqFXFxcTzzzDPMnTsXV1fXLJ0zNjaWoUOHAvDqq69Sq1atTJ8jOjqa7du3s3//flJTUwEoUqQI8fHxODo6Zvp8IiLyeFNSQ0RERERERCQXSE1NZfv27UDOT2q4urrSokUL1q5dy/Lly5XUAA4fPkz79u2Ji4sD4LfffqNOnTosX76cSpUqZdm848aN48KFCxQvXpzx48dn6rFjY2PZvn07+/btIyUlBYASJUrQrFmzbOvZISIij5+cW6sqIiIiIiIiImZHjhwhKioKFxcXqlWrZulw/pOWoPq/U6dO0bp1ayIjI2nUqBF//PEHPj4+nD59mnr16vHrr79mybwHDx7kq6++AuDbb78lf/78mXr8pKQkdu/eTUpKCj4+PvTt25f+/fsroSEiIllKSQ0RERERERGRXCC9n4afn1+u6E/QsWNHDAYD+/bt4/Lly5YOx2IuXbpEy5YtCQkJoUaNGvz+++80adKE/fv306JFC2JjY+nZsydvvfWWudohM6SmpjJ48GBSU1Pp3r07HTp0eORjxsXFcfToUfNjd3d3WrRogb+/P8899xylS5fGYDA88jwiIiL/RkkNERERERERkVwgt/TTSOft7U3Dhg0BWLFihWWDsZCQkBBatWrF5cuXqVChAmvXrjX30ChQoABr165l5MiRAEyaNInWrVsTEhKSKXN//fXX7Nu3D1dXV6ZMmfJIx4qPj2fz5s1MmTKFZcuWcf36dfO+Ro0aUbZsWSUzREQk2yipISIiIiIiIpLDmUwmc6VGbklqwOO9BFVERARt2rTh1KlTFC9enA0bNlCwYMEMY2xsbPjss89YvHgx+fPnZ8uWLdSqVYs9e/Y80tyXLl1izJgxAHz22WcULlz4oY6TkJDA1q1bmTJlCn/++SdJSUl4e3uTnJz8SPGJiIg8CiU1RERERERERHK4EydOEBoaipOTE7Vq1bJ0OPctPamxbds2QkNDLRxN9omNjaVDhw4cOnQIb29vNm7ciI+Pzz3Hd+vWjd27d1O+fHmuXLlC48aNmTlz5kPNbTKZGDZsGLGxsTRq1IhBgwY98DGSkpLYtm0bU6ZM4Y8//iAxMZGCBQvSo0cPhgwZQrFixR4qNhERkcygpIaIiIiIiIhIDpdepdGgQQPs7OwsHM39K126NFWrViU1NZVVq1ZZOpxskZiYSJcuXdi5cydubm6sX7+ecuXK/efrnnjiCfbs2UPHjh1JSkpi0KBBDB48mMTExAeaf+nSpaxevRpbW1t++OEHrKwe7tLP7t27SUhIwMvLi27duvHiiy/i6+urZaZERMTiLJrU2LZtG08//TRFihTBYDDcscbmgAEDMBgMGba2bdtmGBMWFoa/vz8uLi64ubkxcOBAYmJiMow5cuQIjRs3xsHBAR8fHz7//PM7Ylm8eDEVK1bEwcGBKlWqEBAQkOnvV0RERERERORh5LZ+Grd7nJagSklJwd/fn/Xr1+Pk5ERAQABVq1a979e7urqybNkyPvroIwwGAzNmzKBx48b33Wg9IiKCV155BYBRo0bxxBNP3NfrYmJi2LFjByaTCQA7Oztat25Nly5dGDp0KJUqVVIyQ0REcgyLJjViY2OpVq0a33zzzT3HtG3blmvXrpm3X375JcN+f39/jh07xoYNG1i9ejXbtm1j8ODB5v1RUVG0bt2aEiVKsH//fiZOnMi4ceP44YcfzGN27txJ7969GThwIAcPHqRTp0506tSJwMDAzH/TIiIiIiIiIg8gt/bTSJee1Fi/fj2xsbEWjibrGI1GBg0axNKlS7Gzs2PFihU0aNDggY9jZWXFO++8w5o1a/Dw8GDv3r3UqlWLrVu3/udr3377ba5du0a5cuXMPTX+TUhICCtXrmTy5Mls3LiRkydPmvdVq1aNKlWqPHSlh4iISFaxseTk7dq1o127dv86xt7enkKFCt1134kTJ1i7di179+6ldu3aAEybNo327dszadIkihQpwvz580lKSmL27NnY2dlRqVIlDh06xJdffmlOfkyZMoW2bdvy1ltvAfDhhx+yYcMGvv76a7777rtMfMciIiIiIiIiD+bc4cNcvXoVOzs76tWrZ+lwHljVqlUpVaoU58+fZ+3atXTt2tXSIWU6k8nEiBEj+PHHH7GysmLhwoW0atXqkY7Zpk0b9u3bR5cuXTh06BBt27alX79+97yOsmPHDvM1jO+//x4HB4d7xnr+/Hl27drFmTNnzM8XK1bsnq8RERHJSXJ8un3r1q0ULFiQChUqMHTo0AyNxXbt2oWbm5s5oQHQsmVLrKys2L17t3lMkyZNMqw52qZNG06ePEl4eLh5TMuWLTPM26ZNG3bt2pWVb01ERERERETkP21buhSAur6+ODo6WjiaB2cwGPL8ElTjx49nypQpAMyePdv8fh9VqVKl2LlzJ/369cNoNPLjjz/Sp0+fO5bdTkpKMt+4+dxzz9G8efO7Hi8uLo4ffviBn3/+2ZzQ8PX15fnnn2fgwIGULFkyU+IWERHJShat1Pgvbdu2pUuXLpQqVYqzZ8/yzjvv0K5dO3bt2oW1tTXBwcEULFgww2tsbGzw8PAgODgYgODgYEqVKpVhjLe3t3mfu7s7wcHB5uduH5N+jLtJTEzM0KwrKioKgOTkZJKTkx/+TWey9FhyUkwiOi8lN9B5KjmdzlHJTXS+Sm6QY8/TqCi2bN4MQKNixUgOCwNnZwsH9eCefvppvvzyS1avXk1sbGyuanb+X6ZOncq4ceMA+Oqrr+jTp0+mnkc2NjbMmDGDGjVq8Oabb7J06VKOHz/O4sWLKV++PACffvopx48fx8vLi48//jjD/Eaj0byElI1N2mUgW1tbqlatSt26dXF3dwdy4LkvOVqO/Z4pcovO0dzpfv+9cnRSo1evXubPq1SpQtWqVSlTpgxbt26lRYsWFowMPvnkEz744IM7nk9vBpbTbNiwwdIhiNxB56XkBjpPJafTOSq5ic5XyQ1y4nm6/uxZABxq1ybgzz8tHM3DSU1NxdXVlcjISCZOnEiNGjUsHVKm2LRpE9OmTQOgT58+lCpVioCAgCyZq1SpUnz00Ud89tlnnDhxgrp16/Laa69RtGhRJkyYAEDfvn3NK1ckJiZy8+ZNIiIiqFixItbW1kBaM3IvLy9SU1O1QoU8spz4PVPkdjpHc5e4uLj7Gpejkxr/VLp0aby8vDhz5gwtWrSgUKFChISEZBiTkpJCWFiYuQ9HoUKFuH79eoYx6Y//a8y9enlAWvOtESNGmB9HRUXh4+ND69atcXFxefg3mcmSk5PZsGEDrVq1wtbW1tLhiAA6LyV30HkqOZ3OUclNdL5KbpAjz9OoKC7PmcP169extrLilYIFcQ4NhU6dcmW1Rrdu3Zg1axbXrl27rybWOd2yZcv45ptvAHj99df59NNPMRgMWTZf+t2r+/bto1+/fuzYsYOPP/6Y4sWLk5ycTKtWrfj000+5du0au3fvJigoCJPJBKT1y8griSTJGXLk90yR2+gczZ3SV0P6L7kqqXHlyhVCQ0MpXLgwAA0aNCAiIoL9+/dTq1YtADZv3ozRaDQ3T2vQoAFjxowhOTnZfAJv2LCBChUqmEssGzRowKZNm3jttdfMc23YsIEGDRrcMxZ7e3vs7e3veN7W1jZH/kfJqXHJ403npeQGOk8lp9M5KrmJzlfJDXLUeXrmDLv27wegZpkyeBQrBidPwunTkAsbhnft2pVZs2axatUqpk+fbl4SKTdat24dffv2xWg0MnDgQL744ossTWjczsfHhy1btvDmm28ydepULl26hKOjI2PGjGH+/PlcunTJPLZ06dI0aNCAMmXKZFt88njJUd8zRe5C52jucr//Vhb9DSImJoZDhw5x6NAhAM6fP8+hQ4e4dOkSMTExvPXWW/z1119cuHCBTZs20bFjR8qWLUubNm2AtGZWbdu2ZdCgQezZs4cdO3YwfPhwevXqRZEiRYC08k87OzsGDhzIsWPHWLRoEVOmTMlQZfHqq6+ydu1avvjiC4KCghg3bhz79u1j+PDh2f41ERERERERESEyEtPRo3x/K6nxZNWqYDCApycEBsJ93smYkzz55JM4OzubKwlyqx07dtC5c2eSk5Pp3r0733//fbYnDGxtbZkyZQrz5s3D19eXadOm8ccff3Dp0iWsrKyoWrUqQ4YMoW/fvpQtW1YJDRERyVMsWqmxb98+mjdvbn6cnmjo378/06dP58iRI/z0009ERERQpEgRWrduzYcffpihQmL+/PkMHz6cFi1aYGVlRdeuXZk6dap5v6urK+vXr2fYsGHUqlULLy8vxo4dy+DBg81jGjZsyIIFC3j33Xd55513KFeuHCtWrKBy5crZ8FUQERERERER+YegIDbs3s2fp09jb2vLy089lfa8l1datcaJE7muWsPe3p4OHTqwcOFCli9f/q+rI+RUhw4dokOHDsTHx9O2bVvmzZtn7lWRXVJSUjh79ixXr17F398ff39/AFavXo2DgwN169bNUctii4iIZDaLJjWaNWtmXt/xbtatW/efx/Dw8GDBggX/OqZq1ar8+R/N1Lp370737t3/cz4RERERERGRLHWrSuPdTZsAeKl9e4p6eqbtu71aw9cXctnF686dO5uTGp999lmuqiA4deoUrVu3JjIyEj8/P5YuXYqdnV22zG0ymbh48SKXLl1i6tSpJCQkAFCjRg3z0tpPpSe+RERE8rhc1VNDREREREREJM8LCmLV9u3sPX8eJ3t7RnftmnF/Lq7WaNeuHfb29pw5c4Zjx47lmhUSLl26RMuWLblx4wY1atRg9erVODk5Zfm8oaGh7N+/n8DAQKKjo83POzs7U7ly5WyvEhEREckJlNQQERERERERySkiIzEeOcJ7t6o0Xn36aQq6uWUck4urNZydnWnZsiW///47y5cvzxVJjZs3b9KqVSsuX75MxYoVWbduHa6urlk2n8lkMlewXL16lV27dgFpy3fly5ePtm3bUqZMmVzdaF1ERORR6CegiIiIiIiISE4RFMTSzZs5cuUKLo6OvNm4Mdy4cedmMkFwcFq1Ri7TuXNnAJYvX27hSP5bSkoKvXr14tSpU5QoUYINGzZQoECBTJ8nLi6OvXv3Mnv2bHbs2GF+vkKFClSuXJkePXrw6quvUrx4cUqWLKmEhoiIPNZUqSEiIiIiIiKSQ6RGRjL2jz8AeKNtWzz+WaVxOx8fiInJnsAy0TPPPIOVlRUHDx7kwoULlCxZ0tIh3dPbb7/Npk2byJcvH7///jvFihXLtGMnJSVx8uRJjh49ytmzZzEajQAkJibi5+cHgJ2dHV1vLT+WnJycaXOLiIjkZkpqiIiIiIiIiOQQC65fJ+jaNTw8PHjtxx9z1dJS96tAgQL4+fmxbds2VqxYwWuvvWbpkO5q0aJFTJo0CYAff/yRSpUqZdqxV69ezZEjRzIkKgoXLkyVKlVyxZJcIiIilqSkhoiIiIiIiEgOkJyczLhx4wAYNWoULnkwoZGuc+fObNu2jeXLl+fIpMaRI0d4/vnngbR/i27dumXq8ZOSkkhOTsbd3Z0qVapQpUoVvLy8MnUOERGRvEpJDREREREREZEc4Mcff+TcuXMULFiQYcOGWTqcLNWpUydef/11tm/fzo0bN7KkT8XDCg8Pp3PnzsTFxdG6dWs++uijRzpeYmIif/75J7Vq1cLd3R2ARo0aUbduXYoWLWpuCi4iIiL3R52lRERERERERCwsISGB8ePHA/DOO++QL18+C0eUtUqWLEmNGjUwGo389ttvlg7HLDU1FX9/f86dO0fJkiVZsGAB1tbWD3Uso9HI/v37mTZtGjt27GDTpk3mfd7e3hQrVkwJDRERkYegpIaIiIiIiIiIhc2YMYMrV65QtGhRhgwZYulwskXnzp0BWL58uYUj+b/333+fNWvW4OjoyPLly/H09Hyo45w7d44ffviB1atXExsbi6enJ1WrVs3kaEVERB5PWn5KRERERERExILi4uLMSxy99957ODg4WDii7NG5c2fGjh3Lhg0biI6OxtnZ2aLxrFixwvzvMHPmTKpXr/7AxwgNDWXDhg2cPHkSAAcHB5o2bUqdOnUeuuJDREREMlKlhoiIiIiIiIgFffPNN1y/fp1SpUrx3HPPWTqcbFOpUiXKli1LUlISa9assWgsJ06coF+/fgC89tpr9OnT56GOc/ToUU6ePImVlRV169bllVdeoX79+kpoiIiIZCIlNUREREREREQsJCoqis8++wxIW/rIzs7OwhFlH4PBkCOWoIqKiqJz585ER0fTrFkzPv/88/t+bWpqKlFRUebHDRs2pFq1agwdOpR27drh6OiYFSGLiIg81pTUEBEREREREbGQKVOmEBoaSoUKFfD397d0ONkuPanx+++/k5iYmO3zG41G+vXrx8mTJylWrBiLFi3C1tb2vl57+vRpvvvuOxYuXIjJZALAzs6OTp064eXllZVhi4iIPNaU1BARERERERGxgPDwcL744gsAPvjgA2xsHr+2l/Xq1aNw4cJER0ezZcuWbJ//o48+YuXKldjb27Ns2TIKFiz4n68JCQlh3rx5LFiwgJs3bxIZGUlYWFg2RCsiIiKgpIaIiIiIiIiIRXzxxRdERkZSpUoVunfvbulwLMLKyoqOHTsC2b8EVUBAAO+//z4A06dPp06dOv86PjY2lt9//53vvvuOs2fPYmVlRYMGDXj55Zfx9PTMjpBFREQEJTVEREREREREst2NGzeYPHkyAOPHj8fK6vH98zx9CaqVK1eSmpqaLXOeOXOGPn36YDKZGDp06H82aL958ybTpk1j3759mEwmKlasyLBhw2jdujUODg7ZErOIiIikefxqW0VEREREREQs7LPPPiM2NpZatWqZKxUeV82aNcPV1ZXr16/z119/0ahRoyydLyYmhk6dOhEZGUnDhg3NyaV/4+npiaenJ0ajkTZt2lCyZMksjVFERETu7fG9FURERERERETEAq5evco333wDwIQJEzAYDBaOyLLs7Ox46qmnAFi2bFmWzmUymRg4cCDHjh2jcOHCLFmyBDs7uzvGJSYmsnnzZpKTkwEwGAz07t2bQYMGKaEhIiJiYUpqiIiIiIiIiGSjjz/+mISEBBo1akSbNm0sHU6OkL4E1eTJk3nmmWdYu3YtRqMx0+eZNGkSv/76K7a2tixZsoTChQvfMebEiRN88803/Pnnn2zdutX8fP78+R/rZcJERERyCv00FhEREREREckmFy9e5IcffgBUpXG7p59+mm7dumE0Glm1ahXt2rWjXLlyTJo0idDQ0EyZY8OGDYwePRqAqVOn0rBhwwz7o6KiWLRoEb/++ivR0dG4u7tTpkyZTJlbREREMo+SGiIiIiIiIiLZ5MMPPyQ5OZkWLVrQrFkzS4eTY9jZ2bF48WKCgoJ47bXXcHV15dy5c7z11lsULVqU/v37s3v3bkwm00Md//z58/Tq1Quj0cjzzz/PkCFDzPuMRiO7d+/mm2++ISgoCCsrK/z8/Bg6dCilS5fOrLcoIiIimURJDREREREREZFscPr0aX788UcgLbkhd6pQoQJfffUVf//9NzNnzqRmzZokJiYyd+5c6tevT+3atZk1axZxcXH3fcy4uDi6dOlCWFgYderU4ZtvvslQIbN582bWrl1LUlISxYoVY8iQIbRo0QJbW9useIsiIiLyiJTUEBEREREREckGH3zwAampqXTo0IEGDRpYOpwcLV++fAwcOJB9+/axe/du+vfvj729PQcOHOCFF16gSJEivPbaa5w8efJfj2MymRgyZAiHDh2iQIECLF26FAcHhwxj6tSpg4uLCx06dOD555+nYMGCWfnWRERE5BEpqSEiIiIiIiKSxY4dO8aCBQsAGD9+vIWjyT0MBgN169blxx9/5O+//2bixImUKVOGyMhIpkyZQsWKFWnRogVLly4lOTn5jtdPmzaNefPmYW1tzeLFi/Hx8eHs2bNs3LjRPMbV1ZVXXnmF2rVrq8eJiIhILqCkhoiIiIiIiEgWGzduHCaTiS5dulCzZk1Lh5MreXp68uabb3Lq1CnWrl3LM888g5WVFZs3b6Zbt26ULFmSDz74gKtXrwLwxx9/MGLECAC++OILateuzbJly5g3bx47duzg3Llz5mNbW1tb5D2JiIjIg1NSQ0RERERERCQLHTx4kCVLlmAwGPjggw8sHU6uZ2VlRZs2bVi5ciXnz59nzJgxFCxYkKtXrzJu3DiKFy9Ot27d6NGjB6mpqfj7+9O4cWO+/vprjh49isFgoF69ehQtWtTSb0VEREQegpIaIiIiIiIiIllo7NixAPTu3ZvKlStbOJq8pXjx4kyYMIHLly/zyy+/0LhxY1JTU1m6dCkhISH4+fnx5JNPsmrVKhISEihUqBAvvPACbdu2xd7e3tLhi4iIyEOwsXQAIiIiIiIiInnVX3/9xerVq7G2tub999+3dDh5lp2dHb169aJXr14EBgYyffp0zp49S6tWrbh8+TK2trY0a9aM+vXrY2Wl+ztFRERyMyU1RERERERERLLIe++9B0D//v0pX768haPJ+0wmE5UqVeKbb74B4Pjx4xw8eJAOHTrg5uZm2eBEREQkUyipISIiIiIiIpKZoqJg9262JiWxceNGbG1tzckNyTp///0369evp1q1auZm7L6+vvj6+mIwGCwcnYiIiGQWJTVEREREREREMtOJE5j27+e9hQsBGDRoECVLlrRsTHlYREQEmzZtIjAwEIDo6GiqV6+OlZWVkhkiIiJ5kJIaIiIiIiIiIpklMhICA1l/9izbDx/G3t6ed955x9JR5UkJCQls376dv/76i9TUVACqVavGk08+qb4ZIiIieZiSGiIiIiIiIiKZJSgIU2go727dCsBLnTtTtGhRy8aUBwUFBbFq1Sri4uIAKFmyJK1bt6Zw4cIWjkxERESympIaIiIiIiIiIpnhVpXGb5cvs+/MGZzs7Bhdt25ajw0XF0tHl6c4OzsTFxeHp6cnrVq1onz58lpqSkRE5DGhpIaIiIiIiIhIZggK4salS4xctgyAV595hoIpKXDiBNSrZ+Hgcrfg4GCuXbtGjRo1AChatCj+/v6UKlUKa2trC0cnIiIi2UlJDREREREREZFHFRnJte3baTFjBqeuXaOQuztvdu4MCQkQGAi+vqrWeAhRUVFs2bKFQ4cOYW1tTcmSJXF3dwegbNmyFo5ORERELEFJDREREREREZFHdGnrVlp88glnQkMp6unJpg8/xMPZGfLnh5MnVa3xgJKSktixYwc7d+4kJSUFAF9fX1VliIiIiJIaIiIiIiIiIo/i7KFDPPn881wKC6NkwYJsnjCBUoUKpe00GMDTU9Ua98loNHLo0CG2bNlCTEwMAD4+PrRu3ZpixYpZODoRERHJCZTUEBEREREREXlIJ06coEWrVlwLC6N8kSJsmjCBYl5eGQd5eala4z7Fxsaydu1akpOTcXd3p2XLlvj6+qoJuIiIiJgpqSEiIiIiIiLyEA4fPkyrli25cfMmlYsWZePHH+N9q99DBqrW+FfR0dE4OzsD4OzsTPPmzQGoW7eulpsSERGROyipISIiIiIiIvKA9u7dS5s2bQgPD6dmkSKsf+stPFNS4MaNu7/AZILgYFVr3CYhIYE//viDPXv20LdvX0qWLAlAgwYNLBuYiIiI5GhKaoiIiIiIiIg8gO3bt9O+fXuio6Np8MQTBAwfjlu+fP/9Qh8fuNUn4nFmNBo5cOAAW7ZsIS4uDoCTJ0+akxoiIiIi/0ZJDREREREREZH7tGnTJp555hni4uJo1qwZq1atIn/+/JYOK9c4f/4869at4/r16wB4eXnRpk0bypYta+HIREREJLdQUkNERERERETkPvz+++907dqVxMRE2rZty7Jly3B0dLR0WLlGQEAAe/fuBcDBwYFmzZpRu3Zt9c0QERGRB6KkhoiIiIiIiMh/WLp0Kb179yY5OZlOnTqxcOFC7O3tLR1WruLj48O+ffuoXbs2zZo1w8nJydIhiYiISC6kpIaIiIiIiIjIv5g/fz79+/cnNTWVXr16MXfuXGxtbS0dVo5mMpk4dOgQdnZ2VKpUCYDKlStTpEgRPD09LRydiIiI5GZKaoiIiIiIiIjcw8yZMxk8eDAmk4nnnnuOGTNmaLmk/3Dx4kXWrVvHtWvXyJcvH2XLlsXe3h6DwaCEhoiIiDwyJTVERERERERE7mLatGm88sorALz00ktMmzYNKysrC0eVc0VERLBx40aOHTsGgL29PQ0bNsTGRpceREREJPPoNwsRERERERGR6Oj/f/Tw4PPPP2fUqFEAvPnmm3z++ecYDAYLBphzJSUlsX37dnbt2kVKSgoANWvW5MknnyRfvnwWjk5ERETyGiU1RERERERERE6eBMAUFMS49ev54IMPABg7dizjxo1TQuNfhISE8OeffwJQokQJ2rZtS6FChSwclYiIiORVSmqIiIiIiIjI4y0yEk6cwOThwdsffsiXa9cC8Omnn5qrNeTeihUrRqNGjShSpAi+vr5KAImIiEiWUlJDREREREREHm9BQRhDQ5mxdCkBtxIaU6dO5eWXX7ZwYDlTTEwMq1atol27dri5uQHQsmVLywYlIiIijw0lNUREREREROTxFRlJ8qFDvPjbbwRs347BYOD7vn0Z1L+/pSPLkW7cuMGCBQuIiIggMTGR/v37qzJDREREspWSGiIiIiIiIvLY2r1kCUM++IDD165hZWXFrFdeYUCRInDiBNSrZ+nwcpTz58/z66+/kpCQgIeHB08//bQSGiIiIpLtlNQQERERERGRx05kZCTvvPkm02fNwmQy4eHszJDhw/GvXx9u3oTAQPD1BRcXS4eaIxw5coSVK1diNBrx8fGhV69eODk5WTosEREReQwpqSEiIiIiIiKPDZPJxJIlS3j11Ve5du0aAP2ffJKPBwxgb3oCw8sLTp5UtQZpX69t27axdetWACpVqkSnTp2wsdHlBBEREbEM/RYiIiIiIiIij4ULFy4wbNgwAgICACjn7c33/frRvHFjkk0mMJnSBhoM4Ompag0gJSWFoKAgABo1akSLFi205JSIiIhYlJIaIiIikrWiomD37rQ7XR/ji0IiImI5ycnJTJ48mffff5/4+Hjs7Ox4u29fRpcujUPlynd/kao1ALC1taVPnz6cPXuW6tWrWzocEREREawsHYCIiIjkcSdOwIEDaR9FRESy2V9//UXt2rUZOXIk8fHxNG3alMPbtzOuQQMcChVKq8q4m9urNaKisjdoC4uIiODAgQPmx87OzkpoiIiISI6hpIaIiIhkncjItItB1taP5UUhERGxnIiICF566SUaNmzIkSNH8PT0ZM6cOWzZsoWKRiMEB6ctN3XjRtoWGpr2wtDQ/z9nMqWNe4wS81evXmXWrFmsWrWKY8eOWTocERERkTsoqSEiIiJZJygIwsKgXLm0j4/RRSEREcliUVGwYcMdCXOTycSvv/6Kr68v06dPx2QyMWDAAIKCghgwYEBaP4iYGPDxAVtbsLFJ26yt0w5gbf3/52xt08bFxFjgDWa/U6dO8eOPPxITE0PBggUpVqyYpUMSERERuYN6aoiIiEjWSK/S8PQEKys1XBURkcyVvryhi4u558X58+cZNmwYa9asAaB8+fJ89913NG/ePONrW7S483jJyRAQAL17pyUzHjN79+5lzZo1mEwmSpcuTY8ePbC3t7d0WCIiIiJ3UKWGiIiIZI2gIC6cOUOP2bN59osvCLGxUbWGiIhkjn8sb5gcGspnn31GpUqVWLNmDXZ2dowbN44jR47cmdCQDEwmE+vXrycgIACTyUSNGjXo06ePEhoiIiKSY6lSQ0RERDKdMTycb6dOZfTSpcQmJgKw6cgRfhowgNaq1hARkUeVvrxh+fLs2rCBIZ98wtGzZwFo1qwZ3333HRUqVLBwkLnDuXPn2LVrFwBPPvkkfn5+aUt0iYiIiORQSmqIiIhIpjp16hQDe/Rg++HDAPg98QThMTEcu3SJNl99xZtNmvBRhQrY+flZOFIREcmVblVpRDg68vZ33/H9unWYTCY8PTz44ssv6devny7KP4AyZcrQpEkTvLy8qFKliqXDEREREflPWn5KREREMkVKSgqff/45VatWZfvhw+Szt+ebF1/kj48/Zu8XX/BS+/YATNq2jQb+/pzcv9/CEYuISK4UFET89es0//JLvlu7Nq0ReO3aBC1YQP/+/ZXQuA83b94kNjbW/Lh58+ZKaIiIiEiuoaSGiIiIPLKjR49Sv359Ro0aRWJiIq3Ll+fY11/zUvv2WFlZ4XgrwbHinXfwcHbmwKVL1PTzY/bs2ZhMJkuHLyIiucWtKo0RGzZw6Px5Cri6suWjj5gzdCheV65AVJSlI8zxLl68yKxZs1i4cCHJycmWDkdERETkgSmpISIiIg8tKSmJcePGUatWLfbv34+bqyuzBwxg7ciRlPD2vmN8x/r1OTJ1Kk9WrEhcQgIDBw6kV69eREREZH/wIiKS+wQF8euWLXy3dSsGg4F5I0bQrEoV8PJK67Fx4oSlI8zRLly4wLx580hISMBkMimpISIiIrmSkhoiIiLyUPbu3UutWrX44IMPSE5OplOnThyfP5/nypbFAHDjxl23okYj60eM4JNWrbCxtubXX3+lWrVqbN++3dJvSUREcrLISM5u3swLS5cC8Ha3brSuUSNtn8EAnp4QGKhqjXu4evUqv/zyCykpKZQvX57+/fvj5ORk6bBEREREHpiSGiIiIvJA4uPjeeutt6hfvz6BgYEUKFCARYsWsWzZMgo7OICPD9jago3NPTdre3tGP/ssO6ZMoUyZMly6dImmTZsybtw4UlJSLP0WRUQkB0o8coSe33xDdEICjXx9+aBPn4wDVK1xTzdv3mT+/PkkJSVRsmRJunfvjq2traXDEhEREXkoNpYOQERERHKgqCjYvRvq1QMXF/PT27ZtY+DAgZw5cwYAf39/Jk+ejJeXV9qAFi0eaJq6wMF+/Rg+fDhz587lgw8+YOPGjcyfP58SJUpk1rsREZHcLjKSkR98wP6//8bD2Zlf3nwTG2vrjGNur9bw9c3w8+txFhERwc8//0xcXBxFihShV69e2NjoUoCIiIjkXqrUEBERkTudOAEHDpjvdo2OjmbYsGE0bdqUM2fOUKRIEVatWsW8efP+n9B4SM7Ozvz000/Mnz8fFxcXduzYQbVq1Vi0aFFmvBMREckDVnz/PVM3bQJg7nPP4QN3X+bQZILgYFVr3CYxMZHU1FS8vLzw9/fH3t7e0iGJiIiIPBIlNURERCSjyMi0u1ytrSEwkPXLl1O5cmW+/fZbAF544QWOHTvGU089lanT9unTh0OHDlG/fn0iIyPp1asXzz//PDExMZk6j4iI5C4XL17kuQ8/BOCNtm3pUKvWvZc4tLVNWwZRPzvMvL29ef755+nbt696aIiIiEieoJpTERERySgoCMLCCC9ShBGTJ/Pjvn0AlCpVihkzZtDiAZeYehClSpVi27ZtfPjhh3z00UfMmTOH7du3s2DBAmrXrp1l84qISM6UnJxMr169iIiJoW7duny8ciXY2Vk6rBwvOTmZGzduUKRIEQA8PDwsHJGIiIhI5lGlhoiIiPzfrSqN5Rcv8sTLL/Pjvn0YDAZeHTqUo0ePZmlCI52trS3jx49ny5YtFCtWjNOnT9OwYUMmTpyI0WjM8vlFRCTnGDNmDH/99Reurq4sWrQIOyU0/lNqaiqLFy9mzpw5nD592tLhiIiIiGQ6VWqIiNzuHs2RRR4bQUFMXrmS11etAqBC0aLM7tiRhv36Qb582RpKkyZNOHz4MIMGDWLZsmWMHDmS9evXM3fuXAoXLgxASkoK0dHRREZGmreoqKj7fhwVFYWDgwOFCxemcOHCFCpU6J6fOzg4ZOv7FxF53AUEBDBx4kQAZs+eTcmSJS0bUC5gNBpZsWIFp0+fxsbGRv0zREREJE9SUkNE5HbpzZFdXNISGyKPk8hIdv/2G28FBAAwomNHPurbF4f0Hhu+vtme7PPw8GDJkiXMnDmTV199lY0bN1KhQgWcnZ2JjIwkNjY2U+a5du3af45xc3PLkOy4WwKkePHi5M+fP1NiEhF5nF25coV+/foBMHz4cLp06WLhiHI+k8nEmjVrCAwMxMrKip49e1K8eHFLhyUiIiKS6ZTUEBFJ94/myJa4gCtiSRF799Jr+nRSUlPp4efHpOefx2AwgJcXnDyZlvSzQLLPYDAwaNAgGjduTO/evTl06BDR0dEZxjg4OODq6mreXFxc/vVx+nMuLi7ExcVx7do1goODM3y8/fPExEQiIiKIiIjgxIkT94zVzs6Ot99+m3feeUdLpIiIPKSUlBT69OlDaGgoNWvWZNKkSZYOKVfYvHkz+271wercuTNly5a1cEQiIiIiWUNJDRGRdLeaI1O+PJw6ZbELuCKWYIqIYNDo0VwID6d0oUL8MGxYWkIDwGAAT0+LJ/sqVqzInj17OHDgALa2thmSE1mZQDCZTERGRt6R6Lhb8iM8PJwPPviApUuXMnv2bOrUqZNlcYmI5FUffPABf/75J87OzixatEhLKN2HnTt3sn37dgA6dOhA5cqVLRyRiIiISNZRUkNEBP5fpeHpCVZWOeICrkh2+v6TT1iyfz+2NjYsfOstXP/ZP8PC1RrpbG1tqZfN8xsMBtzc3HBzc8PX1/ee40wmE4sXL2b48OEEBgZSv359RowYwfjx43F0dMzGiEVEcq+NGzfy0UcfAfDDDz+o2uA+mEwm/v77bwBatGhB7dq1LRyRiIiISNaysnQAIiI5wq0qjbcDAmj13nucS0lJq9r4l2VmRPKKIzt28NqXXwLwab9+1ClX7s5Bt1drREVlc4S5g8FgoEePHhw/fhx/f3+MRiOTJk2iatWqbNu2zdLhiYjkeMHBwfj7+2MymRg8eDC9evWydEi5gsFgoGvXrnTv3h0/Pz9LhyMiIiKS5ZTUEBG5VaXxx82bfLp0KRsPH6bR6NEciYvTBVzJ82JjY+np709iSgodqlbl9YYN4caNu28mEwQHK9n3H7y8vJg3bx6rVq2iaNGinDlzhqZNmzJs2LA7eoGIiEia1NRU/P39CQkJoXLlykyePNnSIeV4N27cwGQyAWBlZcUTTzxh4YhEREREsoeSGiIiQUEYb97kzWXLALC3tSU4PJwmEyey48ABXcCVPG348OEEXbxIUXd3fhw8GIOtLdjY3H2ztQUfH4iJsXTYucJTTz3FsWPHGDRoEADffvstlStXZt26dRaOTEQk5/n444/ZvHkzTk5O/Prrr1q27z9cvnyZGTNm8Ntvv2E0Gi0djoiIiEi2smhSY9u2bTz99NMUKVIEg8HAihUrMuw3mUyMHTuWwoUL4+joSMuWLTl9+nSGMWFhYfj7++Pi4oKbmxsDBw4k5h8XW44cOULjxo1xcHDAx8eHzz///I5YFi9eTMWKFXFwcKBKlSoEBARk+vsVkRzoVpXGonPn2HfmDPkdHTk8ZQqNfH2JjI2l1cyZBCxYoGoNyZPmzZvHjz/+iJWVFQtWrMBr2DDo1++/txYtLB16ruHq6soPP/zAxo0bKVWqFJcuXaJt27YMGDCAsLAwIK0I5syZB99u3rTwmxMRySR//PEH48aNA2D69On/2r9I4Pr16yxYsIDk5GSio6PN1RoiIiIijwuLJjViY2OpVq0a33zzzV33f/7550ydOpXvvvuO3bt3ky9fPtq0aUNCQoJ5jL+/P8eOHWPDhg2sXr2abdu2MXjwYPP+qKgoWrduTYkSJdi/fz8TJ05k3Lhx/PDDD+YxO3fupHfv3gwcOJCDBw/SqVMnOnXqRGBgYNa9eRHJGYKCSAwJ4Z1bSdVRXbpQoVgx1o8fT7tatYhPSqLj118z/6uvLBunSCY7deoUL774IgDvv/8+TZo0sXBEeVuLFi04evQor776KgaDgZ9++olKlSrxyy/LKVoUypV78K1iRUu/KxGRR3fjxg369OmD0Wikf//+9OvXz9Ih5WhhYWHMmzePhIQEihUrRo8ePbC2trZ0WCIiIiLZyqJJjXbt2jFhwgQ6d+58xz6TycTkyZN599136dixI1WrVmXu3LlcvXrVXNFx4sQJ1q5dy8yZM6lXrx5+fn5MmzaNhQsXcvXqVQDmz59PUlISs2fPplKlSvTq1YtXXnmFL281RAWYMmUKbdu25a233sLX15cPP/yQmjVr8vXXX2fL10FELORWlcbXhw5xISSEIh4ejOjUCQAne3tWjhlDn6ZNSTEaeXbcOKZNnGjZeEUySUJCAj179iQ2NpbmzZszZswYS4f0WMiXLx+TJ09m+/btVKhQgeDgYPr06YKraw/g+gMdy2CAOnWyJk4RkexiNBrp168fV69epWLFivr76z9ER0fz888/ExMTg7e3N3369MHOzs7SYYmIiIhkOxtLB3Av58+fJzg4mJYtW5qfc3V1pV69euzatYtevXqxa9cu3NzcqF27tnlMy5YtsbKyYvfu3XTu3Jldu3bRpEmTDL/stWnThs8++4zw8HDc3d3ZtWsXI0aMyDB/mzZt7lgO63aJiYkkJiaaH0fdWpomOTmZ5OTkR337mSY9lpwUk0iOOS+PHyfswgUmrF4NwLiOHbGNjib5tka+s/v2xc3amm83b+aVkSMJiYrivffew2AwWCpqySY55jzNAm+88QaHDh2iQIECzJkzB6PRqPW4s1GdOnXYu3cvEyZM4IsvvuDmzcXAJmxtv8Tauvd9f395551koqPz5jkqeU9e/p4qDyg6Gvbtg9q1mfT996xduxYHBwfmz5+Pvb29Rc+RnHyexsXFMW/ePCIiInB3d6dnz57Y2NjkyFgl6+Tkc1QePzofJafTOZo73e+/V45NagQHBwPg7e2d4Xlvb2/zvuDgYAoWLJhhv42NDR4eHhnGlCpV6o5jpO9zd3cnODj4X+e5m08++YQPPvjgjufXr1+Pk5PT/bzFbLVhwwZLhyByh5xwXs4+coSIuDhKlCiB51NPEXCX8v1WL79MuLc3v/zyCxMmTODAgQO88MILWFlZtNhNsklOOE8z019//cW3334LwIsvvsihQ4c4dOiQZYN6TDVs2BBvb2+mTZvGhQsXSE4eQLVqX/Piiy/i5eX1n69Pz79m1jlqMplITU0lJSWF5ORkUlJSzFuhQoXMyZZLly4RHh4OYH7u9o8VK1bExibtV8xr164RERFx13EGg4GSJUtia2sLQGhoKJGRkeZ9/9y8vb3NY6Ojo4mNjTXvu/2YVlZWODs7m8dKzpLXvqfKwwuaMYN3330XgOeff57Lly9z+fJlC0eVJieep1FRUYSGhmJra0uhQoXYtm2bpUMSC8qJ56g8vnQ+Sk6nczR3iYuLu69xOTapkdO9/fbbGao7oqKi8PHxoXXr1ri4uFgwsoySk5PZsGEDrVq10h/3kmPklPPy/PnzrF27FoCvv/6aNm3a3HNshw4dqF+/Pq+99hoBAQE4Ozsza9YslfznYTnlPM1MFy9eZMCAAQCMGDGC9957z7IBCZCWXHr55UnMnv0R+/bt47XX3qNIkVEUKFAbGxsje/bUN48tWfI8rq4RvPKKFWXKGDl27BhVq1bF1tYWg8FA+fLlzQnXGzdumC/8W1lZkZqaSmxsLLGxscTFxdG0aVNzQuD333/n6NGj96zYefbZZ7G3twcgICDA3OT8bs1pW7VqhaOjo3ns9ev3XlqrefPm5t+bNmzY8K8XNLt06WJO9mzdupWdO3fec6y/vz8lSpQA0hrqRkREULRoUfLnz3/P10jWyovfU+UhREXBypWEXb3KK199hdFopEePHnz11Vc5ogo2p5+n586dw9nZmQIFClg6FLGQnH6OyuNF56PkdDpHc6f01ZD+S45NahQqVAhI+0O0cOHC5uevX79O9erVzWNCQkIyvC4lJYWwsDDz6wsVKnTHH9Ppj/9rTPr+u7G3tzf/cX87W1vbHPkfJafGJY83S5+X77//PklJSbRs2ZIOHTr85x/Tr7zyCgUKFKBfv34sWrSIyMhIlixZQr58+bIpYrEES5+nmSU5OZl+/foRERFB3bp1+eSTT/LE+8oLTp06RZcutciX70scHa/i5GQHRAAbMRoN/PFHY/PYatUOUrFiEKdOwalTac9dunTJvH/MmDHmKondu3dz5MiRe87buHFjHBwcALC2tjYnNOzt7cmfPz/58+cnX7585MuXD2tra/P50rx5c5o0aYLBYMBkMmE0GjN8zJ8/vzmx4ufnR/Xq1c1LnP1zvIuLi/m4VatWxdvb2zw2NTU1w+eurq7msT4+PtSsWdO8//ZxiYmJFC9e3Dw2MDCQ3bt3A2lLmRYrVoyiRYtSrFgxChcubP56SfbIK99T5SGdOYPp5k0Gr1rFpbAwyhYrxowZM3LcTSI54Tw1mUzs3LmT4sWL4+PjA0CFChUsGpPkHDnhHBVJp/NRcjqdo7nL/f5b5di/4kqVKkWhQoXYtGmTOYkRFRXF7t27GTp0KAANGjQgIiKC/fv3U6tWLQA2b96M0WikXr165jFjxowhOTnZ/EXZsGEDFSpUwN3d3Txm06ZNvPbaa+b5N2zYQIMGDbLp3YpIdtu7dy8LFy7EYDAwceLE+747sHfv3ri7u9OlSxfWrl1L69atWb16tfn7iUhONXbsWHbt2oWrqysLFy7McReQ8rLExERu3LhBSEgIISEhhIWF0bv3/3tnnDhxgmPHjuHpCWCH0QhhYaHcuBFCQoIVcAEoCcCVK0Vp1MiEh0faBfwbN27g4eEBpDXcvX1ZvPz581OgQAFzEsHKyipDouL2KotmzZrRpEkT8uXL958X+R+kItXT0xPPtDf2n4oVK0axYsXua2zFihWpWLHifY11dnbG29ubkJAQIiMjiYyM5NixYwBYWVkxYsQIc3I6MTEROzu7HHHHuEieExkJgYFMPXiQ3/bswc7GhkXPPUfOqXHPOaKiolixYgXnz5/Hzc2NoUOH6ue2iIiIyG0smtSIiYnhzJkz5sfnz5/n0KFDeHh4ULx4cV577TUmTJhAuXLlKFWqFO+99x5FihShU6dOAPj6+tK2bVsGDRrEd999R3JyMsOHD6dXr14UKVIEgD59+vDBBx8wcOBARo0aRWBgIFOmTOGrr74yz/vqq6/StGlTvvjiCzp06MDChQvZt28fP/zwQ7Z+PUQke5hMJt58800A+vbta06c3q+2bduyceNGOnTowM6dO2nSpAnr1q0zf98RyWnWr1/Pp59+CsDMmTPv6DUlme/w4cMcO3bMfCH9n9IbvULaBXo3NzcKFizIqFEF2bzZi6Ski8AzwHFgL7Ada2tvDAY/hg9PO0ZycjIBAQG0b9/+rneztGrVilatWt1XvM7Ozg/3RnOBRo0a0ahRIxITE7l69SpXrlzh77//5sqVK1hZWWWotlu2bBlXrlzJUM1RrFgxXUwUyQxBQRw9doy3liwB4Ivnn6emszOcOAG3bkgTCAoK4rfffiM+Ph5bW1saN26su0tFRERE/sGiSY19+/bRvHlz8+P0HhX9+/fnxx9/ZOTIkcTGxjJ48GAiIiLw8/Nj7dq15qUSAObPn8/w4cNp0aIFVlZWdO3alalTp5r3u7q6sn79eoYNG0atWrXw8vJi7NixDB482DymYcOGLFiwgHfffZd33nmHcuXKsWLFCipXrpwNXwURyW6rVq1i27ZtODg4MGHChIc6RsOGDdm2bRtt2rQhMDAQPz8/1q9fT9myZTM5WpFHExwcTN++fYG03g3dunWzcER5R3R0NJcvX+bKlStcuXKFXr164eTkBMDNmzc5ffq0eWz+/PkpWLAgBQoUoGDBghl+l6lcubL5d45RoyCt1U8ZYD3gB5wB2pKauoXx492y6d3lPfb29pQqVcqc1DOZTHc0obt27RpxcXGcOnWKU7fW97KysqJEiRKUL1+e+vXr33FcEbkPkZGYjh5l+O+/k5ySwtN16zKsQwe4eRMCA8HXF3JQX0JLSE5OZt26dezfvx+AwoULZ+glJCIiIiL/Z9GkRrNmze7aYDKdwWBg/PjxjB8//p5jPDw8WLBgwb/OU7VqVf78889/HdO9e3e6d+/+7wGLSK6XkpLCqFGjAHjttdfMaxQ/jCpVqrB9+3Zat27N2bNn8fPzY926dVSrVi2zwhV5JEajkb59+xISEkLVqlX58ssvLR1SrhYWFsapU6fMSYx/VmBcuXKF8uXLA2nVFy4uLhQsWJCCBQuaG2f/l2bNwM8Pdu2C1NSiwAbSEhuHcHF5mrp11wFOmfm2HlsGg+GOnkivvPIKwcHB5mqOy5cvExkZyfnz50lJScmQ1Lh48SKFCxdWFYfI/QgKYtGWLWw7dQpHOzumDR6ctsyblxecPPnYV2vExsby448/cvPmTSDt5pknn3wSa2trC0cmIiIikjPl2J4aIiJZYebMmQQFBeHl5cXo0aMf+XilS5dm+/bttG3blsOHD9O0aVNWrVpF48aN//vFIlns008/ZePGjTg5ObFo0aL7vrAuaeuZX7lyhSJFiuDm5gakXcRet26deYzBYKBgwYIUK1YMHx+fDEvQFS1alKJFiz7U3B9+CP8vZC1LWsVGE6KittOtWzdWrFihC+lZxMbGJkNvD5PJRFhYGKdPnyZ//vzmcfHx8fz0009YWVlRsmRJypYtS7ly5fDw8FA/DpF/iowkZt8+3lyzBoC3u3WjRMGCafsMBvD0fOyrNZycnPD09CQxMZFOnTpRunRpS4ckIiIikqMpqSEij43o6Gjef/99IK1psqura6Yct1ChQmzdupWnn37aXLmxePFinnrqqUw5vsjD2LFjB2PHjgXgm2++ue+myo+j1NRUrl27Zq7AuHz5MlFRUUBaD516t+4e9vHxoVy5chmSGPb29pkeT8ZqDbC2rkqlSr9z+nQr1qxZQ//+/Zk3b16mzyt3MhgMd212Hh4ejouLC5GRkZw9e5azZ8+ybt063N3dKVu2LNWrV1efJZF0QUF8tHQpf4eHU8rbm7e6dMm4/zGt1oiJicHGxgYHBwcMBgPPPPMMgHkZQxERERG5NyU1ROSxMXHiREJCQihbtixDhgzJ1GO7ubmxbt06evTowe+//06nTp2YM2eOuZeBSHYKCwujd+/epKam8uyzz9K/f39Lh2RxJpOJmJgYwsLCcHR0pOCtu4SvXbvGrFmzSE1NzTA+vQrj9ooILy8v+vTpky3x3l6tkZoKU6Y0IiFhGc888wwLFy7E3d2dyZMnZ0ssd5OQkJChL8jjpkiRIrz66qvcvHmTM2fOcPr0aS5evEh4eDh79+7F29vbnNSIi4sjISEBDw8PC0ctYgGRkZzauJEvtm0DYPILL+Dwz0qzx7Ba49SpU6xcuZIyZcrQ5VaSR8kMERERkfunpIaIPBauXr3KF198AaQtyZMVS7c4OTmxfPlynn/+eebNm0e/fv0ICwvj1VdfzfS5RO7FZDLx3HPPcfnyZcqVK8e333772C2Hk5iYyJEjRwgLCyM8PJzw8HDCwsJISUkBoHbt2nTo0AEAT09PjEYjTk5O5mWHihUrRtGiRS26xFN6tcb27dC4cdpjaMvPP/9M7969mT59Oq6urtneuDoxMZF3332Xr776iieffJLp06dTpkyZbI0hpzAYDBQoUIACBQrQoEEDEhMTOX/+PGfOnKFcuXLmcUePHmXt2rV4eHhQtmxZihcvTrFixTKtWlAkJzOdOMFrc+eSnJpK28qVebpUKbhx4y4DTRAcnOerNVJSUtiwYQN79uwBICQk5LFPEouIiIg8DCU1ROSxMHbsWOLi4mjYsKH5jrisYGtry08//YSnpydTpkzhtddeIyAggGeffZbOnTtnWJNdJCtMmzaN3377DTs7O3799VecnZ0tHVKmSk5OJiwszJywSP9YvHhxmjZtCqQldgICAu54rcFgwNXVNcOSUXZ2drz66qu4uLjkuOTPRx9Bu3ZpH9P17NmTiIgIXnzxRT799FMGDBhA+/btsyWewMBA/P39OXLkCAAbNmygSpUqjBs3jtdffx1bW9tsiSOnsre3p2LFincs9RYdHY2VlRVhYWHs2bPHfDHT2dkZHx8f2rZtm+f+n4qkW71xI2tOncLW2popffti+LfvEz4+EBOTfcFls5CQEJYuXUpISAgA9erVo2XLltjY6E9yERERkQel36BEJM8LDAxkzpw5QNoSVFl94dLKyoqvvvqKAgUK8O6777J+/XrWr1+Po6MjHTt2xN/fnzZt2jz2FwAl8x04cIC33noLgC+++ILq1atbNqCHZDQaiYiIIDU1lQIFCgBpFQLffvutudfFP1lZWZk/d3BwoHLlyuTPnx93d3c8PDzw8PDA1dUVa2vrO16bU++Yb9IEbt6Ef/Z3HzJkCOHh4bz99tv8+OOPNGrUiBdeeCHL4jAajUydOpXRo0eTmJhIgQIF+OSTT1iwYAGbN29m1KhRLFiwgBkzZlCnTp0siyO3atmyJY0bN+bcuXOcO3eOv//+m+DgYKKjowkKCqJTp07msbt27SIyMhIfHx9Vc0iul5CQwGu3fv8a8eablB850sIRWYbJZGLv3r1s2LCBlJQU8uXLR8eOHTNUdImIiIjIg1FSQ0TyvJEjR2I0GunatSsNGzbMljkNBgNjxoyhZ8+ezJ8/n/nz53P69GkWLlzIwoUL8fT0pEePHvj7+9OwYcMcd4e45D7R0dH07NmTpKQkOnfuzLBhwywd0n8ymUxcuHCB0NBQQkNDCQsLIzQ0lPDwcIxGI+XKlTP3sLCzsyMpKQlIS1qkJyrc3d1xd3c398hI17Vr12x/P1nhnwmNdKNGjeLGjRt8+eWXDBkyBE9PTzp37pzp81+5coUBAwawadMmADp06MCsWbPw9vbm+eefZ+7cuYwYMYLDhw9Tv359Xn75ZSZMmKCqtH+wt7fH19cXX19fAJKSkrh69Srh4eEZEtxHjx7l2rVr7N69G0ir5khfEi090aGfF5JbTJo0iXPnzlGkSBHeffddS4djMYmJifz555+kpKRQtmxZOnbsqO+RIiIiIo9ISQ0RydM2bdrEmjVrsLGx4ZNPPsn2+cuWLcv777/P2LFj2bdvH/Pnz2fhwoVcv36d6dOnM336dEqWLEmfPn3w9/fniSeeyPKYTCYTwcHBxMTEULZsWV0gy+WuXbvGmjVrmD17NmfOnKF48eLMmjUrx/y7JicnExISws2bNwkNDcXe3p5GjRqZ9y9atIjExMQ7XmdjY5PhPRgMBgYMGICzs7OaqZL29fjkk084cuQIGzdupFevXgQEBNCiRYtMm+PXX3/lxRdfJDw8HEdHR3MCJf3fxWAw0L9/f9q1a8eIESOYP38+U6ZMYfny5Xz77bfmviVyJzs7O0qWLEnJkiUzPN+wYUMuXbrElStXzNUcJ06c4MSJE7i6uvLaa6+Zx164cAF3d3dVc0iOdOnSJT7++GMgLbnxuF3EN5lMGI1GrK2tcXBwoHPnzoSEhFCvXr0c8/NZREREJDdTUkNE8iyj0Wheimfo0KEWLfM3GAzUqVOHOnXqMGnSJDZv3sz8+fNZtmwZFy5c4OOPP+bjjz+mevXq+Pv707t3b4oWLfpIc5pMJi5fvszx48czbCdOnCAiIgKA3r1789NPP2kpLEuJioLdu9Oaorq43NdLUlJS2L17N2vWrCEgIICDBw+a99na2vLLL7/g7u6eVRHfl127dnH16lWCg4MJDQ3FZDKZ93l5eZmTGgaDgdKlS5OSkoKnpyeenp54eHjg6el51x4X3t7e2fo+cjqDwcDQoUNxcXFh2bJldOzYkU2bNlHvEZvsRkZGMnz4cObNmwekNVafN28eFSpUuOv4ggULMm/ePJ599lmGDh3KhQsXeOqpp+jRowdTpkyhUKFCjxTP46Ry5cpUrlwZ+H81x5UrV7hy5Qout32PMJlMLFq0iISEBFxcXChevDg+Pj4UL16cggULZliOTcQS3njjDeLj42nSpAm9evWydDjZJiUlhSNHjvDXX39RrVo188+70qVLU7p0aQtHJyIiIpJ3KKkhInnW/PnzOXjwIC4uLowdO9bS4ZjZ2NjQunVrWrduzfTp01m1ahXz589nzZo1HDp0iEOHDjFy5EiaNWuGv78/Xbt2xc3N7Z7HS01N5cKFC3ckL4KCgoi5R8PN9Atev/zyC9HR0fz666843mudG8k6J07AgQNpCY1/uRAdEhLCunXrCAgIYN26dYSHh5v3pSfM2rdvT48ePczL22Sl1NRUbt68SXBwMMHBwSQnJ/PUU0+Z9x8+fJjr16+bHzs5OVGwYEE8PT3vWCaqR48eWR5vXmZtbc1PP/1EdHQ0GzZsoH379mzbto1KlSo91PG2bdtG3759uXTpElZWVowZM4b33nvvvhKfbdu2JTAwkHHjxvHll1/y66+/sn79eiZOnMjAgQN1d/IDulc1B0BcXBzu7u4EBwcTFRVFYGAggYGBQNpSV7Vq1aJVq1bZHLFImk2bNrFkyRKsrKyYNm3aY/F/PzY2lr1797J3717i4uKAtJ+FWmJUREREJGsoqSEieVJ8fDxjxowB4O2338bLy8vCEd2dk5MTPXv2pGfPnoSGhrJ48WLmz5/P9u3b2bJlC1u2bGHYsGF06NABf39/fH19OXHiRIbkxcmTJ0lISLjr8W1tbSlXrhxPPPFEhq1cuXJs2rSJbt26sXr1ajp06MDKlStxdnbO5q/AYywyEgIDwdo67aOvr7law2g0sm/fPgICAggICGDfvn0Zqh3c3d1p27Yt7dq1o02bNnckCrLC4cOHOX/+PMHBwdy4cQOj0WjeZ21tTbt27cxNuGvXrk1CQgKFChXC29ub/Pnz66JOFrK3t2fZsmW0atWKv/76i9atW7N9+3ZKlSp138dISkpi7NixfP7555hMJkqXLs3PP//8wH2I8uXLx8SJE+nduzeDBg3iwIEDDBo0iHnz5vH999/fs9ojs0RGRnL58mV8fX3v2hQ+r8iXLx+DBw8mKSmJK1eucPnyZfOWmJiYoVIjPj6eefPmUaxYMXNFh8t9VoaJPKjk5GReeeUVAF566SWqVq1q4YiyVkhICH/99RdHjhwhNTUVAFdXV+rVq0eNGjX0s09EREQkiyipISJ50tSpU7l8+TI+Pj68+uqrlg7nvnh6evLiiy/y4osvcuHCBX755Rfmz5/PsWPHWLZsGcuWLbvnax0cHKhYsSJPPPEEvr6+5uRFmTJl7nmHdYcOHVi7di1PPfUUW7ZsoVWrVgQEBODh4ZFVb1FuFxQEYWFQvjycOkXoX3+xPjTUXI1x48aNDMNr1qxJu3btaN++PXXr1sXGJu1H+O3JDoDQ0FBiY2NJSUkhNTXV/DH98xo1apgveB4/fpyrV6/edazRaKRHjx7mCzKnTp3i+PHj5nns7e3x9vbG29ubQoUKZYijdu3aWfIlk3vLnz8/v//+O02bNiUwMJBWrVqxffv2+1r66fjx4/j7+3Po0CEAnn/+eSZPnvxISc6aNWuye/dupk6dynvvvccff/xB1apVeffddxk1ahR2dnYPfex06Y3md+zYYd4CAwMxmUzUrl2bmTNnUq1atUeeJyezs7PLsKyN0WgkJCQEBwcH85jLly9z9epVrl69yp49ewBwc3PDx8cHHx8fypUr96/VgCIP4uuvv+b48eN4eXkxfvx4S4eT5f78809zlVTRokVp0KABvr6+WgJOREREJIspqSEiec7NmzfNzSknTJjwaMsqxceDBZZlKlmyJG+//TajR4/myJEj5gbj4eHhGZIW6Z+XLFnyoe5Kbtq0KZs3b6Zt27bs3r2bZs2asX79eq2Bn9UiIzEdPcqhmBh+X7yYNbt389fZs1hZW+Po6IiDgwMuLi60bt2a9u3bU7ZsWeLj44mPj+fSpUsEBQWZHycmJvLOO++Ykw+bN2/OkHz4pypVqpgvKJ8+fdp8IftuIiIizP05KlWqRIECBczVF25ubroDNYfx8PBg3bp1+Pn5cfbsWdq0acPWrVvv2WPFaDTyzTffMHLkSBISEvD09GTGjBl07tw5U+KxsbFhxIgRdO7cmZdeeom1a9cyduxYFi5cyIwZMx64CiQ5OZlDhw5lSGJcu3btjnG2trbs27eP2rVrM3LkSN57770MF/nzMisrqzu+fxcrVoyuXbty6dIlLl++zPXr14mIiCAiIoKjR4/y9NNPU7NmTQCioqK4efMmRYsWxd7e3hJvQXKx69evM27cOAA++eQTi/d3ymwpKSkEBgbi4+ODp6cnAA0aNCA1NZX69evj4+Ojn4siIiIi2URJDRHJcz788EOioqKoXr06zz777MMfaNs2aNsW1q2Dxo0zL8AHYDAYqFatGtWqVTMvC5PZfzDXqVOHP/74g9atW3P06FEaN27Mxo0bKVGiRKbO8zhITEw0JxrSt4SEBBITE0lJSaF+/fqEhYUxb8IEdpw+jaOnJ47OztR7+mmaOzmZq2oMBgOjR482Jx9+/fVXTpw4cc95k5KSzBcgnZ2d8fDwwMbGBmtra6ytrc2f29jYZKioKFOmDA4ODneMsba2xtbWNsNFzfREmuRsRYoUYcOGDfj5+XHkyBGeeuop1q9fT758+TKMu3r1Ks899xzr168H0vphzJ49m8KFC2d6TKVKlSIgIICFCxfy6quvcvz4cfz8/HjxxRf55JNPcHV1vevrIiIi2LVrlzmBsWfPHvNa9elsbGyoVasWjRo1olGjRjRs2BCTycTw4cNZtmwZH3/8MUuXLmXGjBk0ttD3cUtzcnLK0IA8MTGRK1eumJMcxYsXN489ceIEa9euxWAwULBgQYoVK2au6HB3d9cFW/lXo0ePJioqitq1a/P8889bOpxMExcXx759+9izZw+xsbHUqlXL3EeqSJEi6g0lIiIiYgFKaohInnLmzBm+/fZbACZOnPho5f9jxqRVaowZk5bgyAGy6oJS5cqV+fPPP2nZsiVnzpzBz8+PjRs3Zvn695kpKCiI8PBwoqOjiY2NJTo6mhs3bhAWFkZqairly5enY8eOeHp6snjxYq5du4aVldUdm4ODQ4Zk2B9//MHNmzfN+00mkzlZYTAYGDhwoHnsokWLOH/+/D1j/Prrr1myZAmJiYn06NHjrj0PrKys7qguKl++PG5ubjg6OuLk5ISjo6N5c3JyyrCUT9u2bWnbtu19fc1uv9ApeUeZMmVYv349TZo0YefOnXTr1o2VK1eaz5OlS5cyePBgwsLCcHBwYNKkSbz00ktZesHaYDDQu3dv2rRpw1tvvcXs2bOZPn06K1eu5Ouvv6ZTp06cP38+QxXGsWPH7lhezd3dnYYNG5qTGHXq1LlrNd7SpUtZtmwZw4YN4+TJkzRp0oQXX3yRzz777LHvJ2Fvb0+ZMmUoU6bMHfsMBgOurq5ERkZy/fp1rl+/zv79+4G05Ei/fv3w9vbO7pAlF9i1axc//vgjkPazLi8sv3Tz5k3++usvDh8+TEpKCgAuLi4UKFDAwpGJiIiIiJIaIpKnvP3226SkpNCmTRtatmz58AfauhW2b0/7/M8/0x43a5YJEVqe0WgkLi4uwx3PBoMBT09Ptm/fTsuWLQkKCqJ9+/b89NNPPPHEE+aLnekfra2tM6y3Hxsbm6Fx9O1jDQZDhrvE4+Pj7xh7+2ucnJzMj8+dO0dERAQxMTHmZEX65w4ODgwZMsQ8duvWrVy/fv2OY9rZ2REZGcnAgQMZPHgwzZs3p1mzZuYLFP/0zwukV65c4eLFi/eM9/bqGXt7e6ytrbG3tzdXQISGhnLx4kVCQ0NZtWoVqampVC1cmPoFC9KwUCG88ufHcfp0HI8dw6lgQex++glD/foZ5qlevfpd5xe5lypVqhAQEEDLli1Zu3Yt/fr147vvvuP11183X3isWbMm8+bNw9fXN9vi8vDwYNasWTz77LMMHjyYM2fO0KVLFzw8PAgLC7tjfJkyZfDz8zMnMSpWrHjfF0u7dOlC8+bNGTlyJDNnzuS7775j1apVTJ8+naeffjqz31qeULduXerWrUt0dLS58fiVK1e4du0a8fHxGZYT2rBhAxcuXMhQzXGvqhvJ21JTU3n55ZcBeO6556hXr56FI3p0q1ev5siRI+bHhQsXpkGDBjzxxBMPtdyniIiIiGQuJTVEJM/YtWsXS5YswWAw8Pnnnz/awd57D6ytITU17ePYsTmmWuNukpKSiI2NNV/0T/88f/785rXSTSYTX375JTExMXc9RrFixRg4cCDbtm2jTZs2PPnkk2zatIlNmzbdMdbb25sXX3zR/Hj27Nl3vSAJaRcx0y92APz00093TT5AWrPjN954w/x4w4YNBAcH33XsP9d7L1OmDAUKFMDOzo6AgAB27txJTEwM9evXx9fXl+rVq3Po0CE2btzIkSNHsLe3p0aNGjRt2pRGjRrh4eGB0Wi84271+vXrU6VKFYxGo3m/vb29OXFxu+7du5vjnjlzJitXriQ5ORmAfPny8Zy/P4OKFaNO6dIYChZMe9HRo7BjR9rnERGwdCk88QQ85neTy6Nr0KABy5cv56mnnmLRokWsXr2a2NhY8/Jm48aNy5SG3Q+jefPmHDlyhAkTJvD5558TFhaGra0tNWvWNCcwGjVq9MhVAe7u7syYMYPevXszePBgzp49yzPPPEPPnj2ZOnUqBdP/H0oGzs7OGZacS0lJ4ebNmxnOl4sXL97RgNzZ2RkfHx+KFStG3bp1dfH3MTFr1iz279+Pq6srn3zyiaXDeShRUVEZbqpIr+iqUKECDRo0oHjx4lp+TURERCQHUVJDRP5TcnIyM2fOJH/+/Dz99NO4ublZOqQ7mEwm3nrrLQAGDBhA1apVH/5gt1dpQFpiI5urNUJCQjL0ZUjf4uLicHFxoU6dOkDa+/78889JSEi463GKFy9uTmoYDIYMf5A7OjqaKw0A8wX6AgUKsGXLFj766CMSExMxGAw4ODiY7442mUx3XKj657H/ue9hFS9eHGdnZ/Lnz2/ebn98u1atWnH48GG6d+/O6dOnsbGxYdKkSbzyyisYDAbeffddzp49y9KlS1myZAl79+7l8uXL/Pbbb0DaBeBu3brRtWvXDMctU6aMudfFv7ly5Qpz5sxh1qxZGSo76taty6BBg+jZsyfOx4+nJcduX7pi/nywsgKjMe3j0qXQrRvkgTtdxfJat27NggUL6NmzJ7GxsZQoUYKff/45R/SXcHR05KOPPmLIkCFcuXKFGjVq3HUpqczw5JNPcuTIET744AO++OILFi1axIYNG/jqq6/o27evLlb+BxsbmzsakHfr1i1DNUdwcDDR0dEcP36cS5cuUf+2irPAwEDs7OxITU3N7tAli4WFhfHOO+8A8MEHH+Sq5cni4uI4fvw4gYGBXLx4kR49elC2bFkAateuTfXq1c0NwUVEREQkZ1FSQ0T+1fXr1+nRowfbblUp2Nra0rJlS7p27UrHjh3x8vKycIRpVqxYwY4dO3B0dOTDDz98tIPdXqWR7gGqNYxGI5GRkRiNRvMfwyaTibVr1941UZGYmEjx4sXNd/kDzJgx457LIxUvXtyc1DAYDNja2pKQkICNjQ358uUjX7585M+fHycnpzvuQh4wYAD29vY4Ojr+6xIurq6ujBs3ji5durBu3Trs7OxYuHAhnTt3vuv44cOH/+fXJd3tFR7/9M/189u1a3dfxzSZTMyePZvhw4eTkJCAj48Pv/76a4aLapCWoBg5ciQjR47k4sWLLFu2jCVLlrBz50527drFrl27eOONN6hduzadO3fGw8PjX+dNSUkhICCAGTNmEBAQYF5Wy83NjWeffZZBgwb9P8EWGQmBgeDpCekXUI8ehePH/39AoxHOn4clS8DXV9Uakim6devGb7/9xr59+3j99ddzXE+J4sWLZ2hWnVWcnJz47LPP6NmzJwMHDuTQoUP079+f+fPn8/3331OyZMksjyEvcXNzw83NjSpVqgBpFYNXr17l8uXLWFlZmRNFJpOJNWvWmJc8DA0NpUSJEuZ/99vvjpfcZ+zYsYSGhlKpUiVeeuklS4fznxITEzl58iSBgYGcPXs2w3KY165dMyc1nJyc7uuGBhERERGxDCU1ROSe/vrrL7p27crVq1fNS0ocP36cNWvWsGbNGoYMGULz5s3p2rUrnTt3ttjdecnJyYwaNQqAESNGULRo0Yc/2D+rNNLdpVrDaDRy5swZwsPDCQsLM28REREYjUYqVqxIz549gbTkw4EDB+6ZqPjnklDu7u6kpKSYlzm6fbmjfzaoHDhwIA4ODtjZ2f3n3cb/dZH+dk5OTqxcuRJ/f3+WLl1K9+7dmTJlDm3a9L3vY6Rzdc1YnHAvD3O3dGxsLC+99BJz584FoH379sydO/c/764sUaIEr7/+Oq+//jp///03y5cvZ+nSpWzbto19+/axb98+AKZPn0737t3p2rWruffAuXPnmDVrFnPmzOHatWvmYzZp0oRBgwbRtWvXO+84DwqC4GAoVAhu3Eh77scf/1+lkc7KChYvVrWGZKoOHTrQoUMHS4eRI9SsWZM9e/bwxRdfMG7cONavX0+lSpX46KOPePnll7Vk0kOys7OjZMmSdySHkpKSKFOmDBcvXiQqKsq8ZNWuXbuAtP4vXbp0sUDE8qgOHz7M9OnTAZg2bVqOTwLExMQwZcqUDL+LFSpUiMqVK1OpUiXc3NzMS0aKiIiISM6mpIaI3MFkMvH999/zyiuvkJycTMWKFVm+fDkVK1bkxIkT5uV7Dh8+zMaNG9m4cSMvvfQSjRs3plu3bnTp0uXREgsP6IcffuD06dMUKFCAkSNHPtrBbqvSSLK1JdzdnTAPD8I8PAj39MR59mya3kpqGAwGFi9efNdEhbW19R1VB02aNMnQj+H27Z93qj7I3Y5Z2ZjV3t6ehQsXMmjQIH788UeGD+8HRAMPdjemrW1au4jMviH3xIkTdO/enWPHjmFlZcWECRMYNWrUfTcSTle0aFGGDx/O8OHDuX79OitWrGDJkiVs3ryZI0eOcOTIEd577z2eeOIJvL292bJli/m1BQoUoH///rzwwgtUqFDh3pPExICPz+3Bw+nTd44zGuHixbTkmpIaIlnC1taW0aNH06VLFwYNGsS2bdt4/fXXWbhwITNnzqRy5cqWDjHPsLe3p0uXLiQnJ7NixQrKli3LlStXuHz5Mjdu3MDZ2dk8NjExke+++45ixYqZKzkKFiyo5cFyIJPJxPDhwzEajfTo0YPmzZtbOqQMUlNTOX/+PGFhYdStWxdI69vl5eVFcnIylStXpnLlyjmm4lhEREREHoySGpLjRUVFsXr1alxdXXniiScoUaLEA1+wlPsXHx/PsGHDmDNnDgBdu3Zlzpw55osOvr6+vPvuu7z77rucOXOGpUuXsnTpUvbu3cu2bdvYtm0br7zySob+BCVKlMi0+EwmEyEhIVy4cMG8TZo0CYBx48Y92rIqt6o05j37LNe9vYm57UJLukLXrtH0VrWGwWCgfPnymEwm3N3d8fDwMG/Ozs53nKc5YQ37h2FjY8OsWbNwcXFh6tSpwDAgEnj7vl5vMED9+pmf0FiwYAGDBw8mNjaWQoUKsXDhQpo2bfrIx/X29mbIkCE8//zzLFy4kMTERJYvX86GDRs4fvw4x28tF9WqVSsGDRpEx44d76/ZcosWGR83bnznMmfprK1h5Uq4rWm6iGS+8uXLs2XLFmbOnMlbb73F7t27qVmzJm+//TbvvPMO9vb2lg4xT7Gzs6Ny5crUqFEDSOtpcPvyP5cvXyYiIoKIiAgCAwOBtH5PhQoVIl++fNSoUYMyZcqYX3v16lUcHR1xcnLC0dERe3t7JUCyyYIFC9i+fTtOTk7m38MszWQycenSJQIDAzl+/DhxcXHY2NhQrVo18//lvn37mnuKiYiIiEjupaSG5Fjh4eFMnTqVyZMnExERYX7e0dGRihUr8sQTT2TYSpcujY2NTulHcfHiRbp06cKBAwewsrLi448/ZuTIkff8w69s2bKMGjWKUaNGceHCBZYtW8bSpUvv2p8gPcGRvlbxvdwtafHP7W5NsStUqMCgQYMe7Qtwq0ojysXFnNBwjIvDPTwcj7AwPMLCKHDzZloPhFu9NW7vg5GXWVlZMXnyZMLDXfn55w+Bd0hLbHwC/PuFAZMJxo/PvFgSEhJ4/fXX+e6774C0BsALFizIkuXPXFxcaN++PS+88AIRERGsXr2a69ev06VLF0qVKvXwB77XMmfpLNCcXuRxZWVlxeDBg+nQoQPDhg1j5cqVjB8/nsWLFzNz5kwaNmxo6RDzrH9WKZYoUYJ+/fpx8eJFcxPyhIQELly4AEDp0qXNY69du8b8+fMzvN7KygpHR0ccHR1p0qSJud9HVFQUR48eNSdA0m9EyOnLJeVU0dHRvPXWWwCMGTMGn9urEB9GfDz8c8nGBxASEsKhQ4c4duwYUVFR5uednJyoVKkSycnJ5qSGeriIiIiI5A26Aiw5zs2bN/nqq6/4+uuvzX+YlC1bFkdHR06ePEl8fDwHDx7k4MGDGV5nZ2dH+fLlMyQ6fH19KVeunO60vA8bNmygd+/ehIaG4unpycKFC2nZsuV9v75kyZKMGDGCESNGmPsTLFmyJEN/gtGjR1OtWjU6deqEjY0N0dHRXLlyhQsXLnDx4sV/TVrczmAwUKxYMfPa3SVLlqRv376PdnHitovMHX7/HZvkZDzCw3GMj7/3+MfsYrPBYGDu3PH8+acrFy68CXxGWmLjG+Du1VPW1tCwYeZ9qc6ePUv37t05ePAgBoOBd999l/fffz9b1sBPb/6dKe7WjP6fHqA5vYg8uqJFi5p/dg0fPpwTJ07g5+dHs2bNcHNzM18Qv9f2b/vT991P76PHma2tLaVKlTInjVNTUwkODiY0NJS4uLgMF8+trKwoVKgQcXFxxMXFkZKSgtFoJDY2ltjY2Ay9EW7cuMHGjRvvmM/Z2RlPT0/q1atHxYoVzXMajUYlPP7FhAkTuHbtGmXKlOGNR60o3LYN2raFdevSKhjvQ2JiIgaDwVwleebMGXOPFnt7e3x9falcuTKlSpVSdbeIiIhIHqWkhuQY169f54svvuDbb78lNjYWgMqVK/Pee+/RtWtXrK2tSUlJ4dy5c+YlYE6cOGH+GB8fT2BgoHm5gnTW1taULVs2Q6KjePHiODg4mBsv3/4xfXtc/ggymUx89tlnjBkzBqPRSK1atVi6dOkjLRl1r/4EW7Zs4fDhwxw+fPhfX3+3pMXtW7Fixe5vuZ8HcdtF5hIXL/772Mf8YvOcOW/QvLkLMAT4DogCfgTuvACUmpp5VRrLly/nueeeIzIyEi8vL+bNm0ebNm0y5+DZ6b+qNNKpWkMk2xkMBrp3706LFi148803mTNnToYeOo/K2toaNzc3PDw8cHd3N2/389jJyemxS4hYW1tTtGjRu/bpKlWqFEOGDDE/Tk5OJj4+nri4OOLj4/H09DTvc3JyomrVqsTHxxMbG0tYWBgJCQlER0cTHR1N9erVzWMvXLjAvHnzcHFxwdPT07ysZPrn7u7uj3Vl8MmTJ/nqq68AmDJlyqPfODRmTFqlxpgx9/y9ymQyERwczJkzZzh79iyXL1+mffv21KpVC4BKlSrx999/U7lyZcqVK/dY//uIiIiIPC70G59Y3LVr15g4cSLfffcd8bfuiq9RowbvvfceHTt2zJBcsLGxoXz58pQvX55OnTqZnzcajVy8eDFDoiN9i46O5uTJk5w8eZLly5ffd1y2trb3THrc/pyTkxPlypWjSpUqVK5cmYoVK+aaypDo6GgGDBjAsmXLAHjuuef49ttvcXBwyLQ50vsTDBkyhNDQUFauXMnixYs5ePAg5cqVo1SpUtmTtPg393uROd1jfrG5WTPw8xvEjh3OmEx9gQVADLAI+P+5k1lVGklJSYwePdp8EaVRo0YsXLiQYsWKPdqBLeV+qjTSPeYJNBFL8fDwYPbs2QwbNoxjx46ZL5bfa/uv/am3/r+npqYSGhpKaGjoA8dka2t7R6LD2dn5nhUi9/u8o6NjnriRw9bWFltb27v21ipcuDCdO3fO8FxcXBxhYWGEhoZmuJEjfcnTqKgooqKiOH/+fIbXPfPMM+aeIDdv3uTkyZO4uLjg7OyMs7MzLi4uebbKw2Qy8eqrr5KcnEyHDh3o0KHDox3w9t+//vF7VXJyMkFBQeZERvoNT+mCg4PNn7u6uj42y4GKiIiISBolNcRiLl++zGeffcbMmTNJTEwEoG7durz33nt06NDhge5GtLKyMi9XcPsfWCaTib///vuOREdwcDCJiYnmLSEhwRxDuuTkZJKTk4mJiXmg92VtbU358uWpXLkylStXNic7SpcunS1L5NyvoKAgOnfuTFBQELa2tkybNo3Bgwdn6V2gnp6ePP/88/Tt25eAgADat2+fM/7wf++9tG7WJtP9v8ZgeKwvNn/4ITRv3gtwBroBvwFlgUpAOaAcqanlGDy4HMnJJR/63/nSpUv07NmTv/76C4A333yTjz/+OGecNw9DCTSRXKVWrVrmu8EflslkMlcRREdHExERQXh4OOHh4YSFhZk//7fn0n8nCQkJISQkJJPe3f85ODiYG23/240c/7b/9s/z5ctH27Zts6TXUWZJT+r8M0Fes2ZNKlasaE54hIWFZfj89gqQixcv3nVZK3t7e1xcXGjbtq25D0h4eDjXr183Jz/y58+f65JJv/32G+vWrcPOzo7Jkyc/+gFvS/Ibbf7X3r2HVVXlfxz/HFCQi2LgFRHRSHNMUX+USmlampY2VtZTmaldZsa0u5mXZEzLW446qdN081ZWpo6ljaNTaTgqyiBS4B1RKRMzNRBEUA7r9wdxxhOooMA5G96v59kPPPvss/fa229x9vnstVYNZU+erDq//q3Lz8/XZ599JvPrZzMvLy81b95c4eHhuvbaa3XNNddc/fEBAABgWYQaqHSHDx/W1KlTtXDhQsd4x1FRUfrzn/+sO+64o1y/VC8axigkJES9evW65LbGGJ07d65Y0HHh7yWty8zM1N69e7Vz504lJycrIyNDe/bs0Z49e7R8+XLH/mvVqqXf/e53jpCjKPAIDg6u9OEkPvvsMw0ZMkRZWVlq0qSJVqxYoc6dO1dqG9zGmTNSXFzZAg2pcPtt26ScHKkaTjpZ2FtD2rq1r+z2tZLukfTjr8uXju0efVR67LEaCgsL03XXXVdsCQ0NvegwEWvXrtWgQYN06tQp1a1bV4sWLVL//v0r/uQqEgEaUO0Ujf3v5eWlgICAMvcyM8bozJkzxYKOX375RdnZ2aXuLfLb1y+cvyo3N/ey81mVVb169fTJJ5+UaX4ud2Cz2eTn5yc/P79iE2Cb3/y/u06dOmrbtq2ysrJ0+vRpZWVl6fz588rLy9PPP//sFFqkpqZqzZo1xY5T1MujW7duCg4OliTH52N3CvDPnj2r559/XlLhAwbh4eFXt8OYGGUmJSk1IkIHwsN1sEULNTh+XI//GuL7+PgoIiJCfn5+Cg8PV9OmTd3q4SAAAAC4FqEGKs2BAwc0ZcoUffjhh8rPz5ckde/eXdHR0erRo4fLx4m22WyOJw2vlDFGR48edQQcRXN87Nq1S7m5udqxY4d27Njh9J66des69eho3769OnToIB8fn6s9pWLsdrvGjx+vadOmSZJuvfVWffrpp279JGWF8/OTfvxRysws+3sDAqploFGksLeGJHWXlCbpO0kpjqVFixSlpx/Q2bNndeDAAR04cEBr16512kfNmjXVokULhYeHO4UdMTExmjJliqTCJ6WXL1/umJqFomMAAB3gSURBVDjWsgjQAFwBm80mf39/+fv7F/uS/WoUFBQ4zUGRk5NTpoc6LvX6rl27tG/fPvXu3VuvvfaaxowZU27tdqXfflYt+ptVxBijvLw8x1wdjRo1crzm7e2tJk2aOF4zxig7O9vRI/jCh0uSk5P1xRdfKCAgQEFBQY6lXr16CgoKUkBAQKV/bp4xY4YOHz6skJAQjRs37or3s3v3bqWlpenQhg36+cUXnV47FRio/FdfVY2YGEmy/oMMAAAAqDCEGqhwe/fu1eTJk/Xxxx+roKBAktSrVy9FR0era9euLm5d+bLZbI4JLS+cwNhut+vgwYOOkKMo8Ni/f78yMjK0efNmbb5gSBpPT0+1a9dON910k2Np3br1VT2hduLECQ0cOFBfffWVJOnFF1/UtGnT3OopQJepX79wQZn8r7eGZLcHSOomqZtjLo3//KfwS7OjR48qJSVFKSkpOnDggNPveXl5jjlvSjJixAjNnDnTMvPUXBIBGgA34uHh4eiRUN7Onj2rp59+WgsWLNArr7yiuLg4vf/+++V+HHdjs9lUq1Yt1apVS/V/87mibdu2atu2raTCv405OTmO3h1ZWVlO2xfN65GZmanMzEwdPHjQaV+DBw92BP3p6ek6fvy4I/Aoz3nRihT1spakmTNnllgz+fn5juHTipZffvlFGRkZGj58uKPXyt69e5WcnCz5+8tWUKAmP/6oaw8cUPiBAwo+elQexjDkIgAAAC6LUAMVZufOnXr99de1bNkyR3f9u+66S9HR0dVuqCNPT0/H03wXTlSZl5fnGLqqKOzYvn27fvrpJyUmJioxMVHvvPOOJMnf31+RkZFOQUdISEipntTbsWOH7rvvPqWlpcnX11fz58/XQw89VGHni+rjf701/sdulyZNKvzdw8PDMQRcj99sWFBQoCNHjjhCjgtDj/Pnz+v111/Xgw8+WElnUkkI0ABUAz4+Ppo/f766dOmip59+WqtXr1aXLl30zDPPuLppZWKMkTFGdrtdBQUFxX4WFBSodu3a8vLyKtN+PTw8HL1vSnLbbbepc+fOOnHihE6ePOn4WdK8Hrt373Z6MMbPz88RcPj7+6tz586O3r9Hjx7VqVOnVKNGDdWoUUM1a9Z0+hkQEOB4gKbo3D/++GNFR0crNzdXPXv2VNeuXbV7925df/31jqBizZo12r59+0XPNzMz0zEHxnXXXSe/f/5TIdu3q8WBA/I5e9Z5Y09PhlwEAADAZRFqoNxlZWVp6NChWrlypWNd//79FR0dfdWTbVY13t7eioiIUEREhGOdMUZHjhzRf//7X8eyfft2ZWdnKyYmRjG/dsmXpEaNGjmFHDfeeKPq1q3rdIxFixZp2LBhysvLU3h4uFauXOl4UhC4Ws69NeTopVGaByw9PDwUGhqq0NBQ3X777RXdVABAJXvyySfVvn173X///UpNTdXLL7+sOnXq6LHHHqv0tuTm5mrevHl69913lZWV5RRMXCq0uBxvb29FRkbq5ptv1s0336yoqCjVq1fvqtvr6+vr+Bt5oYKCAqcHWgICAtSsWTOdPHlS2dnZOnPmjM6cOaO0tDRJhUM4FoUaSUlJiouLu+gxR4wYoXr16skYo/fff18//PCDzp8/r/vvv1+enp7y8fHRu+++K0l67rnnHJ85i/bv5eWloKAgXXPNNQoMDHQsF4Y3bU+eVNuFCy9+4na7tGkTvTUAAABwSYQaKHf+/v5KS0uTzWbTgAEDNH78eKcv7XFpNptNTZs2VdOmTTVgwABJhcNX7d27V3FxcY6gIykpSceOHdPq1au1evVqx/tbtmzpCDl27drl6OnRr18/ffjhh8VCD+BqXdhb48JeGgAAREZGKiEhQQMHDtSXX36pxx9/XPHx8Zo9e3alDC1YUFCgjz/+WK+88oq+//77ct9/Xl6etmzZoi1btjjWtWrVyhFy3HzzzWrZsmW5zYFx4eTjUuH1jYyMdLTlwp4dZ8+edbrGgYGBCgsLU35+vs6fP6/8/Hyn32vWrKn4+HiNHj1aNWvWVFRUVLGhT319fRUYGKhz58451nXq1EmdOnWSr6/v5c8zOrrwCQi7/eLb0FsDAAAAl0GogXJns9n01ltvyc/PT23atHF1c6oET09PtWnTRm3atNHjjz8uqXC86sTERKceHampqdq/f7/279+vJUuWSCr893j11Vc1fvz4YjfCQHko6q2xebPUtSsPVgIAnAUFBWnVqlUaOnSoPv30U/3973/Xjh07tGLFCoWEhFTYcdevX69Ro0YpMTFRktSkSRNNmjRJkZGR8vDwkKenZ6l+Xuw1m82mQ4cOOUKNzZs3a8+ePY65ohYsWCBJqlevnqKiohwhR2RkZIUEOt7e3goODlZwcHCJrxc99FKS/fv368knn9SKFSskFT6k1K5dOw0bNkz+/v4yxqhu3bolztlR6nlZYmIKPyxcDr01AAAAcBmEGqgQF7thQvnx8fFRVFSUoqKiHOtOnjyp+Ph4R8iRkZGhcePG6a677nJhS1EdTJ4s3Xln4U8AAH7L09NTDz/8sAYOHKghQ4YoLi5OHTt21NKlS3XbbbeV67GSkpI0evRorVu3TpJUp04djR07Vs8++6x8fX3L9Vjh4eEKDw/XkCFDJEmnTp1SbGysI+iIj4/XiRMnnHrWenl5FRuy6rcTi1eW9PR0TZo0Se+9957sdrtsNpuGDBmiiRMnFhv66qqVppdGEXprAAAA4BIINYAqJCgoSH369FGfPn1c3RRUM926SSdOSL8Oqw0AQInuvPNOJSQkaMCAAfr222/Vq1cvTZ48WaNHj77qIZqOHDmi6OhoLV68WMYY1ahRQ8OHD9f48eMrLTQIDAxUv3791K9fP0nSuXPntGPHDkfIsWXLFh0/flyxsbGKjY3VjBkzJBUOH3rLLbfo1ltvVffu3cs/UPiNzMxMzZgxQ7Nnz1ZOTo6kwqFKp0yZUjFzr5W2l0YRemsAAADgEgg1AADlgkADAFAaLVq0UGxsrEaMGKGFCxdq7Nix2rZtmxYvXqyAgIAy7y8zM1PTp0/X7NmzlZubK0l64IEHNGXKFIWHh5d388vEy8tLnTt3VufOnTVy5EgZY5SamuoUcuzevdsxfGjRkFXNmzd3BBzdu3dXs2bNyqU9eXl5euuttzR58mSdPHlSktS5c2dNnz5d3bp1K5djlCg6WrLZJGNK/x6bjd4aAAAAKBGhBgAAAIBK5ePjo/nz56tLly56+umntWrVKkVGRmrlypWl7ilw7tw5vfPOO5o0aZJOnDghSeratatmzJihTp06VWTzr5jNZitxyKqtW7dq06ZN2rhxo+Lj43Xo0CEdOnRIixYtkiSFhYU5Ao4rCTnsdrs+/vhjRUdHKy0tTZJ0/fXXa+rUqerfv3+5TWReojNnpLi4sgUaUuH227ZJOTlSOQ8bBgAAAGsj1AAAAABQ6Ww2m/7whz+oQ4cOGjBggA4cOKBOnTrpvffe0yOPPHLR9xljtGLFCo0dO1apqamSCr+gnz59uu6+++6K/YK+AgQGBqpv377q27evJCkrK0uxsbGKiYlRTEyM4uPjdfjwYS1atKjEkOPWW29VWFhYifs2xmjt2rUaO3askpKSJEnBwcGaOHGihg4dqho1KuF20M9P+vFHKTOz7O8NCCDQAAAAQDGEGgAAAABcJjIyUgkJCXrkkUf05ZdfatCgQdq6datmzZolLy8vp203bdqkUaNGKS4uTpLUsGFDTZw4UU888UTlfEFfCWrXrq3evXurd+/ekkoXcjRr1sypJ0dYWJji4uI0evRobdy4UZIUEBCgMWPGVMiE6ZdVv37hAgAAAJSDqvHJHwAAAIBl1atXT//61780ceJEvfbaa/rb3/6mhIQELV++XCEhIdq7d6/GjBmjVatWSZL8/Pw0atQojRw5Uv7+/i5ufcX6bciRnZ2tLVu2OIUcaWlpWrx4sRYvXixJaty4sdLT0yVJ3t7eeuaZZzR27FgFBga67DwAAACA8kKoAQAAAMDlPD09NWnSJHXq1EmDBg3Stm3b1LFjR91555366KOPZLfb5enpqSeffFKvvvqqGjVq5Oomu4S/v/9lQ4709HTZbDYNGTJEEydOVGhoqItbDQAAAJQfQg0AAAAAbqNv375KSEjQfffdp++++04ffPCBJKl///6aOnWqWrdu7eIWupeSQo74+Hg1bdpU4eHhLm4dAAAAUP4INQAAAAC4lRYtWmjr1q0aPXq09u/fr3Hjxqlbt26ubpYl+Pv7q0ePHq5uBgAAAFBhCDUAAAAAuB0fHx/NmTPH1c0AAAAA4GY8XN0AAAAAAAAAAACA0iDUAAAAAAAAAAAAlkCoAQAAAAAAAAAALIFQAwAAAAAAAAAAWAKhBgAAAAAAAAAAsARCDQAAAAAAAAAAYAmEGgAAAAAAAAAAwBIINQAAAAAAAAAAgCUQagAAAAAAAAAAAEsg1AAAAAAAAAAAAJZAqAEAAAAAAAAAACyBUAMAAAAAAAAAAFgCoQYAAAAAAAAAALAEQg0AAAAAAAAAAGAJhBoAAAAAAAAAAMASCDUAAAAAAAAAAIAlEGoAAAAAAAAAAABLINQAAAAAAAAAAACWQKgBAAAAAAAAAAAsgVADAAAAAAAAAABYQg1XN6CqMMZIkk6fPu3iljg7f/68cnJydPr0adWsWdPVzQEkUZewBuoU7o4ahZVQr7AC6hTujhqFO6Ee4e6oUWsq+m696Lv2iyHUKCdZWVmSpKZNm7q4JQAAAAAAAAAAWFNWVpYCAgIu+rrNXC72QKkUFBTo6NGjql27tmw2m6ub43D69Gk1bdpUP/zwg+rUqePq5gCSqEtYA3UKd0eNwkqoV1gBdQp3R43CnVCPcHfUqDUZY5SVlaXg4GB5eFx85gx6apQTDw8PhYSEuLoZF1WnTh3+A4bboS5hBdQp3B01CiuhXmEF1CncHTUKd0I9wt1Ro9ZzqR4aRZgoHAAAAAAAAAAAWAKhBgAAAAAAAAAAsARCjSrO29tbEyZMkLe3t6ubAjhQl7AC6hTujhqFlVCvsALqFO6OGoU7oR7h7qjRqo2JwgEAAAAAAAAAgCXQUwMAAAAAAAAAAFgCoQYAAAAAAAAAALAEQg0AAAAAAAAAAGAJhBouMHXqVN14442qXbu2GjRooHvuuUf79u1z2iY3N1cjRoxQUFCQ/P39NWDAAP3000+O17/77js9/PDDatq0qXx8fNS6dWu9+eabFz3mli1bVKNGDbVv3/6y7TPG6M9//rMaN24sHx8f9ezZUykpKU7bTJ48WVFRUfL19VXdunXLdP5wX1WhNn//+98rNDRUtWrVUuPGjfXoo4/q6NGjZbsQcFtVoUbDwsJks9mclmnTppXtQsBtWb1GY2JiitVn0RIfH1/2CwK3Z/WalaQdO3aoV69eqlu3roKCgvTHP/5R2dnZZbsQcFvuXqMrV67UHXfcoaCgINlsNn377bfFtnn33XfVvXt31alTRzabTRkZGaU9fVhAZdXoxf5GHzt27JLt4/6+eqkK9cg9fdVXFeqU+3rXI9RwgY0bN2rEiBHatm2bvvrqK50/f1533HGHzpw549jmhRde0BdffKHly5dr48aNOnr0qO677z7H6wkJCWrQoIGWLFmiXbt26ZVXXtHYsWM1b968YsfLyMjQ4MGDdfvtt5eqfW+88YbmzJmjt99+W3FxcfLz81Pv3r2Vm5vr2ObcuXN64IEH9NRTT13FlYC7qQq12aNHDy1btkz79u3TP/7xD6Wmpur++++/iqsCd1IValSSJk2apPT0dMfyzDPPXOEVgbuxeo1GRUU51WZ6erqefPJJNW/eXJGRkVd5deCOrF6zR48eVc+ePRUeHq64uDitW7dOu3bt0tChQ6/uwsBtuHuNnjlzRrfccoumT59+0W1ycnLUp08fjRs3rgxnDquo7Brdt2+f09/pBg0aXLJ93N9XL1WhHrmnr/qqQp1K3Ne7nIHLHT9+3EgyGzduNMYYk5GRYWrWrGmWL1/u2GbPnj1Gktm6detF9zN8+HDTo0ePYusffPBBM378eDNhwgQTERFxybYUFBSYRo0amRkzZjjWZWRkGG9vb/PJJ58U237hwoUmICDgMmcIq7JybRZZtWqVsdls5ty5c5fcP6zJijXarFkzM3v27FKeIazOijV6oXPnzpn69eubSZMmXXLfqDqsVrPvvPOOadCggbHb7Y5tkpKSjCSTkpJSqnOGtbhTjV7o0KFDRpJJTEy86DbffPONkWR++eWXUu8X1lNRNXol9cP9Paxcj0W4p6/6rFin3Ne7Hj013EBmZqYkKTAwUFJh2nj+/Hn17NnTsc3111+v0NBQbd269ZL7KdpHkYULF+rgwYOaMGFCqdpy6NAhHTt2zOnYAQEB6tSp0yWPjarJ6rV56tQpffTRR4qKilLNmjVLdRxYi1VrdNq0aQoKClKHDh00Y8YM5efnl+oYsB6r1miR1atX6+TJk3rsscdKdQxYn9VqNi8vT15eXvLw+N9tjY+PjyRp8+bNpToOrMWdahQoSUXWqCS1b99ejRs3Vq9evbRly5ZLtoX7e1i9Hrmnrx6sWqfc17tWDVc3oLorKCjQ888/r5tvvlk33HCDJOnYsWPy8vIqNpZlw4YNLzruW2xsrD799FOtWbPGsS4lJUVjxozRpk2bVKNG6f6pi/bfsGHDUh8bVZOVa3P06NGaN2+ecnJy1LlzZ/3zn/8s1TFgLVat0WeffVYdO3ZUYGCgYmNjNXbsWKWnp2vWrFmlOg6sw6o1eqH58+erd+/eCgkJKdUxYG1WrNnbbrtNL774ombMmKHnnntOZ86c0ZgxYyRJ6enppToOrMPdahT4rYqs0caNG+vtt99WZGSk8vLy9P7776t79+6Ki4tTx44dS9wP9/fVm5XrkXv66sOqdcp9vevRU8PFRowYoZ07d2rp0qVXvI+dO3eqf//+mjBhgu644w5Jkt1u18CBAzVx4kS1bNmyxPd99NFH8vf3dyybNm264jag6rFybY4aNUqJiYn68ssv5enpqcGDB8sYc8XnAfdk1Rp98cUX1b17d7Vr107Dhg3TzJkzNXfuXOXl5V3xecA9WbVGixw5ckT//ve/9cQTT1xx+2EtVqzZNm3aaPHixZo5c6Z8fX3VqFEjNW/eXA0bNnTqvYGqwYo1iuqlompUklq1aqU//elP+r//+z9FRUVpwYIFioqK0uzZsyVRoyjOyvXIPX31YdU65b7eDbh6/KvqbMSIESYkJMQcPHjQaf369etLHPMtNDTUzJo1y2ndrl27TIMGDcy4ceOc1v/yyy9GkvH09HQsNpvNsW79+vXm9OnTJiUlxbHk5OSY1NTUEseC7datm3n22WeLnQNjblZNVaE2i/zwww9GkomNjS37hYDbqko1unPnTiPJ7N27t+wXAm6rKtTopEmTTP369Rm/uJqoCjV77Ngxk5WVZbKzs42Hh4dZtmzZlV8QuB13rNELMacGKrJGL+all14ynTt3NsYY7u/hpCrUYxHu6auuqlSn3NdXPkINFygoKDAjRowwwcHBZv/+/cVeL5oQZ8WKFY51e/fuLTYhzs6dO02DBg3MqFGjiu3Dbreb5ORkp+Wpp54yrVq1MsnJySY7O/uibWvUqJH5y1/+4liXmZnJRGLVRFWqzSJpaWlGkvnmm29Kcwng5qpijS5ZssR4eHiYU6dOleoawL1VlRotKCgwzZs3NyNHjizzNYC1VJWavdD8+fONr68vXxxXEe5coxci1Ki+KqNGL6Znz57m3nvvvWTbuL+vXqpSPRbhnr7qqYp1yn195SPUcIGnnnrKBAQEmJiYGJOenu5YLnzaZ9iwYSY0NNRs2LDBbN++3XTp0sV06dLF8XpycrKpX7++GTRokNM+jh8/ftHjTpgwwURERFy2fdOmTTN169Y1q1atMklJSaZ///6mefPm5uzZs45t0tLSTGJiopk4caLx9/c3iYmJJjEx0WRlZV3ZRYFbsHptbtu2zcydO9ckJiaaw4cPm/Xr15uoqChz7bXXmtzc3Cu/MHAbVq/R2NhYM3v2bPPtt9+a1NRUs2TJElO/fn0zePDgK78ocCtWr9EiX3/9tZFk9uzZU/aLAEupCjU7d+5ck5CQYPbt22fmzZtnfHx8zJtvvnllFwRux91r9OTJkyYxMdGsWbPGSDJLly41iYmJJj093bFNenq6SUxMNO+9956RZP7zn/+YxMREc/LkySu7KHArlVWjs2fPNp9//rlJSUkxycnJ5rnnnjMeHh7m66+/vmT7uL+vXqxej9zTVw9Wr1Pu690DoYYLSCpxWbhwoWObs2fPmuHDh5trrrnG+Pr6mnvvvdfpg/GECRNK3EezZs0uetzSfjAvKCgw0dHRpmHDhsbb29vcfvvtZt++fU7bDBkypMTjk5xbm9VrMykpyfTo0cMEBgYab29vExYWZoYNG2aOHDlyJZcDbsjqNZqQkGA6depkAgICTK1atUzr1q3NlClT+IBehVi9Ros8/PDDJioqqiynDouqCjX76KOPmsDAQOPl5WXatWtnPvjgg7JeBrgxd6/RhQsXlrjvCRMmXPb4F54DrKuyanT69Onm2muvNbVq1TKBgYGme/fuZsOGDZdtH/f31YvV65F7+urB6nXKfb17sBnDTDsAAAAAAAAAAMD9ebi6AQAAAAAAAAAAAKVBqAEAAAAAAAAAACyBUAMAAAAAAAAAAFgCoQYAAAAAAAAAALAEQg0AAAAAAAAAAGAJhBoAAAAAAAAAAMASCDUAAAAAAAAAAIAlEGoAAAAAAAAAAABLINQAAAAAAAAAAACWQKgBAAAAwDKGDh0qm80mm82mmjVrqmHDhurVq5cWLFiggoKCUu9n0aJFqlu3bsU1FAAAAECFINQAAAAAYCl9+vRRenq6Dh8+rLVr16pHjx567rnn1K9fP+Xn57u6eQAAAAAqEKEGAAAAAEvx9vZWo0aN1KRJE3Xs2FHjxo3TqlWrtHbtWi1atEiSNGvWLLVt21Z+fn5q2rSphg8fruzsbElSTEyMHnvsMWVmZjp6fbz66quSpLy8PL300ktq0qSJ/Pz81KlTJ8XExLjmRAEAAAAUQ6gBAAAAwPJuu+02RUREaOXKlZIkDw8PzZkzR7t27dLixYu1YcMGvfzyy5KkqKgo/fWvf1WdOnWUnp6u9PR0vfTSS5Kkp59+Wlu3btXSpUuVlJSkBx54QH369FFKSorLzg0AAADA/9iMMcbVjQAAAACA0hg6dKgyMjL0+eefF3vtoYceUlJSknbv3l3stRUrVmjYsGE6ceKEpMI5NZ5//nllZGQ4tvn+++/VokULff/99woODnas79mzp2666SZNmTKl3M8HAAAAQNnUcHUDAAAAAKA8GGNks9kkSV9//bWmTp2qvXv36vTp08rPz1dubq5ycnLk6+tb4vuTk5Nlt9vVsmVLp/V5eXkKCgqq8PYDAAAAuDxCDQAAAABVwp49e9S8eXMdPnxY/fr101NPPaXJkycrMDBQmzdv1hNPPKFz585dNNTIzs6Wp6enEhIS5Onp6fSav79/ZZwCAAAAgMsg1AAAAABgeRs2bFBycrJeeOEFJSQkqKCgQDNnzpSHR+E0gsuWLXPa3svLS3a73Wldhw4dZLfbdfz4cXXt2rXS2g4AAACg9Ag1AAAAAFhKXl6ejh07Jrvdrp9++knr1q3T1KlT1a9fPw0ePFg7d+7U+fPnNXfuXN19993asmWL3n77bad9hIWFKTs7W+vXr1dERIR8fX3VsmVLPfLIIxo8eLBmzpypDh066Oeff9b69evVrl079e3b10VnDAAAAKCIh6sbAAAAAABlsW7dOjVu3FhhYWHq06ePvvnmG82ZM0erVq2Sp6enIiIiNGvWLE2fPl033HCDPvroI02dOtVpH1FRURo2bJgefPBB1a9fX2+88YYkaeHChRo8eLBGjhypVq1a6Z577lF8fLxCQ0NdcaoAAAAAfsNmjDGubgQAAAAAAAAAAMDl0FMDAAAAAAAAAABYAqEGAAAAAAAAAACwBEINAAAAAAAAAABgCYQaAAAAAAAAAADAEgg1AAAAAAAAAACAJRBqAAAAAAAAAAAASyDUAAAAAAAAAAAAlkCoAQAAAAAAAAAALIFQAwAAAAAAAAAAWAKhBgAAAAAAAAAAsARCDQAAAAAAAAAAYAmEGgAAAAAAAAAAwBL+H5Aso6d2YFKZAAAAAElFTkSuQmCC">
          <a:extLst>
            <a:ext uri="{FF2B5EF4-FFF2-40B4-BE49-F238E27FC236}">
              <a16:creationId xmlns:a16="http://schemas.microsoft.com/office/drawing/2014/main" id="{00000000-0008-0000-1100-000001340000}"/>
            </a:ext>
          </a:extLst>
        </xdr:cNvPr>
        <xdr:cNvSpPr>
          <a:spLocks noChangeAspect="1" noChangeArrowheads="1"/>
        </xdr:cNvSpPr>
      </xdr:nvSpPr>
      <xdr:spPr bwMode="auto">
        <a:xfrm>
          <a:off x="9058275" y="125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10</xdr:col>
      <xdr:colOff>619861</xdr:colOff>
      <xdr:row>17</xdr:row>
      <xdr:rowOff>161715</xdr:rowOff>
    </xdr:to>
    <xdr:pic>
      <xdr:nvPicPr>
        <xdr:cNvPr id="2" name="그림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10717696" y="828261"/>
          <a:ext cx="4057143" cy="49904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12</xdr:col>
      <xdr:colOff>357063</xdr:colOff>
      <xdr:row>9</xdr:row>
      <xdr:rowOff>7948</xdr:rowOff>
    </xdr:to>
    <xdr:pic>
      <xdr:nvPicPr>
        <xdr:cNvPr id="4" name="그림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a:stretch>
          <a:fillRect/>
        </a:stretch>
      </xdr:blipFill>
      <xdr:spPr>
        <a:xfrm>
          <a:off x="6877050" y="1047750"/>
          <a:ext cx="5157663" cy="377984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hyperlink" Target="https://www.vietnam.vn/ko/thay-doi-lon-nhat-tren-smartphone-nua-cuoi-2025"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www.law.go.kr/LSW/lsInfoP.do?lsiSeq=268319" TargetMode="External"/><Relationship Id="rId1" Type="http://schemas.openxmlformats.org/officeDocument/2006/relationships/hyperlink" Target="https://www.law.go.kr/LSW/lsInfoP.do?lsiSeq=268319"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thebell.co.kr/free/content/ArticleView.asp?key=202501101127555640103766"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22"/>
  <sheetViews>
    <sheetView zoomScale="160" zoomScaleNormal="160" workbookViewId="0">
      <selection activeCell="C7" sqref="C7"/>
    </sheetView>
  </sheetViews>
  <sheetFormatPr defaultRowHeight="17.399999999999999"/>
  <cols>
    <col min="2" max="2" width="22.19921875" customWidth="1"/>
    <col min="3" max="5" width="20" customWidth="1"/>
  </cols>
  <sheetData>
    <row r="3" spans="2:5">
      <c r="B3" s="11" t="s">
        <v>903</v>
      </c>
    </row>
    <row r="4" spans="2:5">
      <c r="B4" s="7" t="s">
        <v>302</v>
      </c>
      <c r="C4" s="7" t="s">
        <v>856</v>
      </c>
      <c r="D4" s="7" t="s">
        <v>857</v>
      </c>
      <c r="E4" s="7" t="s">
        <v>858</v>
      </c>
    </row>
    <row r="5" spans="2:5">
      <c r="B5" s="3" t="s">
        <v>859</v>
      </c>
      <c r="C5" s="37" t="s">
        <v>860</v>
      </c>
      <c r="D5" s="37" t="s">
        <v>861</v>
      </c>
      <c r="E5" s="37" t="s">
        <v>862</v>
      </c>
    </row>
    <row r="6" spans="2:5">
      <c r="B6" s="3" t="s">
        <v>935</v>
      </c>
      <c r="C6" s="37" t="s">
        <v>863</v>
      </c>
      <c r="D6" s="37" t="s">
        <v>864</v>
      </c>
      <c r="E6" s="37" t="s">
        <v>865</v>
      </c>
    </row>
    <row r="7" spans="2:5">
      <c r="B7" s="3" t="s">
        <v>866</v>
      </c>
      <c r="C7" s="37" t="s">
        <v>867</v>
      </c>
      <c r="D7" s="37" t="s">
        <v>868</v>
      </c>
      <c r="E7" s="37" t="s">
        <v>869</v>
      </c>
    </row>
    <row r="8" spans="2:5">
      <c r="B8" s="3" t="s">
        <v>870</v>
      </c>
      <c r="C8" s="37" t="s">
        <v>871</v>
      </c>
      <c r="D8" s="37" t="s">
        <v>872</v>
      </c>
      <c r="E8" s="37" t="s">
        <v>873</v>
      </c>
    </row>
    <row r="10" spans="2:5">
      <c r="B10" t="s">
        <v>874</v>
      </c>
    </row>
    <row r="11" spans="2:5">
      <c r="B11" s="21" t="s">
        <v>906</v>
      </c>
    </row>
    <row r="14" spans="2:5">
      <c r="B14" t="s">
        <v>904</v>
      </c>
    </row>
    <row r="15" spans="2:5">
      <c r="B15" s="7" t="s">
        <v>83</v>
      </c>
      <c r="C15" s="7" t="s">
        <v>876</v>
      </c>
      <c r="D15" s="7" t="s">
        <v>877</v>
      </c>
    </row>
    <row r="16" spans="2:5" ht="34.799999999999997">
      <c r="B16" s="8" t="s">
        <v>878</v>
      </c>
      <c r="C16" s="3" t="s">
        <v>879</v>
      </c>
      <c r="D16" s="3" t="s">
        <v>880</v>
      </c>
    </row>
    <row r="17" spans="2:4">
      <c r="B17" s="8" t="s">
        <v>1438</v>
      </c>
      <c r="C17" s="3" t="s">
        <v>881</v>
      </c>
      <c r="D17" s="3" t="s">
        <v>882</v>
      </c>
    </row>
    <row r="18" spans="2:4" ht="34.799999999999997">
      <c r="B18" s="8" t="s">
        <v>883</v>
      </c>
      <c r="C18" s="3" t="s">
        <v>884</v>
      </c>
      <c r="D18" s="3" t="s">
        <v>885</v>
      </c>
    </row>
    <row r="19" spans="2:4" ht="34.799999999999997">
      <c r="B19" s="8" t="s">
        <v>858</v>
      </c>
      <c r="C19" s="3" t="s">
        <v>886</v>
      </c>
      <c r="D19" s="3" t="s">
        <v>886</v>
      </c>
    </row>
    <row r="22" spans="2:4">
      <c r="B22" t="s">
        <v>875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D809"/>
  <sheetViews>
    <sheetView tabSelected="1" topLeftCell="A692" zoomScaleNormal="100" workbookViewId="0">
      <selection activeCell="C704" sqref="C704"/>
    </sheetView>
  </sheetViews>
  <sheetFormatPr defaultRowHeight="17.399999999999999"/>
  <cols>
    <col min="1" max="1" width="3.69921875" customWidth="1"/>
    <col min="2" max="2" width="21.69921875" bestFit="1" customWidth="1"/>
    <col min="3" max="3" width="49.8984375" style="66" customWidth="1"/>
    <col min="4" max="4" width="203.5" bestFit="1" customWidth="1"/>
    <col min="5" max="5" width="44.3984375" bestFit="1" customWidth="1"/>
  </cols>
  <sheetData>
    <row r="2" spans="2:4">
      <c r="B2" t="s">
        <v>2150</v>
      </c>
    </row>
    <row r="3" spans="2:4">
      <c r="B3" s="4" t="s">
        <v>302</v>
      </c>
      <c r="C3" s="73" t="s">
        <v>2670</v>
      </c>
      <c r="D3" s="4" t="s">
        <v>2671</v>
      </c>
    </row>
    <row r="4" spans="2:4">
      <c r="B4" s="4" t="s">
        <v>2665</v>
      </c>
      <c r="C4" s="73" t="s">
        <v>2672</v>
      </c>
      <c r="D4" s="4" t="s">
        <v>2673</v>
      </c>
    </row>
    <row r="5" spans="2:4">
      <c r="B5" s="4" t="s">
        <v>2665</v>
      </c>
      <c r="C5" s="73" t="s">
        <v>2674</v>
      </c>
      <c r="D5" s="4" t="s">
        <v>2675</v>
      </c>
    </row>
    <row r="6" spans="2:4">
      <c r="B6" s="4"/>
      <c r="C6" s="73"/>
      <c r="D6" s="4"/>
    </row>
    <row r="7" spans="2:4">
      <c r="B7" s="4" t="s">
        <v>2666</v>
      </c>
      <c r="C7" s="73" t="s">
        <v>2676</v>
      </c>
      <c r="D7" s="4" t="s">
        <v>2677</v>
      </c>
    </row>
    <row r="8" spans="2:4">
      <c r="B8" s="4" t="s">
        <v>2666</v>
      </c>
      <c r="C8" s="73" t="s">
        <v>2678</v>
      </c>
      <c r="D8" s="4" t="s">
        <v>2679</v>
      </c>
    </row>
    <row r="9" spans="2:4">
      <c r="B9" s="4"/>
      <c r="C9" s="73"/>
      <c r="D9" s="4"/>
    </row>
    <row r="10" spans="2:4">
      <c r="B10" s="4" t="s">
        <v>2667</v>
      </c>
      <c r="C10" s="73" t="s">
        <v>2680</v>
      </c>
      <c r="D10" s="4" t="s">
        <v>2681</v>
      </c>
    </row>
    <row r="11" spans="2:4">
      <c r="B11" s="4" t="s">
        <v>2667</v>
      </c>
      <c r="C11" s="73" t="s">
        <v>2682</v>
      </c>
      <c r="D11" s="4" t="s">
        <v>2683</v>
      </c>
    </row>
    <row r="12" spans="2:4">
      <c r="B12" s="4"/>
      <c r="C12" s="73"/>
      <c r="D12" s="4"/>
    </row>
    <row r="13" spans="2:4">
      <c r="B13" s="4" t="s">
        <v>2668</v>
      </c>
      <c r="C13" s="73" t="s">
        <v>2684</v>
      </c>
      <c r="D13" s="4" t="s">
        <v>2685</v>
      </c>
    </row>
    <row r="14" spans="2:4">
      <c r="B14" s="4" t="s">
        <v>2668</v>
      </c>
      <c r="C14" s="73" t="s">
        <v>2686</v>
      </c>
      <c r="D14" s="4" t="s">
        <v>2687</v>
      </c>
    </row>
    <row r="15" spans="2:4">
      <c r="B15" s="4"/>
      <c r="C15" s="73"/>
      <c r="D15" s="4"/>
    </row>
    <row r="16" spans="2:4">
      <c r="B16" s="4" t="s">
        <v>2669</v>
      </c>
      <c r="C16" s="73" t="s">
        <v>2688</v>
      </c>
      <c r="D16" s="4" t="s">
        <v>2689</v>
      </c>
    </row>
    <row r="17" spans="2:4">
      <c r="B17" s="4" t="s">
        <v>2669</v>
      </c>
      <c r="C17" s="73" t="s">
        <v>2690</v>
      </c>
      <c r="D17" s="4" t="s">
        <v>2691</v>
      </c>
    </row>
    <row r="19" spans="2:4">
      <c r="B19" s="4" t="s">
        <v>2693</v>
      </c>
      <c r="C19" s="73" t="s">
        <v>2694</v>
      </c>
      <c r="D19" s="4" t="s">
        <v>2695</v>
      </c>
    </row>
    <row r="20" spans="2:4">
      <c r="B20" s="4" t="s">
        <v>2693</v>
      </c>
      <c r="C20" s="73" t="s">
        <v>2696</v>
      </c>
      <c r="D20" s="4" t="s">
        <v>2697</v>
      </c>
    </row>
    <row r="21" spans="2:4">
      <c r="B21" s="4" t="s">
        <v>2693</v>
      </c>
      <c r="C21" s="73" t="s">
        <v>2698</v>
      </c>
      <c r="D21" s="4" t="s">
        <v>2699</v>
      </c>
    </row>
    <row r="22" spans="2:4">
      <c r="B22" s="4" t="s">
        <v>2693</v>
      </c>
      <c r="C22" s="73" t="s">
        <v>2700</v>
      </c>
      <c r="D22" s="4" t="s">
        <v>2701</v>
      </c>
    </row>
    <row r="23" spans="2:4">
      <c r="B23" s="4"/>
      <c r="C23" s="73"/>
      <c r="D23" s="4"/>
    </row>
    <row r="24" spans="2:4">
      <c r="B24" s="4" t="s">
        <v>2702</v>
      </c>
      <c r="C24" s="73" t="s">
        <v>2703</v>
      </c>
      <c r="D24" s="4" t="s">
        <v>2704</v>
      </c>
    </row>
    <row r="25" spans="2:4">
      <c r="B25" s="3" t="s">
        <v>2702</v>
      </c>
      <c r="C25" s="73" t="s">
        <v>2705</v>
      </c>
      <c r="D25" s="4" t="s">
        <v>2706</v>
      </c>
    </row>
    <row r="26" spans="2:4">
      <c r="B26" s="3" t="s">
        <v>2702</v>
      </c>
      <c r="C26" s="73" t="s">
        <v>2707</v>
      </c>
      <c r="D26" s="4" t="s">
        <v>2708</v>
      </c>
    </row>
    <row r="27" spans="2:4">
      <c r="B27" s="3" t="s">
        <v>2702</v>
      </c>
      <c r="C27" s="73" t="s">
        <v>2709</v>
      </c>
      <c r="D27" s="4" t="s">
        <v>2710</v>
      </c>
    </row>
    <row r="28" spans="2:4">
      <c r="B28" s="21"/>
      <c r="C28" s="30"/>
    </row>
    <row r="30" spans="2:4">
      <c r="B30" s="21" t="s">
        <v>2734</v>
      </c>
    </row>
    <row r="31" spans="2:4">
      <c r="B31" s="4" t="s">
        <v>302</v>
      </c>
      <c r="C31" s="73" t="s">
        <v>2711</v>
      </c>
      <c r="D31" s="4" t="s">
        <v>467</v>
      </c>
    </row>
    <row r="32" spans="2:4">
      <c r="B32" s="4" t="s">
        <v>2665</v>
      </c>
      <c r="C32" s="73" t="s">
        <v>2712</v>
      </c>
      <c r="D32" s="4" t="s">
        <v>2713</v>
      </c>
    </row>
    <row r="33" spans="2:4">
      <c r="B33" s="4" t="s">
        <v>2665</v>
      </c>
      <c r="C33" s="73" t="s">
        <v>2714</v>
      </c>
      <c r="D33" s="4" t="s">
        <v>2715</v>
      </c>
    </row>
    <row r="34" spans="2:4">
      <c r="B34" s="4" t="s">
        <v>2665</v>
      </c>
      <c r="C34" s="73" t="s">
        <v>2716</v>
      </c>
      <c r="D34" s="4" t="s">
        <v>2717</v>
      </c>
    </row>
    <row r="35" spans="2:4">
      <c r="B35" s="4"/>
      <c r="C35" s="73"/>
      <c r="D35" s="4"/>
    </row>
    <row r="36" spans="2:4">
      <c r="B36" s="4" t="s">
        <v>2666</v>
      </c>
      <c r="C36" s="73" t="s">
        <v>2718</v>
      </c>
      <c r="D36" s="4" t="s">
        <v>2719</v>
      </c>
    </row>
    <row r="37" spans="2:4">
      <c r="B37" s="4" t="s">
        <v>2666</v>
      </c>
      <c r="C37" s="73" t="s">
        <v>2720</v>
      </c>
      <c r="D37" s="4" t="s">
        <v>2721</v>
      </c>
    </row>
    <row r="38" spans="2:4">
      <c r="B38" s="4"/>
      <c r="C38" s="73"/>
      <c r="D38" s="4"/>
    </row>
    <row r="39" spans="2:4">
      <c r="B39" s="4" t="s">
        <v>2667</v>
      </c>
      <c r="C39" s="73" t="s">
        <v>2722</v>
      </c>
      <c r="D39" s="4" t="s">
        <v>2723</v>
      </c>
    </row>
    <row r="40" spans="2:4">
      <c r="B40" s="4" t="s">
        <v>2667</v>
      </c>
      <c r="C40" s="73" t="s">
        <v>2724</v>
      </c>
      <c r="D40" s="4" t="s">
        <v>2725</v>
      </c>
    </row>
    <row r="41" spans="2:4">
      <c r="B41" s="4"/>
      <c r="C41" s="73"/>
      <c r="D41" s="4"/>
    </row>
    <row r="42" spans="2:4">
      <c r="B42" s="4" t="s">
        <v>2668</v>
      </c>
      <c r="C42" s="73" t="s">
        <v>2726</v>
      </c>
      <c r="D42" s="4" t="s">
        <v>2727</v>
      </c>
    </row>
    <row r="43" spans="2:4">
      <c r="B43" s="4" t="s">
        <v>2668</v>
      </c>
      <c r="C43" s="73" t="s">
        <v>2728</v>
      </c>
      <c r="D43" s="4" t="s">
        <v>2729</v>
      </c>
    </row>
    <row r="44" spans="2:4">
      <c r="B44" s="4"/>
      <c r="C44" s="73"/>
      <c r="D44" s="4"/>
    </row>
    <row r="45" spans="2:4">
      <c r="B45" s="4" t="s">
        <v>2669</v>
      </c>
      <c r="C45" s="73" t="s">
        <v>2730</v>
      </c>
      <c r="D45" s="4" t="s">
        <v>2731</v>
      </c>
    </row>
    <row r="46" spans="2:4">
      <c r="B46" s="4" t="s">
        <v>2669</v>
      </c>
      <c r="C46" s="73" t="s">
        <v>2732</v>
      </c>
      <c r="D46" s="4" t="s">
        <v>2733</v>
      </c>
    </row>
    <row r="48" spans="2:4">
      <c r="B48" s="4" t="s">
        <v>83</v>
      </c>
      <c r="C48" s="73" t="s">
        <v>2692</v>
      </c>
      <c r="D48" s="4" t="s">
        <v>467</v>
      </c>
    </row>
    <row r="49" spans="2:4">
      <c r="B49" s="4" t="s">
        <v>2693</v>
      </c>
      <c r="C49" s="73" t="s">
        <v>2735</v>
      </c>
      <c r="D49" s="4" t="s">
        <v>2736</v>
      </c>
    </row>
    <row r="50" spans="2:4">
      <c r="B50" s="4" t="s">
        <v>2693</v>
      </c>
      <c r="C50" s="73" t="s">
        <v>2737</v>
      </c>
      <c r="D50" s="4" t="s">
        <v>2738</v>
      </c>
    </row>
    <row r="51" spans="2:4">
      <c r="B51" s="4" t="s">
        <v>2693</v>
      </c>
      <c r="C51" s="73" t="s">
        <v>2739</v>
      </c>
      <c r="D51" s="4" t="s">
        <v>2740</v>
      </c>
    </row>
    <row r="52" spans="2:4">
      <c r="B52" s="4" t="s">
        <v>2693</v>
      </c>
      <c r="C52" s="73" t="s">
        <v>2741</v>
      </c>
      <c r="D52" s="4" t="s">
        <v>2742</v>
      </c>
    </row>
    <row r="53" spans="2:4">
      <c r="B53" s="4"/>
      <c r="C53" s="73"/>
      <c r="D53" s="4"/>
    </row>
    <row r="54" spans="2:4">
      <c r="B54" s="4" t="s">
        <v>2702</v>
      </c>
      <c r="C54" s="73" t="s">
        <v>2743</v>
      </c>
      <c r="D54" s="4" t="s">
        <v>2744</v>
      </c>
    </row>
    <row r="55" spans="2:4">
      <c r="B55" s="4" t="s">
        <v>2702</v>
      </c>
      <c r="C55" s="73" t="s">
        <v>2745</v>
      </c>
      <c r="D55" s="4" t="s">
        <v>2746</v>
      </c>
    </row>
    <row r="56" spans="2:4">
      <c r="B56" s="4" t="s">
        <v>2702</v>
      </c>
      <c r="C56" s="73" t="s">
        <v>2747</v>
      </c>
      <c r="D56" s="4" t="s">
        <v>2748</v>
      </c>
    </row>
    <row r="57" spans="2:4">
      <c r="B57" s="4" t="s">
        <v>2702</v>
      </c>
      <c r="C57" s="73" t="s">
        <v>2749</v>
      </c>
      <c r="D57" s="4" t="s">
        <v>2750</v>
      </c>
    </row>
    <row r="60" spans="2:4">
      <c r="B60" t="s">
        <v>1487</v>
      </c>
    </row>
    <row r="61" spans="2:4">
      <c r="B61" s="4" t="s">
        <v>302</v>
      </c>
      <c r="C61" s="73" t="s">
        <v>2711</v>
      </c>
      <c r="D61" s="4" t="s">
        <v>467</v>
      </c>
    </row>
    <row r="62" spans="2:4">
      <c r="B62" s="4" t="s">
        <v>2665</v>
      </c>
      <c r="C62" s="73" t="s">
        <v>2880</v>
      </c>
      <c r="D62" s="4" t="s">
        <v>2881</v>
      </c>
    </row>
    <row r="63" spans="2:4">
      <c r="B63" s="4" t="s">
        <v>2665</v>
      </c>
      <c r="C63" s="73" t="s">
        <v>2882</v>
      </c>
      <c r="D63" s="4" t="s">
        <v>2883</v>
      </c>
    </row>
    <row r="64" spans="2:4">
      <c r="B64" s="4" t="s">
        <v>2665</v>
      </c>
      <c r="C64" s="73" t="s">
        <v>2884</v>
      </c>
      <c r="D64" s="4" t="s">
        <v>2885</v>
      </c>
    </row>
    <row r="65" spans="2:4">
      <c r="B65" s="4"/>
      <c r="C65" s="73"/>
      <c r="D65" s="4"/>
    </row>
    <row r="66" spans="2:4">
      <c r="B66" s="4" t="s">
        <v>2666</v>
      </c>
      <c r="C66" s="73" t="s">
        <v>2886</v>
      </c>
      <c r="D66" s="4" t="s">
        <v>2887</v>
      </c>
    </row>
    <row r="67" spans="2:4">
      <c r="B67" s="4" t="s">
        <v>2666</v>
      </c>
      <c r="C67" s="73" t="s">
        <v>2888</v>
      </c>
      <c r="D67" s="4" t="s">
        <v>2889</v>
      </c>
    </row>
    <row r="68" spans="2:4">
      <c r="B68" s="4" t="s">
        <v>2666</v>
      </c>
      <c r="C68" s="73" t="s">
        <v>2890</v>
      </c>
      <c r="D68" s="4" t="s">
        <v>2891</v>
      </c>
    </row>
    <row r="69" spans="2:4">
      <c r="B69" s="4"/>
      <c r="C69" s="73"/>
      <c r="D69" s="4"/>
    </row>
    <row r="70" spans="2:4">
      <c r="B70" s="4" t="s">
        <v>2667</v>
      </c>
      <c r="C70" s="73" t="s">
        <v>2892</v>
      </c>
      <c r="D70" s="4" t="s">
        <v>2893</v>
      </c>
    </row>
    <row r="71" spans="2:4">
      <c r="B71" s="4" t="s">
        <v>2667</v>
      </c>
      <c r="C71" s="73" t="s">
        <v>2894</v>
      </c>
      <c r="D71" s="4" t="s">
        <v>2895</v>
      </c>
    </row>
    <row r="72" spans="2:4">
      <c r="B72" s="4" t="s">
        <v>2667</v>
      </c>
      <c r="C72" s="73" t="s">
        <v>2896</v>
      </c>
      <c r="D72" s="4" t="s">
        <v>2897</v>
      </c>
    </row>
    <row r="73" spans="2:4">
      <c r="B73" s="4"/>
      <c r="C73" s="73"/>
      <c r="D73" s="4"/>
    </row>
    <row r="74" spans="2:4">
      <c r="B74" s="4" t="s">
        <v>2668</v>
      </c>
      <c r="C74" s="73" t="s">
        <v>2898</v>
      </c>
      <c r="D74" s="4" t="s">
        <v>2899</v>
      </c>
    </row>
    <row r="75" spans="2:4">
      <c r="B75" s="4" t="s">
        <v>2668</v>
      </c>
      <c r="C75" s="73" t="s">
        <v>2900</v>
      </c>
      <c r="D75" s="4" t="s">
        <v>2901</v>
      </c>
    </row>
    <row r="76" spans="2:4">
      <c r="B76" s="4"/>
      <c r="C76" s="73"/>
      <c r="D76" s="4"/>
    </row>
    <row r="77" spans="2:4">
      <c r="B77" s="4" t="s">
        <v>2669</v>
      </c>
      <c r="C77" s="73" t="s">
        <v>2902</v>
      </c>
      <c r="D77" s="4" t="s">
        <v>2903</v>
      </c>
    </row>
    <row r="78" spans="2:4">
      <c r="B78" s="4" t="s">
        <v>2669</v>
      </c>
      <c r="C78" s="73" t="s">
        <v>2904</v>
      </c>
      <c r="D78" s="4" t="s">
        <v>2905</v>
      </c>
    </row>
    <row r="80" spans="2:4">
      <c r="B80" s="4" t="s">
        <v>83</v>
      </c>
      <c r="C80" s="73" t="s">
        <v>2692</v>
      </c>
      <c r="D80" s="4" t="s">
        <v>467</v>
      </c>
    </row>
    <row r="81" spans="2:4">
      <c r="B81" s="4" t="s">
        <v>2819</v>
      </c>
      <c r="C81" s="73" t="s">
        <v>2906</v>
      </c>
      <c r="D81" s="4" t="s">
        <v>2907</v>
      </c>
    </row>
    <row r="82" spans="2:4">
      <c r="B82" s="4" t="s">
        <v>2819</v>
      </c>
      <c r="C82" s="73" t="s">
        <v>2908</v>
      </c>
      <c r="D82" s="4" t="s">
        <v>2909</v>
      </c>
    </row>
    <row r="83" spans="2:4">
      <c r="B83" s="4" t="s">
        <v>2819</v>
      </c>
      <c r="C83" s="73" t="s">
        <v>2884</v>
      </c>
      <c r="D83" s="4" t="s">
        <v>2910</v>
      </c>
    </row>
    <row r="84" spans="2:4">
      <c r="B84" s="4"/>
      <c r="C84" s="73"/>
      <c r="D84" s="4"/>
    </row>
    <row r="85" spans="2:4">
      <c r="B85" s="4" t="s">
        <v>2824</v>
      </c>
      <c r="C85" s="73" t="s">
        <v>2911</v>
      </c>
      <c r="D85" s="4" t="s">
        <v>2912</v>
      </c>
    </row>
    <row r="86" spans="2:4">
      <c r="B86" s="4" t="s">
        <v>2824</v>
      </c>
      <c r="C86" s="73" t="s">
        <v>2913</v>
      </c>
      <c r="D86" s="4" t="s">
        <v>2914</v>
      </c>
    </row>
    <row r="87" spans="2:4">
      <c r="B87" s="4" t="s">
        <v>2824</v>
      </c>
      <c r="C87" s="73" t="s">
        <v>2890</v>
      </c>
      <c r="D87" s="4" t="s">
        <v>2915</v>
      </c>
    </row>
    <row r="88" spans="2:4">
      <c r="B88" s="4"/>
      <c r="C88" s="73"/>
      <c r="D88" s="4"/>
    </row>
    <row r="89" spans="2:4">
      <c r="B89" s="4" t="s">
        <v>2829</v>
      </c>
      <c r="C89" s="73" t="s">
        <v>2916</v>
      </c>
      <c r="D89" s="4" t="s">
        <v>2917</v>
      </c>
    </row>
    <row r="90" spans="2:4">
      <c r="B90" s="4" t="s">
        <v>2829</v>
      </c>
      <c r="C90" s="73" t="s">
        <v>2918</v>
      </c>
      <c r="D90" s="4" t="s">
        <v>2919</v>
      </c>
    </row>
    <row r="91" spans="2:4">
      <c r="B91" s="4" t="s">
        <v>2829</v>
      </c>
      <c r="C91" s="73" t="s">
        <v>2920</v>
      </c>
      <c r="D91" s="4" t="s">
        <v>2921</v>
      </c>
    </row>
    <row r="92" spans="2:4">
      <c r="B92" s="4" t="s">
        <v>2829</v>
      </c>
      <c r="C92" s="73" t="s">
        <v>2922</v>
      </c>
      <c r="D92" s="4" t="s">
        <v>2923</v>
      </c>
    </row>
    <row r="93" spans="2:4">
      <c r="B93" s="4" t="s">
        <v>2829</v>
      </c>
      <c r="C93" s="73" t="s">
        <v>2924</v>
      </c>
      <c r="D93" s="4" t="s">
        <v>2925</v>
      </c>
    </row>
    <row r="96" spans="2:4">
      <c r="B96" t="s">
        <v>2517</v>
      </c>
    </row>
    <row r="97" spans="2:4">
      <c r="B97" s="53" t="s">
        <v>302</v>
      </c>
      <c r="C97" s="73" t="s">
        <v>2711</v>
      </c>
      <c r="D97" s="4" t="s">
        <v>467</v>
      </c>
    </row>
    <row r="98" spans="2:4">
      <c r="B98" s="4" t="s">
        <v>2665</v>
      </c>
      <c r="C98" s="73" t="s">
        <v>2751</v>
      </c>
      <c r="D98" s="4" t="s">
        <v>2752</v>
      </c>
    </row>
    <row r="99" spans="2:4">
      <c r="B99" s="4" t="s">
        <v>2665</v>
      </c>
      <c r="C99" s="73" t="s">
        <v>2753</v>
      </c>
      <c r="D99" s="4" t="s">
        <v>2754</v>
      </c>
    </row>
    <row r="100" spans="2:4">
      <c r="B100" s="4"/>
      <c r="C100" s="73"/>
      <c r="D100" s="4"/>
    </row>
    <row r="101" spans="2:4">
      <c r="B101" s="4" t="s">
        <v>2666</v>
      </c>
      <c r="C101" s="73" t="s">
        <v>2755</v>
      </c>
      <c r="D101" s="4" t="s">
        <v>2756</v>
      </c>
    </row>
    <row r="102" spans="2:4">
      <c r="B102" s="4" t="s">
        <v>2666</v>
      </c>
      <c r="C102" s="73" t="s">
        <v>2757</v>
      </c>
      <c r="D102" s="4" t="s">
        <v>2758</v>
      </c>
    </row>
    <row r="103" spans="2:4">
      <c r="B103" s="4"/>
      <c r="C103" s="73"/>
      <c r="D103" s="4"/>
    </row>
    <row r="104" spans="2:4">
      <c r="B104" s="4" t="s">
        <v>2667</v>
      </c>
      <c r="C104" s="73" t="s">
        <v>2759</v>
      </c>
      <c r="D104" s="4" t="s">
        <v>2760</v>
      </c>
    </row>
    <row r="105" spans="2:4">
      <c r="B105" s="4" t="s">
        <v>2667</v>
      </c>
      <c r="C105" s="73" t="s">
        <v>2761</v>
      </c>
      <c r="D105" s="4" t="s">
        <v>2762</v>
      </c>
    </row>
    <row r="106" spans="2:4">
      <c r="B106" s="4"/>
      <c r="C106" s="73"/>
      <c r="D106" s="4"/>
    </row>
    <row r="107" spans="2:4">
      <c r="B107" s="4" t="s">
        <v>2668</v>
      </c>
      <c r="C107" s="73" t="s">
        <v>2763</v>
      </c>
      <c r="D107" s="4" t="s">
        <v>2764</v>
      </c>
    </row>
    <row r="108" spans="2:4">
      <c r="B108" s="4" t="s">
        <v>2668</v>
      </c>
      <c r="C108" s="73" t="s">
        <v>2765</v>
      </c>
      <c r="D108" s="4" t="s">
        <v>2766</v>
      </c>
    </row>
    <row r="109" spans="2:4">
      <c r="B109" s="4"/>
      <c r="C109" s="73"/>
      <c r="D109" s="4"/>
    </row>
    <row r="110" spans="2:4">
      <c r="B110" s="4" t="s">
        <v>2669</v>
      </c>
      <c r="C110" s="73" t="s">
        <v>2767</v>
      </c>
      <c r="D110" s="4" t="s">
        <v>2768</v>
      </c>
    </row>
    <row r="111" spans="2:4">
      <c r="B111" s="4" t="s">
        <v>2669</v>
      </c>
      <c r="C111" s="73" t="s">
        <v>2769</v>
      </c>
      <c r="D111" s="4" t="s">
        <v>2770</v>
      </c>
    </row>
    <row r="113" spans="2:4">
      <c r="B113" s="4" t="s">
        <v>83</v>
      </c>
      <c r="C113" s="73" t="s">
        <v>2692</v>
      </c>
      <c r="D113" s="4" t="s">
        <v>467</v>
      </c>
    </row>
    <row r="114" spans="2:4">
      <c r="B114" s="4" t="s">
        <v>2771</v>
      </c>
      <c r="C114" s="73" t="s">
        <v>2772</v>
      </c>
      <c r="D114" s="4" t="s">
        <v>2773</v>
      </c>
    </row>
    <row r="115" spans="2:4">
      <c r="B115" s="4" t="s">
        <v>2771</v>
      </c>
      <c r="C115" s="73" t="s">
        <v>2774</v>
      </c>
      <c r="D115" s="4" t="s">
        <v>2775</v>
      </c>
    </row>
    <row r="116" spans="2:4">
      <c r="B116" s="4"/>
      <c r="C116" s="73"/>
      <c r="D116" s="4"/>
    </row>
    <row r="117" spans="2:4">
      <c r="B117" s="4" t="s">
        <v>2776</v>
      </c>
      <c r="C117" s="73" t="s">
        <v>2777</v>
      </c>
      <c r="D117" s="4" t="s">
        <v>2778</v>
      </c>
    </row>
    <row r="118" spans="2:4">
      <c r="B118" s="4" t="s">
        <v>2776</v>
      </c>
      <c r="C118" s="73" t="s">
        <v>2757</v>
      </c>
      <c r="D118" s="4" t="s">
        <v>2779</v>
      </c>
    </row>
    <row r="120" spans="2:4">
      <c r="B120" s="4" t="s">
        <v>83</v>
      </c>
      <c r="C120" s="73" t="s">
        <v>2692</v>
      </c>
      <c r="D120" s="4" t="s">
        <v>467</v>
      </c>
    </row>
    <row r="121" spans="2:4">
      <c r="B121" s="4" t="s">
        <v>2780</v>
      </c>
      <c r="C121" s="73" t="s">
        <v>2781</v>
      </c>
      <c r="D121" s="4" t="s">
        <v>2782</v>
      </c>
    </row>
    <row r="122" spans="2:4">
      <c r="B122" s="4" t="s">
        <v>2780</v>
      </c>
      <c r="C122" s="73" t="s">
        <v>2783</v>
      </c>
      <c r="D122" s="4" t="s">
        <v>2784</v>
      </c>
    </row>
    <row r="123" spans="2:4">
      <c r="B123" s="4" t="s">
        <v>2785</v>
      </c>
      <c r="C123" s="73" t="s">
        <v>2786</v>
      </c>
      <c r="D123" s="4" t="s">
        <v>2787</v>
      </c>
    </row>
    <row r="124" spans="2:4">
      <c r="B124" s="4" t="s">
        <v>2785</v>
      </c>
      <c r="C124" s="73" t="s">
        <v>2788</v>
      </c>
      <c r="D124" s="4" t="s">
        <v>2789</v>
      </c>
    </row>
    <row r="125" spans="2:4">
      <c r="B125" s="4" t="s">
        <v>2790</v>
      </c>
      <c r="C125" s="73" t="s">
        <v>2791</v>
      </c>
      <c r="D125" s="4" t="s">
        <v>2792</v>
      </c>
    </row>
    <row r="126" spans="2:4">
      <c r="B126" s="4" t="s">
        <v>2793</v>
      </c>
      <c r="C126" s="73" t="s">
        <v>2794</v>
      </c>
      <c r="D126" s="4" t="s">
        <v>2795</v>
      </c>
    </row>
    <row r="127" spans="2:4">
      <c r="B127" s="4" t="s">
        <v>2793</v>
      </c>
      <c r="C127" s="73" t="s">
        <v>2796</v>
      </c>
      <c r="D127" s="4" t="s">
        <v>2797</v>
      </c>
    </row>
    <row r="129" spans="2:4">
      <c r="B129" t="s">
        <v>2926</v>
      </c>
    </row>
    <row r="130" spans="2:4">
      <c r="B130" s="4" t="s">
        <v>302</v>
      </c>
      <c r="C130" s="73" t="s">
        <v>2711</v>
      </c>
      <c r="D130" s="4" t="s">
        <v>467</v>
      </c>
    </row>
    <row r="131" spans="2:4">
      <c r="B131" s="4" t="s">
        <v>2665</v>
      </c>
      <c r="C131" s="73" t="s">
        <v>2927</v>
      </c>
      <c r="D131" s="4" t="s">
        <v>2928</v>
      </c>
    </row>
    <row r="132" spans="2:4">
      <c r="B132" s="4" t="s">
        <v>2665</v>
      </c>
      <c r="C132" s="73" t="s">
        <v>2929</v>
      </c>
      <c r="D132" s="4" t="s">
        <v>2930</v>
      </c>
    </row>
    <row r="133" spans="2:4">
      <c r="B133" s="4" t="s">
        <v>2665</v>
      </c>
      <c r="C133" s="73" t="s">
        <v>2931</v>
      </c>
      <c r="D133" s="4" t="s">
        <v>2932</v>
      </c>
    </row>
    <row r="134" spans="2:4">
      <c r="B134" s="4"/>
      <c r="C134" s="73"/>
      <c r="D134" s="4"/>
    </row>
    <row r="135" spans="2:4">
      <c r="B135" s="4" t="s">
        <v>2666</v>
      </c>
      <c r="C135" s="73" t="s">
        <v>2933</v>
      </c>
      <c r="D135" s="4" t="s">
        <v>2934</v>
      </c>
    </row>
    <row r="136" spans="2:4">
      <c r="B136" s="4" t="s">
        <v>2666</v>
      </c>
      <c r="C136" s="73" t="s">
        <v>2935</v>
      </c>
      <c r="D136" s="4" t="s">
        <v>2936</v>
      </c>
    </row>
    <row r="137" spans="2:4">
      <c r="B137" s="4" t="s">
        <v>2666</v>
      </c>
      <c r="C137" s="73" t="s">
        <v>2937</v>
      </c>
      <c r="D137" s="4" t="s">
        <v>2938</v>
      </c>
    </row>
    <row r="138" spans="2:4">
      <c r="B138" s="4"/>
      <c r="C138" s="73"/>
      <c r="D138" s="4"/>
    </row>
    <row r="139" spans="2:4">
      <c r="B139" s="4" t="s">
        <v>2667</v>
      </c>
      <c r="C139" s="73" t="s">
        <v>2939</v>
      </c>
      <c r="D139" s="4" t="s">
        <v>2940</v>
      </c>
    </row>
    <row r="140" spans="2:4">
      <c r="B140" s="4" t="s">
        <v>2667</v>
      </c>
      <c r="C140" s="73" t="s">
        <v>2941</v>
      </c>
      <c r="D140" s="4" t="s">
        <v>2942</v>
      </c>
    </row>
    <row r="141" spans="2:4">
      <c r="B141" s="4" t="s">
        <v>2667</v>
      </c>
      <c r="C141" s="73" t="s">
        <v>2943</v>
      </c>
      <c r="D141" s="4" t="s">
        <v>2944</v>
      </c>
    </row>
    <row r="142" spans="2:4">
      <c r="B142" s="4"/>
      <c r="C142" s="73"/>
      <c r="D142" s="4"/>
    </row>
    <row r="143" spans="2:4">
      <c r="B143" s="4" t="s">
        <v>2668</v>
      </c>
      <c r="C143" s="73" t="s">
        <v>2945</v>
      </c>
      <c r="D143" s="4" t="s">
        <v>2946</v>
      </c>
    </row>
    <row r="144" spans="2:4">
      <c r="B144" s="4" t="s">
        <v>2668</v>
      </c>
      <c r="C144" s="73" t="s">
        <v>2947</v>
      </c>
      <c r="D144" s="4" t="s">
        <v>2948</v>
      </c>
    </row>
    <row r="145" spans="2:4">
      <c r="B145" s="4" t="s">
        <v>2668</v>
      </c>
      <c r="C145" s="73" t="s">
        <v>2949</v>
      </c>
      <c r="D145" s="4" t="s">
        <v>2950</v>
      </c>
    </row>
    <row r="146" spans="2:4">
      <c r="B146" s="4"/>
      <c r="C146" s="73"/>
      <c r="D146" s="4"/>
    </row>
    <row r="147" spans="2:4">
      <c r="B147" s="4" t="s">
        <v>2669</v>
      </c>
      <c r="C147" s="73" t="s">
        <v>2951</v>
      </c>
      <c r="D147" s="4" t="s">
        <v>2952</v>
      </c>
    </row>
    <row r="148" spans="2:4">
      <c r="B148" s="4" t="s">
        <v>2669</v>
      </c>
      <c r="C148" s="73" t="s">
        <v>2953</v>
      </c>
      <c r="D148" s="4" t="s">
        <v>2954</v>
      </c>
    </row>
    <row r="149" spans="2:4">
      <c r="B149" s="4" t="s">
        <v>2669</v>
      </c>
      <c r="C149" s="73" t="s">
        <v>2955</v>
      </c>
      <c r="D149" s="4" t="s">
        <v>2956</v>
      </c>
    </row>
    <row r="152" spans="2:4">
      <c r="B152" s="4" t="s">
        <v>83</v>
      </c>
      <c r="C152" s="73" t="s">
        <v>2692</v>
      </c>
      <c r="D152" s="4" t="s">
        <v>467</v>
      </c>
    </row>
    <row r="153" spans="2:4">
      <c r="B153" s="4" t="s">
        <v>2819</v>
      </c>
      <c r="C153" s="73" t="s">
        <v>2957</v>
      </c>
      <c r="D153" s="4" t="s">
        <v>2958</v>
      </c>
    </row>
    <row r="154" spans="2:4">
      <c r="B154" s="4" t="s">
        <v>2819</v>
      </c>
      <c r="C154" s="73" t="s">
        <v>2959</v>
      </c>
      <c r="D154" s="4" t="s">
        <v>2960</v>
      </c>
    </row>
    <row r="155" spans="2:4">
      <c r="B155" s="4" t="s">
        <v>2819</v>
      </c>
      <c r="C155" s="73" t="s">
        <v>2961</v>
      </c>
      <c r="D155" s="4" t="s">
        <v>2962</v>
      </c>
    </row>
    <row r="156" spans="2:4">
      <c r="B156" s="4"/>
      <c r="C156" s="73"/>
      <c r="D156" s="4"/>
    </row>
    <row r="157" spans="2:4">
      <c r="B157" s="4" t="s">
        <v>2824</v>
      </c>
      <c r="C157" s="73" t="s">
        <v>2933</v>
      </c>
      <c r="D157" s="4" t="s">
        <v>2963</v>
      </c>
    </row>
    <row r="158" spans="2:4">
      <c r="B158" s="4" t="s">
        <v>2824</v>
      </c>
      <c r="C158" s="73" t="s">
        <v>2964</v>
      </c>
      <c r="D158" s="4" t="s">
        <v>2965</v>
      </c>
    </row>
    <row r="159" spans="2:4">
      <c r="B159" s="4" t="s">
        <v>2824</v>
      </c>
      <c r="C159" s="73" t="s">
        <v>2966</v>
      </c>
      <c r="D159" s="4" t="s">
        <v>2967</v>
      </c>
    </row>
    <row r="160" spans="2:4">
      <c r="B160" s="4"/>
      <c r="C160" s="73"/>
      <c r="D160" s="4"/>
    </row>
    <row r="161" spans="2:4">
      <c r="B161" s="4" t="s">
        <v>2829</v>
      </c>
      <c r="C161" s="73" t="s">
        <v>2968</v>
      </c>
      <c r="D161" s="4" t="s">
        <v>2969</v>
      </c>
    </row>
    <row r="162" spans="2:4">
      <c r="B162" s="4" t="s">
        <v>2829</v>
      </c>
      <c r="C162" s="73" t="s">
        <v>2970</v>
      </c>
      <c r="D162" s="4" t="s">
        <v>2971</v>
      </c>
    </row>
    <row r="163" spans="2:4">
      <c r="B163" s="4" t="s">
        <v>2829</v>
      </c>
      <c r="C163" s="73" t="s">
        <v>2972</v>
      </c>
      <c r="D163" s="4" t="s">
        <v>2973</v>
      </c>
    </row>
    <row r="164" spans="2:4">
      <c r="B164" s="4" t="s">
        <v>2829</v>
      </c>
      <c r="C164" s="73" t="s">
        <v>2974</v>
      </c>
      <c r="D164" s="4" t="s">
        <v>2975</v>
      </c>
    </row>
    <row r="165" spans="2:4">
      <c r="B165" s="4" t="s">
        <v>2829</v>
      </c>
      <c r="C165" s="73" t="s">
        <v>2976</v>
      </c>
      <c r="D165" s="4" t="s">
        <v>2977</v>
      </c>
    </row>
    <row r="167" spans="2:4">
      <c r="B167" t="s">
        <v>3921</v>
      </c>
    </row>
    <row r="168" spans="2:4">
      <c r="B168" s="4" t="s">
        <v>302</v>
      </c>
      <c r="C168" s="73" t="s">
        <v>3901</v>
      </c>
      <c r="D168" s="4" t="s">
        <v>3873</v>
      </c>
    </row>
    <row r="169" spans="2:4">
      <c r="B169" s="4" t="s">
        <v>2665</v>
      </c>
      <c r="C169" s="73" t="s">
        <v>3902</v>
      </c>
      <c r="D169" s="4" t="s">
        <v>3903</v>
      </c>
    </row>
    <row r="170" spans="2:4">
      <c r="B170" s="4" t="s">
        <v>2666</v>
      </c>
      <c r="C170" s="73" t="s">
        <v>3904</v>
      </c>
      <c r="D170" s="4" t="s">
        <v>3905</v>
      </c>
    </row>
    <row r="171" spans="2:4">
      <c r="B171" s="4" t="s">
        <v>2667</v>
      </c>
      <c r="C171" s="73" t="s">
        <v>3906</v>
      </c>
      <c r="D171" s="4" t="s">
        <v>3907</v>
      </c>
    </row>
    <row r="172" spans="2:4">
      <c r="B172" s="4" t="s">
        <v>2668</v>
      </c>
      <c r="C172" s="73" t="s">
        <v>3908</v>
      </c>
      <c r="D172" s="4" t="s">
        <v>3909</v>
      </c>
    </row>
    <row r="173" spans="2:4">
      <c r="B173" s="4" t="s">
        <v>2669</v>
      </c>
      <c r="C173" s="73" t="s">
        <v>3910</v>
      </c>
      <c r="D173" s="4" t="s">
        <v>3911</v>
      </c>
    </row>
    <row r="176" spans="2:4">
      <c r="B176" s="4" t="s">
        <v>83</v>
      </c>
      <c r="C176" s="73" t="s">
        <v>2368</v>
      </c>
      <c r="D176" s="4" t="s">
        <v>3873</v>
      </c>
    </row>
    <row r="177" spans="2:4">
      <c r="B177" s="4" t="s">
        <v>3009</v>
      </c>
      <c r="C177" s="73" t="s">
        <v>3912</v>
      </c>
      <c r="D177" s="4" t="s">
        <v>3913</v>
      </c>
    </row>
    <row r="178" spans="2:4">
      <c r="B178" s="4" t="s">
        <v>3009</v>
      </c>
      <c r="C178" s="73" t="s">
        <v>3914</v>
      </c>
      <c r="D178" s="4" t="s">
        <v>3915</v>
      </c>
    </row>
    <row r="179" spans="2:4">
      <c r="B179" s="4"/>
      <c r="C179" s="73"/>
      <c r="D179" s="4"/>
    </row>
    <row r="180" spans="2:4">
      <c r="B180" s="4" t="s">
        <v>3916</v>
      </c>
      <c r="C180" s="73" t="s">
        <v>3917</v>
      </c>
      <c r="D180" s="4" t="s">
        <v>3918</v>
      </c>
    </row>
    <row r="181" spans="2:4">
      <c r="B181" s="4" t="s">
        <v>3916</v>
      </c>
      <c r="C181" s="73" t="s">
        <v>3919</v>
      </c>
      <c r="D181" s="4" t="s">
        <v>3920</v>
      </c>
    </row>
    <row r="185" spans="2:4">
      <c r="B185" t="s">
        <v>2798</v>
      </c>
    </row>
    <row r="186" spans="2:4">
      <c r="B186" s="4" t="s">
        <v>302</v>
      </c>
      <c r="C186" s="73" t="s">
        <v>2711</v>
      </c>
      <c r="D186" s="4" t="s">
        <v>467</v>
      </c>
    </row>
    <row r="187" spans="2:4">
      <c r="B187" s="4" t="s">
        <v>2665</v>
      </c>
      <c r="C187" s="73" t="s">
        <v>2799</v>
      </c>
      <c r="D187" s="4" t="s">
        <v>2800</v>
      </c>
    </row>
    <row r="188" spans="2:4">
      <c r="B188" s="4" t="s">
        <v>2665</v>
      </c>
      <c r="C188" s="73" t="s">
        <v>2801</v>
      </c>
      <c r="D188" s="4" t="s">
        <v>2802</v>
      </c>
    </row>
    <row r="189" spans="2:4">
      <c r="B189" s="4"/>
      <c r="C189" s="73"/>
      <c r="D189" s="4"/>
    </row>
    <row r="190" spans="2:4">
      <c r="B190" s="4" t="s">
        <v>2666</v>
      </c>
      <c r="C190" s="73" t="s">
        <v>2803</v>
      </c>
      <c r="D190" s="4" t="s">
        <v>2804</v>
      </c>
    </row>
    <row r="191" spans="2:4">
      <c r="B191" s="4" t="s">
        <v>2666</v>
      </c>
      <c r="C191" s="73" t="s">
        <v>2805</v>
      </c>
      <c r="D191" s="4" t="s">
        <v>2806</v>
      </c>
    </row>
    <row r="192" spans="2:4">
      <c r="B192" s="4"/>
      <c r="C192" s="73"/>
      <c r="D192" s="4"/>
    </row>
    <row r="193" spans="2:4">
      <c r="B193" s="4" t="s">
        <v>2667</v>
      </c>
      <c r="C193" s="73" t="s">
        <v>2807</v>
      </c>
      <c r="D193" s="4" t="s">
        <v>2808</v>
      </c>
    </row>
    <row r="194" spans="2:4">
      <c r="B194" s="4" t="s">
        <v>2667</v>
      </c>
      <c r="C194" s="73" t="s">
        <v>2809</v>
      </c>
      <c r="D194" s="4" t="s">
        <v>2810</v>
      </c>
    </row>
    <row r="195" spans="2:4">
      <c r="B195" s="4"/>
      <c r="C195" s="73"/>
      <c r="D195" s="4"/>
    </row>
    <row r="196" spans="2:4">
      <c r="B196" s="4" t="s">
        <v>2668</v>
      </c>
      <c r="C196" s="73" t="s">
        <v>2811</v>
      </c>
      <c r="D196" s="4" t="s">
        <v>2812</v>
      </c>
    </row>
    <row r="197" spans="2:4">
      <c r="B197" s="4" t="s">
        <v>2668</v>
      </c>
      <c r="C197" s="73" t="s">
        <v>2813</v>
      </c>
      <c r="D197" s="4" t="s">
        <v>2814</v>
      </c>
    </row>
    <row r="198" spans="2:4">
      <c r="B198" s="4"/>
      <c r="C198" s="73"/>
      <c r="D198" s="4"/>
    </row>
    <row r="199" spans="2:4">
      <c r="B199" s="4" t="s">
        <v>2669</v>
      </c>
      <c r="C199" s="73" t="s">
        <v>2815</v>
      </c>
      <c r="D199" s="4" t="s">
        <v>2816</v>
      </c>
    </row>
    <row r="200" spans="2:4">
      <c r="B200" s="4" t="s">
        <v>2669</v>
      </c>
      <c r="C200" s="73" t="s">
        <v>2817</v>
      </c>
      <c r="D200" s="4" t="s">
        <v>2818</v>
      </c>
    </row>
    <row r="202" spans="2:4">
      <c r="B202" s="4" t="s">
        <v>83</v>
      </c>
      <c r="C202" s="73" t="s">
        <v>2692</v>
      </c>
      <c r="D202" s="4" t="s">
        <v>467</v>
      </c>
    </row>
    <row r="203" spans="2:4">
      <c r="B203" s="4" t="s">
        <v>2819</v>
      </c>
      <c r="C203" s="73" t="s">
        <v>2820</v>
      </c>
      <c r="D203" s="4" t="s">
        <v>2821</v>
      </c>
    </row>
    <row r="204" spans="2:4">
      <c r="B204" s="4" t="s">
        <v>2819</v>
      </c>
      <c r="C204" s="73" t="s">
        <v>2822</v>
      </c>
      <c r="D204" s="4" t="s">
        <v>2823</v>
      </c>
    </row>
    <row r="205" spans="2:4">
      <c r="B205" s="4"/>
      <c r="C205" s="73"/>
      <c r="D205" s="4"/>
    </row>
    <row r="206" spans="2:4">
      <c r="B206" s="4" t="s">
        <v>2824</v>
      </c>
      <c r="C206" s="73" t="s">
        <v>2825</v>
      </c>
      <c r="D206" s="4" t="s">
        <v>2826</v>
      </c>
    </row>
    <row r="207" spans="2:4">
      <c r="B207" s="4" t="s">
        <v>2824</v>
      </c>
      <c r="C207" s="73" t="s">
        <v>2827</v>
      </c>
      <c r="D207" s="4" t="s">
        <v>2828</v>
      </c>
    </row>
    <row r="209" spans="2:4">
      <c r="B209" s="4" t="s">
        <v>83</v>
      </c>
      <c r="C209" s="73" t="s">
        <v>2692</v>
      </c>
      <c r="D209" s="4" t="s">
        <v>467</v>
      </c>
    </row>
    <row r="210" spans="2:4">
      <c r="B210" s="4" t="s">
        <v>2829</v>
      </c>
      <c r="C210" s="73" t="s">
        <v>2830</v>
      </c>
      <c r="D210" s="4" t="s">
        <v>2831</v>
      </c>
    </row>
    <row r="211" spans="2:4">
      <c r="B211" s="4" t="s">
        <v>2829</v>
      </c>
      <c r="C211" s="73" t="s">
        <v>2832</v>
      </c>
      <c r="D211" s="4" t="s">
        <v>2833</v>
      </c>
    </row>
    <row r="212" spans="2:4">
      <c r="B212" s="4" t="s">
        <v>2829</v>
      </c>
      <c r="C212" s="73" t="s">
        <v>2834</v>
      </c>
      <c r="D212" s="4" t="s">
        <v>2835</v>
      </c>
    </row>
    <row r="213" spans="2:4">
      <c r="B213" s="4" t="s">
        <v>2829</v>
      </c>
      <c r="C213" s="73" t="s">
        <v>2836</v>
      </c>
      <c r="D213" s="4" t="s">
        <v>2837</v>
      </c>
    </row>
    <row r="214" spans="2:4">
      <c r="B214" s="4" t="s">
        <v>2829</v>
      </c>
      <c r="C214" s="73" t="s">
        <v>2838</v>
      </c>
      <c r="D214" s="4" t="s">
        <v>2839</v>
      </c>
    </row>
    <row r="217" spans="2:4">
      <c r="B217" t="s">
        <v>2879</v>
      </c>
    </row>
    <row r="218" spans="2:4">
      <c r="B218" s="4" t="s">
        <v>302</v>
      </c>
      <c r="C218" s="73" t="s">
        <v>2711</v>
      </c>
      <c r="D218" s="4" t="s">
        <v>467</v>
      </c>
    </row>
    <row r="219" spans="2:4">
      <c r="B219" s="4" t="s">
        <v>2665</v>
      </c>
      <c r="C219" s="73" t="s">
        <v>2841</v>
      </c>
      <c r="D219" s="4" t="s">
        <v>2842</v>
      </c>
    </row>
    <row r="220" spans="2:4">
      <c r="B220" s="4" t="s">
        <v>2665</v>
      </c>
      <c r="C220" s="73" t="s">
        <v>2843</v>
      </c>
      <c r="D220" s="4" t="s">
        <v>2844</v>
      </c>
    </row>
    <row r="221" spans="2:4">
      <c r="B221" s="4" t="s">
        <v>2665</v>
      </c>
      <c r="C221" s="73" t="s">
        <v>2845</v>
      </c>
      <c r="D221" s="4" t="s">
        <v>2846</v>
      </c>
    </row>
    <row r="222" spans="2:4">
      <c r="B222" s="4" t="s">
        <v>2666</v>
      </c>
      <c r="C222" s="73" t="s">
        <v>2847</v>
      </c>
      <c r="D222" s="4" t="s">
        <v>2848</v>
      </c>
    </row>
    <row r="223" spans="2:4">
      <c r="B223" s="4" t="s">
        <v>2667</v>
      </c>
      <c r="C223" s="73" t="s">
        <v>2849</v>
      </c>
      <c r="D223" s="4" t="s">
        <v>2850</v>
      </c>
    </row>
    <row r="224" spans="2:4">
      <c r="B224" s="4" t="s">
        <v>2667</v>
      </c>
      <c r="C224" s="73" t="s">
        <v>2851</v>
      </c>
      <c r="D224" s="4" t="s">
        <v>2852</v>
      </c>
    </row>
    <row r="225" spans="2:4">
      <c r="B225" s="4" t="s">
        <v>2668</v>
      </c>
      <c r="C225" s="73" t="s">
        <v>2853</v>
      </c>
      <c r="D225" s="4" t="s">
        <v>2854</v>
      </c>
    </row>
    <row r="226" spans="2:4">
      <c r="B226" s="4" t="s">
        <v>2668</v>
      </c>
      <c r="C226" s="73" t="s">
        <v>2855</v>
      </c>
      <c r="D226" s="4" t="s">
        <v>2856</v>
      </c>
    </row>
    <row r="227" spans="2:4">
      <c r="B227" s="4" t="s">
        <v>2669</v>
      </c>
      <c r="C227" s="73" t="s">
        <v>2857</v>
      </c>
      <c r="D227" s="4" t="s">
        <v>2858</v>
      </c>
    </row>
    <row r="228" spans="2:4">
      <c r="B228" s="4" t="s">
        <v>2669</v>
      </c>
      <c r="C228" s="73" t="s">
        <v>2840</v>
      </c>
      <c r="D228" s="4" t="s">
        <v>2859</v>
      </c>
    </row>
    <row r="230" spans="2:4">
      <c r="B230" s="4" t="s">
        <v>83</v>
      </c>
      <c r="C230" s="73" t="s">
        <v>2692</v>
      </c>
      <c r="D230" s="4" t="s">
        <v>467</v>
      </c>
    </row>
    <row r="231" spans="2:4">
      <c r="B231" s="4" t="s">
        <v>2819</v>
      </c>
      <c r="C231" s="73" t="s">
        <v>2860</v>
      </c>
      <c r="D231" s="4" t="s">
        <v>2861</v>
      </c>
    </row>
    <row r="232" spans="2:4">
      <c r="B232" s="4" t="s">
        <v>2819</v>
      </c>
      <c r="C232" s="73" t="s">
        <v>2862</v>
      </c>
      <c r="D232" s="4" t="s">
        <v>2863</v>
      </c>
    </row>
    <row r="233" spans="2:4">
      <c r="B233" s="4" t="s">
        <v>2824</v>
      </c>
      <c r="C233" s="73" t="s">
        <v>2864</v>
      </c>
      <c r="D233" s="4" t="s">
        <v>2865</v>
      </c>
    </row>
    <row r="234" spans="2:4">
      <c r="B234" s="4" t="s">
        <v>2824</v>
      </c>
      <c r="C234" s="73" t="s">
        <v>2866</v>
      </c>
      <c r="D234" s="4" t="s">
        <v>2867</v>
      </c>
    </row>
    <row r="236" spans="2:4">
      <c r="B236" s="4" t="s">
        <v>83</v>
      </c>
      <c r="C236" s="73" t="s">
        <v>2692</v>
      </c>
      <c r="D236" s="4" t="s">
        <v>467</v>
      </c>
    </row>
    <row r="237" spans="2:4">
      <c r="B237" s="4" t="s">
        <v>2829</v>
      </c>
      <c r="C237" s="73" t="s">
        <v>2851</v>
      </c>
      <c r="D237" s="4" t="s">
        <v>2868</v>
      </c>
    </row>
    <row r="238" spans="2:4">
      <c r="B238" s="4" t="s">
        <v>2829</v>
      </c>
      <c r="C238" s="73" t="s">
        <v>2869</v>
      </c>
      <c r="D238" s="4" t="s">
        <v>2870</v>
      </c>
    </row>
    <row r="239" spans="2:4">
      <c r="B239" s="4" t="s">
        <v>2829</v>
      </c>
      <c r="C239" s="73" t="s">
        <v>2871</v>
      </c>
      <c r="D239" s="4" t="s">
        <v>2872</v>
      </c>
    </row>
    <row r="240" spans="2:4">
      <c r="B240" s="4" t="s">
        <v>2829</v>
      </c>
      <c r="C240" s="73" t="s">
        <v>2873</v>
      </c>
      <c r="D240" s="4" t="s">
        <v>2874</v>
      </c>
    </row>
    <row r="241" spans="2:4">
      <c r="B241" s="4" t="s">
        <v>2793</v>
      </c>
      <c r="C241" s="73" t="s">
        <v>2875</v>
      </c>
      <c r="D241" s="4" t="s">
        <v>2876</v>
      </c>
    </row>
    <row r="242" spans="2:4">
      <c r="B242" s="4" t="s">
        <v>2793</v>
      </c>
      <c r="C242" s="73" t="s">
        <v>2877</v>
      </c>
      <c r="D242" s="4" t="s">
        <v>2878</v>
      </c>
    </row>
    <row r="244" spans="2:4">
      <c r="B244" s="11" t="s">
        <v>3008</v>
      </c>
      <c r="C244" s="75"/>
      <c r="D244" s="11"/>
    </row>
    <row r="245" spans="2:4">
      <c r="B245" s="53" t="s">
        <v>302</v>
      </c>
      <c r="C245" s="76" t="s">
        <v>1114</v>
      </c>
      <c r="D245" s="53" t="s">
        <v>467</v>
      </c>
    </row>
    <row r="246" spans="2:4">
      <c r="B246" s="53" t="s">
        <v>2665</v>
      </c>
      <c r="C246" s="76" t="s">
        <v>2978</v>
      </c>
      <c r="D246" s="53" t="s">
        <v>2979</v>
      </c>
    </row>
    <row r="247" spans="2:4">
      <c r="B247" s="53" t="s">
        <v>2665</v>
      </c>
      <c r="C247" s="76" t="s">
        <v>2980</v>
      </c>
      <c r="D247" s="53" t="s">
        <v>2981</v>
      </c>
    </row>
    <row r="248" spans="2:4">
      <c r="B248" s="53" t="s">
        <v>2665</v>
      </c>
      <c r="C248" s="76" t="s">
        <v>2982</v>
      </c>
      <c r="D248" s="53" t="s">
        <v>2983</v>
      </c>
    </row>
    <row r="249" spans="2:4">
      <c r="B249" s="53" t="s">
        <v>2666</v>
      </c>
      <c r="C249" s="76" t="s">
        <v>2984</v>
      </c>
      <c r="D249" s="53" t="s">
        <v>2985</v>
      </c>
    </row>
    <row r="250" spans="2:4">
      <c r="B250" s="53" t="s">
        <v>2666</v>
      </c>
      <c r="C250" s="76" t="s">
        <v>2986</v>
      </c>
      <c r="D250" s="53" t="s">
        <v>2987</v>
      </c>
    </row>
    <row r="251" spans="2:4">
      <c r="B251" s="53" t="s">
        <v>2666</v>
      </c>
      <c r="C251" s="76" t="s">
        <v>2988</v>
      </c>
      <c r="D251" s="53" t="s">
        <v>2989</v>
      </c>
    </row>
    <row r="252" spans="2:4">
      <c r="B252" s="53" t="s">
        <v>2667</v>
      </c>
      <c r="C252" s="76" t="s">
        <v>2990</v>
      </c>
      <c r="D252" s="53" t="s">
        <v>2991</v>
      </c>
    </row>
    <row r="253" spans="2:4">
      <c r="B253" s="53" t="s">
        <v>2667</v>
      </c>
      <c r="C253" s="76" t="s">
        <v>2992</v>
      </c>
      <c r="D253" s="53" t="s">
        <v>2993</v>
      </c>
    </row>
    <row r="254" spans="2:4">
      <c r="B254" s="53" t="s">
        <v>2667</v>
      </c>
      <c r="C254" s="76" t="s">
        <v>2994</v>
      </c>
      <c r="D254" s="53" t="s">
        <v>2995</v>
      </c>
    </row>
    <row r="255" spans="2:4">
      <c r="B255" s="53" t="s">
        <v>2668</v>
      </c>
      <c r="C255" s="76" t="s">
        <v>2996</v>
      </c>
      <c r="D255" s="53" t="s">
        <v>2997</v>
      </c>
    </row>
    <row r="256" spans="2:4">
      <c r="B256" s="53" t="s">
        <v>2668</v>
      </c>
      <c r="C256" s="76" t="s">
        <v>2998</v>
      </c>
      <c r="D256" s="53" t="s">
        <v>2999</v>
      </c>
    </row>
    <row r="257" spans="2:4">
      <c r="B257" s="53" t="s">
        <v>2668</v>
      </c>
      <c r="C257" s="76" t="s">
        <v>3000</v>
      </c>
      <c r="D257" s="53" t="s">
        <v>3001</v>
      </c>
    </row>
    <row r="258" spans="2:4">
      <c r="B258" s="53" t="s">
        <v>2669</v>
      </c>
      <c r="C258" s="76" t="s">
        <v>3002</v>
      </c>
      <c r="D258" s="53" t="s">
        <v>3003</v>
      </c>
    </row>
    <row r="259" spans="2:4">
      <c r="B259" s="53" t="s">
        <v>2669</v>
      </c>
      <c r="C259" s="76" t="s">
        <v>3004</v>
      </c>
      <c r="D259" s="53" t="s">
        <v>3005</v>
      </c>
    </row>
    <row r="260" spans="2:4">
      <c r="B260" s="53" t="s">
        <v>2669</v>
      </c>
      <c r="C260" s="76" t="s">
        <v>3006</v>
      </c>
      <c r="D260" s="53" t="s">
        <v>3007</v>
      </c>
    </row>
    <row r="261" spans="2:4">
      <c r="B261" s="11"/>
      <c r="C261" s="75"/>
      <c r="D261" s="11"/>
    </row>
    <row r="262" spans="2:4">
      <c r="B262" s="11"/>
      <c r="C262" s="75"/>
      <c r="D262" s="11"/>
    </row>
    <row r="263" spans="2:4">
      <c r="B263" s="53" t="s">
        <v>83</v>
      </c>
      <c r="C263" s="76" t="s">
        <v>2368</v>
      </c>
      <c r="D263" s="53" t="s">
        <v>467</v>
      </c>
    </row>
    <row r="264" spans="2:4">
      <c r="B264" s="53" t="s">
        <v>3009</v>
      </c>
      <c r="C264" s="76" t="s">
        <v>3010</v>
      </c>
      <c r="D264" s="53" t="s">
        <v>3011</v>
      </c>
    </row>
    <row r="265" spans="2:4">
      <c r="B265" s="53" t="s">
        <v>3009</v>
      </c>
      <c r="C265" s="76" t="s">
        <v>3012</v>
      </c>
      <c r="D265" s="53" t="s">
        <v>3013</v>
      </c>
    </row>
    <row r="266" spans="2:4">
      <c r="B266" s="53" t="s">
        <v>3009</v>
      </c>
      <c r="C266" s="76" t="s">
        <v>3014</v>
      </c>
      <c r="D266" s="53" t="s">
        <v>3015</v>
      </c>
    </row>
    <row r="267" spans="2:4">
      <c r="B267" s="53" t="s">
        <v>3009</v>
      </c>
      <c r="C267" s="76" t="s">
        <v>3016</v>
      </c>
      <c r="D267" s="53" t="s">
        <v>3017</v>
      </c>
    </row>
    <row r="268" spans="2:4">
      <c r="B268" s="53"/>
      <c r="C268" s="76"/>
      <c r="D268" s="53"/>
    </row>
    <row r="269" spans="2:4">
      <c r="B269" s="53" t="s">
        <v>2829</v>
      </c>
      <c r="C269" s="76" t="s">
        <v>3018</v>
      </c>
      <c r="D269" s="53" t="s">
        <v>3019</v>
      </c>
    </row>
    <row r="270" spans="2:4">
      <c r="B270" s="53" t="s">
        <v>2829</v>
      </c>
      <c r="C270" s="76" t="s">
        <v>3020</v>
      </c>
      <c r="D270" s="53" t="s">
        <v>3021</v>
      </c>
    </row>
    <row r="271" spans="2:4">
      <c r="B271" s="53" t="s">
        <v>2829</v>
      </c>
      <c r="C271" s="76" t="s">
        <v>3022</v>
      </c>
      <c r="D271" s="53" t="s">
        <v>3023</v>
      </c>
    </row>
    <row r="272" spans="2:4">
      <c r="B272" s="53" t="s">
        <v>2829</v>
      </c>
      <c r="C272" s="76" t="s">
        <v>3024</v>
      </c>
      <c r="D272" s="53" t="s">
        <v>3025</v>
      </c>
    </row>
    <row r="273" spans="2:4">
      <c r="B273" s="53" t="s">
        <v>2829</v>
      </c>
      <c r="C273" s="76" t="s">
        <v>3026</v>
      </c>
      <c r="D273" s="53" t="s">
        <v>3027</v>
      </c>
    </row>
    <row r="276" spans="2:4">
      <c r="B276" t="s">
        <v>3028</v>
      </c>
    </row>
    <row r="277" spans="2:4">
      <c r="B277" s="4" t="s">
        <v>302</v>
      </c>
      <c r="C277" s="73" t="s">
        <v>1114</v>
      </c>
      <c r="D277" s="4" t="s">
        <v>467</v>
      </c>
    </row>
    <row r="278" spans="2:4">
      <c r="B278" s="4" t="s">
        <v>2665</v>
      </c>
      <c r="C278" s="73" t="s">
        <v>3029</v>
      </c>
      <c r="D278" s="4" t="s">
        <v>3030</v>
      </c>
    </row>
    <row r="279" spans="2:4">
      <c r="B279" s="4" t="s">
        <v>2665</v>
      </c>
      <c r="C279" s="73" t="s">
        <v>3031</v>
      </c>
      <c r="D279" s="4" t="s">
        <v>3032</v>
      </c>
    </row>
    <row r="280" spans="2:4">
      <c r="B280" s="4" t="s">
        <v>2665</v>
      </c>
      <c r="C280" s="73" t="s">
        <v>3033</v>
      </c>
      <c r="D280" s="4" t="s">
        <v>3034</v>
      </c>
    </row>
    <row r="281" spans="2:4">
      <c r="B281" s="4"/>
      <c r="C281" s="73"/>
      <c r="D281" s="4"/>
    </row>
    <row r="282" spans="2:4">
      <c r="B282" s="4" t="s">
        <v>2666</v>
      </c>
      <c r="C282" s="73" t="s">
        <v>3035</v>
      </c>
      <c r="D282" s="4" t="s">
        <v>3036</v>
      </c>
    </row>
    <row r="283" spans="2:4">
      <c r="B283" s="4" t="s">
        <v>2666</v>
      </c>
      <c r="C283" s="73" t="s">
        <v>3037</v>
      </c>
      <c r="D283" s="4" t="s">
        <v>3038</v>
      </c>
    </row>
    <row r="284" spans="2:4">
      <c r="B284" s="4" t="s">
        <v>2666</v>
      </c>
      <c r="C284" s="73" t="s">
        <v>3039</v>
      </c>
      <c r="D284" s="4" t="s">
        <v>3040</v>
      </c>
    </row>
    <row r="285" spans="2:4">
      <c r="B285" s="4"/>
      <c r="C285" s="73"/>
      <c r="D285" s="4"/>
    </row>
    <row r="286" spans="2:4">
      <c r="B286" s="4" t="s">
        <v>2667</v>
      </c>
      <c r="C286" s="73" t="s">
        <v>3041</v>
      </c>
      <c r="D286" s="4" t="s">
        <v>3042</v>
      </c>
    </row>
    <row r="287" spans="2:4">
      <c r="B287" s="4" t="s">
        <v>2667</v>
      </c>
      <c r="C287" s="73" t="s">
        <v>3043</v>
      </c>
      <c r="D287" s="4" t="s">
        <v>3044</v>
      </c>
    </row>
    <row r="288" spans="2:4">
      <c r="B288" s="4" t="s">
        <v>2667</v>
      </c>
      <c r="C288" s="73" t="s">
        <v>3045</v>
      </c>
      <c r="D288" s="4" t="s">
        <v>3046</v>
      </c>
    </row>
    <row r="289" spans="2:4">
      <c r="B289" s="4"/>
      <c r="C289" s="73"/>
      <c r="D289" s="4"/>
    </row>
    <row r="290" spans="2:4">
      <c r="B290" s="4" t="s">
        <v>2668</v>
      </c>
      <c r="C290" s="73" t="s">
        <v>3047</v>
      </c>
      <c r="D290" s="4" t="s">
        <v>3048</v>
      </c>
    </row>
    <row r="291" spans="2:4">
      <c r="B291" s="4" t="s">
        <v>2668</v>
      </c>
      <c r="C291" s="73" t="s">
        <v>3049</v>
      </c>
      <c r="D291" s="4" t="s">
        <v>3050</v>
      </c>
    </row>
    <row r="292" spans="2:4">
      <c r="B292" s="4" t="s">
        <v>2668</v>
      </c>
      <c r="C292" s="73" t="s">
        <v>3051</v>
      </c>
      <c r="D292" s="4" t="s">
        <v>3052</v>
      </c>
    </row>
    <row r="293" spans="2:4">
      <c r="B293" s="4"/>
      <c r="C293" s="73"/>
      <c r="D293" s="4"/>
    </row>
    <row r="294" spans="2:4">
      <c r="B294" s="4" t="s">
        <v>2669</v>
      </c>
      <c r="C294" s="73" t="s">
        <v>3053</v>
      </c>
      <c r="D294" s="4" t="s">
        <v>3054</v>
      </c>
    </row>
    <row r="295" spans="2:4">
      <c r="B295" s="4" t="s">
        <v>2669</v>
      </c>
      <c r="C295" s="73" t="s">
        <v>3055</v>
      </c>
      <c r="D295" s="4" t="s">
        <v>3056</v>
      </c>
    </row>
    <row r="296" spans="2:4">
      <c r="B296" s="4" t="s">
        <v>2669</v>
      </c>
      <c r="C296" s="73" t="s">
        <v>3057</v>
      </c>
      <c r="D296" s="4" t="s">
        <v>3058</v>
      </c>
    </row>
    <row r="299" spans="2:4">
      <c r="B299" s="4" t="s">
        <v>83</v>
      </c>
      <c r="C299" s="73" t="s">
        <v>2368</v>
      </c>
      <c r="D299" s="4" t="s">
        <v>467</v>
      </c>
    </row>
    <row r="300" spans="2:4">
      <c r="B300" s="4" t="s">
        <v>3009</v>
      </c>
      <c r="C300" s="73" t="s">
        <v>3059</v>
      </c>
      <c r="D300" s="4" t="s">
        <v>3060</v>
      </c>
    </row>
    <row r="301" spans="2:4">
      <c r="B301" s="4" t="s">
        <v>3009</v>
      </c>
      <c r="C301" s="73" t="s">
        <v>3061</v>
      </c>
      <c r="D301" s="4" t="s">
        <v>3062</v>
      </c>
    </row>
    <row r="302" spans="2:4">
      <c r="B302" s="4" t="s">
        <v>3009</v>
      </c>
      <c r="C302" s="73" t="s">
        <v>3033</v>
      </c>
      <c r="D302" s="4" t="s">
        <v>3063</v>
      </c>
    </row>
    <row r="303" spans="2:4">
      <c r="B303" s="4" t="s">
        <v>3009</v>
      </c>
      <c r="C303" s="73" t="s">
        <v>3064</v>
      </c>
      <c r="D303" s="4" t="s">
        <v>3065</v>
      </c>
    </row>
    <row r="304" spans="2:4">
      <c r="B304" s="4"/>
      <c r="C304" s="73"/>
      <c r="D304" s="4"/>
    </row>
    <row r="305" spans="2:4">
      <c r="B305" s="4" t="s">
        <v>2829</v>
      </c>
      <c r="C305" s="73" t="s">
        <v>3041</v>
      </c>
      <c r="D305" s="4" t="s">
        <v>3066</v>
      </c>
    </row>
    <row r="306" spans="2:4">
      <c r="B306" s="4" t="s">
        <v>2829</v>
      </c>
      <c r="C306" s="73" t="s">
        <v>3067</v>
      </c>
      <c r="D306" s="4" t="s">
        <v>3068</v>
      </c>
    </row>
    <row r="307" spans="2:4">
      <c r="B307" s="4" t="s">
        <v>2829</v>
      </c>
      <c r="C307" s="73" t="s">
        <v>3069</v>
      </c>
      <c r="D307" s="4" t="s">
        <v>3070</v>
      </c>
    </row>
    <row r="308" spans="2:4">
      <c r="B308" s="4" t="s">
        <v>2829</v>
      </c>
      <c r="C308" s="73" t="s">
        <v>3071</v>
      </c>
      <c r="D308" s="4" t="s">
        <v>3072</v>
      </c>
    </row>
    <row r="309" spans="2:4">
      <c r="B309" s="4" t="s">
        <v>2829</v>
      </c>
      <c r="C309" s="73" t="s">
        <v>3073</v>
      </c>
      <c r="D309" s="4" t="s">
        <v>3074</v>
      </c>
    </row>
    <row r="311" spans="2:4">
      <c r="B311" t="s">
        <v>2148</v>
      </c>
    </row>
    <row r="312" spans="2:4">
      <c r="B312" s="4" t="s">
        <v>302</v>
      </c>
      <c r="C312" s="73" t="s">
        <v>1114</v>
      </c>
      <c r="D312" s="4" t="s">
        <v>467</v>
      </c>
    </row>
    <row r="313" spans="2:4">
      <c r="B313" s="4" t="s">
        <v>2665</v>
      </c>
      <c r="C313" s="73" t="s">
        <v>3075</v>
      </c>
      <c r="D313" s="4" t="s">
        <v>3076</v>
      </c>
    </row>
    <row r="314" spans="2:4">
      <c r="B314" s="4" t="s">
        <v>2665</v>
      </c>
      <c r="C314" s="73" t="s">
        <v>3077</v>
      </c>
      <c r="D314" s="4" t="s">
        <v>3078</v>
      </c>
    </row>
    <row r="315" spans="2:4">
      <c r="B315" s="4"/>
      <c r="C315" s="73"/>
      <c r="D315" s="4"/>
    </row>
    <row r="316" spans="2:4">
      <c r="B316" s="4" t="s">
        <v>2666</v>
      </c>
      <c r="C316" s="73" t="s">
        <v>3079</v>
      </c>
      <c r="D316" s="4" t="s">
        <v>3080</v>
      </c>
    </row>
    <row r="317" spans="2:4">
      <c r="B317" s="4" t="s">
        <v>2666</v>
      </c>
      <c r="C317" s="73" t="s">
        <v>3081</v>
      </c>
      <c r="D317" s="4" t="s">
        <v>3082</v>
      </c>
    </row>
    <row r="318" spans="2:4">
      <c r="B318" s="4"/>
      <c r="C318" s="73"/>
      <c r="D318" s="4"/>
    </row>
    <row r="319" spans="2:4">
      <c r="B319" s="4" t="s">
        <v>2667</v>
      </c>
      <c r="C319" s="73" t="s">
        <v>3083</v>
      </c>
      <c r="D319" s="4" t="s">
        <v>3084</v>
      </c>
    </row>
    <row r="320" spans="2:4">
      <c r="B320" s="4" t="s">
        <v>2667</v>
      </c>
      <c r="C320" s="73" t="s">
        <v>3085</v>
      </c>
      <c r="D320" s="4" t="s">
        <v>3086</v>
      </c>
    </row>
    <row r="321" spans="2:4">
      <c r="B321" s="4"/>
      <c r="C321" s="73"/>
      <c r="D321" s="4"/>
    </row>
    <row r="322" spans="2:4">
      <c r="B322" s="4" t="s">
        <v>2668</v>
      </c>
      <c r="C322" s="73" t="s">
        <v>3087</v>
      </c>
      <c r="D322" s="4" t="s">
        <v>3088</v>
      </c>
    </row>
    <row r="323" spans="2:4">
      <c r="B323" s="4" t="s">
        <v>2668</v>
      </c>
      <c r="C323" s="73" t="s">
        <v>3089</v>
      </c>
      <c r="D323" s="4" t="s">
        <v>3090</v>
      </c>
    </row>
    <row r="324" spans="2:4">
      <c r="B324" s="4"/>
      <c r="C324" s="73"/>
      <c r="D324" s="4"/>
    </row>
    <row r="325" spans="2:4">
      <c r="B325" s="4" t="s">
        <v>2669</v>
      </c>
      <c r="C325" s="73" t="s">
        <v>3091</v>
      </c>
      <c r="D325" s="4" t="s">
        <v>3092</v>
      </c>
    </row>
    <row r="326" spans="2:4">
      <c r="B326" s="4" t="s">
        <v>2669</v>
      </c>
      <c r="C326" s="73" t="s">
        <v>3093</v>
      </c>
      <c r="D326" s="4" t="s">
        <v>3094</v>
      </c>
    </row>
    <row r="328" spans="2:4">
      <c r="B328" s="4" t="s">
        <v>83</v>
      </c>
      <c r="C328" s="73" t="s">
        <v>2368</v>
      </c>
      <c r="D328" s="4" t="s">
        <v>467</v>
      </c>
    </row>
    <row r="329" spans="2:4">
      <c r="B329" s="4" t="s">
        <v>3009</v>
      </c>
      <c r="C329" s="73" t="s">
        <v>3095</v>
      </c>
      <c r="D329" s="4" t="s">
        <v>3096</v>
      </c>
    </row>
    <row r="330" spans="2:4">
      <c r="B330" s="4" t="s">
        <v>3009</v>
      </c>
      <c r="C330" s="73" t="s">
        <v>3097</v>
      </c>
      <c r="D330" s="4" t="s">
        <v>3098</v>
      </c>
    </row>
    <row r="331" spans="2:4">
      <c r="B331" s="4" t="s">
        <v>3009</v>
      </c>
      <c r="C331" s="73" t="s">
        <v>3099</v>
      </c>
      <c r="D331" s="4" t="s">
        <v>3100</v>
      </c>
    </row>
    <row r="332" spans="2:4">
      <c r="B332" s="4"/>
      <c r="C332" s="73"/>
      <c r="D332" s="4"/>
    </row>
    <row r="333" spans="2:4">
      <c r="B333" s="4" t="s">
        <v>2829</v>
      </c>
      <c r="C333" s="73" t="s">
        <v>3101</v>
      </c>
      <c r="D333" s="4" t="s">
        <v>3102</v>
      </c>
    </row>
    <row r="334" spans="2:4">
      <c r="B334" s="4" t="s">
        <v>2829</v>
      </c>
      <c r="C334" s="73" t="s">
        <v>3103</v>
      </c>
      <c r="D334" s="4" t="s">
        <v>3104</v>
      </c>
    </row>
    <row r="335" spans="2:4">
      <c r="B335" s="4" t="s">
        <v>2829</v>
      </c>
      <c r="C335" s="73" t="s">
        <v>3105</v>
      </c>
      <c r="D335" s="4" t="s">
        <v>3106</v>
      </c>
    </row>
    <row r="336" spans="2:4">
      <c r="B336" s="4" t="s">
        <v>2829</v>
      </c>
      <c r="C336" s="73" t="s">
        <v>3107</v>
      </c>
      <c r="D336" s="4" t="s">
        <v>3108</v>
      </c>
    </row>
    <row r="337" spans="2:4">
      <c r="B337" s="4" t="s">
        <v>2829</v>
      </c>
      <c r="C337" s="73" t="s">
        <v>3109</v>
      </c>
      <c r="D337" s="4" t="s">
        <v>3110</v>
      </c>
    </row>
    <row r="339" spans="2:4">
      <c r="B339" t="s">
        <v>4084</v>
      </c>
    </row>
    <row r="340" spans="2:4">
      <c r="B340" s="4" t="s">
        <v>302</v>
      </c>
      <c r="C340" s="73" t="s">
        <v>1114</v>
      </c>
      <c r="D340" s="4" t="s">
        <v>467</v>
      </c>
    </row>
    <row r="341" spans="2:4">
      <c r="B341" s="4" t="s">
        <v>2665</v>
      </c>
      <c r="C341" s="73" t="s">
        <v>3111</v>
      </c>
      <c r="D341" s="4" t="s">
        <v>3112</v>
      </c>
    </row>
    <row r="342" spans="2:4">
      <c r="B342" s="4" t="s">
        <v>2665</v>
      </c>
      <c r="C342" s="73" t="s">
        <v>3113</v>
      </c>
      <c r="D342" s="4" t="s">
        <v>3114</v>
      </c>
    </row>
    <row r="343" spans="2:4">
      <c r="B343" s="4" t="s">
        <v>2665</v>
      </c>
      <c r="C343" s="73" t="s">
        <v>3115</v>
      </c>
      <c r="D343" s="4" t="s">
        <v>3116</v>
      </c>
    </row>
    <row r="344" spans="2:4">
      <c r="B344" s="4"/>
      <c r="C344" s="73"/>
      <c r="D344" s="4"/>
    </row>
    <row r="345" spans="2:4">
      <c r="B345" s="4" t="s">
        <v>2666</v>
      </c>
      <c r="C345" s="73" t="s">
        <v>3117</v>
      </c>
      <c r="D345" s="4" t="s">
        <v>3118</v>
      </c>
    </row>
    <row r="346" spans="2:4">
      <c r="B346" s="4" t="s">
        <v>2666</v>
      </c>
      <c r="C346" s="73" t="s">
        <v>3119</v>
      </c>
      <c r="D346" s="4" t="s">
        <v>3120</v>
      </c>
    </row>
    <row r="347" spans="2:4">
      <c r="B347" s="4" t="s">
        <v>2666</v>
      </c>
      <c r="C347" s="73" t="s">
        <v>3121</v>
      </c>
      <c r="D347" s="4" t="s">
        <v>3122</v>
      </c>
    </row>
    <row r="348" spans="2:4">
      <c r="B348" s="4"/>
      <c r="C348" s="73"/>
      <c r="D348" s="4"/>
    </row>
    <row r="349" spans="2:4">
      <c r="B349" s="4" t="s">
        <v>2667</v>
      </c>
      <c r="C349" s="73" t="s">
        <v>3123</v>
      </c>
      <c r="D349" s="4" t="s">
        <v>3124</v>
      </c>
    </row>
    <row r="350" spans="2:4">
      <c r="B350" s="4" t="s">
        <v>2667</v>
      </c>
      <c r="C350" s="73" t="s">
        <v>3125</v>
      </c>
      <c r="D350" s="4" t="s">
        <v>3126</v>
      </c>
    </row>
    <row r="351" spans="2:4">
      <c r="B351" s="4" t="s">
        <v>2667</v>
      </c>
      <c r="C351" s="73" t="s">
        <v>3127</v>
      </c>
      <c r="D351" s="4" t="s">
        <v>3128</v>
      </c>
    </row>
    <row r="352" spans="2:4">
      <c r="B352" s="4"/>
      <c r="C352" s="73"/>
      <c r="D352" s="4"/>
    </row>
    <row r="353" spans="2:4">
      <c r="B353" s="4" t="s">
        <v>2668</v>
      </c>
      <c r="C353" s="73" t="s">
        <v>3129</v>
      </c>
      <c r="D353" s="4" t="s">
        <v>3130</v>
      </c>
    </row>
    <row r="354" spans="2:4">
      <c r="B354" s="4" t="s">
        <v>2668</v>
      </c>
      <c r="C354" s="73" t="s">
        <v>3131</v>
      </c>
      <c r="D354" s="4" t="s">
        <v>3132</v>
      </c>
    </row>
    <row r="355" spans="2:4">
      <c r="B355" s="4" t="s">
        <v>2668</v>
      </c>
      <c r="C355" s="73" t="s">
        <v>3133</v>
      </c>
      <c r="D355" s="4" t="s">
        <v>3134</v>
      </c>
    </row>
    <row r="356" spans="2:4">
      <c r="B356" s="4"/>
      <c r="C356" s="73"/>
      <c r="D356" s="4"/>
    </row>
    <row r="357" spans="2:4">
      <c r="B357" s="4" t="s">
        <v>2669</v>
      </c>
      <c r="C357" s="73" t="s">
        <v>3135</v>
      </c>
      <c r="D357" s="4" t="s">
        <v>3136</v>
      </c>
    </row>
    <row r="358" spans="2:4">
      <c r="B358" s="4" t="s">
        <v>2669</v>
      </c>
      <c r="C358" s="73" t="s">
        <v>3137</v>
      </c>
      <c r="D358" s="4" t="s">
        <v>3138</v>
      </c>
    </row>
    <row r="359" spans="2:4">
      <c r="B359" s="4" t="s">
        <v>2669</v>
      </c>
      <c r="C359" s="73" t="s">
        <v>3139</v>
      </c>
      <c r="D359" s="4" t="s">
        <v>3140</v>
      </c>
    </row>
    <row r="362" spans="2:4">
      <c r="B362" s="4" t="s">
        <v>83</v>
      </c>
      <c r="C362" s="73" t="s">
        <v>2368</v>
      </c>
      <c r="D362" s="4" t="s">
        <v>467</v>
      </c>
    </row>
    <row r="363" spans="2:4">
      <c r="B363" s="4" t="s">
        <v>3009</v>
      </c>
      <c r="C363" s="73" t="s">
        <v>3141</v>
      </c>
      <c r="D363" s="4" t="s">
        <v>3142</v>
      </c>
    </row>
    <row r="364" spans="2:4">
      <c r="B364" s="4" t="s">
        <v>3009</v>
      </c>
      <c r="C364" s="73" t="s">
        <v>3143</v>
      </c>
      <c r="D364" s="4" t="s">
        <v>3144</v>
      </c>
    </row>
    <row r="365" spans="2:4">
      <c r="B365" s="4" t="s">
        <v>3009</v>
      </c>
      <c r="C365" s="73" t="s">
        <v>3145</v>
      </c>
      <c r="D365" s="4" t="s">
        <v>3146</v>
      </c>
    </row>
    <row r="366" spans="2:4">
      <c r="B366" s="4" t="s">
        <v>3009</v>
      </c>
      <c r="C366" s="73" t="s">
        <v>3147</v>
      </c>
      <c r="D366" s="4" t="s">
        <v>3148</v>
      </c>
    </row>
    <row r="367" spans="2:4">
      <c r="B367" s="4"/>
      <c r="C367" s="73"/>
      <c r="D367" s="4"/>
    </row>
    <row r="368" spans="2:4">
      <c r="B368" s="4" t="s">
        <v>2829</v>
      </c>
      <c r="C368" s="73" t="s">
        <v>3149</v>
      </c>
      <c r="D368" s="4" t="s">
        <v>3150</v>
      </c>
    </row>
    <row r="369" spans="2:4">
      <c r="B369" s="4" t="s">
        <v>2829</v>
      </c>
      <c r="C369" s="73" t="s">
        <v>3151</v>
      </c>
      <c r="D369" s="4" t="s">
        <v>3152</v>
      </c>
    </row>
    <row r="370" spans="2:4">
      <c r="B370" s="4" t="s">
        <v>2829</v>
      </c>
      <c r="C370" s="73" t="s">
        <v>3153</v>
      </c>
      <c r="D370" s="4" t="s">
        <v>3154</v>
      </c>
    </row>
    <row r="371" spans="2:4">
      <c r="B371" s="4" t="s">
        <v>2829</v>
      </c>
      <c r="C371" s="73" t="s">
        <v>3155</v>
      </c>
      <c r="D371" s="4" t="s">
        <v>3156</v>
      </c>
    </row>
    <row r="372" spans="2:4">
      <c r="B372" s="4" t="s">
        <v>2829</v>
      </c>
      <c r="C372" s="73" t="s">
        <v>3157</v>
      </c>
      <c r="D372" s="4" t="s">
        <v>3158</v>
      </c>
    </row>
    <row r="373" spans="2:4">
      <c r="B373" s="4" t="s">
        <v>2829</v>
      </c>
      <c r="C373" s="73" t="s">
        <v>3159</v>
      </c>
      <c r="D373" s="4" t="s">
        <v>3160</v>
      </c>
    </row>
    <row r="375" spans="2:4">
      <c r="B375" s="11" t="s">
        <v>3181</v>
      </c>
      <c r="C375" s="75"/>
      <c r="D375" s="11"/>
    </row>
    <row r="376" spans="2:4">
      <c r="B376" s="53" t="s">
        <v>302</v>
      </c>
      <c r="C376" s="76" t="s">
        <v>1114</v>
      </c>
      <c r="D376" s="53" t="s">
        <v>467</v>
      </c>
    </row>
    <row r="377" spans="2:4">
      <c r="B377" s="53" t="s">
        <v>2665</v>
      </c>
      <c r="C377" s="76" t="s">
        <v>3161</v>
      </c>
      <c r="D377" s="53" t="s">
        <v>3162</v>
      </c>
    </row>
    <row r="378" spans="2:4">
      <c r="B378" s="53" t="s">
        <v>2665</v>
      </c>
      <c r="C378" s="76" t="s">
        <v>3163</v>
      </c>
      <c r="D378" s="53" t="s">
        <v>3164</v>
      </c>
    </row>
    <row r="379" spans="2:4">
      <c r="B379" s="53" t="s">
        <v>2666</v>
      </c>
      <c r="C379" s="76" t="s">
        <v>3165</v>
      </c>
      <c r="D379" s="53" t="s">
        <v>3166</v>
      </c>
    </row>
    <row r="380" spans="2:4">
      <c r="B380" s="53" t="s">
        <v>2666</v>
      </c>
      <c r="C380" s="76" t="s">
        <v>3167</v>
      </c>
      <c r="D380" s="53" t="s">
        <v>3168</v>
      </c>
    </row>
    <row r="381" spans="2:4">
      <c r="B381" s="53" t="s">
        <v>2667</v>
      </c>
      <c r="C381" s="76" t="s">
        <v>3169</v>
      </c>
      <c r="D381" s="53" t="s">
        <v>3170</v>
      </c>
    </row>
    <row r="382" spans="2:4">
      <c r="B382" s="53" t="s">
        <v>2667</v>
      </c>
      <c r="C382" s="76" t="s">
        <v>3171</v>
      </c>
      <c r="D382" s="53" t="s">
        <v>3172</v>
      </c>
    </row>
    <row r="383" spans="2:4">
      <c r="B383" s="53" t="s">
        <v>2668</v>
      </c>
      <c r="C383" s="76" t="s">
        <v>3173</v>
      </c>
      <c r="D383" s="53" t="s">
        <v>3174</v>
      </c>
    </row>
    <row r="384" spans="2:4">
      <c r="B384" s="53" t="s">
        <v>2668</v>
      </c>
      <c r="C384" s="76" t="s">
        <v>3175</v>
      </c>
      <c r="D384" s="53" t="s">
        <v>3176</v>
      </c>
    </row>
    <row r="385" spans="2:4">
      <c r="B385" s="53" t="s">
        <v>2669</v>
      </c>
      <c r="C385" s="76" t="s">
        <v>3177</v>
      </c>
      <c r="D385" s="53" t="s">
        <v>3178</v>
      </c>
    </row>
    <row r="386" spans="2:4">
      <c r="B386" s="53" t="s">
        <v>2669</v>
      </c>
      <c r="C386" s="76" t="s">
        <v>3179</v>
      </c>
      <c r="D386" s="53" t="s">
        <v>3180</v>
      </c>
    </row>
    <row r="387" spans="2:4">
      <c r="B387" s="11"/>
      <c r="C387" s="75"/>
      <c r="D387" s="11"/>
    </row>
    <row r="388" spans="2:4">
      <c r="B388" s="53" t="s">
        <v>83</v>
      </c>
      <c r="C388" s="76" t="s">
        <v>2368</v>
      </c>
      <c r="D388" s="53" t="s">
        <v>467</v>
      </c>
    </row>
    <row r="389" spans="2:4">
      <c r="B389" s="53" t="s">
        <v>3009</v>
      </c>
      <c r="C389" s="76" t="s">
        <v>3182</v>
      </c>
      <c r="D389" s="53" t="s">
        <v>3183</v>
      </c>
    </row>
    <row r="390" spans="2:4">
      <c r="B390" s="53" t="s">
        <v>3009</v>
      </c>
      <c r="C390" s="76" t="s">
        <v>3184</v>
      </c>
      <c r="D390" s="53" t="s">
        <v>3185</v>
      </c>
    </row>
    <row r="391" spans="2:4">
      <c r="B391" s="53" t="s">
        <v>3009</v>
      </c>
      <c r="C391" s="76" t="s">
        <v>3186</v>
      </c>
      <c r="D391" s="53" t="s">
        <v>3187</v>
      </c>
    </row>
    <row r="392" spans="2:4">
      <c r="B392" s="53" t="s">
        <v>3009</v>
      </c>
      <c r="C392" s="76" t="s">
        <v>3188</v>
      </c>
      <c r="D392" s="53" t="s">
        <v>3189</v>
      </c>
    </row>
    <row r="393" spans="2:4">
      <c r="B393" s="53"/>
      <c r="C393" s="76"/>
      <c r="D393" s="53"/>
    </row>
    <row r="394" spans="2:4">
      <c r="B394" s="53" t="s">
        <v>2829</v>
      </c>
      <c r="C394" s="76" t="s">
        <v>3190</v>
      </c>
      <c r="D394" s="53" t="s">
        <v>3191</v>
      </c>
    </row>
    <row r="395" spans="2:4">
      <c r="B395" s="53" t="s">
        <v>2829</v>
      </c>
      <c r="C395" s="76" t="s">
        <v>3192</v>
      </c>
      <c r="D395" s="53" t="s">
        <v>3193</v>
      </c>
    </row>
    <row r="396" spans="2:4">
      <c r="B396" s="53" t="s">
        <v>2829</v>
      </c>
      <c r="C396" s="76" t="s">
        <v>3194</v>
      </c>
      <c r="D396" s="53" t="s">
        <v>3195</v>
      </c>
    </row>
    <row r="397" spans="2:4">
      <c r="B397" s="53" t="s">
        <v>2829</v>
      </c>
      <c r="C397" s="76" t="s">
        <v>3196</v>
      </c>
      <c r="D397" s="53" t="s">
        <v>3197</v>
      </c>
    </row>
    <row r="398" spans="2:4">
      <c r="B398" s="53" t="s">
        <v>2829</v>
      </c>
      <c r="C398" s="76" t="s">
        <v>3198</v>
      </c>
      <c r="D398" s="53" t="s">
        <v>3199</v>
      </c>
    </row>
    <row r="400" spans="2:4">
      <c r="B400" t="s">
        <v>3200</v>
      </c>
    </row>
    <row r="401" spans="2:4">
      <c r="B401" s="4" t="s">
        <v>302</v>
      </c>
      <c r="C401" s="73" t="s">
        <v>1114</v>
      </c>
      <c r="D401" s="4" t="s">
        <v>467</v>
      </c>
    </row>
    <row r="402" spans="2:4">
      <c r="B402" s="4" t="s">
        <v>2665</v>
      </c>
      <c r="C402" s="73" t="s">
        <v>3201</v>
      </c>
      <c r="D402" s="4" t="s">
        <v>3202</v>
      </c>
    </row>
    <row r="403" spans="2:4">
      <c r="B403" s="4" t="s">
        <v>2665</v>
      </c>
      <c r="C403" s="73" t="s">
        <v>3203</v>
      </c>
      <c r="D403" s="4" t="s">
        <v>3204</v>
      </c>
    </row>
    <row r="404" spans="2:4">
      <c r="B404" s="4"/>
      <c r="C404" s="73"/>
      <c r="D404" s="4"/>
    </row>
    <row r="405" spans="2:4">
      <c r="B405" s="4" t="s">
        <v>2666</v>
      </c>
      <c r="C405" s="73" t="s">
        <v>3205</v>
      </c>
      <c r="D405" s="4" t="s">
        <v>3206</v>
      </c>
    </row>
    <row r="406" spans="2:4">
      <c r="B406" s="4" t="s">
        <v>2666</v>
      </c>
      <c r="C406" s="73" t="s">
        <v>3207</v>
      </c>
      <c r="D406" s="4" t="s">
        <v>3208</v>
      </c>
    </row>
    <row r="407" spans="2:4">
      <c r="B407" s="4"/>
      <c r="C407" s="73"/>
      <c r="D407" s="4"/>
    </row>
    <row r="408" spans="2:4">
      <c r="B408" s="4" t="s">
        <v>2667</v>
      </c>
      <c r="C408" s="73" t="s">
        <v>3209</v>
      </c>
      <c r="D408" s="4" t="s">
        <v>3210</v>
      </c>
    </row>
    <row r="409" spans="2:4">
      <c r="B409" s="4" t="s">
        <v>2667</v>
      </c>
      <c r="C409" s="73" t="s">
        <v>3211</v>
      </c>
      <c r="D409" s="4" t="s">
        <v>3212</v>
      </c>
    </row>
    <row r="410" spans="2:4">
      <c r="B410" s="4"/>
      <c r="C410" s="73"/>
      <c r="D410" s="4"/>
    </row>
    <row r="411" spans="2:4">
      <c r="B411" s="4" t="s">
        <v>2668</v>
      </c>
      <c r="C411" s="73" t="s">
        <v>3213</v>
      </c>
      <c r="D411" s="4" t="s">
        <v>3214</v>
      </c>
    </row>
    <row r="412" spans="2:4">
      <c r="B412" s="4" t="s">
        <v>2668</v>
      </c>
      <c r="C412" s="73" t="s">
        <v>3215</v>
      </c>
      <c r="D412" s="4" t="s">
        <v>3216</v>
      </c>
    </row>
    <row r="413" spans="2:4">
      <c r="B413" s="4"/>
      <c r="C413" s="73"/>
      <c r="D413" s="4"/>
    </row>
    <row r="414" spans="2:4">
      <c r="B414" s="4" t="s">
        <v>2669</v>
      </c>
      <c r="C414" s="73" t="s">
        <v>3217</v>
      </c>
      <c r="D414" s="4" t="s">
        <v>3218</v>
      </c>
    </row>
    <row r="415" spans="2:4">
      <c r="B415" s="4" t="s">
        <v>2669</v>
      </c>
      <c r="C415" s="73" t="s">
        <v>3219</v>
      </c>
      <c r="D415" s="4" t="s">
        <v>3220</v>
      </c>
    </row>
    <row r="417" spans="2:4">
      <c r="B417" s="4" t="s">
        <v>83</v>
      </c>
      <c r="C417" s="73" t="s">
        <v>2368</v>
      </c>
      <c r="D417" s="4" t="s">
        <v>467</v>
      </c>
    </row>
    <row r="418" spans="2:4">
      <c r="B418" s="4" t="s">
        <v>3009</v>
      </c>
      <c r="C418" s="73" t="s">
        <v>3221</v>
      </c>
      <c r="D418" s="4" t="s">
        <v>3222</v>
      </c>
    </row>
    <row r="419" spans="2:4">
      <c r="B419" s="4" t="s">
        <v>3009</v>
      </c>
      <c r="C419" s="73" t="s">
        <v>3203</v>
      </c>
      <c r="D419" s="4" t="s">
        <v>3223</v>
      </c>
    </row>
    <row r="420" spans="2:4">
      <c r="B420" s="4" t="s">
        <v>3009</v>
      </c>
      <c r="C420" s="73" t="s">
        <v>3224</v>
      </c>
      <c r="D420" s="4" t="s">
        <v>3225</v>
      </c>
    </row>
    <row r="421" spans="2:4">
      <c r="B421" s="4" t="s">
        <v>3009</v>
      </c>
      <c r="C421" s="73" t="s">
        <v>3226</v>
      </c>
      <c r="D421" s="4" t="s">
        <v>3227</v>
      </c>
    </row>
    <row r="422" spans="2:4">
      <c r="B422" s="4"/>
      <c r="C422" s="73"/>
      <c r="D422" s="4"/>
    </row>
    <row r="423" spans="2:4">
      <c r="B423" s="4" t="s">
        <v>2829</v>
      </c>
      <c r="C423" s="73" t="s">
        <v>3228</v>
      </c>
      <c r="D423" s="4" t="s">
        <v>3229</v>
      </c>
    </row>
    <row r="424" spans="2:4">
      <c r="B424" s="4" t="s">
        <v>2829</v>
      </c>
      <c r="C424" s="73" t="s">
        <v>3230</v>
      </c>
      <c r="D424" s="4" t="s">
        <v>3231</v>
      </c>
    </row>
    <row r="425" spans="2:4">
      <c r="B425" s="4" t="s">
        <v>2829</v>
      </c>
      <c r="C425" s="73" t="s">
        <v>3232</v>
      </c>
      <c r="D425" s="4" t="s">
        <v>3233</v>
      </c>
    </row>
    <row r="426" spans="2:4">
      <c r="B426" s="4" t="s">
        <v>2829</v>
      </c>
      <c r="C426" s="73" t="s">
        <v>3234</v>
      </c>
      <c r="D426" s="4" t="s">
        <v>3235</v>
      </c>
    </row>
    <row r="427" spans="2:4">
      <c r="B427" s="4" t="s">
        <v>2829</v>
      </c>
      <c r="C427" s="73" t="s">
        <v>3236</v>
      </c>
      <c r="D427" s="4" t="s">
        <v>3237</v>
      </c>
    </row>
    <row r="430" spans="2:4">
      <c r="B430" t="s">
        <v>3258</v>
      </c>
    </row>
    <row r="431" spans="2:4">
      <c r="B431" s="4" t="s">
        <v>302</v>
      </c>
      <c r="C431" s="73" t="s">
        <v>1114</v>
      </c>
      <c r="D431" s="4" t="s">
        <v>467</v>
      </c>
    </row>
    <row r="432" spans="2:4">
      <c r="B432" s="4" t="s">
        <v>2665</v>
      </c>
      <c r="C432" s="73" t="s">
        <v>3238</v>
      </c>
      <c r="D432" s="4" t="s">
        <v>3239</v>
      </c>
    </row>
    <row r="433" spans="2:4">
      <c r="B433" s="4" t="s">
        <v>2665</v>
      </c>
      <c r="C433" s="73" t="s">
        <v>3240</v>
      </c>
      <c r="D433" s="4" t="s">
        <v>3241</v>
      </c>
    </row>
    <row r="434" spans="2:4">
      <c r="B434" s="4" t="s">
        <v>2666</v>
      </c>
      <c r="C434" s="73" t="s">
        <v>3242</v>
      </c>
      <c r="D434" s="4" t="s">
        <v>3243</v>
      </c>
    </row>
    <row r="435" spans="2:4">
      <c r="B435" s="4" t="s">
        <v>2666</v>
      </c>
      <c r="C435" s="73" t="s">
        <v>3244</v>
      </c>
      <c r="D435" s="4" t="s">
        <v>3245</v>
      </c>
    </row>
    <row r="436" spans="2:4">
      <c r="B436" s="4" t="s">
        <v>2667</v>
      </c>
      <c r="C436" s="73" t="s">
        <v>3246</v>
      </c>
      <c r="D436" s="4" t="s">
        <v>3247</v>
      </c>
    </row>
    <row r="437" spans="2:4">
      <c r="B437" s="4" t="s">
        <v>2667</v>
      </c>
      <c r="C437" s="73" t="s">
        <v>3248</v>
      </c>
      <c r="D437" s="4" t="s">
        <v>3249</v>
      </c>
    </row>
    <row r="438" spans="2:4">
      <c r="B438" s="4" t="s">
        <v>2668</v>
      </c>
      <c r="C438" s="73" t="s">
        <v>3250</v>
      </c>
      <c r="D438" s="4" t="s">
        <v>3251</v>
      </c>
    </row>
    <row r="439" spans="2:4">
      <c r="B439" s="4" t="s">
        <v>2668</v>
      </c>
      <c r="C439" s="73" t="s">
        <v>3252</v>
      </c>
      <c r="D439" s="4" t="s">
        <v>3253</v>
      </c>
    </row>
    <row r="440" spans="2:4">
      <c r="B440" s="4" t="s">
        <v>2669</v>
      </c>
      <c r="C440" s="73" t="s">
        <v>3254</v>
      </c>
      <c r="D440" s="4" t="s">
        <v>3255</v>
      </c>
    </row>
    <row r="441" spans="2:4">
      <c r="B441" s="4" t="s">
        <v>2669</v>
      </c>
      <c r="C441" s="73" t="s">
        <v>3256</v>
      </c>
      <c r="D441" s="4" t="s">
        <v>3257</v>
      </c>
    </row>
    <row r="443" spans="2:4">
      <c r="B443" s="4" t="s">
        <v>83</v>
      </c>
      <c r="C443" s="73" t="s">
        <v>2368</v>
      </c>
      <c r="D443" s="4" t="s">
        <v>467</v>
      </c>
    </row>
    <row r="444" spans="2:4">
      <c r="B444" s="4" t="s">
        <v>3009</v>
      </c>
      <c r="C444" s="73" t="s">
        <v>3259</v>
      </c>
      <c r="D444" s="4" t="s">
        <v>3260</v>
      </c>
    </row>
    <row r="445" spans="2:4">
      <c r="B445" s="4" t="s">
        <v>3009</v>
      </c>
      <c r="C445" s="73" t="s">
        <v>3261</v>
      </c>
      <c r="D445" s="4" t="s">
        <v>3262</v>
      </c>
    </row>
    <row r="446" spans="2:4">
      <c r="B446" s="4" t="s">
        <v>3009</v>
      </c>
      <c r="C446" s="73" t="s">
        <v>3263</v>
      </c>
      <c r="D446" s="4" t="s">
        <v>3264</v>
      </c>
    </row>
    <row r="447" spans="2:4">
      <c r="B447" s="4" t="s">
        <v>3009</v>
      </c>
      <c r="C447" s="73" t="s">
        <v>3265</v>
      </c>
      <c r="D447" s="4" t="s">
        <v>3266</v>
      </c>
    </row>
    <row r="448" spans="2:4">
      <c r="B448" s="4"/>
      <c r="C448" s="73"/>
      <c r="D448" s="4"/>
    </row>
    <row r="449" spans="2:4">
      <c r="B449" s="4" t="s">
        <v>2829</v>
      </c>
      <c r="C449" s="73" t="s">
        <v>3267</v>
      </c>
      <c r="D449" s="4" t="s">
        <v>3268</v>
      </c>
    </row>
    <row r="450" spans="2:4">
      <c r="B450" s="4" t="s">
        <v>2829</v>
      </c>
      <c r="C450" s="73" t="s">
        <v>3269</v>
      </c>
      <c r="D450" s="4" t="s">
        <v>3270</v>
      </c>
    </row>
    <row r="451" spans="2:4">
      <c r="B451" s="4" t="s">
        <v>2829</v>
      </c>
      <c r="C451" s="73" t="s">
        <v>3271</v>
      </c>
      <c r="D451" s="4" t="s">
        <v>3272</v>
      </c>
    </row>
    <row r="452" spans="2:4">
      <c r="B452" s="4" t="s">
        <v>2829</v>
      </c>
      <c r="C452" s="73" t="s">
        <v>3273</v>
      </c>
      <c r="D452" s="4" t="s">
        <v>3274</v>
      </c>
    </row>
    <row r="453" spans="2:4">
      <c r="B453" s="4" t="s">
        <v>2829</v>
      </c>
      <c r="C453" s="73" t="s">
        <v>3275</v>
      </c>
      <c r="D453" s="4" t="s">
        <v>3276</v>
      </c>
    </row>
    <row r="454" spans="2:4">
      <c r="B454" s="4" t="s">
        <v>2829</v>
      </c>
      <c r="C454" s="73" t="s">
        <v>3277</v>
      </c>
      <c r="D454" s="4" t="s">
        <v>3278</v>
      </c>
    </row>
    <row r="457" spans="2:4">
      <c r="B457" t="s">
        <v>3279</v>
      </c>
    </row>
    <row r="458" spans="2:4">
      <c r="B458" s="4" t="s">
        <v>302</v>
      </c>
      <c r="C458" s="73" t="s">
        <v>1114</v>
      </c>
      <c r="D458" s="4" t="s">
        <v>467</v>
      </c>
    </row>
    <row r="459" spans="2:4">
      <c r="B459" s="4" t="s">
        <v>2665</v>
      </c>
      <c r="C459" s="73" t="s">
        <v>3280</v>
      </c>
      <c r="D459" s="4" t="s">
        <v>3281</v>
      </c>
    </row>
    <row r="460" spans="2:4">
      <c r="B460" s="4" t="s">
        <v>2665</v>
      </c>
      <c r="C460" s="73" t="s">
        <v>3282</v>
      </c>
      <c r="D460" s="4" t="s">
        <v>3283</v>
      </c>
    </row>
    <row r="461" spans="2:4">
      <c r="B461" s="4"/>
      <c r="C461" s="73"/>
      <c r="D461" s="4"/>
    </row>
    <row r="462" spans="2:4">
      <c r="B462" s="4" t="s">
        <v>2666</v>
      </c>
      <c r="C462" s="73" t="s">
        <v>3284</v>
      </c>
      <c r="D462" s="4" t="s">
        <v>3285</v>
      </c>
    </row>
    <row r="463" spans="2:4">
      <c r="B463" s="4" t="s">
        <v>2666</v>
      </c>
      <c r="C463" s="73" t="s">
        <v>3286</v>
      </c>
      <c r="D463" s="4" t="s">
        <v>3287</v>
      </c>
    </row>
    <row r="464" spans="2:4">
      <c r="B464" s="4"/>
      <c r="C464" s="73"/>
      <c r="D464" s="4"/>
    </row>
    <row r="465" spans="2:4">
      <c r="B465" s="4" t="s">
        <v>2667</v>
      </c>
      <c r="C465" s="73" t="s">
        <v>3288</v>
      </c>
      <c r="D465" s="4" t="s">
        <v>3289</v>
      </c>
    </row>
    <row r="466" spans="2:4">
      <c r="B466" s="4" t="s">
        <v>2667</v>
      </c>
      <c r="C466" s="73" t="s">
        <v>3290</v>
      </c>
      <c r="D466" s="4" t="s">
        <v>3291</v>
      </c>
    </row>
    <row r="467" spans="2:4">
      <c r="B467" s="4"/>
      <c r="C467" s="73"/>
      <c r="D467" s="4"/>
    </row>
    <row r="468" spans="2:4">
      <c r="B468" s="4" t="s">
        <v>2668</v>
      </c>
      <c r="C468" s="73" t="s">
        <v>3292</v>
      </c>
      <c r="D468" s="4" t="s">
        <v>3293</v>
      </c>
    </row>
    <row r="469" spans="2:4">
      <c r="B469" s="4" t="s">
        <v>2668</v>
      </c>
      <c r="C469" s="73" t="s">
        <v>3294</v>
      </c>
      <c r="D469" s="4" t="s">
        <v>3295</v>
      </c>
    </row>
    <row r="470" spans="2:4">
      <c r="B470" s="4"/>
      <c r="C470" s="73"/>
      <c r="D470" s="4"/>
    </row>
    <row r="471" spans="2:4">
      <c r="B471" s="4" t="s">
        <v>2669</v>
      </c>
      <c r="C471" s="73" t="s">
        <v>3296</v>
      </c>
      <c r="D471" s="4" t="s">
        <v>3297</v>
      </c>
    </row>
    <row r="472" spans="2:4">
      <c r="B472" s="4" t="s">
        <v>2669</v>
      </c>
      <c r="C472" s="73" t="s">
        <v>3298</v>
      </c>
      <c r="D472" s="4" t="s">
        <v>3299</v>
      </c>
    </row>
    <row r="475" spans="2:4">
      <c r="B475" s="53" t="s">
        <v>83</v>
      </c>
      <c r="C475" s="73" t="s">
        <v>2368</v>
      </c>
      <c r="D475" s="4" t="s">
        <v>467</v>
      </c>
    </row>
    <row r="476" spans="2:4">
      <c r="B476" s="4" t="s">
        <v>3009</v>
      </c>
      <c r="C476" s="73" t="s">
        <v>3300</v>
      </c>
      <c r="D476" s="4" t="s">
        <v>3301</v>
      </c>
    </row>
    <row r="477" spans="2:4">
      <c r="B477" s="4" t="s">
        <v>3009</v>
      </c>
      <c r="C477" s="73" t="s">
        <v>3302</v>
      </c>
      <c r="D477" s="4" t="s">
        <v>3303</v>
      </c>
    </row>
    <row r="478" spans="2:4">
      <c r="B478" s="4" t="s">
        <v>3009</v>
      </c>
      <c r="C478" s="73" t="s">
        <v>3282</v>
      </c>
      <c r="D478" s="4" t="s">
        <v>3304</v>
      </c>
    </row>
    <row r="479" spans="2:4">
      <c r="B479" s="4" t="s">
        <v>3009</v>
      </c>
      <c r="C479" s="73" t="s">
        <v>3305</v>
      </c>
      <c r="D479" s="4" t="s">
        <v>3306</v>
      </c>
    </row>
    <row r="480" spans="2:4">
      <c r="B480" s="4"/>
      <c r="C480" s="73"/>
      <c r="D480" s="4"/>
    </row>
    <row r="481" spans="2:4">
      <c r="B481" s="4" t="s">
        <v>2829</v>
      </c>
      <c r="C481" s="73" t="s">
        <v>3307</v>
      </c>
      <c r="D481" s="4" t="s">
        <v>3308</v>
      </c>
    </row>
    <row r="482" spans="2:4">
      <c r="B482" s="4" t="s">
        <v>2829</v>
      </c>
      <c r="C482" s="73" t="s">
        <v>3309</v>
      </c>
      <c r="D482" s="4" t="s">
        <v>3310</v>
      </c>
    </row>
    <row r="483" spans="2:4">
      <c r="B483" s="4" t="s">
        <v>2829</v>
      </c>
      <c r="C483" s="73" t="s">
        <v>3311</v>
      </c>
      <c r="D483" s="4" t="s">
        <v>3312</v>
      </c>
    </row>
    <row r="484" spans="2:4">
      <c r="B484" s="4" t="s">
        <v>2829</v>
      </c>
      <c r="C484" s="73" t="s">
        <v>3313</v>
      </c>
      <c r="D484" s="4" t="s">
        <v>3314</v>
      </c>
    </row>
    <row r="485" spans="2:4">
      <c r="B485" s="4" t="s">
        <v>2829</v>
      </c>
      <c r="C485" s="73" t="s">
        <v>3315</v>
      </c>
      <c r="D485" s="4" t="s">
        <v>3316</v>
      </c>
    </row>
    <row r="488" spans="2:4">
      <c r="B488" t="s">
        <v>3317</v>
      </c>
    </row>
    <row r="489" spans="2:4">
      <c r="B489" s="4" t="s">
        <v>302</v>
      </c>
      <c r="C489" s="73" t="s">
        <v>1114</v>
      </c>
      <c r="D489" s="4" t="s">
        <v>467</v>
      </c>
    </row>
    <row r="490" spans="2:4">
      <c r="B490" s="4" t="s">
        <v>2665</v>
      </c>
      <c r="C490" s="73" t="s">
        <v>3318</v>
      </c>
      <c r="D490" s="4" t="s">
        <v>3319</v>
      </c>
    </row>
    <row r="491" spans="2:4">
      <c r="B491" s="4" t="s">
        <v>2665</v>
      </c>
      <c r="C491" s="73" t="s">
        <v>3320</v>
      </c>
      <c r="D491" s="4" t="s">
        <v>3321</v>
      </c>
    </row>
    <row r="492" spans="2:4">
      <c r="B492" s="4"/>
      <c r="C492" s="73"/>
      <c r="D492" s="4"/>
    </row>
    <row r="493" spans="2:4">
      <c r="B493" s="4" t="s">
        <v>2666</v>
      </c>
      <c r="C493" s="73" t="s">
        <v>3322</v>
      </c>
      <c r="D493" s="4" t="s">
        <v>3323</v>
      </c>
    </row>
    <row r="494" spans="2:4">
      <c r="B494" s="4" t="s">
        <v>2666</v>
      </c>
      <c r="C494" s="73" t="s">
        <v>3324</v>
      </c>
      <c r="D494" s="4" t="s">
        <v>3325</v>
      </c>
    </row>
    <row r="495" spans="2:4">
      <c r="B495" s="4"/>
      <c r="C495" s="73"/>
      <c r="D495" s="4"/>
    </row>
    <row r="496" spans="2:4">
      <c r="B496" s="4" t="s">
        <v>2667</v>
      </c>
      <c r="C496" s="73" t="s">
        <v>3326</v>
      </c>
      <c r="D496" s="4" t="s">
        <v>3327</v>
      </c>
    </row>
    <row r="497" spans="2:4">
      <c r="B497" s="4" t="s">
        <v>2667</v>
      </c>
      <c r="C497" s="73" t="s">
        <v>3328</v>
      </c>
      <c r="D497" s="4" t="s">
        <v>3329</v>
      </c>
    </row>
    <row r="498" spans="2:4">
      <c r="B498" s="4"/>
      <c r="C498" s="73"/>
      <c r="D498" s="4"/>
    </row>
    <row r="499" spans="2:4">
      <c r="B499" s="4" t="s">
        <v>2668</v>
      </c>
      <c r="C499" s="73" t="s">
        <v>3330</v>
      </c>
      <c r="D499" s="4" t="s">
        <v>3331</v>
      </c>
    </row>
    <row r="500" spans="2:4">
      <c r="B500" s="4" t="s">
        <v>2668</v>
      </c>
      <c r="C500" s="73" t="s">
        <v>3332</v>
      </c>
      <c r="D500" s="4" t="s">
        <v>3333</v>
      </c>
    </row>
    <row r="501" spans="2:4">
      <c r="B501" s="4"/>
      <c r="C501" s="73"/>
      <c r="D501" s="4"/>
    </row>
    <row r="502" spans="2:4">
      <c r="B502" s="4" t="s">
        <v>2669</v>
      </c>
      <c r="C502" s="73" t="s">
        <v>3334</v>
      </c>
      <c r="D502" s="4" t="s">
        <v>3335</v>
      </c>
    </row>
    <row r="503" spans="2:4">
      <c r="B503" s="4" t="s">
        <v>2669</v>
      </c>
      <c r="C503" s="73" t="s">
        <v>3336</v>
      </c>
      <c r="D503" s="4" t="s">
        <v>3337</v>
      </c>
    </row>
    <row r="506" spans="2:4">
      <c r="B506" s="4" t="s">
        <v>83</v>
      </c>
      <c r="C506" s="73" t="s">
        <v>2368</v>
      </c>
      <c r="D506" s="4" t="s">
        <v>467</v>
      </c>
    </row>
    <row r="507" spans="2:4">
      <c r="B507" s="4" t="s">
        <v>3009</v>
      </c>
      <c r="C507" s="73" t="s">
        <v>3338</v>
      </c>
      <c r="D507" s="4" t="s">
        <v>3339</v>
      </c>
    </row>
    <row r="508" spans="2:4">
      <c r="B508" s="4" t="s">
        <v>3009</v>
      </c>
      <c r="C508" s="73" t="s">
        <v>3340</v>
      </c>
      <c r="D508" s="4" t="s">
        <v>3341</v>
      </c>
    </row>
    <row r="509" spans="2:4">
      <c r="B509" s="4" t="s">
        <v>3009</v>
      </c>
      <c r="C509" s="73" t="s">
        <v>3342</v>
      </c>
      <c r="D509" s="4" t="s">
        <v>3343</v>
      </c>
    </row>
    <row r="510" spans="2:4">
      <c r="B510" s="4" t="s">
        <v>3009</v>
      </c>
      <c r="C510" s="73" t="s">
        <v>3344</v>
      </c>
      <c r="D510" s="4" t="s">
        <v>3345</v>
      </c>
    </row>
    <row r="511" spans="2:4">
      <c r="B511" s="4"/>
      <c r="C511" s="73"/>
      <c r="D511" s="4"/>
    </row>
    <row r="512" spans="2:4">
      <c r="B512" s="4" t="s">
        <v>2829</v>
      </c>
      <c r="C512" s="73" t="s">
        <v>3346</v>
      </c>
      <c r="D512" s="4" t="s">
        <v>3347</v>
      </c>
    </row>
    <row r="513" spans="2:4">
      <c r="B513" s="4" t="s">
        <v>2829</v>
      </c>
      <c r="C513" s="73" t="s">
        <v>3348</v>
      </c>
      <c r="D513" s="4" t="s">
        <v>3349</v>
      </c>
    </row>
    <row r="514" spans="2:4">
      <c r="B514" s="4" t="s">
        <v>2829</v>
      </c>
      <c r="C514" s="73" t="s">
        <v>3350</v>
      </c>
      <c r="D514" s="4" t="s">
        <v>3351</v>
      </c>
    </row>
    <row r="515" spans="2:4">
      <c r="B515" s="4" t="s">
        <v>2829</v>
      </c>
      <c r="C515" s="73" t="s">
        <v>3332</v>
      </c>
      <c r="D515" s="4" t="s">
        <v>3352</v>
      </c>
    </row>
    <row r="516" spans="2:4">
      <c r="B516" s="4" t="s">
        <v>2829</v>
      </c>
      <c r="C516" s="73" t="s">
        <v>3353</v>
      </c>
      <c r="D516" s="4" t="s">
        <v>3354</v>
      </c>
    </row>
    <row r="519" spans="2:4">
      <c r="B519" t="s">
        <v>2516</v>
      </c>
    </row>
    <row r="520" spans="2:4">
      <c r="B520" s="4" t="s">
        <v>302</v>
      </c>
      <c r="C520" s="73" t="s">
        <v>1114</v>
      </c>
      <c r="D520" s="4" t="s">
        <v>467</v>
      </c>
    </row>
    <row r="521" spans="2:4">
      <c r="B521" s="4" t="s">
        <v>2665</v>
      </c>
      <c r="C521" s="73" t="s">
        <v>3355</v>
      </c>
      <c r="D521" s="4" t="s">
        <v>3356</v>
      </c>
    </row>
    <row r="522" spans="2:4">
      <c r="B522" s="4" t="s">
        <v>2665</v>
      </c>
      <c r="C522" s="73" t="s">
        <v>3357</v>
      </c>
      <c r="D522" s="4" t="s">
        <v>3358</v>
      </c>
    </row>
    <row r="523" spans="2:4">
      <c r="B523" s="4"/>
      <c r="C523" s="73"/>
      <c r="D523" s="4"/>
    </row>
    <row r="524" spans="2:4">
      <c r="B524" s="4" t="s">
        <v>2666</v>
      </c>
      <c r="C524" s="73" t="s">
        <v>3359</v>
      </c>
      <c r="D524" s="4" t="s">
        <v>3360</v>
      </c>
    </row>
    <row r="525" spans="2:4">
      <c r="B525" s="4" t="s">
        <v>2666</v>
      </c>
      <c r="C525" s="73" t="s">
        <v>3361</v>
      </c>
      <c r="D525" s="4" t="s">
        <v>3362</v>
      </c>
    </row>
    <row r="526" spans="2:4">
      <c r="B526" s="4"/>
      <c r="C526" s="73"/>
      <c r="D526" s="4"/>
    </row>
    <row r="527" spans="2:4">
      <c r="B527" s="4" t="s">
        <v>2667</v>
      </c>
      <c r="C527" s="73" t="s">
        <v>3363</v>
      </c>
      <c r="D527" s="4" t="s">
        <v>3364</v>
      </c>
    </row>
    <row r="528" spans="2:4">
      <c r="B528" s="4" t="s">
        <v>2667</v>
      </c>
      <c r="C528" s="73" t="s">
        <v>3365</v>
      </c>
      <c r="D528" s="4" t="s">
        <v>3366</v>
      </c>
    </row>
    <row r="529" spans="2:4">
      <c r="B529" s="4"/>
      <c r="C529" s="73"/>
      <c r="D529" s="4"/>
    </row>
    <row r="530" spans="2:4">
      <c r="B530" s="4" t="s">
        <v>2668</v>
      </c>
      <c r="C530" s="73" t="s">
        <v>3367</v>
      </c>
      <c r="D530" s="4" t="s">
        <v>3368</v>
      </c>
    </row>
    <row r="531" spans="2:4">
      <c r="B531" s="4" t="s">
        <v>2668</v>
      </c>
      <c r="C531" s="73" t="s">
        <v>3369</v>
      </c>
      <c r="D531" s="4" t="s">
        <v>3370</v>
      </c>
    </row>
    <row r="532" spans="2:4">
      <c r="B532" s="4"/>
      <c r="C532" s="73"/>
      <c r="D532" s="4"/>
    </row>
    <row r="533" spans="2:4">
      <c r="B533" s="4" t="s">
        <v>2669</v>
      </c>
      <c r="C533" s="73" t="s">
        <v>3371</v>
      </c>
      <c r="D533" s="4" t="s">
        <v>3372</v>
      </c>
    </row>
    <row r="534" spans="2:4">
      <c r="B534" s="4" t="s">
        <v>2669</v>
      </c>
      <c r="C534" s="73" t="s">
        <v>3373</v>
      </c>
      <c r="D534" s="4" t="s">
        <v>3374</v>
      </c>
    </row>
    <row r="537" spans="2:4">
      <c r="B537" s="4" t="s">
        <v>83</v>
      </c>
      <c r="C537" s="73" t="s">
        <v>2368</v>
      </c>
      <c r="D537" s="4" t="s">
        <v>467</v>
      </c>
    </row>
    <row r="538" spans="2:4">
      <c r="B538" s="4" t="s">
        <v>3009</v>
      </c>
      <c r="C538" s="73" t="s">
        <v>3375</v>
      </c>
      <c r="D538" s="4" t="s">
        <v>3376</v>
      </c>
    </row>
    <row r="539" spans="2:4">
      <c r="B539" s="4" t="s">
        <v>3009</v>
      </c>
      <c r="C539" s="73" t="s">
        <v>3377</v>
      </c>
      <c r="D539" s="4" t="s">
        <v>3378</v>
      </c>
    </row>
    <row r="540" spans="2:4">
      <c r="B540" s="4" t="s">
        <v>3009</v>
      </c>
      <c r="C540" s="73" t="s">
        <v>3379</v>
      </c>
      <c r="D540" s="4" t="s">
        <v>3380</v>
      </c>
    </row>
    <row r="541" spans="2:4">
      <c r="B541" s="4" t="s">
        <v>3009</v>
      </c>
      <c r="C541" s="73" t="s">
        <v>3381</v>
      </c>
      <c r="D541" s="4" t="s">
        <v>3382</v>
      </c>
    </row>
    <row r="542" spans="2:4">
      <c r="B542" s="4"/>
      <c r="C542" s="73"/>
      <c r="D542" s="4"/>
    </row>
    <row r="543" spans="2:4">
      <c r="B543" s="4" t="s">
        <v>2829</v>
      </c>
      <c r="C543" s="73" t="s">
        <v>3383</v>
      </c>
      <c r="D543" s="4" t="s">
        <v>3384</v>
      </c>
    </row>
    <row r="544" spans="2:4">
      <c r="B544" s="4" t="s">
        <v>2829</v>
      </c>
      <c r="C544" s="73" t="s">
        <v>3385</v>
      </c>
      <c r="D544" s="4" t="s">
        <v>3386</v>
      </c>
    </row>
    <row r="545" spans="2:4">
      <c r="B545" s="4" t="s">
        <v>2829</v>
      </c>
      <c r="C545" s="73" t="s">
        <v>3387</v>
      </c>
      <c r="D545" s="4" t="s">
        <v>3388</v>
      </c>
    </row>
    <row r="546" spans="2:4">
      <c r="B546" s="4" t="s">
        <v>2829</v>
      </c>
      <c r="C546" s="73" t="s">
        <v>3389</v>
      </c>
      <c r="D546" s="4" t="s">
        <v>3390</v>
      </c>
    </row>
    <row r="547" spans="2:4">
      <c r="B547" s="4" t="s">
        <v>2829</v>
      </c>
      <c r="C547" s="73" t="s">
        <v>3391</v>
      </c>
      <c r="D547" s="4" t="s">
        <v>3392</v>
      </c>
    </row>
    <row r="551" spans="2:4">
      <c r="B551" t="s">
        <v>3413</v>
      </c>
    </row>
    <row r="552" spans="2:4">
      <c r="B552" s="4" t="s">
        <v>302</v>
      </c>
      <c r="C552" s="73" t="s">
        <v>1114</v>
      </c>
      <c r="D552" s="4" t="s">
        <v>467</v>
      </c>
    </row>
    <row r="553" spans="2:4">
      <c r="B553" s="4" t="s">
        <v>2665</v>
      </c>
      <c r="C553" s="73" t="s">
        <v>3393</v>
      </c>
      <c r="D553" s="4" t="s">
        <v>3394</v>
      </c>
    </row>
    <row r="554" spans="2:4">
      <c r="B554" s="4" t="s">
        <v>2665</v>
      </c>
      <c r="C554" s="73" t="s">
        <v>3395</v>
      </c>
      <c r="D554" s="4" t="s">
        <v>3396</v>
      </c>
    </row>
    <row r="555" spans="2:4">
      <c r="B555" s="4"/>
      <c r="C555" s="73"/>
      <c r="D555" s="4"/>
    </row>
    <row r="556" spans="2:4">
      <c r="B556" s="4" t="s">
        <v>2666</v>
      </c>
      <c r="C556" s="73" t="s">
        <v>3397</v>
      </c>
      <c r="D556" s="4" t="s">
        <v>3398</v>
      </c>
    </row>
    <row r="557" spans="2:4">
      <c r="B557" s="4" t="s">
        <v>2666</v>
      </c>
      <c r="C557" s="73" t="s">
        <v>3399</v>
      </c>
      <c r="D557" s="4" t="s">
        <v>3400</v>
      </c>
    </row>
    <row r="558" spans="2:4">
      <c r="B558" s="4"/>
      <c r="C558" s="73"/>
      <c r="D558" s="4"/>
    </row>
    <row r="559" spans="2:4">
      <c r="B559" s="4" t="s">
        <v>2667</v>
      </c>
      <c r="C559" s="73" t="s">
        <v>3401</v>
      </c>
      <c r="D559" s="4" t="s">
        <v>3402</v>
      </c>
    </row>
    <row r="560" spans="2:4">
      <c r="B560" s="4" t="s">
        <v>2667</v>
      </c>
      <c r="C560" s="73" t="s">
        <v>3403</v>
      </c>
      <c r="D560" s="4" t="s">
        <v>3404</v>
      </c>
    </row>
    <row r="561" spans="2:4">
      <c r="B561" s="4"/>
      <c r="C561" s="73"/>
      <c r="D561" s="4"/>
    </row>
    <row r="562" spans="2:4">
      <c r="B562" s="4" t="s">
        <v>2668</v>
      </c>
      <c r="C562" s="73" t="s">
        <v>3405</v>
      </c>
      <c r="D562" s="4" t="s">
        <v>3406</v>
      </c>
    </row>
    <row r="563" spans="2:4">
      <c r="B563" s="4" t="s">
        <v>2668</v>
      </c>
      <c r="C563" s="73" t="s">
        <v>3407</v>
      </c>
      <c r="D563" s="4" t="s">
        <v>3408</v>
      </c>
    </row>
    <row r="564" spans="2:4">
      <c r="B564" s="4"/>
      <c r="C564" s="73"/>
      <c r="D564" s="4"/>
    </row>
    <row r="565" spans="2:4">
      <c r="B565" s="4" t="s">
        <v>2669</v>
      </c>
      <c r="C565" s="73" t="s">
        <v>3409</v>
      </c>
      <c r="D565" s="4" t="s">
        <v>3410</v>
      </c>
    </row>
    <row r="566" spans="2:4">
      <c r="B566" s="4" t="s">
        <v>2669</v>
      </c>
      <c r="C566" s="73" t="s">
        <v>3411</v>
      </c>
      <c r="D566" s="4" t="s">
        <v>3412</v>
      </c>
    </row>
    <row r="569" spans="2:4">
      <c r="B569" s="4" t="s">
        <v>83</v>
      </c>
      <c r="C569" s="73" t="s">
        <v>2368</v>
      </c>
      <c r="D569" s="4" t="s">
        <v>467</v>
      </c>
    </row>
    <row r="570" spans="2:4">
      <c r="B570" s="4" t="s">
        <v>3009</v>
      </c>
      <c r="C570" s="73" t="s">
        <v>3414</v>
      </c>
      <c r="D570" s="4" t="s">
        <v>3415</v>
      </c>
    </row>
    <row r="571" spans="2:4">
      <c r="B571" s="4" t="s">
        <v>3009</v>
      </c>
      <c r="C571" s="73" t="s">
        <v>3416</v>
      </c>
      <c r="D571" s="4" t="s">
        <v>3417</v>
      </c>
    </row>
    <row r="572" spans="2:4">
      <c r="B572" s="4" t="s">
        <v>3009</v>
      </c>
      <c r="C572" s="73" t="s">
        <v>3418</v>
      </c>
      <c r="D572" s="4" t="s">
        <v>3419</v>
      </c>
    </row>
    <row r="573" spans="2:4">
      <c r="B573" s="4" t="s">
        <v>3009</v>
      </c>
      <c r="C573" s="73" t="s">
        <v>3420</v>
      </c>
      <c r="D573" s="4" t="s">
        <v>3421</v>
      </c>
    </row>
    <row r="574" spans="2:4">
      <c r="B574" s="4"/>
      <c r="C574" s="73"/>
      <c r="D574" s="4"/>
    </row>
    <row r="575" spans="2:4">
      <c r="B575" s="4" t="s">
        <v>2829</v>
      </c>
      <c r="C575" s="73" t="s">
        <v>3422</v>
      </c>
      <c r="D575" s="4" t="s">
        <v>3423</v>
      </c>
    </row>
    <row r="576" spans="2:4">
      <c r="B576" s="4" t="s">
        <v>2829</v>
      </c>
      <c r="C576" s="73" t="s">
        <v>3424</v>
      </c>
      <c r="D576" s="4" t="s">
        <v>3425</v>
      </c>
    </row>
    <row r="577" spans="2:4">
      <c r="B577" s="4" t="s">
        <v>2829</v>
      </c>
      <c r="C577" s="73" t="s">
        <v>3426</v>
      </c>
      <c r="D577" s="4" t="s">
        <v>3427</v>
      </c>
    </row>
    <row r="578" spans="2:4">
      <c r="B578" s="4" t="s">
        <v>2829</v>
      </c>
      <c r="C578" s="73" t="s">
        <v>3428</v>
      </c>
      <c r="D578" s="4" t="s">
        <v>3429</v>
      </c>
    </row>
    <row r="579" spans="2:4">
      <c r="B579" s="4" t="s">
        <v>2829</v>
      </c>
      <c r="C579" s="73" t="s">
        <v>3430</v>
      </c>
      <c r="D579" s="4" t="s">
        <v>3431</v>
      </c>
    </row>
    <row r="582" spans="2:4">
      <c r="B582" s="4" t="s">
        <v>3452</v>
      </c>
      <c r="C582" s="73"/>
      <c r="D582" s="4"/>
    </row>
    <row r="583" spans="2:4">
      <c r="B583" s="4" t="s">
        <v>302</v>
      </c>
      <c r="C583" s="73" t="s">
        <v>1114</v>
      </c>
      <c r="D583" s="4" t="s">
        <v>467</v>
      </c>
    </row>
    <row r="584" spans="2:4">
      <c r="B584" s="4" t="s">
        <v>2665</v>
      </c>
      <c r="C584" s="73" t="s">
        <v>3432</v>
      </c>
      <c r="D584" s="4" t="s">
        <v>3433</v>
      </c>
    </row>
    <row r="585" spans="2:4">
      <c r="B585" s="4" t="s">
        <v>2665</v>
      </c>
      <c r="C585" s="73" t="s">
        <v>3434</v>
      </c>
      <c r="D585" s="4" t="s">
        <v>3435</v>
      </c>
    </row>
    <row r="586" spans="2:4">
      <c r="B586" s="4"/>
      <c r="C586" s="73"/>
      <c r="D586" s="4"/>
    </row>
    <row r="587" spans="2:4">
      <c r="B587" s="4" t="s">
        <v>2666</v>
      </c>
      <c r="C587" s="73" t="s">
        <v>3436</v>
      </c>
      <c r="D587" s="4" t="s">
        <v>3437</v>
      </c>
    </row>
    <row r="588" spans="2:4">
      <c r="B588" s="4" t="s">
        <v>2666</v>
      </c>
      <c r="C588" s="73" t="s">
        <v>3438</v>
      </c>
      <c r="D588" s="4" t="s">
        <v>3439</v>
      </c>
    </row>
    <row r="589" spans="2:4">
      <c r="B589" s="4" t="s">
        <v>2667</v>
      </c>
      <c r="C589" s="73" t="s">
        <v>3440</v>
      </c>
      <c r="D589" s="4" t="s">
        <v>3441</v>
      </c>
    </row>
    <row r="590" spans="2:4">
      <c r="B590" s="4" t="s">
        <v>2667</v>
      </c>
      <c r="C590" s="73" t="s">
        <v>3442</v>
      </c>
      <c r="D590" s="4" t="s">
        <v>3443</v>
      </c>
    </row>
    <row r="591" spans="2:4">
      <c r="B591" s="4" t="s">
        <v>2668</v>
      </c>
      <c r="C591" s="73" t="s">
        <v>3444</v>
      </c>
      <c r="D591" s="4" t="s">
        <v>3445</v>
      </c>
    </row>
    <row r="592" spans="2:4">
      <c r="B592" s="4" t="s">
        <v>2668</v>
      </c>
      <c r="C592" s="73" t="s">
        <v>3446</v>
      </c>
      <c r="D592" s="4" t="s">
        <v>3447</v>
      </c>
    </row>
    <row r="593" spans="2:4">
      <c r="B593" s="4" t="s">
        <v>2669</v>
      </c>
      <c r="C593" s="73" t="s">
        <v>3448</v>
      </c>
      <c r="D593" s="4" t="s">
        <v>3449</v>
      </c>
    </row>
    <row r="594" spans="2:4">
      <c r="B594" s="4" t="s">
        <v>2669</v>
      </c>
      <c r="C594" s="73" t="s">
        <v>3450</v>
      </c>
      <c r="D594" s="4" t="s">
        <v>3451</v>
      </c>
    </row>
    <row r="597" spans="2:4">
      <c r="B597" s="4" t="s">
        <v>83</v>
      </c>
      <c r="C597" s="73" t="s">
        <v>2368</v>
      </c>
      <c r="D597" s="4" t="s">
        <v>467</v>
      </c>
    </row>
    <row r="598" spans="2:4">
      <c r="B598" s="4" t="s">
        <v>3009</v>
      </c>
      <c r="C598" s="73" t="s">
        <v>3453</v>
      </c>
      <c r="D598" s="4" t="s">
        <v>3454</v>
      </c>
    </row>
    <row r="599" spans="2:4">
      <c r="B599" s="4" t="s">
        <v>3009</v>
      </c>
      <c r="C599" s="73" t="s">
        <v>3455</v>
      </c>
      <c r="D599" s="4" t="s">
        <v>3456</v>
      </c>
    </row>
    <row r="600" spans="2:4">
      <c r="B600" s="4" t="s">
        <v>3009</v>
      </c>
      <c r="C600" s="73" t="s">
        <v>3457</v>
      </c>
      <c r="D600" s="4" t="s">
        <v>3458</v>
      </c>
    </row>
    <row r="601" spans="2:4">
      <c r="B601" s="4" t="s">
        <v>3009</v>
      </c>
      <c r="C601" s="73" t="s">
        <v>3459</v>
      </c>
      <c r="D601" s="4" t="s">
        <v>3460</v>
      </c>
    </row>
    <row r="602" spans="2:4">
      <c r="B602" s="4"/>
      <c r="C602" s="73"/>
      <c r="D602" s="4"/>
    </row>
    <row r="603" spans="2:4">
      <c r="B603" s="4" t="s">
        <v>2829</v>
      </c>
      <c r="C603" s="73" t="s">
        <v>3461</v>
      </c>
      <c r="D603" s="4" t="s">
        <v>3462</v>
      </c>
    </row>
    <row r="604" spans="2:4">
      <c r="B604" s="4" t="s">
        <v>2829</v>
      </c>
      <c r="C604" s="73" t="s">
        <v>3463</v>
      </c>
      <c r="D604" s="4" t="s">
        <v>3464</v>
      </c>
    </row>
    <row r="605" spans="2:4">
      <c r="B605" s="4" t="s">
        <v>2829</v>
      </c>
      <c r="C605" s="73" t="s">
        <v>3465</v>
      </c>
      <c r="D605" s="4" t="s">
        <v>3466</v>
      </c>
    </row>
    <row r="606" spans="2:4">
      <c r="B606" s="4" t="s">
        <v>2829</v>
      </c>
      <c r="C606" s="73" t="s">
        <v>3467</v>
      </c>
      <c r="D606" s="4" t="s">
        <v>3468</v>
      </c>
    </row>
    <row r="607" spans="2:4">
      <c r="B607" s="4" t="s">
        <v>2829</v>
      </c>
      <c r="C607" s="73" t="s">
        <v>3469</v>
      </c>
      <c r="D607" s="4" t="s">
        <v>3470</v>
      </c>
    </row>
    <row r="609" spans="2:4">
      <c r="B609" s="11" t="s">
        <v>3471</v>
      </c>
      <c r="C609" s="75"/>
      <c r="D609" s="11"/>
    </row>
    <row r="610" spans="2:4">
      <c r="B610" s="53" t="s">
        <v>302</v>
      </c>
      <c r="C610" s="76" t="s">
        <v>1114</v>
      </c>
      <c r="D610" s="53" t="s">
        <v>467</v>
      </c>
    </row>
    <row r="611" spans="2:4">
      <c r="B611" s="53" t="s">
        <v>2665</v>
      </c>
      <c r="C611" s="76" t="s">
        <v>3472</v>
      </c>
      <c r="D611" s="53" t="s">
        <v>3473</v>
      </c>
    </row>
    <row r="612" spans="2:4">
      <c r="B612" s="53" t="s">
        <v>2665</v>
      </c>
      <c r="C612" s="76" t="s">
        <v>3474</v>
      </c>
      <c r="D612" s="53" t="s">
        <v>3475</v>
      </c>
    </row>
    <row r="613" spans="2:4">
      <c r="B613" s="53" t="s">
        <v>2666</v>
      </c>
      <c r="C613" s="76" t="s">
        <v>3476</v>
      </c>
      <c r="D613" s="53" t="s">
        <v>3477</v>
      </c>
    </row>
    <row r="614" spans="2:4">
      <c r="B614" s="53" t="s">
        <v>2666</v>
      </c>
      <c r="C614" s="76" t="s">
        <v>3478</v>
      </c>
      <c r="D614" s="53" t="s">
        <v>3479</v>
      </c>
    </row>
    <row r="615" spans="2:4">
      <c r="B615" s="53" t="s">
        <v>2667</v>
      </c>
      <c r="C615" s="76" t="s">
        <v>3480</v>
      </c>
      <c r="D615" s="53" t="s">
        <v>3481</v>
      </c>
    </row>
    <row r="616" spans="2:4">
      <c r="B616" s="53" t="s">
        <v>2667</v>
      </c>
      <c r="C616" s="76" t="s">
        <v>3482</v>
      </c>
      <c r="D616" s="53" t="s">
        <v>3483</v>
      </c>
    </row>
    <row r="617" spans="2:4">
      <c r="B617" s="53" t="s">
        <v>2668</v>
      </c>
      <c r="C617" s="76" t="s">
        <v>3484</v>
      </c>
      <c r="D617" s="53" t="s">
        <v>3485</v>
      </c>
    </row>
    <row r="618" spans="2:4">
      <c r="B618" s="53" t="s">
        <v>2668</v>
      </c>
      <c r="C618" s="76" t="s">
        <v>3486</v>
      </c>
      <c r="D618" s="53" t="s">
        <v>3487</v>
      </c>
    </row>
    <row r="619" spans="2:4">
      <c r="B619" s="53" t="s">
        <v>2669</v>
      </c>
      <c r="C619" s="76" t="s">
        <v>3488</v>
      </c>
      <c r="D619" s="53" t="s">
        <v>3489</v>
      </c>
    </row>
    <row r="620" spans="2:4">
      <c r="B620" s="53" t="s">
        <v>2669</v>
      </c>
      <c r="C620" s="76" t="s">
        <v>3490</v>
      </c>
      <c r="D620" s="53" t="s">
        <v>3491</v>
      </c>
    </row>
    <row r="621" spans="2:4">
      <c r="B621" s="11"/>
      <c r="C621" s="75"/>
      <c r="D621" s="11"/>
    </row>
    <row r="622" spans="2:4">
      <c r="B622" s="53" t="s">
        <v>83</v>
      </c>
      <c r="C622" s="76" t="s">
        <v>2368</v>
      </c>
      <c r="D622" s="53" t="s">
        <v>467</v>
      </c>
    </row>
    <row r="623" spans="2:4">
      <c r="B623" s="53" t="s">
        <v>3009</v>
      </c>
      <c r="C623" s="76" t="s">
        <v>3492</v>
      </c>
      <c r="D623" s="53" t="s">
        <v>3493</v>
      </c>
    </row>
    <row r="624" spans="2:4">
      <c r="B624" s="53" t="s">
        <v>3009</v>
      </c>
      <c r="C624" s="76" t="s">
        <v>3494</v>
      </c>
      <c r="D624" s="53" t="s">
        <v>3495</v>
      </c>
    </row>
    <row r="625" spans="2:4">
      <c r="B625" s="53" t="s">
        <v>3009</v>
      </c>
      <c r="C625" s="76" t="s">
        <v>3496</v>
      </c>
      <c r="D625" s="53" t="s">
        <v>3497</v>
      </c>
    </row>
    <row r="626" spans="2:4">
      <c r="B626" s="53" t="s">
        <v>3009</v>
      </c>
      <c r="C626" s="76" t="s">
        <v>3498</v>
      </c>
      <c r="D626" s="53" t="s">
        <v>3499</v>
      </c>
    </row>
    <row r="627" spans="2:4">
      <c r="B627" s="53"/>
      <c r="C627" s="76"/>
      <c r="D627" s="53"/>
    </row>
    <row r="628" spans="2:4">
      <c r="B628" s="53" t="s">
        <v>2829</v>
      </c>
      <c r="C628" s="76" t="s">
        <v>3500</v>
      </c>
      <c r="D628" s="53" t="s">
        <v>3501</v>
      </c>
    </row>
    <row r="629" spans="2:4">
      <c r="B629" s="53" t="s">
        <v>2829</v>
      </c>
      <c r="C629" s="76" t="s">
        <v>3502</v>
      </c>
      <c r="D629" s="53" t="s">
        <v>3503</v>
      </c>
    </row>
    <row r="630" spans="2:4">
      <c r="B630" s="53" t="s">
        <v>2829</v>
      </c>
      <c r="C630" s="76" t="s">
        <v>3504</v>
      </c>
      <c r="D630" s="53" t="s">
        <v>3505</v>
      </c>
    </row>
    <row r="631" spans="2:4">
      <c r="B631" s="53" t="s">
        <v>2829</v>
      </c>
      <c r="C631" s="76" t="s">
        <v>3506</v>
      </c>
      <c r="D631" s="53" t="s">
        <v>3507</v>
      </c>
    </row>
    <row r="632" spans="2:4">
      <c r="B632" s="53" t="s">
        <v>2829</v>
      </c>
      <c r="C632" s="76" t="s">
        <v>3508</v>
      </c>
      <c r="D632" s="53" t="s">
        <v>3509</v>
      </c>
    </row>
    <row r="635" spans="2:4">
      <c r="B635" t="s">
        <v>3510</v>
      </c>
    </row>
    <row r="636" spans="2:4">
      <c r="B636" s="4" t="s">
        <v>302</v>
      </c>
      <c r="C636" s="73" t="s">
        <v>1114</v>
      </c>
      <c r="D636" s="4" t="s">
        <v>467</v>
      </c>
    </row>
    <row r="637" spans="2:4">
      <c r="B637" s="4" t="s">
        <v>2665</v>
      </c>
      <c r="C637" s="73" t="s">
        <v>3511</v>
      </c>
      <c r="D637" s="4" t="s">
        <v>3512</v>
      </c>
    </row>
    <row r="638" spans="2:4">
      <c r="B638" s="4" t="s">
        <v>2665</v>
      </c>
      <c r="C638" s="73" t="s">
        <v>3513</v>
      </c>
      <c r="D638" s="4" t="s">
        <v>3514</v>
      </c>
    </row>
    <row r="639" spans="2:4">
      <c r="B639" s="4" t="s">
        <v>2666</v>
      </c>
      <c r="C639" s="73" t="s">
        <v>3515</v>
      </c>
      <c r="D639" s="4" t="s">
        <v>3516</v>
      </c>
    </row>
    <row r="640" spans="2:4">
      <c r="B640" s="4" t="s">
        <v>2666</v>
      </c>
      <c r="C640" s="73" t="s">
        <v>3517</v>
      </c>
      <c r="D640" s="4" t="s">
        <v>3518</v>
      </c>
    </row>
    <row r="641" spans="2:4">
      <c r="B641" s="4" t="s">
        <v>2667</v>
      </c>
      <c r="C641" s="73" t="s">
        <v>3519</v>
      </c>
      <c r="D641" s="4" t="s">
        <v>3520</v>
      </c>
    </row>
    <row r="642" spans="2:4">
      <c r="B642" s="4" t="s">
        <v>2667</v>
      </c>
      <c r="C642" s="73" t="s">
        <v>3521</v>
      </c>
      <c r="D642" s="4" t="s">
        <v>3522</v>
      </c>
    </row>
    <row r="643" spans="2:4">
      <c r="B643" s="4" t="s">
        <v>2668</v>
      </c>
      <c r="C643" s="73" t="s">
        <v>3523</v>
      </c>
      <c r="D643" s="4" t="s">
        <v>3524</v>
      </c>
    </row>
    <row r="644" spans="2:4">
      <c r="B644" s="4" t="s">
        <v>2668</v>
      </c>
      <c r="C644" s="73" t="s">
        <v>3525</v>
      </c>
      <c r="D644" s="4" t="s">
        <v>3526</v>
      </c>
    </row>
    <row r="645" spans="2:4">
      <c r="B645" s="4" t="s">
        <v>2669</v>
      </c>
      <c r="C645" s="73" t="s">
        <v>3527</v>
      </c>
      <c r="D645" s="4" t="s">
        <v>3528</v>
      </c>
    </row>
    <row r="646" spans="2:4">
      <c r="B646" s="4" t="s">
        <v>2669</v>
      </c>
      <c r="C646" s="73" t="s">
        <v>3529</v>
      </c>
      <c r="D646" s="4" t="s">
        <v>3530</v>
      </c>
    </row>
    <row r="649" spans="2:4">
      <c r="B649" s="4" t="s">
        <v>83</v>
      </c>
      <c r="C649" s="73" t="s">
        <v>2368</v>
      </c>
      <c r="D649" s="4" t="s">
        <v>467</v>
      </c>
    </row>
    <row r="650" spans="2:4">
      <c r="B650" s="4" t="s">
        <v>3009</v>
      </c>
      <c r="C650" s="73" t="s">
        <v>3531</v>
      </c>
      <c r="D650" s="4" t="s">
        <v>3532</v>
      </c>
    </row>
    <row r="651" spans="2:4">
      <c r="B651" s="4" t="s">
        <v>3009</v>
      </c>
      <c r="C651" s="73" t="s">
        <v>3533</v>
      </c>
      <c r="D651" s="4" t="s">
        <v>3534</v>
      </c>
    </row>
    <row r="652" spans="2:4">
      <c r="B652" s="4" t="s">
        <v>3009</v>
      </c>
      <c r="C652" s="73" t="s">
        <v>3535</v>
      </c>
      <c r="D652" s="4" t="s">
        <v>3536</v>
      </c>
    </row>
    <row r="653" spans="2:4">
      <c r="B653" s="4" t="s">
        <v>3009</v>
      </c>
      <c r="C653" s="73" t="s">
        <v>3537</v>
      </c>
      <c r="D653" s="4" t="s">
        <v>3538</v>
      </c>
    </row>
    <row r="654" spans="2:4">
      <c r="B654" s="4"/>
      <c r="C654" s="73"/>
      <c r="D654" s="4"/>
    </row>
    <row r="655" spans="2:4">
      <c r="B655" s="4" t="s">
        <v>2829</v>
      </c>
      <c r="C655" s="73" t="s">
        <v>3539</v>
      </c>
      <c r="D655" s="4" t="s">
        <v>3540</v>
      </c>
    </row>
    <row r="656" spans="2:4">
      <c r="B656" s="4" t="s">
        <v>2829</v>
      </c>
      <c r="C656" s="73" t="s">
        <v>3541</v>
      </c>
      <c r="D656" s="4" t="s">
        <v>3542</v>
      </c>
    </row>
    <row r="657" spans="2:4">
      <c r="B657" s="4" t="s">
        <v>2829</v>
      </c>
      <c r="C657" s="73" t="s">
        <v>3543</v>
      </c>
      <c r="D657" s="4" t="s">
        <v>3544</v>
      </c>
    </row>
    <row r="658" spans="2:4">
      <c r="B658" s="4" t="s">
        <v>2829</v>
      </c>
      <c r="C658" s="73" t="s">
        <v>3545</v>
      </c>
      <c r="D658" s="4" t="s">
        <v>3546</v>
      </c>
    </row>
    <row r="659" spans="2:4">
      <c r="B659" s="4" t="s">
        <v>2829</v>
      </c>
      <c r="C659" s="73" t="s">
        <v>3547</v>
      </c>
      <c r="D659" s="4" t="s">
        <v>3548</v>
      </c>
    </row>
    <row r="662" spans="2:4">
      <c r="B662" s="11" t="s">
        <v>3569</v>
      </c>
      <c r="C662" s="75"/>
      <c r="D662" s="11"/>
    </row>
    <row r="663" spans="2:4">
      <c r="B663" s="53" t="s">
        <v>302</v>
      </c>
      <c r="C663" s="76" t="s">
        <v>1114</v>
      </c>
      <c r="D663" s="53" t="s">
        <v>467</v>
      </c>
    </row>
    <row r="664" spans="2:4">
      <c r="B664" s="53" t="s">
        <v>2665</v>
      </c>
      <c r="C664" s="76" t="s">
        <v>3549</v>
      </c>
      <c r="D664" s="53" t="s">
        <v>3550</v>
      </c>
    </row>
    <row r="665" spans="2:4">
      <c r="B665" s="53" t="s">
        <v>2665</v>
      </c>
      <c r="C665" s="76" t="s">
        <v>3551</v>
      </c>
      <c r="D665" s="53" t="s">
        <v>3552</v>
      </c>
    </row>
    <row r="666" spans="2:4">
      <c r="B666" s="53" t="s">
        <v>2666</v>
      </c>
      <c r="C666" s="76" t="s">
        <v>3553</v>
      </c>
      <c r="D666" s="53" t="s">
        <v>3554</v>
      </c>
    </row>
    <row r="667" spans="2:4">
      <c r="B667" s="53" t="s">
        <v>2666</v>
      </c>
      <c r="C667" s="76" t="s">
        <v>3555</v>
      </c>
      <c r="D667" s="53" t="s">
        <v>3556</v>
      </c>
    </row>
    <row r="668" spans="2:4">
      <c r="B668" s="53" t="s">
        <v>2667</v>
      </c>
      <c r="C668" s="76" t="s">
        <v>3557</v>
      </c>
      <c r="D668" s="53" t="s">
        <v>3558</v>
      </c>
    </row>
    <row r="669" spans="2:4">
      <c r="B669" s="53" t="s">
        <v>2667</v>
      </c>
      <c r="C669" s="76" t="s">
        <v>3559</v>
      </c>
      <c r="D669" s="53" t="s">
        <v>3560</v>
      </c>
    </row>
    <row r="670" spans="2:4">
      <c r="B670" s="53" t="s">
        <v>2668</v>
      </c>
      <c r="C670" s="76" t="s">
        <v>3561</v>
      </c>
      <c r="D670" s="53" t="s">
        <v>3562</v>
      </c>
    </row>
    <row r="671" spans="2:4">
      <c r="B671" s="53" t="s">
        <v>2668</v>
      </c>
      <c r="C671" s="76" t="s">
        <v>3563</v>
      </c>
      <c r="D671" s="53" t="s">
        <v>3564</v>
      </c>
    </row>
    <row r="672" spans="2:4">
      <c r="B672" s="53" t="s">
        <v>2669</v>
      </c>
      <c r="C672" s="76" t="s">
        <v>3565</v>
      </c>
      <c r="D672" s="53" t="s">
        <v>3566</v>
      </c>
    </row>
    <row r="673" spans="2:4">
      <c r="B673" s="53" t="s">
        <v>2669</v>
      </c>
      <c r="C673" s="76" t="s">
        <v>3567</v>
      </c>
      <c r="D673" s="53" t="s">
        <v>3568</v>
      </c>
    </row>
    <row r="674" spans="2:4">
      <c r="B674" s="11"/>
      <c r="C674" s="75"/>
      <c r="D674" s="11"/>
    </row>
    <row r="675" spans="2:4">
      <c r="B675" s="53" t="s">
        <v>83</v>
      </c>
      <c r="C675" s="76" t="s">
        <v>2368</v>
      </c>
      <c r="D675" s="53" t="s">
        <v>467</v>
      </c>
    </row>
    <row r="676" spans="2:4">
      <c r="B676" s="53" t="s">
        <v>3009</v>
      </c>
      <c r="C676" s="76" t="s">
        <v>3570</v>
      </c>
      <c r="D676" s="53" t="s">
        <v>3571</v>
      </c>
    </row>
    <row r="677" spans="2:4">
      <c r="B677" s="53" t="s">
        <v>3009</v>
      </c>
      <c r="C677" s="76" t="s">
        <v>3572</v>
      </c>
      <c r="D677" s="53" t="s">
        <v>3573</v>
      </c>
    </row>
    <row r="678" spans="2:4">
      <c r="B678" s="53" t="s">
        <v>3009</v>
      </c>
      <c r="C678" s="76" t="s">
        <v>3574</v>
      </c>
      <c r="D678" s="53" t="s">
        <v>3575</v>
      </c>
    </row>
    <row r="679" spans="2:4">
      <c r="B679" s="53" t="s">
        <v>3009</v>
      </c>
      <c r="C679" s="76" t="s">
        <v>3576</v>
      </c>
      <c r="D679" s="53" t="s">
        <v>3577</v>
      </c>
    </row>
    <row r="680" spans="2:4">
      <c r="B680" s="53"/>
      <c r="C680" s="76"/>
      <c r="D680" s="53"/>
    </row>
    <row r="681" spans="2:4">
      <c r="B681" s="53" t="s">
        <v>2829</v>
      </c>
      <c r="C681" s="76" t="s">
        <v>3578</v>
      </c>
      <c r="D681" s="53" t="s">
        <v>3579</v>
      </c>
    </row>
    <row r="682" spans="2:4">
      <c r="B682" s="53" t="s">
        <v>2829</v>
      </c>
      <c r="C682" s="76" t="s">
        <v>3580</v>
      </c>
      <c r="D682" s="53" t="s">
        <v>3581</v>
      </c>
    </row>
    <row r="683" spans="2:4">
      <c r="B683" s="53" t="s">
        <v>2829</v>
      </c>
      <c r="C683" s="76" t="s">
        <v>3582</v>
      </c>
      <c r="D683" s="53" t="s">
        <v>3583</v>
      </c>
    </row>
    <row r="684" spans="2:4">
      <c r="B684" s="53" t="s">
        <v>2829</v>
      </c>
      <c r="C684" s="76" t="s">
        <v>3584</v>
      </c>
      <c r="D684" s="53" t="s">
        <v>3585</v>
      </c>
    </row>
    <row r="685" spans="2:4">
      <c r="B685" s="53" t="s">
        <v>2829</v>
      </c>
      <c r="C685" s="76" t="s">
        <v>3586</v>
      </c>
      <c r="D685" s="53" t="s">
        <v>3587</v>
      </c>
    </row>
    <row r="687" spans="2:4">
      <c r="B687" t="s">
        <v>3608</v>
      </c>
    </row>
    <row r="688" spans="2:4">
      <c r="B688" s="4" t="s">
        <v>302</v>
      </c>
      <c r="C688" s="73" t="s">
        <v>1114</v>
      </c>
      <c r="D688" s="4" t="s">
        <v>467</v>
      </c>
    </row>
    <row r="689" spans="2:4">
      <c r="B689" s="4" t="s">
        <v>2665</v>
      </c>
      <c r="C689" s="73" t="s">
        <v>3588</v>
      </c>
      <c r="D689" s="4" t="s">
        <v>3589</v>
      </c>
    </row>
    <row r="690" spans="2:4">
      <c r="B690" s="4" t="s">
        <v>2665</v>
      </c>
      <c r="C690" s="73" t="s">
        <v>3590</v>
      </c>
      <c r="D690" s="4" t="s">
        <v>3591</v>
      </c>
    </row>
    <row r="691" spans="2:4">
      <c r="B691" s="4" t="s">
        <v>2666</v>
      </c>
      <c r="C691" s="73" t="s">
        <v>3592</v>
      </c>
      <c r="D691" s="4" t="s">
        <v>3593</v>
      </c>
    </row>
    <row r="692" spans="2:4">
      <c r="B692" s="4" t="s">
        <v>2666</v>
      </c>
      <c r="C692" s="73" t="s">
        <v>3594</v>
      </c>
      <c r="D692" s="4" t="s">
        <v>3595</v>
      </c>
    </row>
    <row r="693" spans="2:4">
      <c r="B693" s="4" t="s">
        <v>2667</v>
      </c>
      <c r="C693" s="73" t="s">
        <v>3596</v>
      </c>
      <c r="D693" s="4" t="s">
        <v>3597</v>
      </c>
    </row>
    <row r="694" spans="2:4">
      <c r="B694" s="4" t="s">
        <v>2667</v>
      </c>
      <c r="C694" s="73" t="s">
        <v>3598</v>
      </c>
      <c r="D694" s="4" t="s">
        <v>3599</v>
      </c>
    </row>
    <row r="695" spans="2:4">
      <c r="B695" s="4" t="s">
        <v>2668</v>
      </c>
      <c r="C695" s="73" t="s">
        <v>3600</v>
      </c>
      <c r="D695" s="4" t="s">
        <v>3601</v>
      </c>
    </row>
    <row r="696" spans="2:4">
      <c r="B696" s="4" t="s">
        <v>2668</v>
      </c>
      <c r="C696" s="73" t="s">
        <v>3602</v>
      </c>
      <c r="D696" s="4" t="s">
        <v>3603</v>
      </c>
    </row>
    <row r="697" spans="2:4">
      <c r="B697" s="4" t="s">
        <v>2669</v>
      </c>
      <c r="C697" s="73" t="s">
        <v>3604</v>
      </c>
      <c r="D697" s="4" t="s">
        <v>3605</v>
      </c>
    </row>
    <row r="698" spans="2:4">
      <c r="B698" s="4" t="s">
        <v>2669</v>
      </c>
      <c r="C698" s="73" t="s">
        <v>3606</v>
      </c>
      <c r="D698" s="4" t="s">
        <v>3607</v>
      </c>
    </row>
    <row r="700" spans="2:4">
      <c r="B700" s="4" t="s">
        <v>83</v>
      </c>
      <c r="C700" s="73" t="s">
        <v>2368</v>
      </c>
      <c r="D700" s="4" t="s">
        <v>467</v>
      </c>
    </row>
    <row r="701" spans="2:4">
      <c r="B701" s="4" t="s">
        <v>3009</v>
      </c>
      <c r="C701" s="73" t="s">
        <v>3609</v>
      </c>
      <c r="D701" s="4" t="s">
        <v>3610</v>
      </c>
    </row>
    <row r="702" spans="2:4">
      <c r="B702" s="4" t="s">
        <v>3009</v>
      </c>
      <c r="C702" s="73" t="s">
        <v>3611</v>
      </c>
      <c r="D702" s="4" t="s">
        <v>3612</v>
      </c>
    </row>
    <row r="703" spans="2:4">
      <c r="B703" s="4" t="s">
        <v>3009</v>
      </c>
      <c r="C703" s="73" t="s">
        <v>3613</v>
      </c>
      <c r="D703" s="4" t="s">
        <v>3614</v>
      </c>
    </row>
    <row r="704" spans="2:4">
      <c r="B704" s="4"/>
      <c r="C704" s="73"/>
      <c r="D704" s="4"/>
    </row>
    <row r="705" spans="2:4">
      <c r="B705" s="4" t="s">
        <v>2829</v>
      </c>
      <c r="C705" s="73" t="s">
        <v>3615</v>
      </c>
      <c r="D705" s="4" t="s">
        <v>3616</v>
      </c>
    </row>
    <row r="706" spans="2:4">
      <c r="B706" s="4" t="s">
        <v>2829</v>
      </c>
      <c r="C706" s="73" t="s">
        <v>3617</v>
      </c>
      <c r="D706" s="4" t="s">
        <v>3618</v>
      </c>
    </row>
    <row r="707" spans="2:4">
      <c r="B707" s="4" t="s">
        <v>2829</v>
      </c>
      <c r="C707" s="73" t="s">
        <v>3619</v>
      </c>
      <c r="D707" s="4" t="s">
        <v>3620</v>
      </c>
    </row>
    <row r="708" spans="2:4">
      <c r="B708" s="4" t="s">
        <v>2829</v>
      </c>
      <c r="C708" s="73" t="s">
        <v>3621</v>
      </c>
      <c r="D708" s="4" t="s">
        <v>3622</v>
      </c>
    </row>
    <row r="709" spans="2:4">
      <c r="B709" s="4" t="s">
        <v>2829</v>
      </c>
      <c r="C709" s="73" t="s">
        <v>3623</v>
      </c>
      <c r="D709" s="4" t="s">
        <v>3624</v>
      </c>
    </row>
    <row r="711" spans="2:4">
      <c r="B711" t="s">
        <v>3625</v>
      </c>
    </row>
    <row r="712" spans="2:4">
      <c r="B712" s="4" t="s">
        <v>302</v>
      </c>
      <c r="C712" s="73" t="s">
        <v>1114</v>
      </c>
      <c r="D712" s="4" t="s">
        <v>467</v>
      </c>
    </row>
    <row r="713" spans="2:4">
      <c r="B713" s="4" t="s">
        <v>2665</v>
      </c>
      <c r="C713" s="73" t="s">
        <v>3626</v>
      </c>
      <c r="D713" s="4" t="s">
        <v>3627</v>
      </c>
    </row>
    <row r="714" spans="2:4">
      <c r="B714" s="4" t="s">
        <v>2665</v>
      </c>
      <c r="C714" s="73" t="s">
        <v>3628</v>
      </c>
      <c r="D714" s="4" t="s">
        <v>3629</v>
      </c>
    </row>
    <row r="715" spans="2:4">
      <c r="B715" s="4" t="s">
        <v>2666</v>
      </c>
      <c r="C715" s="73" t="s">
        <v>3630</v>
      </c>
      <c r="D715" s="4" t="s">
        <v>3631</v>
      </c>
    </row>
    <row r="716" spans="2:4">
      <c r="B716" s="4" t="s">
        <v>2666</v>
      </c>
      <c r="C716" s="73" t="s">
        <v>3632</v>
      </c>
      <c r="D716" s="4" t="s">
        <v>3633</v>
      </c>
    </row>
    <row r="717" spans="2:4">
      <c r="B717" s="4" t="s">
        <v>2667</v>
      </c>
      <c r="C717" s="73" t="s">
        <v>3634</v>
      </c>
      <c r="D717" s="4" t="s">
        <v>3635</v>
      </c>
    </row>
    <row r="718" spans="2:4">
      <c r="B718" s="4" t="s">
        <v>2667</v>
      </c>
      <c r="C718" s="73" t="s">
        <v>3636</v>
      </c>
      <c r="D718" s="4" t="s">
        <v>3637</v>
      </c>
    </row>
    <row r="719" spans="2:4">
      <c r="B719" s="4" t="s">
        <v>2668</v>
      </c>
      <c r="C719" s="73" t="s">
        <v>3638</v>
      </c>
      <c r="D719" s="4" t="s">
        <v>3639</v>
      </c>
    </row>
    <row r="720" spans="2:4">
      <c r="B720" s="4" t="s">
        <v>2668</v>
      </c>
      <c r="C720" s="73" t="s">
        <v>3640</v>
      </c>
      <c r="D720" s="4" t="s">
        <v>3641</v>
      </c>
    </row>
    <row r="721" spans="2:4">
      <c r="B721" s="4" t="s">
        <v>2669</v>
      </c>
      <c r="C721" s="73" t="s">
        <v>3642</v>
      </c>
      <c r="D721" s="4" t="s">
        <v>3643</v>
      </c>
    </row>
    <row r="722" spans="2:4">
      <c r="B722" s="4" t="s">
        <v>2669</v>
      </c>
      <c r="C722" s="73" t="s">
        <v>3644</v>
      </c>
      <c r="D722" s="4" t="s">
        <v>3645</v>
      </c>
    </row>
    <row r="724" spans="2:4">
      <c r="B724" s="4" t="s">
        <v>83</v>
      </c>
      <c r="C724" s="73" t="s">
        <v>2368</v>
      </c>
      <c r="D724" s="4" t="s">
        <v>467</v>
      </c>
    </row>
    <row r="725" spans="2:4">
      <c r="B725" s="4" t="s">
        <v>3009</v>
      </c>
      <c r="C725" s="73" t="s">
        <v>3646</v>
      </c>
      <c r="D725" s="4" t="s">
        <v>3647</v>
      </c>
    </row>
    <row r="726" spans="2:4">
      <c r="B726" s="4" t="s">
        <v>3009</v>
      </c>
      <c r="C726" s="73" t="s">
        <v>3630</v>
      </c>
      <c r="D726" s="4" t="s">
        <v>3648</v>
      </c>
    </row>
    <row r="727" spans="2:4">
      <c r="B727" s="4" t="s">
        <v>3009</v>
      </c>
      <c r="C727" s="73" t="s">
        <v>3649</v>
      </c>
      <c r="D727" s="4" t="s">
        <v>3650</v>
      </c>
    </row>
    <row r="728" spans="2:4">
      <c r="B728" s="4" t="s">
        <v>3009</v>
      </c>
      <c r="C728" s="73" t="s">
        <v>3651</v>
      </c>
      <c r="D728" s="4" t="s">
        <v>3652</v>
      </c>
    </row>
    <row r="729" spans="2:4">
      <c r="B729" s="4"/>
      <c r="C729" s="73"/>
      <c r="D729" s="4"/>
    </row>
    <row r="730" spans="2:4">
      <c r="B730" s="4" t="s">
        <v>2829</v>
      </c>
      <c r="C730" s="73" t="s">
        <v>3653</v>
      </c>
      <c r="D730" s="4" t="s">
        <v>3654</v>
      </c>
    </row>
    <row r="731" spans="2:4">
      <c r="B731" s="4" t="s">
        <v>2829</v>
      </c>
      <c r="C731" s="73" t="s">
        <v>3655</v>
      </c>
      <c r="D731" s="4" t="s">
        <v>3656</v>
      </c>
    </row>
    <row r="732" spans="2:4">
      <c r="B732" s="4" t="s">
        <v>2829</v>
      </c>
      <c r="C732" s="73" t="s">
        <v>3657</v>
      </c>
      <c r="D732" s="4" t="s">
        <v>3658</v>
      </c>
    </row>
    <row r="733" spans="2:4">
      <c r="B733" s="4" t="s">
        <v>2829</v>
      </c>
      <c r="C733" s="73" t="s">
        <v>3659</v>
      </c>
      <c r="D733" s="4" t="s">
        <v>3660</v>
      </c>
    </row>
    <row r="734" spans="2:4">
      <c r="B734" s="4" t="s">
        <v>2829</v>
      </c>
      <c r="C734" s="73" t="s">
        <v>3661</v>
      </c>
      <c r="D734" s="4" t="s">
        <v>3662</v>
      </c>
    </row>
    <row r="736" spans="2:4">
      <c r="B736" t="s">
        <v>4018</v>
      </c>
    </row>
    <row r="737" spans="2:4">
      <c r="B737" s="4" t="s">
        <v>302</v>
      </c>
      <c r="C737" s="73" t="s">
        <v>3872</v>
      </c>
      <c r="D737" s="4" t="s">
        <v>3873</v>
      </c>
    </row>
    <row r="738" spans="2:4">
      <c r="B738" s="4" t="s">
        <v>2665</v>
      </c>
      <c r="C738" s="73" t="s">
        <v>4019</v>
      </c>
      <c r="D738" s="4" t="s">
        <v>4020</v>
      </c>
    </row>
    <row r="739" spans="2:4">
      <c r="B739" s="4" t="s">
        <v>2666</v>
      </c>
      <c r="C739" s="73" t="s">
        <v>4021</v>
      </c>
      <c r="D739" s="4" t="s">
        <v>4022</v>
      </c>
    </row>
    <row r="740" spans="2:4">
      <c r="B740" s="4" t="s">
        <v>2667</v>
      </c>
      <c r="C740" s="73" t="s">
        <v>4023</v>
      </c>
      <c r="D740" s="4" t="s">
        <v>4024</v>
      </c>
    </row>
    <row r="741" spans="2:4">
      <c r="B741" s="4" t="s">
        <v>2668</v>
      </c>
      <c r="C741" s="73" t="s">
        <v>4025</v>
      </c>
      <c r="D741" s="4" t="s">
        <v>4026</v>
      </c>
    </row>
    <row r="742" spans="2:4">
      <c r="B742" s="4" t="s">
        <v>2669</v>
      </c>
      <c r="C742" s="73" t="s">
        <v>4027</v>
      </c>
      <c r="D742" s="4" t="s">
        <v>4028</v>
      </c>
    </row>
    <row r="744" spans="2:4">
      <c r="B744" s="4" t="s">
        <v>83</v>
      </c>
      <c r="C744" s="73" t="s">
        <v>4029</v>
      </c>
      <c r="D744" s="4" t="s">
        <v>3873</v>
      </c>
    </row>
    <row r="745" spans="2:4">
      <c r="B745" s="4" t="s">
        <v>3009</v>
      </c>
      <c r="C745" s="73" t="s">
        <v>4030</v>
      </c>
      <c r="D745" s="4" t="s">
        <v>4031</v>
      </c>
    </row>
    <row r="746" spans="2:4">
      <c r="B746" s="4" t="s">
        <v>3009</v>
      </c>
      <c r="C746" s="73" t="s">
        <v>4032</v>
      </c>
      <c r="D746" s="4" t="s">
        <v>4033</v>
      </c>
    </row>
    <row r="747" spans="2:4">
      <c r="B747" s="4" t="s">
        <v>3916</v>
      </c>
      <c r="C747" s="73" t="s">
        <v>4034</v>
      </c>
      <c r="D747" s="4" t="s">
        <v>4035</v>
      </c>
    </row>
    <row r="748" spans="2:4">
      <c r="B748" s="4" t="s">
        <v>3916</v>
      </c>
      <c r="C748" s="73" t="s">
        <v>4036</v>
      </c>
      <c r="D748" s="4" t="s">
        <v>4037</v>
      </c>
    </row>
    <row r="749" spans="2:4">
      <c r="B749" s="4" t="s">
        <v>3916</v>
      </c>
      <c r="C749" s="73" t="s">
        <v>4038</v>
      </c>
      <c r="D749" s="4" t="s">
        <v>4039</v>
      </c>
    </row>
    <row r="751" spans="2:4">
      <c r="B751" t="s">
        <v>4106</v>
      </c>
    </row>
    <row r="752" spans="2:4">
      <c r="B752" s="4" t="s">
        <v>302</v>
      </c>
      <c r="C752" s="73" t="s">
        <v>3872</v>
      </c>
      <c r="D752" s="4" t="s">
        <v>3873</v>
      </c>
    </row>
    <row r="753" spans="2:4">
      <c r="B753" s="4" t="s">
        <v>2665</v>
      </c>
      <c r="C753" s="73" t="s">
        <v>4107</v>
      </c>
      <c r="D753" s="4" t="s">
        <v>4108</v>
      </c>
    </row>
    <row r="754" spans="2:4">
      <c r="B754" s="4" t="s">
        <v>2666</v>
      </c>
      <c r="C754" s="73" t="s">
        <v>4109</v>
      </c>
      <c r="D754" s="4" t="s">
        <v>4110</v>
      </c>
    </row>
    <row r="755" spans="2:4">
      <c r="B755" s="4" t="s">
        <v>2667</v>
      </c>
      <c r="C755" s="73" t="s">
        <v>4111</v>
      </c>
      <c r="D755" s="4" t="s">
        <v>4112</v>
      </c>
    </row>
    <row r="756" spans="2:4">
      <c r="B756" s="4" t="s">
        <v>2668</v>
      </c>
      <c r="C756" s="73" t="s">
        <v>4113</v>
      </c>
      <c r="D756" s="4" t="s">
        <v>4114</v>
      </c>
    </row>
    <row r="757" spans="2:4">
      <c r="B757" s="4" t="s">
        <v>2669</v>
      </c>
      <c r="C757" s="73" t="s">
        <v>4115</v>
      </c>
      <c r="D757" s="4" t="s">
        <v>4116</v>
      </c>
    </row>
    <row r="759" spans="2:4">
      <c r="B759" s="4" t="s">
        <v>83</v>
      </c>
      <c r="C759" s="73" t="s">
        <v>2368</v>
      </c>
      <c r="D759" s="4" t="s">
        <v>3873</v>
      </c>
    </row>
    <row r="760" spans="2:4">
      <c r="B760" s="53" t="s">
        <v>3009</v>
      </c>
      <c r="C760" s="73" t="s">
        <v>4117</v>
      </c>
      <c r="D760" s="4" t="s">
        <v>4118</v>
      </c>
    </row>
    <row r="761" spans="2:4">
      <c r="B761" s="4" t="s">
        <v>3009</v>
      </c>
      <c r="C761" s="73" t="s">
        <v>4119</v>
      </c>
      <c r="D761" s="4" t="s">
        <v>4120</v>
      </c>
    </row>
    <row r="762" spans="2:4">
      <c r="B762" s="4" t="s">
        <v>3916</v>
      </c>
      <c r="C762" s="73" t="s">
        <v>4121</v>
      </c>
      <c r="D762" s="4" t="s">
        <v>4122</v>
      </c>
    </row>
    <row r="763" spans="2:4">
      <c r="B763" s="4" t="s">
        <v>3916</v>
      </c>
      <c r="C763" s="73" t="s">
        <v>4123</v>
      </c>
      <c r="D763" s="4" t="s">
        <v>4124</v>
      </c>
    </row>
    <row r="764" spans="2:4">
      <c r="B764" s="4" t="s">
        <v>3916</v>
      </c>
      <c r="C764" s="73" t="s">
        <v>4125</v>
      </c>
      <c r="D764" s="4" t="s">
        <v>4126</v>
      </c>
    </row>
    <row r="767" spans="2:4">
      <c r="B767" t="s">
        <v>4152</v>
      </c>
    </row>
    <row r="768" spans="2:4">
      <c r="B768" s="4" t="s">
        <v>302</v>
      </c>
      <c r="C768" s="73" t="s">
        <v>510</v>
      </c>
      <c r="D768" s="4" t="s">
        <v>467</v>
      </c>
    </row>
    <row r="769" spans="2:4">
      <c r="B769" s="4" t="s">
        <v>4059</v>
      </c>
      <c r="C769" s="73" t="s">
        <v>4153</v>
      </c>
      <c r="D769" s="4" t="s">
        <v>4154</v>
      </c>
    </row>
    <row r="770" spans="2:4">
      <c r="B770" s="4" t="s">
        <v>4060</v>
      </c>
      <c r="C770" s="73" t="s">
        <v>4155</v>
      </c>
      <c r="D770" s="4" t="s">
        <v>4156</v>
      </c>
    </row>
    <row r="771" spans="2:4">
      <c r="B771" s="4" t="s">
        <v>4061</v>
      </c>
      <c r="C771" s="73" t="s">
        <v>4157</v>
      </c>
      <c r="D771" s="4" t="s">
        <v>4158</v>
      </c>
    </row>
    <row r="772" spans="2:4">
      <c r="B772" s="4" t="s">
        <v>4062</v>
      </c>
      <c r="C772" s="73" t="s">
        <v>4159</v>
      </c>
      <c r="D772" s="4" t="s">
        <v>4160</v>
      </c>
    </row>
    <row r="773" spans="2:4">
      <c r="B773" s="4" t="s">
        <v>4063</v>
      </c>
      <c r="C773" s="73" t="s">
        <v>4161</v>
      </c>
      <c r="D773" s="4" t="s">
        <v>4162</v>
      </c>
    </row>
    <row r="775" spans="2:4">
      <c r="B775" s="4" t="s">
        <v>83</v>
      </c>
      <c r="C775" s="73" t="s">
        <v>2368</v>
      </c>
      <c r="D775" s="4" t="s">
        <v>467</v>
      </c>
    </row>
    <row r="776" spans="2:4">
      <c r="B776" s="4" t="s">
        <v>3878</v>
      </c>
      <c r="C776" s="73" t="s">
        <v>4163</v>
      </c>
      <c r="D776" s="4" t="s">
        <v>4164</v>
      </c>
    </row>
    <row r="777" spans="2:4">
      <c r="B777" s="4" t="s">
        <v>83</v>
      </c>
      <c r="C777" s="73" t="s">
        <v>2368</v>
      </c>
      <c r="D777" s="4" t="s">
        <v>467</v>
      </c>
    </row>
    <row r="778" spans="2:4">
      <c r="B778" s="4" t="s">
        <v>2793</v>
      </c>
      <c r="C778" s="73" t="s">
        <v>4165</v>
      </c>
      <c r="D778" s="4" t="s">
        <v>4166</v>
      </c>
    </row>
    <row r="780" spans="2:4">
      <c r="B780" t="s">
        <v>4585</v>
      </c>
    </row>
    <row r="781" spans="2:4">
      <c r="B781" s="4" t="s">
        <v>302</v>
      </c>
      <c r="C781" s="73" t="s">
        <v>3872</v>
      </c>
      <c r="D781" s="4" t="s">
        <v>3873</v>
      </c>
    </row>
    <row r="782" spans="2:4">
      <c r="B782" s="4" t="s">
        <v>4059</v>
      </c>
      <c r="C782" s="73" t="s">
        <v>4575</v>
      </c>
      <c r="D782" s="4" t="s">
        <v>4576</v>
      </c>
    </row>
    <row r="783" spans="2:4">
      <c r="B783" s="4" t="s">
        <v>4060</v>
      </c>
      <c r="C783" s="73" t="s">
        <v>4577</v>
      </c>
      <c r="D783" s="4" t="s">
        <v>4578</v>
      </c>
    </row>
    <row r="784" spans="2:4">
      <c r="B784" s="4" t="s">
        <v>4061</v>
      </c>
      <c r="C784" s="73" t="s">
        <v>4579</v>
      </c>
      <c r="D784" s="4" t="s">
        <v>4580</v>
      </c>
    </row>
    <row r="785" spans="2:4">
      <c r="B785" s="4" t="s">
        <v>4062</v>
      </c>
      <c r="C785" s="73" t="s">
        <v>4581</v>
      </c>
      <c r="D785" s="4" t="s">
        <v>4582</v>
      </c>
    </row>
    <row r="786" spans="2:4">
      <c r="B786" s="4" t="s">
        <v>4063</v>
      </c>
      <c r="C786" s="73" t="s">
        <v>4583</v>
      </c>
      <c r="D786" s="4" t="s">
        <v>4584</v>
      </c>
    </row>
    <row r="788" spans="2:4">
      <c r="B788" s="4" t="s">
        <v>83</v>
      </c>
      <c r="C788" s="73" t="s">
        <v>2368</v>
      </c>
      <c r="D788" s="4" t="s">
        <v>3873</v>
      </c>
    </row>
    <row r="789" spans="2:4">
      <c r="B789" s="4" t="s">
        <v>3009</v>
      </c>
      <c r="C789" s="73" t="s">
        <v>4586</v>
      </c>
      <c r="D789" s="4" t="s">
        <v>4587</v>
      </c>
    </row>
    <row r="790" spans="2:4">
      <c r="B790" s="4" t="s">
        <v>3009</v>
      </c>
      <c r="C790" s="73" t="s">
        <v>4588</v>
      </c>
      <c r="D790" s="4" t="s">
        <v>4589</v>
      </c>
    </row>
    <row r="791" spans="2:4">
      <c r="B791" s="4" t="s">
        <v>4381</v>
      </c>
      <c r="C791" s="73" t="s">
        <v>4590</v>
      </c>
      <c r="D791" s="4" t="s">
        <v>4591</v>
      </c>
    </row>
    <row r="792" spans="2:4">
      <c r="B792" s="4" t="s">
        <v>4381</v>
      </c>
      <c r="C792" s="73" t="s">
        <v>4592</v>
      </c>
      <c r="D792" s="4" t="s">
        <v>4593</v>
      </c>
    </row>
    <row r="793" spans="2:4">
      <c r="B793" s="4" t="s">
        <v>4381</v>
      </c>
      <c r="C793" s="73" t="s">
        <v>4594</v>
      </c>
      <c r="D793" s="4" t="s">
        <v>4595</v>
      </c>
    </row>
    <row r="796" spans="2:4">
      <c r="B796" s="11" t="s">
        <v>4616</v>
      </c>
      <c r="C796" s="75"/>
      <c r="D796" s="11"/>
    </row>
    <row r="797" spans="2:4">
      <c r="B797" s="53" t="s">
        <v>302</v>
      </c>
      <c r="C797" s="76" t="s">
        <v>3872</v>
      </c>
      <c r="D797" s="53" t="s">
        <v>3873</v>
      </c>
    </row>
    <row r="798" spans="2:4">
      <c r="B798" s="53" t="s">
        <v>4059</v>
      </c>
      <c r="C798" s="76" t="s">
        <v>4617</v>
      </c>
      <c r="D798" s="53" t="s">
        <v>4618</v>
      </c>
    </row>
    <row r="799" spans="2:4">
      <c r="B799" s="53" t="s">
        <v>4060</v>
      </c>
      <c r="C799" s="76" t="s">
        <v>4619</v>
      </c>
      <c r="D799" s="53" t="s">
        <v>4620</v>
      </c>
    </row>
    <row r="800" spans="2:4">
      <c r="B800" s="53" t="s">
        <v>4061</v>
      </c>
      <c r="C800" s="76" t="s">
        <v>4621</v>
      </c>
      <c r="D800" s="53" t="s">
        <v>4622</v>
      </c>
    </row>
    <row r="801" spans="2:4">
      <c r="B801" s="53" t="s">
        <v>4062</v>
      </c>
      <c r="C801" s="76" t="s">
        <v>4623</v>
      </c>
      <c r="D801" s="53" t="s">
        <v>4624</v>
      </c>
    </row>
    <row r="802" spans="2:4">
      <c r="B802" s="53" t="s">
        <v>4063</v>
      </c>
      <c r="C802" s="76" t="s">
        <v>4625</v>
      </c>
      <c r="D802" s="53" t="s">
        <v>4626</v>
      </c>
    </row>
    <row r="803" spans="2:4">
      <c r="B803" s="11"/>
      <c r="C803" s="75"/>
      <c r="D803" s="11"/>
    </row>
    <row r="804" spans="2:4">
      <c r="B804" s="53" t="s">
        <v>83</v>
      </c>
      <c r="C804" s="76" t="s">
        <v>2368</v>
      </c>
      <c r="D804" s="53" t="s">
        <v>3873</v>
      </c>
    </row>
    <row r="805" spans="2:4">
      <c r="B805" s="53" t="s">
        <v>3009</v>
      </c>
      <c r="C805" s="76" t="s">
        <v>4627</v>
      </c>
      <c r="D805" s="53" t="s">
        <v>4628</v>
      </c>
    </row>
    <row r="806" spans="2:4">
      <c r="B806" s="53" t="s">
        <v>3009</v>
      </c>
      <c r="C806" s="76" t="s">
        <v>4629</v>
      </c>
      <c r="D806" s="53" t="s">
        <v>4630</v>
      </c>
    </row>
    <row r="807" spans="2:4">
      <c r="B807" s="53" t="s">
        <v>4381</v>
      </c>
      <c r="C807" s="76" t="s">
        <v>4631</v>
      </c>
      <c r="D807" s="53" t="s">
        <v>4632</v>
      </c>
    </row>
    <row r="808" spans="2:4">
      <c r="B808" s="53" t="s">
        <v>4381</v>
      </c>
      <c r="C808" s="76" t="s">
        <v>4633</v>
      </c>
      <c r="D808" s="53" t="s">
        <v>4634</v>
      </c>
    </row>
    <row r="809" spans="2:4">
      <c r="B809" s="53" t="s">
        <v>4381</v>
      </c>
      <c r="C809" s="76" t="s">
        <v>4635</v>
      </c>
      <c r="D809" s="53" t="s">
        <v>4636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93017-9BAD-4135-B59F-625E11B5644F}">
  <sheetPr>
    <tabColor rgb="FFFFC000"/>
  </sheetPr>
  <dimension ref="B2:D466"/>
  <sheetViews>
    <sheetView zoomScale="85" zoomScaleNormal="85" workbookViewId="0">
      <selection activeCell="C13" sqref="C13"/>
    </sheetView>
  </sheetViews>
  <sheetFormatPr defaultRowHeight="17.399999999999999"/>
  <cols>
    <col min="2" max="2" width="21.69921875" bestFit="1" customWidth="1"/>
    <col min="3" max="3" width="49.8984375" style="66" customWidth="1"/>
    <col min="4" max="4" width="139.5" customWidth="1"/>
    <col min="5" max="5" width="44.3984375" bestFit="1" customWidth="1"/>
  </cols>
  <sheetData>
    <row r="2" spans="2:4">
      <c r="B2" t="s">
        <v>90</v>
      </c>
    </row>
    <row r="3" spans="2:4">
      <c r="B3" s="4" t="s">
        <v>302</v>
      </c>
      <c r="C3" s="73" t="s">
        <v>1114</v>
      </c>
      <c r="D3" s="4" t="s">
        <v>467</v>
      </c>
    </row>
    <row r="4" spans="2:4">
      <c r="B4" s="4" t="s">
        <v>2666</v>
      </c>
      <c r="C4" s="73" t="s">
        <v>3698</v>
      </c>
      <c r="D4" s="4" t="s">
        <v>3699</v>
      </c>
    </row>
    <row r="5" spans="2:4">
      <c r="B5" s="4" t="s">
        <v>2666</v>
      </c>
      <c r="C5" s="73" t="s">
        <v>3700</v>
      </c>
      <c r="D5" s="4" t="s">
        <v>3701</v>
      </c>
    </row>
    <row r="6" spans="2:4">
      <c r="B6" s="4" t="s">
        <v>2667</v>
      </c>
      <c r="C6" s="73" t="s">
        <v>3702</v>
      </c>
      <c r="D6" s="4" t="s">
        <v>3703</v>
      </c>
    </row>
    <row r="7" spans="2:4">
      <c r="B7" s="4" t="s">
        <v>2667</v>
      </c>
      <c r="C7" s="73" t="s">
        <v>3704</v>
      </c>
      <c r="D7" s="4" t="s">
        <v>3705</v>
      </c>
    </row>
    <row r="8" spans="2:4">
      <c r="B8" s="4" t="s">
        <v>2668</v>
      </c>
      <c r="C8" s="73" t="s">
        <v>3706</v>
      </c>
      <c r="D8" s="4" t="s">
        <v>3707</v>
      </c>
    </row>
    <row r="9" spans="2:4">
      <c r="B9" s="4" t="s">
        <v>2668</v>
      </c>
      <c r="C9" s="73" t="s">
        <v>3708</v>
      </c>
      <c r="D9" s="4" t="s">
        <v>3709</v>
      </c>
    </row>
    <row r="10" spans="2:4">
      <c r="B10" s="4" t="s">
        <v>2669</v>
      </c>
      <c r="C10" s="73" t="s">
        <v>3710</v>
      </c>
      <c r="D10" s="4" t="s">
        <v>3711</v>
      </c>
    </row>
    <row r="11" spans="2:4">
      <c r="B11" s="4" t="s">
        <v>2669</v>
      </c>
      <c r="C11" s="73" t="s">
        <v>3712</v>
      </c>
      <c r="D11" s="4" t="s">
        <v>3713</v>
      </c>
    </row>
    <row r="13" spans="2:4">
      <c r="B13" s="4" t="s">
        <v>83</v>
      </c>
      <c r="C13" s="73" t="s">
        <v>2368</v>
      </c>
      <c r="D13" s="4" t="s">
        <v>467</v>
      </c>
    </row>
    <row r="14" spans="2:4">
      <c r="B14" s="4" t="s">
        <v>3009</v>
      </c>
      <c r="C14" s="73" t="s">
        <v>3714</v>
      </c>
      <c r="D14" s="4" t="s">
        <v>3715</v>
      </c>
    </row>
    <row r="15" spans="2:4">
      <c r="B15" s="4" t="s">
        <v>3009</v>
      </c>
      <c r="C15" s="73" t="s">
        <v>3716</v>
      </c>
      <c r="D15" s="4" t="s">
        <v>3717</v>
      </c>
    </row>
    <row r="16" spans="2:4">
      <c r="B16" s="4" t="s">
        <v>3009</v>
      </c>
      <c r="C16" s="73" t="s">
        <v>3718</v>
      </c>
      <c r="D16" s="4" t="s">
        <v>3719</v>
      </c>
    </row>
    <row r="17" spans="2:4">
      <c r="B17" s="4" t="s">
        <v>3009</v>
      </c>
      <c r="C17" s="73" t="s">
        <v>3720</v>
      </c>
      <c r="D17" s="4" t="s">
        <v>3721</v>
      </c>
    </row>
    <row r="18" spans="2:4">
      <c r="B18" s="4"/>
      <c r="C18" s="73"/>
      <c r="D18" s="4"/>
    </row>
    <row r="19" spans="2:4">
      <c r="B19" s="3" t="s">
        <v>2829</v>
      </c>
      <c r="C19" s="73" t="s">
        <v>3722</v>
      </c>
      <c r="D19" s="4" t="s">
        <v>3723</v>
      </c>
    </row>
    <row r="20" spans="2:4">
      <c r="B20" s="3" t="s">
        <v>2829</v>
      </c>
      <c r="C20" s="73" t="s">
        <v>3724</v>
      </c>
      <c r="D20" s="4" t="s">
        <v>3725</v>
      </c>
    </row>
    <row r="21" spans="2:4">
      <c r="B21" s="3" t="s">
        <v>2829</v>
      </c>
      <c r="C21" s="73" t="s">
        <v>3726</v>
      </c>
      <c r="D21" s="4" t="s">
        <v>3727</v>
      </c>
    </row>
    <row r="22" spans="2:4">
      <c r="B22" s="3" t="s">
        <v>2829</v>
      </c>
      <c r="C22" s="74" t="s">
        <v>3728</v>
      </c>
      <c r="D22" s="4" t="s">
        <v>3729</v>
      </c>
    </row>
    <row r="23" spans="2:4">
      <c r="B23" s="4" t="s">
        <v>2829</v>
      </c>
      <c r="C23" s="73" t="s">
        <v>3730</v>
      </c>
      <c r="D23" s="4" t="s">
        <v>3731</v>
      </c>
    </row>
    <row r="24" spans="2:4">
      <c r="B24" s="21"/>
    </row>
    <row r="25" spans="2:4">
      <c r="B25" s="21" t="s">
        <v>2392</v>
      </c>
    </row>
    <row r="26" spans="2:4">
      <c r="B26" s="4" t="s">
        <v>302</v>
      </c>
      <c r="C26" s="73" t="s">
        <v>1114</v>
      </c>
      <c r="D26" s="4" t="s">
        <v>467</v>
      </c>
    </row>
    <row r="27" spans="2:4">
      <c r="B27" s="4" t="s">
        <v>2665</v>
      </c>
      <c r="C27" s="73" t="s">
        <v>3732</v>
      </c>
      <c r="D27" s="4" t="s">
        <v>3733</v>
      </c>
    </row>
    <row r="28" spans="2:4">
      <c r="B28" s="4" t="s">
        <v>2665</v>
      </c>
      <c r="C28" s="73" t="s">
        <v>3734</v>
      </c>
      <c r="D28" s="4" t="s">
        <v>3735</v>
      </c>
    </row>
    <row r="29" spans="2:4">
      <c r="B29" s="4"/>
      <c r="C29" s="73"/>
      <c r="D29" s="4"/>
    </row>
    <row r="30" spans="2:4">
      <c r="B30" s="4" t="s">
        <v>2666</v>
      </c>
      <c r="C30" s="73" t="s">
        <v>3736</v>
      </c>
      <c r="D30" s="4" t="s">
        <v>3737</v>
      </c>
    </row>
    <row r="31" spans="2:4">
      <c r="B31" s="4" t="s">
        <v>2666</v>
      </c>
      <c r="C31" s="73" t="s">
        <v>3738</v>
      </c>
      <c r="D31" s="4" t="s">
        <v>3739</v>
      </c>
    </row>
    <row r="32" spans="2:4">
      <c r="B32" s="4"/>
      <c r="C32" s="73"/>
      <c r="D32" s="4"/>
    </row>
    <row r="33" spans="2:4">
      <c r="B33" s="4" t="s">
        <v>2667</v>
      </c>
      <c r="C33" s="73" t="s">
        <v>3740</v>
      </c>
      <c r="D33" s="4" t="s">
        <v>3741</v>
      </c>
    </row>
    <row r="34" spans="2:4">
      <c r="B34" s="4" t="s">
        <v>2667</v>
      </c>
      <c r="C34" s="73" t="s">
        <v>3742</v>
      </c>
      <c r="D34" s="4" t="s">
        <v>3743</v>
      </c>
    </row>
    <row r="35" spans="2:4">
      <c r="B35" s="4"/>
      <c r="C35" s="73"/>
      <c r="D35" s="4"/>
    </row>
    <row r="36" spans="2:4">
      <c r="B36" s="4" t="s">
        <v>2668</v>
      </c>
      <c r="C36" s="73" t="s">
        <v>3744</v>
      </c>
      <c r="D36" s="4" t="s">
        <v>3745</v>
      </c>
    </row>
    <row r="37" spans="2:4">
      <c r="B37" s="4" t="s">
        <v>2668</v>
      </c>
      <c r="C37" s="73" t="s">
        <v>3746</v>
      </c>
      <c r="D37" s="4" t="s">
        <v>3747</v>
      </c>
    </row>
    <row r="38" spans="2:4">
      <c r="B38" s="4"/>
      <c r="C38" s="73"/>
      <c r="D38" s="4"/>
    </row>
    <row r="39" spans="2:4">
      <c r="B39" s="4" t="s">
        <v>2669</v>
      </c>
      <c r="C39" s="73" t="s">
        <v>3748</v>
      </c>
      <c r="D39" s="4" t="s">
        <v>3749</v>
      </c>
    </row>
    <row r="40" spans="2:4">
      <c r="B40" s="4" t="s">
        <v>2669</v>
      </c>
      <c r="C40" s="73" t="s">
        <v>3750</v>
      </c>
      <c r="D40" s="4" t="s">
        <v>3751</v>
      </c>
    </row>
    <row r="43" spans="2:4">
      <c r="B43" s="4" t="s">
        <v>83</v>
      </c>
      <c r="C43" s="73" t="s">
        <v>2368</v>
      </c>
      <c r="D43" s="4" t="s">
        <v>467</v>
      </c>
    </row>
    <row r="44" spans="2:4">
      <c r="B44" s="4" t="s">
        <v>3009</v>
      </c>
      <c r="C44" s="73" t="s">
        <v>3752</v>
      </c>
      <c r="D44" s="4" t="s">
        <v>3753</v>
      </c>
    </row>
    <row r="45" spans="2:4">
      <c r="B45" s="4" t="s">
        <v>3009</v>
      </c>
      <c r="C45" s="73" t="s">
        <v>3754</v>
      </c>
      <c r="D45" s="4" t="s">
        <v>3755</v>
      </c>
    </row>
    <row r="46" spans="2:4">
      <c r="B46" s="4" t="s">
        <v>3009</v>
      </c>
      <c r="C46" s="73" t="s">
        <v>3756</v>
      </c>
      <c r="D46" s="4" t="s">
        <v>3757</v>
      </c>
    </row>
    <row r="47" spans="2:4">
      <c r="B47" s="4"/>
      <c r="C47" s="73"/>
      <c r="D47" s="4"/>
    </row>
    <row r="48" spans="2:4">
      <c r="B48" s="4" t="s">
        <v>2829</v>
      </c>
      <c r="C48" s="73" t="s">
        <v>3758</v>
      </c>
      <c r="D48" s="4" t="s">
        <v>3759</v>
      </c>
    </row>
    <row r="49" spans="2:4">
      <c r="B49" s="4" t="s">
        <v>2829</v>
      </c>
      <c r="C49" s="73" t="s">
        <v>3760</v>
      </c>
      <c r="D49" s="4" t="s">
        <v>3761</v>
      </c>
    </row>
    <row r="50" spans="2:4">
      <c r="B50" s="4" t="s">
        <v>2829</v>
      </c>
      <c r="C50" s="73" t="s">
        <v>3762</v>
      </c>
      <c r="D50" s="4" t="s">
        <v>3763</v>
      </c>
    </row>
    <row r="51" spans="2:4">
      <c r="B51" s="4" t="s">
        <v>2829</v>
      </c>
      <c r="C51" s="73" t="s">
        <v>3764</v>
      </c>
      <c r="D51" s="4" t="s">
        <v>3765</v>
      </c>
    </row>
    <row r="52" spans="2:4">
      <c r="B52" s="4" t="s">
        <v>2829</v>
      </c>
      <c r="C52" s="73" t="s">
        <v>3766</v>
      </c>
      <c r="D52" s="4" t="s">
        <v>3767</v>
      </c>
    </row>
    <row r="54" spans="2:4">
      <c r="B54" t="s">
        <v>2562</v>
      </c>
    </row>
    <row r="55" spans="2:4">
      <c r="B55" s="4" t="s">
        <v>302</v>
      </c>
      <c r="C55" s="73" t="s">
        <v>1114</v>
      </c>
      <c r="D55" s="4" t="s">
        <v>467</v>
      </c>
    </row>
    <row r="56" spans="2:4">
      <c r="B56" s="4" t="s">
        <v>2665</v>
      </c>
      <c r="C56" s="73" t="s">
        <v>3768</v>
      </c>
      <c r="D56" s="4" t="s">
        <v>3769</v>
      </c>
    </row>
    <row r="57" spans="2:4">
      <c r="B57" s="4" t="s">
        <v>2665</v>
      </c>
      <c r="C57" s="73" t="s">
        <v>3770</v>
      </c>
      <c r="D57" s="4" t="s">
        <v>3771</v>
      </c>
    </row>
    <row r="58" spans="2:4">
      <c r="B58" s="4" t="s">
        <v>2666</v>
      </c>
      <c r="C58" s="73" t="s">
        <v>3772</v>
      </c>
      <c r="D58" s="4" t="s">
        <v>3773</v>
      </c>
    </row>
    <row r="59" spans="2:4">
      <c r="B59" s="4" t="s">
        <v>2666</v>
      </c>
      <c r="C59" s="73" t="s">
        <v>3774</v>
      </c>
      <c r="D59" s="4" t="s">
        <v>3775</v>
      </c>
    </row>
    <row r="60" spans="2:4">
      <c r="B60" s="4" t="s">
        <v>2667</v>
      </c>
      <c r="C60" s="73" t="s">
        <v>3776</v>
      </c>
      <c r="D60" s="4" t="s">
        <v>3777</v>
      </c>
    </row>
    <row r="61" spans="2:4">
      <c r="B61" s="4" t="s">
        <v>2667</v>
      </c>
      <c r="C61" s="73" t="s">
        <v>3778</v>
      </c>
      <c r="D61" s="4" t="s">
        <v>3779</v>
      </c>
    </row>
    <row r="62" spans="2:4">
      <c r="B62" s="4" t="s">
        <v>2668</v>
      </c>
      <c r="C62" s="73" t="s">
        <v>3780</v>
      </c>
      <c r="D62" s="4" t="s">
        <v>3781</v>
      </c>
    </row>
    <row r="63" spans="2:4">
      <c r="B63" s="4" t="s">
        <v>2668</v>
      </c>
      <c r="C63" s="73" t="s">
        <v>3782</v>
      </c>
      <c r="D63" s="4" t="s">
        <v>3783</v>
      </c>
    </row>
    <row r="64" spans="2:4">
      <c r="B64" s="4" t="s">
        <v>2669</v>
      </c>
      <c r="C64" s="73" t="s">
        <v>3784</v>
      </c>
      <c r="D64" s="4" t="s">
        <v>3785</v>
      </c>
    </row>
    <row r="65" spans="2:4">
      <c r="B65" s="4" t="s">
        <v>2669</v>
      </c>
      <c r="C65" s="73" t="s">
        <v>3786</v>
      </c>
      <c r="D65" s="4" t="s">
        <v>3787</v>
      </c>
    </row>
    <row r="68" spans="2:4">
      <c r="B68" s="4" t="s">
        <v>83</v>
      </c>
      <c r="C68" s="73" t="s">
        <v>2368</v>
      </c>
      <c r="D68" s="4" t="s">
        <v>467</v>
      </c>
    </row>
    <row r="69" spans="2:4">
      <c r="B69" s="4" t="s">
        <v>3009</v>
      </c>
      <c r="C69" s="73" t="s">
        <v>3788</v>
      </c>
      <c r="D69" s="4" t="s">
        <v>3789</v>
      </c>
    </row>
    <row r="70" spans="2:4">
      <c r="B70" s="4" t="s">
        <v>3009</v>
      </c>
      <c r="C70" s="73" t="s">
        <v>3790</v>
      </c>
      <c r="D70" s="4" t="s">
        <v>3791</v>
      </c>
    </row>
    <row r="71" spans="2:4">
      <c r="B71" s="4" t="s">
        <v>3009</v>
      </c>
      <c r="C71" s="73" t="s">
        <v>3792</v>
      </c>
      <c r="D71" s="4" t="s">
        <v>3793</v>
      </c>
    </row>
    <row r="72" spans="2:4">
      <c r="B72" s="4" t="s">
        <v>3009</v>
      </c>
      <c r="C72" s="73" t="s">
        <v>3794</v>
      </c>
      <c r="D72" s="4" t="s">
        <v>3795</v>
      </c>
    </row>
    <row r="73" spans="2:4">
      <c r="B73" s="4"/>
      <c r="C73" s="73"/>
      <c r="D73" s="4"/>
    </row>
    <row r="74" spans="2:4">
      <c r="B74" s="4" t="s">
        <v>2829</v>
      </c>
      <c r="C74" s="73" t="s">
        <v>3796</v>
      </c>
      <c r="D74" s="4" t="s">
        <v>3797</v>
      </c>
    </row>
    <row r="75" spans="2:4">
      <c r="B75" s="4" t="s">
        <v>2829</v>
      </c>
      <c r="C75" s="73" t="s">
        <v>3798</v>
      </c>
      <c r="D75" s="4" t="s">
        <v>3799</v>
      </c>
    </row>
    <row r="76" spans="2:4">
      <c r="B76" s="4" t="s">
        <v>2829</v>
      </c>
      <c r="C76" s="73" t="s">
        <v>3800</v>
      </c>
      <c r="D76" s="4" t="s">
        <v>3801</v>
      </c>
    </row>
    <row r="77" spans="2:4">
      <c r="B77" s="4" t="s">
        <v>2829</v>
      </c>
      <c r="C77" s="73" t="s">
        <v>3802</v>
      </c>
      <c r="D77" s="4" t="s">
        <v>3803</v>
      </c>
    </row>
    <row r="78" spans="2:4">
      <c r="B78" s="4" t="s">
        <v>2829</v>
      </c>
      <c r="C78" s="73" t="s">
        <v>3804</v>
      </c>
      <c r="D78" s="4" t="s">
        <v>3805</v>
      </c>
    </row>
    <row r="80" spans="2:4">
      <c r="B80" t="s">
        <v>2051</v>
      </c>
    </row>
    <row r="81" spans="2:4">
      <c r="B81" s="4" t="s">
        <v>302</v>
      </c>
      <c r="C81" s="73" t="s">
        <v>1114</v>
      </c>
      <c r="D81" s="4" t="s">
        <v>467</v>
      </c>
    </row>
    <row r="82" spans="2:4">
      <c r="B82" s="4" t="s">
        <v>2665</v>
      </c>
      <c r="C82" s="73" t="s">
        <v>3806</v>
      </c>
      <c r="D82" s="4" t="s">
        <v>3807</v>
      </c>
    </row>
    <row r="83" spans="2:4">
      <c r="B83" s="4" t="s">
        <v>2665</v>
      </c>
      <c r="C83" s="73" t="s">
        <v>3808</v>
      </c>
      <c r="D83" s="4" t="s">
        <v>3809</v>
      </c>
    </row>
    <row r="84" spans="2:4">
      <c r="B84" s="4" t="s">
        <v>2666</v>
      </c>
      <c r="C84" s="73" t="s">
        <v>3810</v>
      </c>
      <c r="D84" s="4" t="s">
        <v>3811</v>
      </c>
    </row>
    <row r="85" spans="2:4">
      <c r="B85" s="4" t="s">
        <v>2666</v>
      </c>
      <c r="C85" s="73" t="s">
        <v>3812</v>
      </c>
      <c r="D85" s="4" t="s">
        <v>3813</v>
      </c>
    </row>
    <row r="86" spans="2:4">
      <c r="B86" s="4" t="s">
        <v>2667</v>
      </c>
      <c r="C86" s="73" t="s">
        <v>3814</v>
      </c>
      <c r="D86" s="4" t="s">
        <v>3815</v>
      </c>
    </row>
    <row r="87" spans="2:4">
      <c r="B87" s="4" t="s">
        <v>2667</v>
      </c>
      <c r="C87" s="73" t="s">
        <v>3816</v>
      </c>
      <c r="D87" s="4" t="s">
        <v>3817</v>
      </c>
    </row>
    <row r="88" spans="2:4">
      <c r="B88" s="4" t="s">
        <v>2668</v>
      </c>
      <c r="C88" s="73" t="s">
        <v>3818</v>
      </c>
      <c r="D88" s="4" t="s">
        <v>3819</v>
      </c>
    </row>
    <row r="89" spans="2:4">
      <c r="B89" s="4" t="s">
        <v>2668</v>
      </c>
      <c r="C89" s="73" t="s">
        <v>3820</v>
      </c>
      <c r="D89" s="4" t="s">
        <v>3821</v>
      </c>
    </row>
    <row r="90" spans="2:4">
      <c r="B90" s="4" t="s">
        <v>2669</v>
      </c>
      <c r="C90" s="73" t="s">
        <v>3822</v>
      </c>
      <c r="D90" s="4" t="s">
        <v>3823</v>
      </c>
    </row>
    <row r="91" spans="2:4">
      <c r="B91" s="4" t="s">
        <v>2669</v>
      </c>
      <c r="C91" s="73" t="s">
        <v>3824</v>
      </c>
      <c r="D91" s="4" t="s">
        <v>3825</v>
      </c>
    </row>
    <row r="93" spans="2:4">
      <c r="B93" s="4" t="s">
        <v>83</v>
      </c>
      <c r="C93" s="73" t="s">
        <v>2368</v>
      </c>
      <c r="D93" s="4" t="s">
        <v>467</v>
      </c>
    </row>
    <row r="94" spans="2:4">
      <c r="B94" s="4" t="s">
        <v>3009</v>
      </c>
      <c r="C94" s="73" t="s">
        <v>3826</v>
      </c>
      <c r="D94" s="4" t="s">
        <v>3827</v>
      </c>
    </row>
    <row r="95" spans="2:4">
      <c r="B95" s="4" t="s">
        <v>3009</v>
      </c>
      <c r="C95" s="73" t="s">
        <v>3828</v>
      </c>
      <c r="D95" s="4" t="s">
        <v>3829</v>
      </c>
    </row>
    <row r="96" spans="2:4">
      <c r="B96" s="4" t="s">
        <v>3009</v>
      </c>
      <c r="C96" s="73" t="s">
        <v>3830</v>
      </c>
      <c r="D96" s="4" t="s">
        <v>3831</v>
      </c>
    </row>
    <row r="97" spans="2:4">
      <c r="B97" s="4" t="s">
        <v>3009</v>
      </c>
      <c r="C97" s="73" t="s">
        <v>3832</v>
      </c>
      <c r="D97" s="4" t="s">
        <v>3833</v>
      </c>
    </row>
    <row r="98" spans="2:4">
      <c r="B98" s="4"/>
      <c r="C98" s="73"/>
      <c r="D98" s="4"/>
    </row>
    <row r="99" spans="2:4">
      <c r="B99" s="4" t="s">
        <v>2829</v>
      </c>
      <c r="C99" s="73" t="s">
        <v>3834</v>
      </c>
      <c r="D99" s="4" t="s">
        <v>3835</v>
      </c>
    </row>
    <row r="100" spans="2:4">
      <c r="B100" s="4" t="s">
        <v>2829</v>
      </c>
      <c r="C100" s="73" t="s">
        <v>3836</v>
      </c>
      <c r="D100" s="4" t="s">
        <v>3837</v>
      </c>
    </row>
    <row r="101" spans="2:4">
      <c r="B101" s="4" t="s">
        <v>2829</v>
      </c>
      <c r="C101" s="73" t="s">
        <v>3838</v>
      </c>
      <c r="D101" s="4" t="s">
        <v>3839</v>
      </c>
    </row>
    <row r="102" spans="2:4">
      <c r="B102" s="4" t="s">
        <v>2829</v>
      </c>
      <c r="C102" s="73" t="s">
        <v>3840</v>
      </c>
      <c r="D102" s="4" t="s">
        <v>3841</v>
      </c>
    </row>
    <row r="103" spans="2:4">
      <c r="B103" s="4" t="s">
        <v>2829</v>
      </c>
      <c r="C103" s="73" t="s">
        <v>3842</v>
      </c>
      <c r="D103" s="4" t="s">
        <v>3843</v>
      </c>
    </row>
    <row r="106" spans="2:4">
      <c r="B106" t="s">
        <v>2418</v>
      </c>
    </row>
    <row r="107" spans="2:4">
      <c r="B107" s="4" t="s">
        <v>302</v>
      </c>
      <c r="C107" s="73" t="s">
        <v>1114</v>
      </c>
      <c r="D107" s="4" t="s">
        <v>467</v>
      </c>
    </row>
    <row r="108" spans="2:4">
      <c r="B108" s="4" t="s">
        <v>2665</v>
      </c>
      <c r="C108" s="73" t="s">
        <v>3844</v>
      </c>
      <c r="D108" s="4" t="s">
        <v>3845</v>
      </c>
    </row>
    <row r="109" spans="2:4">
      <c r="B109" s="4" t="s">
        <v>2666</v>
      </c>
      <c r="C109" s="73" t="s">
        <v>3846</v>
      </c>
      <c r="D109" s="4" t="s">
        <v>3847</v>
      </c>
    </row>
    <row r="110" spans="2:4">
      <c r="B110" s="4" t="s">
        <v>2667</v>
      </c>
      <c r="C110" s="73" t="s">
        <v>3848</v>
      </c>
      <c r="D110" s="4" t="s">
        <v>3849</v>
      </c>
    </row>
    <row r="111" spans="2:4">
      <c r="B111" s="4" t="s">
        <v>2668</v>
      </c>
      <c r="C111" s="73" t="s">
        <v>3850</v>
      </c>
      <c r="D111" s="4" t="s">
        <v>3851</v>
      </c>
    </row>
    <row r="112" spans="2:4">
      <c r="B112" s="4" t="s">
        <v>2669</v>
      </c>
      <c r="C112" s="73" t="s">
        <v>3852</v>
      </c>
      <c r="D112" s="4" t="s">
        <v>3853</v>
      </c>
    </row>
    <row r="115" spans="2:4">
      <c r="B115" s="4" t="s">
        <v>83</v>
      </c>
      <c r="C115" s="73" t="s">
        <v>2368</v>
      </c>
      <c r="D115" s="4" t="s">
        <v>467</v>
      </c>
    </row>
    <row r="116" spans="2:4">
      <c r="B116" s="4" t="s">
        <v>3009</v>
      </c>
      <c r="C116" s="73" t="s">
        <v>3854</v>
      </c>
      <c r="D116" s="4" t="s">
        <v>3855</v>
      </c>
    </row>
    <row r="117" spans="2:4">
      <c r="B117" s="4" t="s">
        <v>3009</v>
      </c>
      <c r="C117" s="73" t="s">
        <v>3856</v>
      </c>
      <c r="D117" s="4" t="s">
        <v>3857</v>
      </c>
    </row>
    <row r="118" spans="2:4">
      <c r="B118" s="4" t="s">
        <v>3009</v>
      </c>
      <c r="C118" s="73" t="s">
        <v>3858</v>
      </c>
      <c r="D118" s="4" t="s">
        <v>3859</v>
      </c>
    </row>
    <row r="119" spans="2:4">
      <c r="B119" s="4" t="s">
        <v>3009</v>
      </c>
      <c r="C119" s="73" t="s">
        <v>3860</v>
      </c>
      <c r="D119" s="4" t="s">
        <v>3861</v>
      </c>
    </row>
    <row r="120" spans="2:4">
      <c r="B120" s="4"/>
      <c r="C120" s="73"/>
      <c r="D120" s="4"/>
    </row>
    <row r="121" spans="2:4">
      <c r="B121" s="4" t="s">
        <v>2829</v>
      </c>
      <c r="C121" s="73" t="s">
        <v>3862</v>
      </c>
      <c r="D121" s="4" t="s">
        <v>3863</v>
      </c>
    </row>
    <row r="122" spans="2:4">
      <c r="B122" s="4" t="s">
        <v>2829</v>
      </c>
      <c r="C122" s="73" t="s">
        <v>3864</v>
      </c>
      <c r="D122" s="4" t="s">
        <v>3865</v>
      </c>
    </row>
    <row r="123" spans="2:4">
      <c r="B123" s="4" t="s">
        <v>2829</v>
      </c>
      <c r="C123" s="73" t="s">
        <v>3866</v>
      </c>
      <c r="D123" s="4" t="s">
        <v>3867</v>
      </c>
    </row>
    <row r="124" spans="2:4">
      <c r="B124" s="4" t="s">
        <v>2829</v>
      </c>
      <c r="C124" s="73" t="s">
        <v>3868</v>
      </c>
      <c r="D124" s="4" t="s">
        <v>3869</v>
      </c>
    </row>
    <row r="125" spans="2:4">
      <c r="B125" s="4" t="s">
        <v>2829</v>
      </c>
      <c r="C125" s="73" t="s">
        <v>3870</v>
      </c>
      <c r="D125" s="4" t="s">
        <v>3871</v>
      </c>
    </row>
    <row r="127" spans="2:4">
      <c r="B127" t="s">
        <v>2419</v>
      </c>
    </row>
    <row r="128" spans="2:4">
      <c r="B128" s="4" t="s">
        <v>302</v>
      </c>
      <c r="C128" s="73" t="s">
        <v>3872</v>
      </c>
      <c r="D128" s="4" t="s">
        <v>3873</v>
      </c>
    </row>
    <row r="129" spans="2:4">
      <c r="B129" s="4" t="s">
        <v>2665</v>
      </c>
      <c r="C129" s="73" t="s">
        <v>3879</v>
      </c>
      <c r="D129" s="4" t="s">
        <v>3880</v>
      </c>
    </row>
    <row r="130" spans="2:4">
      <c r="B130" s="4" t="s">
        <v>2666</v>
      </c>
      <c r="C130" s="73" t="s">
        <v>3874</v>
      </c>
      <c r="D130" s="4" t="s">
        <v>3881</v>
      </c>
    </row>
    <row r="131" spans="2:4">
      <c r="B131" s="4" t="s">
        <v>2667</v>
      </c>
      <c r="C131" s="73" t="s">
        <v>3875</v>
      </c>
      <c r="D131" s="4" t="s">
        <v>3882</v>
      </c>
    </row>
    <row r="132" spans="2:4">
      <c r="B132" s="4" t="s">
        <v>2668</v>
      </c>
      <c r="C132" s="73" t="s">
        <v>3876</v>
      </c>
      <c r="D132" s="4" t="s">
        <v>3883</v>
      </c>
    </row>
    <row r="133" spans="2:4">
      <c r="B133" s="4" t="s">
        <v>2669</v>
      </c>
      <c r="C133" s="73" t="s">
        <v>3877</v>
      </c>
      <c r="D133" s="4" t="s">
        <v>3884</v>
      </c>
    </row>
    <row r="135" spans="2:4">
      <c r="B135" s="4" t="s">
        <v>83</v>
      </c>
      <c r="C135" s="73" t="s">
        <v>2368</v>
      </c>
      <c r="D135" s="4" t="s">
        <v>3873</v>
      </c>
    </row>
    <row r="136" spans="2:4">
      <c r="B136" s="4" t="s">
        <v>3878</v>
      </c>
      <c r="C136" s="73" t="s">
        <v>3885</v>
      </c>
      <c r="D136" s="4" t="s">
        <v>3886</v>
      </c>
    </row>
    <row r="137" spans="2:4">
      <c r="B137" s="4" t="s">
        <v>3878</v>
      </c>
      <c r="C137" s="73" t="s">
        <v>3887</v>
      </c>
      <c r="D137" s="4" t="s">
        <v>3888</v>
      </c>
    </row>
    <row r="138" spans="2:4">
      <c r="B138" s="4" t="s">
        <v>3878</v>
      </c>
      <c r="C138" s="73" t="s">
        <v>3889</v>
      </c>
      <c r="D138" s="4" t="s">
        <v>3890</v>
      </c>
    </row>
    <row r="140" spans="2:4">
      <c r="B140" s="4" t="s">
        <v>83</v>
      </c>
      <c r="C140" s="73" t="s">
        <v>2368</v>
      </c>
      <c r="D140" s="4" t="s">
        <v>3873</v>
      </c>
    </row>
    <row r="141" spans="2:4">
      <c r="B141" s="4" t="s">
        <v>2793</v>
      </c>
      <c r="C141" s="73" t="s">
        <v>3891</v>
      </c>
      <c r="D141" s="4" t="s">
        <v>3892</v>
      </c>
    </row>
    <row r="142" spans="2:4">
      <c r="B142" s="4" t="s">
        <v>2793</v>
      </c>
      <c r="C142" s="73" t="s">
        <v>3893</v>
      </c>
      <c r="D142" s="4" t="s">
        <v>3894</v>
      </c>
    </row>
    <row r="143" spans="2:4">
      <c r="B143" s="4" t="s">
        <v>2793</v>
      </c>
      <c r="C143" s="73" t="s">
        <v>3895</v>
      </c>
      <c r="D143" s="4" t="s">
        <v>3896</v>
      </c>
    </row>
    <row r="144" spans="2:4">
      <c r="B144" s="4" t="s">
        <v>2793</v>
      </c>
      <c r="C144" s="73" t="s">
        <v>3897</v>
      </c>
      <c r="D144" s="4" t="s">
        <v>3898</v>
      </c>
    </row>
    <row r="145" spans="2:4">
      <c r="B145" s="4" t="s">
        <v>2793</v>
      </c>
      <c r="C145" s="73" t="s">
        <v>3899</v>
      </c>
      <c r="D145" s="4" t="s">
        <v>3900</v>
      </c>
    </row>
    <row r="147" spans="2:4">
      <c r="B147" t="s">
        <v>3922</v>
      </c>
    </row>
    <row r="148" spans="2:4">
      <c r="B148" s="4" t="s">
        <v>302</v>
      </c>
      <c r="C148" s="73" t="s">
        <v>3901</v>
      </c>
      <c r="D148" s="4" t="s">
        <v>3873</v>
      </c>
    </row>
    <row r="149" spans="2:4">
      <c r="B149" s="4" t="s">
        <v>2665</v>
      </c>
      <c r="C149" s="73" t="s">
        <v>3923</v>
      </c>
      <c r="D149" s="4" t="s">
        <v>4637</v>
      </c>
    </row>
    <row r="150" spans="2:4">
      <c r="B150" s="4" t="s">
        <v>2666</v>
      </c>
      <c r="C150" s="73" t="s">
        <v>3924</v>
      </c>
      <c r="D150" s="4" t="s">
        <v>3925</v>
      </c>
    </row>
    <row r="151" spans="2:4">
      <c r="B151" s="4" t="s">
        <v>2667</v>
      </c>
      <c r="C151" s="73" t="s">
        <v>3926</v>
      </c>
      <c r="D151" s="4" t="s">
        <v>3927</v>
      </c>
    </row>
    <row r="152" spans="2:4">
      <c r="B152" s="4" t="s">
        <v>2668</v>
      </c>
      <c r="C152" s="73" t="s">
        <v>3928</v>
      </c>
      <c r="D152" s="4" t="s">
        <v>3929</v>
      </c>
    </row>
    <row r="153" spans="2:4">
      <c r="B153" s="4" t="s">
        <v>2669</v>
      </c>
      <c r="C153" s="73" t="s">
        <v>3930</v>
      </c>
      <c r="D153" s="4" t="s">
        <v>3931</v>
      </c>
    </row>
    <row r="155" spans="2:4">
      <c r="B155" s="4" t="s">
        <v>83</v>
      </c>
      <c r="C155" s="73" t="s">
        <v>2368</v>
      </c>
      <c r="D155" s="4" t="s">
        <v>3873</v>
      </c>
    </row>
    <row r="156" spans="2:4">
      <c r="B156" s="4" t="s">
        <v>3009</v>
      </c>
      <c r="C156" s="73" t="s">
        <v>3932</v>
      </c>
      <c r="D156" s="4" t="s">
        <v>3933</v>
      </c>
    </row>
    <row r="157" spans="2:4">
      <c r="B157" s="4" t="s">
        <v>3009</v>
      </c>
      <c r="C157" s="73" t="s">
        <v>3934</v>
      </c>
      <c r="D157" s="4" t="s">
        <v>3935</v>
      </c>
    </row>
    <row r="158" spans="2:4">
      <c r="B158" s="4"/>
      <c r="C158" s="73"/>
      <c r="D158" s="4"/>
    </row>
    <row r="159" spans="2:4">
      <c r="B159" s="4" t="s">
        <v>3916</v>
      </c>
      <c r="C159" s="73" t="s">
        <v>3936</v>
      </c>
      <c r="D159" s="4" t="s">
        <v>3937</v>
      </c>
    </row>
    <row r="160" spans="2:4">
      <c r="B160" s="4" t="s">
        <v>3916</v>
      </c>
      <c r="C160" s="73" t="s">
        <v>3938</v>
      </c>
      <c r="D160" s="4" t="s">
        <v>3939</v>
      </c>
    </row>
    <row r="161" spans="2:4">
      <c r="B161" s="4" t="s">
        <v>3916</v>
      </c>
      <c r="C161" s="73" t="s">
        <v>3940</v>
      </c>
      <c r="D161" s="4" t="s">
        <v>3941</v>
      </c>
    </row>
    <row r="164" spans="2:4">
      <c r="B164" t="s">
        <v>1985</v>
      </c>
    </row>
    <row r="165" spans="2:4">
      <c r="B165" s="4" t="s">
        <v>302</v>
      </c>
      <c r="C165" s="73" t="s">
        <v>3872</v>
      </c>
      <c r="D165" s="4" t="s">
        <v>3873</v>
      </c>
    </row>
    <row r="166" spans="2:4">
      <c r="B166" s="4" t="s">
        <v>2665</v>
      </c>
      <c r="C166" s="73" t="s">
        <v>3942</v>
      </c>
      <c r="D166" s="4" t="s">
        <v>3943</v>
      </c>
    </row>
    <row r="167" spans="2:4">
      <c r="B167" s="4" t="s">
        <v>2666</v>
      </c>
      <c r="C167" s="73" t="s">
        <v>3944</v>
      </c>
      <c r="D167" s="4" t="s">
        <v>3945</v>
      </c>
    </row>
    <row r="168" spans="2:4">
      <c r="B168" s="4" t="s">
        <v>2667</v>
      </c>
      <c r="C168" s="73" t="s">
        <v>3946</v>
      </c>
      <c r="D168" s="4" t="s">
        <v>3947</v>
      </c>
    </row>
    <row r="169" spans="2:4">
      <c r="B169" s="4" t="s">
        <v>2668</v>
      </c>
      <c r="C169" s="73" t="s">
        <v>3948</v>
      </c>
      <c r="D169" s="4" t="s">
        <v>3949</v>
      </c>
    </row>
    <row r="170" spans="2:4">
      <c r="B170" s="4" t="s">
        <v>2669</v>
      </c>
      <c r="C170" s="73" t="s">
        <v>3950</v>
      </c>
      <c r="D170" s="4" t="s">
        <v>3951</v>
      </c>
    </row>
    <row r="172" spans="2:4">
      <c r="B172" s="4" t="s">
        <v>83</v>
      </c>
      <c r="C172" s="73" t="s">
        <v>2368</v>
      </c>
      <c r="D172" s="4" t="s">
        <v>3873</v>
      </c>
    </row>
    <row r="173" spans="2:4">
      <c r="B173" s="4" t="s">
        <v>3009</v>
      </c>
      <c r="C173" s="73" t="s">
        <v>3952</v>
      </c>
      <c r="D173" s="4" t="s">
        <v>3953</v>
      </c>
    </row>
    <row r="174" spans="2:4">
      <c r="B174" s="4" t="s">
        <v>3916</v>
      </c>
      <c r="C174" s="73" t="s">
        <v>3954</v>
      </c>
      <c r="D174" s="4" t="s">
        <v>3955</v>
      </c>
    </row>
    <row r="176" spans="2:4">
      <c r="B176" t="s">
        <v>2391</v>
      </c>
    </row>
    <row r="177" spans="2:4">
      <c r="B177" s="4" t="s">
        <v>302</v>
      </c>
      <c r="C177" s="73" t="s">
        <v>3872</v>
      </c>
      <c r="D177" s="4" t="s">
        <v>3873</v>
      </c>
    </row>
    <row r="178" spans="2:4">
      <c r="B178" s="4" t="s">
        <v>2665</v>
      </c>
      <c r="C178" s="73" t="s">
        <v>3956</v>
      </c>
      <c r="D178" s="4" t="s">
        <v>3957</v>
      </c>
    </row>
    <row r="179" spans="2:4">
      <c r="B179" s="4" t="s">
        <v>2666</v>
      </c>
      <c r="C179" s="73" t="s">
        <v>3958</v>
      </c>
      <c r="D179" s="4" t="s">
        <v>3959</v>
      </c>
    </row>
    <row r="180" spans="2:4">
      <c r="B180" s="4" t="s">
        <v>2667</v>
      </c>
      <c r="C180" s="73" t="s">
        <v>3960</v>
      </c>
      <c r="D180" s="4" t="s">
        <v>3961</v>
      </c>
    </row>
    <row r="181" spans="2:4">
      <c r="B181" s="4" t="s">
        <v>2668</v>
      </c>
      <c r="C181" s="73" t="s">
        <v>3962</v>
      </c>
      <c r="D181" s="4" t="s">
        <v>3963</v>
      </c>
    </row>
    <row r="182" spans="2:4">
      <c r="B182" s="4" t="s">
        <v>2669</v>
      </c>
      <c r="C182" s="73" t="s">
        <v>3964</v>
      </c>
      <c r="D182" s="4" t="s">
        <v>3965</v>
      </c>
    </row>
    <row r="184" spans="2:4">
      <c r="B184" s="4" t="s">
        <v>83</v>
      </c>
      <c r="C184" s="73" t="s">
        <v>2368</v>
      </c>
      <c r="D184" s="4" t="s">
        <v>3873</v>
      </c>
    </row>
    <row r="185" spans="2:4">
      <c r="B185" s="4" t="s">
        <v>3009</v>
      </c>
      <c r="C185" s="73" t="s">
        <v>3966</v>
      </c>
      <c r="D185" s="4" t="s">
        <v>3967</v>
      </c>
    </row>
    <row r="186" spans="2:4">
      <c r="B186" s="4" t="s">
        <v>3009</v>
      </c>
      <c r="C186" s="73" t="s">
        <v>3968</v>
      </c>
      <c r="D186" s="4" t="s">
        <v>3969</v>
      </c>
    </row>
    <row r="187" spans="2:4">
      <c r="B187" s="4"/>
      <c r="C187" s="73"/>
      <c r="D187" s="4"/>
    </row>
    <row r="188" spans="2:4">
      <c r="B188" s="4" t="s">
        <v>3916</v>
      </c>
      <c r="C188" s="73" t="s">
        <v>3970</v>
      </c>
      <c r="D188" s="4" t="s">
        <v>3971</v>
      </c>
    </row>
    <row r="189" spans="2:4">
      <c r="B189" s="4" t="s">
        <v>3916</v>
      </c>
      <c r="C189" s="73" t="s">
        <v>3972</v>
      </c>
      <c r="D189" s="4" t="s">
        <v>3973</v>
      </c>
    </row>
    <row r="190" spans="2:4">
      <c r="B190" s="4" t="s">
        <v>3916</v>
      </c>
      <c r="C190" s="73" t="s">
        <v>3974</v>
      </c>
      <c r="D190" s="4" t="s">
        <v>3975</v>
      </c>
    </row>
    <row r="193" spans="2:4">
      <c r="B193" t="s">
        <v>3976</v>
      </c>
    </row>
    <row r="194" spans="2:4">
      <c r="B194" s="4" t="s">
        <v>302</v>
      </c>
      <c r="C194" s="73" t="s">
        <v>3872</v>
      </c>
      <c r="D194" s="4" t="s">
        <v>3873</v>
      </c>
    </row>
    <row r="195" spans="2:4">
      <c r="B195" s="4" t="s">
        <v>2665</v>
      </c>
      <c r="C195" s="73" t="s">
        <v>3977</v>
      </c>
      <c r="D195" s="4" t="s">
        <v>3978</v>
      </c>
    </row>
    <row r="196" spans="2:4">
      <c r="B196" s="4" t="s">
        <v>2666</v>
      </c>
      <c r="C196" s="73" t="s">
        <v>3979</v>
      </c>
      <c r="D196" s="4" t="s">
        <v>3980</v>
      </c>
    </row>
    <row r="197" spans="2:4">
      <c r="B197" s="4" t="s">
        <v>2667</v>
      </c>
      <c r="C197" s="73" t="s">
        <v>3981</v>
      </c>
      <c r="D197" s="4" t="s">
        <v>3982</v>
      </c>
    </row>
    <row r="198" spans="2:4">
      <c r="B198" s="4" t="s">
        <v>2668</v>
      </c>
      <c r="C198" s="73" t="s">
        <v>3983</v>
      </c>
      <c r="D198" s="4" t="s">
        <v>3984</v>
      </c>
    </row>
    <row r="199" spans="2:4">
      <c r="B199" s="4" t="s">
        <v>2669</v>
      </c>
      <c r="C199" s="73" t="s">
        <v>3985</v>
      </c>
      <c r="D199" s="4" t="s">
        <v>3986</v>
      </c>
    </row>
    <row r="201" spans="2:4">
      <c r="B201" s="4" t="s">
        <v>83</v>
      </c>
      <c r="C201" s="73" t="s">
        <v>2368</v>
      </c>
      <c r="D201" s="4" t="s">
        <v>3873</v>
      </c>
    </row>
    <row r="202" spans="2:4">
      <c r="B202" s="4" t="s">
        <v>3009</v>
      </c>
      <c r="C202" s="73" t="s">
        <v>3987</v>
      </c>
      <c r="D202" s="4" t="s">
        <v>3988</v>
      </c>
    </row>
    <row r="203" spans="2:4">
      <c r="B203" s="4" t="s">
        <v>3009</v>
      </c>
      <c r="C203" s="73" t="s">
        <v>3989</v>
      </c>
      <c r="D203" s="4" t="s">
        <v>3990</v>
      </c>
    </row>
    <row r="204" spans="2:4">
      <c r="B204" s="4"/>
      <c r="C204" s="73"/>
      <c r="D204" s="4"/>
    </row>
    <row r="205" spans="2:4">
      <c r="B205" s="4" t="s">
        <v>3916</v>
      </c>
      <c r="C205" s="73" t="s">
        <v>3991</v>
      </c>
      <c r="D205" s="4" t="s">
        <v>3992</v>
      </c>
    </row>
    <row r="206" spans="2:4">
      <c r="B206" s="4" t="s">
        <v>3916</v>
      </c>
      <c r="C206" s="73" t="s">
        <v>3993</v>
      </c>
      <c r="D206" s="4" t="s">
        <v>3994</v>
      </c>
    </row>
    <row r="207" spans="2:4">
      <c r="B207" s="4" t="s">
        <v>3916</v>
      </c>
      <c r="C207" s="73" t="s">
        <v>3995</v>
      </c>
      <c r="D207" s="4" t="s">
        <v>3996</v>
      </c>
    </row>
    <row r="210" spans="2:4">
      <c r="B210" t="s">
        <v>3997</v>
      </c>
    </row>
    <row r="211" spans="2:4">
      <c r="B211" s="4" t="s">
        <v>302</v>
      </c>
      <c r="C211" s="73" t="s">
        <v>3872</v>
      </c>
      <c r="D211" s="4" t="s">
        <v>3873</v>
      </c>
    </row>
    <row r="212" spans="2:4">
      <c r="B212" s="4" t="s">
        <v>2665</v>
      </c>
      <c r="C212" s="73" t="s">
        <v>3998</v>
      </c>
      <c r="D212" s="4" t="s">
        <v>3999</v>
      </c>
    </row>
    <row r="213" spans="2:4">
      <c r="B213" s="4" t="s">
        <v>2666</v>
      </c>
      <c r="C213" s="73" t="s">
        <v>4000</v>
      </c>
      <c r="D213" s="4" t="s">
        <v>4001</v>
      </c>
    </row>
    <row r="214" spans="2:4">
      <c r="B214" s="4" t="s">
        <v>2667</v>
      </c>
      <c r="C214" s="73" t="s">
        <v>4002</v>
      </c>
      <c r="D214" s="4" t="s">
        <v>4003</v>
      </c>
    </row>
    <row r="215" spans="2:4">
      <c r="B215" s="4" t="s">
        <v>2668</v>
      </c>
      <c r="C215" s="73" t="s">
        <v>4004</v>
      </c>
      <c r="D215" s="4" t="s">
        <v>4005</v>
      </c>
    </row>
    <row r="216" spans="2:4">
      <c r="B216" s="4" t="s">
        <v>2669</v>
      </c>
      <c r="C216" s="73" t="s">
        <v>4006</v>
      </c>
      <c r="D216" s="4" t="s">
        <v>4007</v>
      </c>
    </row>
    <row r="218" spans="2:4">
      <c r="B218" s="4" t="s">
        <v>83</v>
      </c>
      <c r="C218" s="73" t="s">
        <v>2368</v>
      </c>
      <c r="D218" s="4" t="s">
        <v>3873</v>
      </c>
    </row>
    <row r="219" spans="2:4">
      <c r="B219" s="4" t="s">
        <v>3009</v>
      </c>
      <c r="C219" s="73" t="s">
        <v>4008</v>
      </c>
      <c r="D219" s="4" t="s">
        <v>4009</v>
      </c>
    </row>
    <row r="220" spans="2:4">
      <c r="B220" s="4" t="s">
        <v>3009</v>
      </c>
      <c r="C220" s="73" t="s">
        <v>4010</v>
      </c>
      <c r="D220" s="4" t="s">
        <v>4011</v>
      </c>
    </row>
    <row r="221" spans="2:4">
      <c r="B221" s="4"/>
      <c r="C221" s="73"/>
      <c r="D221" s="4"/>
    </row>
    <row r="222" spans="2:4">
      <c r="B222" s="4" t="s">
        <v>3916</v>
      </c>
      <c r="C222" s="73" t="s">
        <v>4012</v>
      </c>
      <c r="D222" s="4" t="s">
        <v>4013</v>
      </c>
    </row>
    <row r="223" spans="2:4">
      <c r="B223" s="4" t="s">
        <v>3916</v>
      </c>
      <c r="C223" s="73" t="s">
        <v>4014</v>
      </c>
      <c r="D223" s="4" t="s">
        <v>4015</v>
      </c>
    </row>
    <row r="224" spans="2:4">
      <c r="B224" s="4" t="s">
        <v>3916</v>
      </c>
      <c r="C224" s="73" t="s">
        <v>4016</v>
      </c>
      <c r="D224" s="4" t="s">
        <v>4017</v>
      </c>
    </row>
    <row r="226" spans="2:4">
      <c r="B226" t="s">
        <v>759</v>
      </c>
    </row>
    <row r="227" spans="2:4">
      <c r="B227" s="4" t="s">
        <v>302</v>
      </c>
      <c r="C227" s="73" t="s">
        <v>3872</v>
      </c>
      <c r="D227" s="4" t="s">
        <v>3873</v>
      </c>
    </row>
    <row r="228" spans="2:4">
      <c r="B228" s="4" t="s">
        <v>2665</v>
      </c>
      <c r="C228" s="73" t="s">
        <v>4040</v>
      </c>
      <c r="D228" s="4" t="s">
        <v>4041</v>
      </c>
    </row>
    <row r="229" spans="2:4">
      <c r="B229" s="4" t="s">
        <v>2666</v>
      </c>
      <c r="C229" s="73" t="s">
        <v>4042</v>
      </c>
      <c r="D229" s="4" t="s">
        <v>4043</v>
      </c>
    </row>
    <row r="230" spans="2:4">
      <c r="B230" s="4" t="s">
        <v>2667</v>
      </c>
      <c r="C230" s="73" t="s">
        <v>4044</v>
      </c>
      <c r="D230" s="4" t="s">
        <v>4045</v>
      </c>
    </row>
    <row r="231" spans="2:4">
      <c r="B231" s="4" t="s">
        <v>2668</v>
      </c>
      <c r="C231" s="73" t="s">
        <v>4046</v>
      </c>
      <c r="D231" s="4" t="s">
        <v>4047</v>
      </c>
    </row>
    <row r="232" spans="2:4">
      <c r="B232" s="4" t="s">
        <v>2669</v>
      </c>
      <c r="C232" s="73" t="s">
        <v>4048</v>
      </c>
      <c r="D232" s="4" t="s">
        <v>4049</v>
      </c>
    </row>
    <row r="233" spans="2:4">
      <c r="B233" s="4"/>
      <c r="C233" s="73"/>
      <c r="D233" s="4"/>
    </row>
    <row r="234" spans="2:4">
      <c r="B234" s="4" t="s">
        <v>83</v>
      </c>
      <c r="C234" s="73" t="s">
        <v>2368</v>
      </c>
      <c r="D234" s="4" t="s">
        <v>3873</v>
      </c>
    </row>
    <row r="235" spans="2:4">
      <c r="B235" s="4" t="s">
        <v>3009</v>
      </c>
      <c r="C235" s="73" t="s">
        <v>4050</v>
      </c>
      <c r="D235" s="4" t="s">
        <v>4051</v>
      </c>
    </row>
    <row r="236" spans="2:4">
      <c r="B236" s="4" t="s">
        <v>3009</v>
      </c>
      <c r="C236" s="73" t="s">
        <v>4052</v>
      </c>
      <c r="D236" s="4" t="s">
        <v>4053</v>
      </c>
    </row>
    <row r="237" spans="2:4">
      <c r="B237" s="4"/>
      <c r="C237" s="73"/>
      <c r="D237" s="4"/>
    </row>
    <row r="238" spans="2:4">
      <c r="B238" s="4" t="s">
        <v>3916</v>
      </c>
      <c r="C238" s="73" t="s">
        <v>4054</v>
      </c>
      <c r="D238" s="4" t="s">
        <v>4055</v>
      </c>
    </row>
    <row r="239" spans="2:4">
      <c r="B239" s="4" t="s">
        <v>3916</v>
      </c>
      <c r="C239" s="73" t="s">
        <v>4056</v>
      </c>
      <c r="D239" s="4" t="s">
        <v>4057</v>
      </c>
    </row>
    <row r="242" spans="2:4">
      <c r="B242" t="s">
        <v>4058</v>
      </c>
    </row>
    <row r="243" spans="2:4">
      <c r="B243" t="s">
        <v>302</v>
      </c>
      <c r="C243" s="66" t="s">
        <v>510</v>
      </c>
      <c r="D243" t="s">
        <v>467</v>
      </c>
    </row>
    <row r="244" spans="2:4">
      <c r="B244" s="4" t="s">
        <v>4059</v>
      </c>
      <c r="C244" s="73" t="s">
        <v>4064</v>
      </c>
      <c r="D244" s="4" t="s">
        <v>4065</v>
      </c>
    </row>
    <row r="245" spans="2:4">
      <c r="B245" s="4" t="s">
        <v>4060</v>
      </c>
      <c r="C245" s="73" t="s">
        <v>4066</v>
      </c>
      <c r="D245" s="4" t="s">
        <v>4067</v>
      </c>
    </row>
    <row r="246" spans="2:4">
      <c r="B246" s="4" t="s">
        <v>4061</v>
      </c>
      <c r="C246" s="73" t="s">
        <v>4068</v>
      </c>
      <c r="D246" s="4" t="s">
        <v>4069</v>
      </c>
    </row>
    <row r="247" spans="2:4">
      <c r="B247" s="4" t="s">
        <v>4062</v>
      </c>
      <c r="C247" s="73" t="s">
        <v>4070</v>
      </c>
      <c r="D247" s="4" t="s">
        <v>4071</v>
      </c>
    </row>
    <row r="248" spans="2:4">
      <c r="B248" s="4" t="s">
        <v>4063</v>
      </c>
      <c r="C248" s="73" t="s">
        <v>4072</v>
      </c>
      <c r="D248" s="4" t="s">
        <v>4073</v>
      </c>
    </row>
    <row r="250" spans="2:4">
      <c r="B250" t="s">
        <v>83</v>
      </c>
      <c r="C250" s="66" t="s">
        <v>2368</v>
      </c>
      <c r="D250" t="s">
        <v>467</v>
      </c>
    </row>
    <row r="251" spans="2:4">
      <c r="B251" s="4" t="s">
        <v>3878</v>
      </c>
      <c r="C251" s="73" t="s">
        <v>4074</v>
      </c>
      <c r="D251" s="4" t="s">
        <v>4075</v>
      </c>
    </row>
    <row r="252" spans="2:4">
      <c r="B252" s="4" t="s">
        <v>3878</v>
      </c>
      <c r="C252" s="73" t="s">
        <v>4076</v>
      </c>
      <c r="D252" s="4" t="s">
        <v>4077</v>
      </c>
    </row>
    <row r="253" spans="2:4">
      <c r="B253" s="4" t="s">
        <v>2793</v>
      </c>
      <c r="C253" s="73" t="s">
        <v>4078</v>
      </c>
      <c r="D253" s="4" t="s">
        <v>4079</v>
      </c>
    </row>
    <row r="254" spans="2:4">
      <c r="B254" s="4" t="s">
        <v>2793</v>
      </c>
      <c r="C254" s="73" t="s">
        <v>4080</v>
      </c>
      <c r="D254" s="4" t="s">
        <v>4081</v>
      </c>
    </row>
    <row r="255" spans="2:4">
      <c r="B255" s="4" t="s">
        <v>2793</v>
      </c>
      <c r="C255" s="73" t="s">
        <v>4082</v>
      </c>
      <c r="D255" s="4" t="s">
        <v>4083</v>
      </c>
    </row>
    <row r="258" spans="2:4">
      <c r="B258" t="s">
        <v>4085</v>
      </c>
    </row>
    <row r="259" spans="2:4">
      <c r="B259" s="4" t="s">
        <v>302</v>
      </c>
      <c r="C259" s="73" t="s">
        <v>3872</v>
      </c>
      <c r="D259" s="4" t="s">
        <v>3873</v>
      </c>
    </row>
    <row r="260" spans="2:4">
      <c r="B260" s="4" t="s">
        <v>2665</v>
      </c>
      <c r="C260" s="73" t="s">
        <v>4086</v>
      </c>
      <c r="D260" s="4" t="s">
        <v>4087</v>
      </c>
    </row>
    <row r="261" spans="2:4">
      <c r="B261" s="4" t="s">
        <v>2666</v>
      </c>
      <c r="C261" s="73" t="s">
        <v>4088</v>
      </c>
      <c r="D261" s="4" t="s">
        <v>4089</v>
      </c>
    </row>
    <row r="262" spans="2:4">
      <c r="B262" s="4" t="s">
        <v>2667</v>
      </c>
      <c r="C262" s="73" t="s">
        <v>4090</v>
      </c>
      <c r="D262" s="4" t="s">
        <v>4091</v>
      </c>
    </row>
    <row r="263" spans="2:4">
      <c r="B263" s="4" t="s">
        <v>2668</v>
      </c>
      <c r="C263" s="73" t="s">
        <v>4092</v>
      </c>
      <c r="D263" s="4" t="s">
        <v>4093</v>
      </c>
    </row>
    <row r="264" spans="2:4">
      <c r="B264" s="4" t="s">
        <v>2669</v>
      </c>
      <c r="C264" s="73" t="s">
        <v>4094</v>
      </c>
      <c r="D264" s="4" t="s">
        <v>4095</v>
      </c>
    </row>
    <row r="266" spans="2:4">
      <c r="B266" s="4" t="s">
        <v>83</v>
      </c>
      <c r="C266" s="73" t="s">
        <v>2368</v>
      </c>
      <c r="D266" s="4" t="s">
        <v>3873</v>
      </c>
    </row>
    <row r="267" spans="2:4">
      <c r="B267" s="4" t="s">
        <v>3009</v>
      </c>
      <c r="C267" s="73" t="s">
        <v>4096</v>
      </c>
      <c r="D267" s="4" t="s">
        <v>4097</v>
      </c>
    </row>
    <row r="268" spans="2:4">
      <c r="B268" s="4" t="s">
        <v>3009</v>
      </c>
      <c r="C268" s="73" t="s">
        <v>4098</v>
      </c>
      <c r="D268" s="4" t="s">
        <v>4099</v>
      </c>
    </row>
    <row r="269" spans="2:4">
      <c r="B269" s="4"/>
      <c r="C269" s="73"/>
      <c r="D269" s="4"/>
    </row>
    <row r="270" spans="2:4">
      <c r="B270" s="4" t="s">
        <v>3916</v>
      </c>
      <c r="C270" s="73" t="s">
        <v>4100</v>
      </c>
      <c r="D270" s="4" t="s">
        <v>4101</v>
      </c>
    </row>
    <row r="271" spans="2:4">
      <c r="B271" s="4" t="s">
        <v>3916</v>
      </c>
      <c r="C271" s="73" t="s">
        <v>4102</v>
      </c>
      <c r="D271" s="4" t="s">
        <v>4103</v>
      </c>
    </row>
    <row r="272" spans="2:4">
      <c r="B272" s="4" t="s">
        <v>3916</v>
      </c>
      <c r="C272" s="73" t="s">
        <v>4104</v>
      </c>
      <c r="D272" s="4" t="s">
        <v>4105</v>
      </c>
    </row>
    <row r="275" spans="2:4">
      <c r="B275" t="s">
        <v>4127</v>
      </c>
    </row>
    <row r="276" spans="2:4">
      <c r="B276" s="4" t="s">
        <v>302</v>
      </c>
      <c r="C276" s="73" t="s">
        <v>3872</v>
      </c>
      <c r="D276" s="4" t="s">
        <v>3873</v>
      </c>
    </row>
    <row r="277" spans="2:4">
      <c r="B277" s="4" t="s">
        <v>2665</v>
      </c>
      <c r="C277" s="73" t="s">
        <v>4128</v>
      </c>
      <c r="D277" s="4" t="s">
        <v>4129</v>
      </c>
    </row>
    <row r="278" spans="2:4">
      <c r="B278" s="4" t="s">
        <v>2666</v>
      </c>
      <c r="C278" s="73" t="s">
        <v>4130</v>
      </c>
      <c r="D278" s="4" t="s">
        <v>4131</v>
      </c>
    </row>
    <row r="279" spans="2:4">
      <c r="B279" s="4" t="s">
        <v>2667</v>
      </c>
      <c r="C279" s="73" t="s">
        <v>4132</v>
      </c>
      <c r="D279" s="4" t="s">
        <v>4133</v>
      </c>
    </row>
    <row r="280" spans="2:4">
      <c r="B280" s="4" t="s">
        <v>2668</v>
      </c>
      <c r="C280" s="73" t="s">
        <v>4134</v>
      </c>
      <c r="D280" s="4" t="s">
        <v>4135</v>
      </c>
    </row>
    <row r="281" spans="2:4">
      <c r="B281" s="4" t="s">
        <v>2669</v>
      </c>
      <c r="C281" s="73" t="s">
        <v>4136</v>
      </c>
      <c r="D281" s="4" t="s">
        <v>4137</v>
      </c>
    </row>
    <row r="283" spans="2:4">
      <c r="B283" s="4" t="s">
        <v>83</v>
      </c>
      <c r="C283" s="73" t="s">
        <v>2368</v>
      </c>
      <c r="D283" s="4" t="s">
        <v>3873</v>
      </c>
    </row>
    <row r="284" spans="2:4">
      <c r="B284" s="4" t="s">
        <v>3009</v>
      </c>
      <c r="C284" s="73" t="s">
        <v>4138</v>
      </c>
      <c r="D284" s="4" t="s">
        <v>4139</v>
      </c>
    </row>
    <row r="285" spans="2:4">
      <c r="B285" s="4" t="s">
        <v>3009</v>
      </c>
      <c r="C285" s="73" t="s">
        <v>4140</v>
      </c>
      <c r="D285" s="4" t="s">
        <v>4141</v>
      </c>
    </row>
    <row r="286" spans="2:4">
      <c r="B286" s="4" t="s">
        <v>3009</v>
      </c>
      <c r="C286" s="73" t="s">
        <v>4142</v>
      </c>
      <c r="D286" s="4" t="s">
        <v>4143</v>
      </c>
    </row>
    <row r="287" spans="2:4">
      <c r="B287" s="4"/>
      <c r="C287" s="73"/>
      <c r="D287" s="4"/>
    </row>
    <row r="288" spans="2:4">
      <c r="B288" s="4" t="s">
        <v>3916</v>
      </c>
      <c r="C288" s="73" t="s">
        <v>4144</v>
      </c>
      <c r="D288" s="4" t="s">
        <v>4145</v>
      </c>
    </row>
    <row r="289" spans="2:4">
      <c r="B289" s="4" t="s">
        <v>3916</v>
      </c>
      <c r="C289" s="73" t="s">
        <v>4146</v>
      </c>
      <c r="D289" s="4" t="s">
        <v>4147</v>
      </c>
    </row>
    <row r="290" spans="2:4">
      <c r="B290" s="4" t="s">
        <v>3916</v>
      </c>
      <c r="C290" s="73" t="s">
        <v>4148</v>
      </c>
      <c r="D290" s="4" t="s">
        <v>4149</v>
      </c>
    </row>
    <row r="291" spans="2:4">
      <c r="B291" s="4" t="s">
        <v>3916</v>
      </c>
      <c r="C291" s="73" t="s">
        <v>4150</v>
      </c>
      <c r="D291" s="4" t="s">
        <v>4151</v>
      </c>
    </row>
    <row r="293" spans="2:4">
      <c r="B293" t="s">
        <v>4251</v>
      </c>
    </row>
    <row r="294" spans="2:4">
      <c r="B294" s="4" t="s">
        <v>4059</v>
      </c>
      <c r="C294" s="73" t="s">
        <v>4252</v>
      </c>
      <c r="D294" s="4" t="s">
        <v>4253</v>
      </c>
    </row>
    <row r="295" spans="2:4">
      <c r="B295" s="4" t="s">
        <v>4060</v>
      </c>
      <c r="C295" s="73" t="s">
        <v>4254</v>
      </c>
      <c r="D295" s="4" t="s">
        <v>4255</v>
      </c>
    </row>
    <row r="296" spans="2:4">
      <c r="B296" s="4" t="s">
        <v>4061</v>
      </c>
      <c r="C296" s="73" t="s">
        <v>4256</v>
      </c>
      <c r="D296" s="4" t="s">
        <v>4257</v>
      </c>
    </row>
    <row r="297" spans="2:4">
      <c r="B297" s="4" t="s">
        <v>4062</v>
      </c>
      <c r="C297" s="73" t="s">
        <v>4258</v>
      </c>
      <c r="D297" s="4" t="s">
        <v>4259</v>
      </c>
    </row>
    <row r="298" spans="2:4">
      <c r="B298" s="4" t="s">
        <v>4063</v>
      </c>
      <c r="C298" s="73" t="s">
        <v>4260</v>
      </c>
      <c r="D298" s="4" t="s">
        <v>4261</v>
      </c>
    </row>
    <row r="300" spans="2:4">
      <c r="B300" s="4" t="s">
        <v>3878</v>
      </c>
      <c r="C300" s="73" t="s">
        <v>4262</v>
      </c>
      <c r="D300" s="4" t="s">
        <v>4263</v>
      </c>
    </row>
    <row r="301" spans="2:4">
      <c r="B301" s="4" t="s">
        <v>3878</v>
      </c>
      <c r="C301" s="73" t="s">
        <v>4264</v>
      </c>
      <c r="D301" s="4" t="s">
        <v>4265</v>
      </c>
    </row>
    <row r="302" spans="2:4">
      <c r="B302" s="4" t="s">
        <v>3878</v>
      </c>
      <c r="C302" s="73" t="s">
        <v>4266</v>
      </c>
      <c r="D302" s="4" t="s">
        <v>4267</v>
      </c>
    </row>
    <row r="303" spans="2:4">
      <c r="B303" s="4" t="s">
        <v>2793</v>
      </c>
      <c r="C303" s="73" t="s">
        <v>4268</v>
      </c>
      <c r="D303" s="4" t="s">
        <v>4269</v>
      </c>
    </row>
    <row r="304" spans="2:4">
      <c r="B304" s="4" t="s">
        <v>2793</v>
      </c>
      <c r="C304" s="73" t="s">
        <v>4270</v>
      </c>
      <c r="D304" s="4" t="s">
        <v>4271</v>
      </c>
    </row>
    <row r="305" spans="2:4">
      <c r="B305" s="4" t="s">
        <v>2793</v>
      </c>
      <c r="C305" s="73" t="s">
        <v>4272</v>
      </c>
      <c r="D305" s="4" t="s">
        <v>4273</v>
      </c>
    </row>
    <row r="308" spans="2:4">
      <c r="B308" t="s">
        <v>4366</v>
      </c>
    </row>
    <row r="309" spans="2:4">
      <c r="B309" s="4" t="s">
        <v>302</v>
      </c>
      <c r="C309" s="73" t="s">
        <v>3872</v>
      </c>
      <c r="D309" s="4" t="s">
        <v>3873</v>
      </c>
    </row>
    <row r="310" spans="2:4">
      <c r="B310" s="4" t="s">
        <v>4059</v>
      </c>
      <c r="C310" s="73" t="s">
        <v>4367</v>
      </c>
      <c r="D310" s="4" t="s">
        <v>4368</v>
      </c>
    </row>
    <row r="311" spans="2:4">
      <c r="B311" s="4" t="s">
        <v>4060</v>
      </c>
      <c r="C311" s="73" t="s">
        <v>4369</v>
      </c>
      <c r="D311" s="4" t="s">
        <v>4370</v>
      </c>
    </row>
    <row r="312" spans="2:4">
      <c r="B312" s="4" t="s">
        <v>4061</v>
      </c>
      <c r="C312" s="73" t="s">
        <v>4371</v>
      </c>
      <c r="D312" s="4" t="s">
        <v>4372</v>
      </c>
    </row>
    <row r="313" spans="2:4">
      <c r="B313" s="4" t="s">
        <v>4062</v>
      </c>
      <c r="C313" s="73" t="s">
        <v>4373</v>
      </c>
      <c r="D313" s="4" t="s">
        <v>4374</v>
      </c>
    </row>
    <row r="314" spans="2:4">
      <c r="B314" s="4" t="s">
        <v>4063</v>
      </c>
      <c r="C314" s="73" t="s">
        <v>4375</v>
      </c>
      <c r="D314" s="4" t="s">
        <v>4376</v>
      </c>
    </row>
    <row r="316" spans="2:4">
      <c r="B316" s="4" t="s">
        <v>83</v>
      </c>
      <c r="C316" s="73" t="s">
        <v>2368</v>
      </c>
      <c r="D316" s="4" t="s">
        <v>3873</v>
      </c>
    </row>
    <row r="317" spans="2:4">
      <c r="B317" s="4" t="s">
        <v>3009</v>
      </c>
      <c r="C317" s="73" t="s">
        <v>4377</v>
      </c>
      <c r="D317" s="4" t="s">
        <v>4378</v>
      </c>
    </row>
    <row r="318" spans="2:4">
      <c r="B318" s="4" t="s">
        <v>3009</v>
      </c>
      <c r="C318" s="73" t="s">
        <v>4379</v>
      </c>
      <c r="D318" s="4" t="s">
        <v>4380</v>
      </c>
    </row>
    <row r="319" spans="2:4">
      <c r="B319" s="4" t="s">
        <v>4381</v>
      </c>
      <c r="C319" s="73" t="s">
        <v>4382</v>
      </c>
      <c r="D319" s="4" t="s">
        <v>4383</v>
      </c>
    </row>
    <row r="320" spans="2:4">
      <c r="B320" s="4" t="s">
        <v>4381</v>
      </c>
      <c r="C320" s="73" t="s">
        <v>4384</v>
      </c>
      <c r="D320" s="4" t="s">
        <v>4385</v>
      </c>
    </row>
    <row r="321" spans="2:4">
      <c r="B321" s="4" t="s">
        <v>4381</v>
      </c>
      <c r="C321" s="73" t="s">
        <v>4386</v>
      </c>
      <c r="D321" s="4" t="s">
        <v>4387</v>
      </c>
    </row>
    <row r="323" spans="2:4">
      <c r="B323" t="s">
        <v>4408</v>
      </c>
    </row>
    <row r="324" spans="2:4">
      <c r="B324" s="4" t="s">
        <v>302</v>
      </c>
      <c r="C324" s="73" t="s">
        <v>3872</v>
      </c>
      <c r="D324" s="4" t="s">
        <v>3873</v>
      </c>
    </row>
    <row r="325" spans="2:4">
      <c r="B325" s="4" t="s">
        <v>4059</v>
      </c>
      <c r="C325" s="73" t="s">
        <v>4409</v>
      </c>
      <c r="D325" s="4" t="s">
        <v>4410</v>
      </c>
    </row>
    <row r="326" spans="2:4">
      <c r="B326" s="4" t="s">
        <v>4060</v>
      </c>
      <c r="C326" s="73" t="s">
        <v>4411</v>
      </c>
      <c r="D326" s="4" t="s">
        <v>4412</v>
      </c>
    </row>
    <row r="327" spans="2:4">
      <c r="B327" s="4" t="s">
        <v>4061</v>
      </c>
      <c r="C327" s="73" t="s">
        <v>4413</v>
      </c>
      <c r="D327" s="4" t="s">
        <v>4414</v>
      </c>
    </row>
    <row r="328" spans="2:4">
      <c r="B328" s="4" t="s">
        <v>4062</v>
      </c>
      <c r="C328" s="73" t="s">
        <v>4415</v>
      </c>
      <c r="D328" s="4" t="s">
        <v>4416</v>
      </c>
    </row>
    <row r="329" spans="2:4">
      <c r="B329" s="4" t="s">
        <v>4063</v>
      </c>
      <c r="C329" s="73" t="s">
        <v>4417</v>
      </c>
      <c r="D329" s="4" t="s">
        <v>4418</v>
      </c>
    </row>
    <row r="331" spans="2:4">
      <c r="B331" s="4" t="s">
        <v>83</v>
      </c>
      <c r="C331" s="73" t="s">
        <v>2368</v>
      </c>
      <c r="D331" s="4" t="s">
        <v>3873</v>
      </c>
    </row>
    <row r="332" spans="2:4">
      <c r="B332" s="4" t="s">
        <v>3009</v>
      </c>
      <c r="C332" s="73" t="s">
        <v>4419</v>
      </c>
      <c r="D332" s="4" t="s">
        <v>4420</v>
      </c>
    </row>
    <row r="333" spans="2:4">
      <c r="B333" s="4" t="s">
        <v>3009</v>
      </c>
      <c r="C333" s="73" t="s">
        <v>4421</v>
      </c>
      <c r="D333" s="4" t="s">
        <v>4422</v>
      </c>
    </row>
    <row r="334" spans="2:4">
      <c r="B334" s="4" t="s">
        <v>4381</v>
      </c>
      <c r="C334" s="73" t="s">
        <v>4423</v>
      </c>
      <c r="D334" s="4" t="s">
        <v>4424</v>
      </c>
    </row>
    <row r="335" spans="2:4">
      <c r="B335" s="4" t="s">
        <v>4381</v>
      </c>
      <c r="C335" s="73" t="s">
        <v>4425</v>
      </c>
      <c r="D335" s="4" t="s">
        <v>4426</v>
      </c>
    </row>
    <row r="336" spans="2:4">
      <c r="B336" s="4" t="s">
        <v>4381</v>
      </c>
      <c r="C336" s="73" t="s">
        <v>4427</v>
      </c>
      <c r="D336" s="4" t="s">
        <v>4428</v>
      </c>
    </row>
    <row r="339" spans="2:4">
      <c r="B339" t="s">
        <v>4429</v>
      </c>
    </row>
    <row r="340" spans="2:4">
      <c r="B340" s="4" t="s">
        <v>302</v>
      </c>
      <c r="C340" s="73" t="s">
        <v>3872</v>
      </c>
      <c r="D340" s="4" t="s">
        <v>3873</v>
      </c>
    </row>
    <row r="341" spans="2:4">
      <c r="B341" s="4" t="s">
        <v>4059</v>
      </c>
      <c r="C341" s="73" t="s">
        <v>4430</v>
      </c>
      <c r="D341" s="4" t="s">
        <v>4431</v>
      </c>
    </row>
    <row r="342" spans="2:4">
      <c r="B342" s="4" t="s">
        <v>4060</v>
      </c>
      <c r="C342" s="73" t="s">
        <v>4432</v>
      </c>
      <c r="D342" s="4" t="s">
        <v>4433</v>
      </c>
    </row>
    <row r="343" spans="2:4">
      <c r="B343" s="4" t="s">
        <v>4061</v>
      </c>
      <c r="C343" s="73" t="s">
        <v>4434</v>
      </c>
      <c r="D343" s="4" t="s">
        <v>4435</v>
      </c>
    </row>
    <row r="344" spans="2:4">
      <c r="B344" s="4" t="s">
        <v>4062</v>
      </c>
      <c r="C344" s="73" t="s">
        <v>4436</v>
      </c>
      <c r="D344" s="4" t="s">
        <v>4437</v>
      </c>
    </row>
    <row r="345" spans="2:4">
      <c r="B345" s="4" t="s">
        <v>4063</v>
      </c>
      <c r="C345" s="73" t="s">
        <v>4438</v>
      </c>
      <c r="D345" s="4" t="s">
        <v>4439</v>
      </c>
    </row>
    <row r="347" spans="2:4">
      <c r="B347" s="4" t="s">
        <v>83</v>
      </c>
      <c r="C347" s="73" t="s">
        <v>2368</v>
      </c>
      <c r="D347" s="4" t="s">
        <v>3873</v>
      </c>
    </row>
    <row r="348" spans="2:4">
      <c r="B348" s="4" t="s">
        <v>3009</v>
      </c>
      <c r="C348" s="73" t="s">
        <v>4440</v>
      </c>
      <c r="D348" s="4" t="s">
        <v>4441</v>
      </c>
    </row>
    <row r="349" spans="2:4">
      <c r="B349" s="4" t="s">
        <v>3009</v>
      </c>
      <c r="C349" s="73" t="s">
        <v>4442</v>
      </c>
      <c r="D349" s="4" t="s">
        <v>4443</v>
      </c>
    </row>
    <row r="350" spans="2:4">
      <c r="B350" s="4" t="s">
        <v>4381</v>
      </c>
      <c r="C350" s="73" t="s">
        <v>4444</v>
      </c>
      <c r="D350" s="4" t="s">
        <v>4445</v>
      </c>
    </row>
    <row r="351" spans="2:4">
      <c r="B351" s="4" t="s">
        <v>4381</v>
      </c>
      <c r="C351" s="73" t="s">
        <v>4446</v>
      </c>
      <c r="D351" s="4" t="s">
        <v>4447</v>
      </c>
    </row>
    <row r="352" spans="2:4">
      <c r="B352" s="4" t="s">
        <v>4381</v>
      </c>
      <c r="C352" s="73" t="s">
        <v>4448</v>
      </c>
      <c r="D352" s="4" t="s">
        <v>4449</v>
      </c>
    </row>
    <row r="355" spans="2:4">
      <c r="B355" t="s">
        <v>4533</v>
      </c>
    </row>
    <row r="356" spans="2:4">
      <c r="B356" s="4" t="s">
        <v>302</v>
      </c>
      <c r="C356" s="73" t="s">
        <v>3872</v>
      </c>
      <c r="D356" s="4" t="s">
        <v>3873</v>
      </c>
    </row>
    <row r="357" spans="2:4">
      <c r="B357" s="4" t="s">
        <v>4059</v>
      </c>
      <c r="C357" s="73" t="s">
        <v>4534</v>
      </c>
      <c r="D357" s="4" t="s">
        <v>4535</v>
      </c>
    </row>
    <row r="358" spans="2:4">
      <c r="B358" s="4" t="s">
        <v>4060</v>
      </c>
      <c r="C358" s="73" t="s">
        <v>4536</v>
      </c>
      <c r="D358" s="4" t="s">
        <v>4537</v>
      </c>
    </row>
    <row r="359" spans="2:4">
      <c r="B359" s="4" t="s">
        <v>4061</v>
      </c>
      <c r="C359" s="73" t="s">
        <v>4538</v>
      </c>
      <c r="D359" s="4" t="s">
        <v>4539</v>
      </c>
    </row>
    <row r="360" spans="2:4">
      <c r="B360" s="4" t="s">
        <v>4062</v>
      </c>
      <c r="C360" s="73" t="s">
        <v>4540</v>
      </c>
      <c r="D360" s="4" t="s">
        <v>4541</v>
      </c>
    </row>
    <row r="361" spans="2:4">
      <c r="B361" s="4" t="s">
        <v>4063</v>
      </c>
      <c r="C361" s="73" t="s">
        <v>4542</v>
      </c>
      <c r="D361" s="4" t="s">
        <v>4543</v>
      </c>
    </row>
    <row r="363" spans="2:4">
      <c r="B363" s="4" t="s">
        <v>83</v>
      </c>
      <c r="C363" s="73" t="s">
        <v>2368</v>
      </c>
      <c r="D363" s="4" t="s">
        <v>3873</v>
      </c>
    </row>
    <row r="364" spans="2:4">
      <c r="B364" s="4" t="s">
        <v>3009</v>
      </c>
      <c r="C364" s="73" t="s">
        <v>4544</v>
      </c>
      <c r="D364" s="4" t="s">
        <v>4545</v>
      </c>
    </row>
    <row r="365" spans="2:4">
      <c r="B365" s="4" t="s">
        <v>3009</v>
      </c>
      <c r="C365" s="73" t="s">
        <v>4546</v>
      </c>
      <c r="D365" s="4" t="s">
        <v>4547</v>
      </c>
    </row>
    <row r="366" spans="2:4">
      <c r="B366" s="4" t="s">
        <v>4381</v>
      </c>
      <c r="C366" s="73" t="s">
        <v>4548</v>
      </c>
      <c r="D366" s="4" t="s">
        <v>4549</v>
      </c>
    </row>
    <row r="367" spans="2:4">
      <c r="B367" s="4" t="s">
        <v>4381</v>
      </c>
      <c r="C367" s="73" t="s">
        <v>4550</v>
      </c>
      <c r="D367" s="4" t="s">
        <v>4551</v>
      </c>
    </row>
    <row r="368" spans="2:4">
      <c r="B368" s="4" t="s">
        <v>4381</v>
      </c>
      <c r="C368" s="73" t="s">
        <v>4552</v>
      </c>
      <c r="D368" s="4" t="s">
        <v>4553</v>
      </c>
    </row>
    <row r="370" spans="2:4">
      <c r="B370" t="s">
        <v>4574</v>
      </c>
    </row>
    <row r="371" spans="2:4">
      <c r="B371" s="4" t="s">
        <v>302</v>
      </c>
      <c r="C371" s="73" t="s">
        <v>3872</v>
      </c>
      <c r="D371" s="4" t="s">
        <v>3873</v>
      </c>
    </row>
    <row r="372" spans="2:4">
      <c r="B372" s="4" t="s">
        <v>4059</v>
      </c>
      <c r="C372" s="73" t="s">
        <v>4554</v>
      </c>
      <c r="D372" s="4" t="s">
        <v>4555</v>
      </c>
    </row>
    <row r="373" spans="2:4">
      <c r="B373" s="4" t="s">
        <v>4060</v>
      </c>
      <c r="C373" s="73" t="s">
        <v>4556</v>
      </c>
      <c r="D373" s="4" t="s">
        <v>4557</v>
      </c>
    </row>
    <row r="374" spans="2:4">
      <c r="B374" s="4" t="s">
        <v>4061</v>
      </c>
      <c r="C374" s="73" t="s">
        <v>4558</v>
      </c>
      <c r="D374" s="4" t="s">
        <v>4559</v>
      </c>
    </row>
    <row r="375" spans="2:4">
      <c r="B375" s="4" t="s">
        <v>4062</v>
      </c>
      <c r="C375" s="73" t="s">
        <v>4560</v>
      </c>
      <c r="D375" s="4" t="s">
        <v>4561</v>
      </c>
    </row>
    <row r="376" spans="2:4">
      <c r="B376" s="4" t="s">
        <v>4063</v>
      </c>
      <c r="C376" s="73" t="s">
        <v>4562</v>
      </c>
      <c r="D376" s="4" t="s">
        <v>4563</v>
      </c>
    </row>
    <row r="378" spans="2:4">
      <c r="B378" s="4" t="s">
        <v>83</v>
      </c>
      <c r="C378" s="73" t="s">
        <v>2368</v>
      </c>
      <c r="D378" s="4" t="s">
        <v>3873</v>
      </c>
    </row>
    <row r="379" spans="2:4">
      <c r="B379" s="4" t="s">
        <v>3009</v>
      </c>
      <c r="C379" s="73" t="s">
        <v>4564</v>
      </c>
      <c r="D379" s="4" t="s">
        <v>4565</v>
      </c>
    </row>
    <row r="380" spans="2:4">
      <c r="B380" s="4" t="s">
        <v>3009</v>
      </c>
      <c r="C380" s="73" t="s">
        <v>4566</v>
      </c>
      <c r="D380" s="4" t="s">
        <v>4567</v>
      </c>
    </row>
    <row r="381" spans="2:4">
      <c r="B381" s="4" t="s">
        <v>4381</v>
      </c>
      <c r="C381" s="73" t="s">
        <v>4568</v>
      </c>
      <c r="D381" s="4" t="s">
        <v>4569</v>
      </c>
    </row>
    <row r="382" spans="2:4">
      <c r="B382" s="4" t="s">
        <v>4381</v>
      </c>
      <c r="C382" s="73" t="s">
        <v>4570</v>
      </c>
      <c r="D382" s="4" t="s">
        <v>4571</v>
      </c>
    </row>
    <row r="383" spans="2:4">
      <c r="B383" s="4" t="s">
        <v>4381</v>
      </c>
      <c r="C383" s="73" t="s">
        <v>4572</v>
      </c>
      <c r="D383" s="4" t="s">
        <v>4573</v>
      </c>
    </row>
    <row r="386" spans="2:4">
      <c r="B386" s="4" t="s">
        <v>302</v>
      </c>
      <c r="C386" s="73" t="s">
        <v>3872</v>
      </c>
      <c r="D386" s="4"/>
    </row>
    <row r="387" spans="2:4">
      <c r="B387" s="4" t="s">
        <v>4664</v>
      </c>
      <c r="C387" s="4" t="s">
        <v>4674</v>
      </c>
      <c r="D387" s="4"/>
    </row>
    <row r="388" spans="2:4">
      <c r="B388" s="4" t="s">
        <v>4664</v>
      </c>
      <c r="C388" s="4" t="s">
        <v>4675</v>
      </c>
      <c r="D388" s="4"/>
    </row>
    <row r="389" spans="2:4">
      <c r="B389" s="4" t="s">
        <v>4665</v>
      </c>
      <c r="C389" s="4" t="s">
        <v>4676</v>
      </c>
      <c r="D389" s="4"/>
    </row>
    <row r="390" spans="2:4">
      <c r="B390" s="4" t="s">
        <v>4665</v>
      </c>
      <c r="C390" s="4" t="s">
        <v>4677</v>
      </c>
      <c r="D390" s="4"/>
    </row>
    <row r="391" spans="2:4">
      <c r="B391" s="4" t="s">
        <v>4666</v>
      </c>
      <c r="C391" s="4" t="s">
        <v>4678</v>
      </c>
      <c r="D391" s="4"/>
    </row>
    <row r="392" spans="2:4">
      <c r="B392" s="4" t="s">
        <v>4666</v>
      </c>
      <c r="C392" s="4" t="s">
        <v>4679</v>
      </c>
      <c r="D392" s="4"/>
    </row>
    <row r="393" spans="2:4">
      <c r="B393" s="4" t="s">
        <v>4667</v>
      </c>
      <c r="C393" s="4" t="s">
        <v>4680</v>
      </c>
      <c r="D393" s="4"/>
    </row>
    <row r="394" spans="2:4">
      <c r="B394" s="4" t="s">
        <v>4667</v>
      </c>
      <c r="C394" s="4" t="s">
        <v>4681</v>
      </c>
      <c r="D394" s="4"/>
    </row>
    <row r="395" spans="2:4">
      <c r="B395" s="4" t="s">
        <v>4668</v>
      </c>
      <c r="C395" s="4" t="s">
        <v>4682</v>
      </c>
      <c r="D395" s="4"/>
    </row>
    <row r="396" spans="2:4">
      <c r="B396" s="4" t="s">
        <v>4668</v>
      </c>
      <c r="C396" s="4" t="s">
        <v>4683</v>
      </c>
      <c r="D396" s="4"/>
    </row>
    <row r="397" spans="2:4">
      <c r="C397"/>
    </row>
    <row r="398" spans="2:4">
      <c r="B398" s="4" t="s">
        <v>83</v>
      </c>
      <c r="C398" s="73" t="s">
        <v>2368</v>
      </c>
      <c r="D398" s="4"/>
    </row>
    <row r="399" spans="2:4">
      <c r="B399" s="4" t="s">
        <v>4659</v>
      </c>
      <c r="C399" s="4" t="s">
        <v>4669</v>
      </c>
      <c r="D399" s="4"/>
    </row>
    <row r="400" spans="2:4">
      <c r="B400" s="4" t="s">
        <v>4660</v>
      </c>
      <c r="C400" s="4" t="s">
        <v>4670</v>
      </c>
      <c r="D400" s="4"/>
    </row>
    <row r="401" spans="2:4">
      <c r="B401" s="4" t="s">
        <v>4661</v>
      </c>
      <c r="C401" s="4" t="s">
        <v>4671</v>
      </c>
      <c r="D401" s="4"/>
    </row>
    <row r="402" spans="2:4">
      <c r="B402" s="4" t="s">
        <v>4662</v>
      </c>
      <c r="C402" s="4" t="s">
        <v>4672</v>
      </c>
      <c r="D402" s="4"/>
    </row>
    <row r="403" spans="2:4">
      <c r="B403" s="4" t="s">
        <v>4663</v>
      </c>
      <c r="C403" s="4" t="s">
        <v>4673</v>
      </c>
      <c r="D403" s="4"/>
    </row>
    <row r="466" spans="2:2">
      <c r="B466" s="1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2:D806"/>
  <sheetViews>
    <sheetView topLeftCell="A28" workbookViewId="0">
      <selection activeCell="C41" sqref="C41"/>
    </sheetView>
  </sheetViews>
  <sheetFormatPr defaultRowHeight="17.399999999999999"/>
  <cols>
    <col min="2" max="2" width="21.69921875" bestFit="1" customWidth="1"/>
    <col min="3" max="3" width="49.8984375" style="66" customWidth="1"/>
    <col min="4" max="4" width="109" bestFit="1" customWidth="1"/>
  </cols>
  <sheetData>
    <row r="2" spans="2:4">
      <c r="B2" t="s">
        <v>3</v>
      </c>
    </row>
    <row r="3" spans="2:4">
      <c r="B3" s="4" t="s">
        <v>302</v>
      </c>
      <c r="C3" s="73" t="s">
        <v>510</v>
      </c>
      <c r="D3" s="4" t="s">
        <v>467</v>
      </c>
    </row>
    <row r="4" spans="2:4">
      <c r="B4" s="4" t="s">
        <v>2665</v>
      </c>
      <c r="C4" s="73" t="s">
        <v>4167</v>
      </c>
      <c r="D4" s="4" t="s">
        <v>4168</v>
      </c>
    </row>
    <row r="5" spans="2:4">
      <c r="B5" s="4" t="s">
        <v>2665</v>
      </c>
      <c r="C5" s="73" t="s">
        <v>4169</v>
      </c>
      <c r="D5" s="4" t="s">
        <v>4170</v>
      </c>
    </row>
    <row r="6" spans="2:4">
      <c r="B6" s="4" t="s">
        <v>2666</v>
      </c>
      <c r="C6" s="73" t="s">
        <v>4171</v>
      </c>
      <c r="D6" s="4" t="s">
        <v>4172</v>
      </c>
    </row>
    <row r="7" spans="2:4">
      <c r="B7" s="4" t="s">
        <v>2666</v>
      </c>
      <c r="C7" s="73" t="s">
        <v>4173</v>
      </c>
      <c r="D7" s="4" t="s">
        <v>4174</v>
      </c>
    </row>
    <row r="8" spans="2:4">
      <c r="B8" s="4" t="s">
        <v>2667</v>
      </c>
      <c r="C8" s="73" t="s">
        <v>4175</v>
      </c>
      <c r="D8" s="4" t="s">
        <v>4176</v>
      </c>
    </row>
    <row r="9" spans="2:4">
      <c r="B9" s="4" t="s">
        <v>2668</v>
      </c>
      <c r="C9" s="73" t="s">
        <v>4177</v>
      </c>
      <c r="D9" s="4" t="s">
        <v>4178</v>
      </c>
    </row>
    <row r="10" spans="2:4">
      <c r="B10" s="4" t="s">
        <v>2669</v>
      </c>
      <c r="C10" s="73" t="s">
        <v>4179</v>
      </c>
      <c r="D10" s="4" t="s">
        <v>4180</v>
      </c>
    </row>
    <row r="12" spans="2:4">
      <c r="B12" s="4" t="s">
        <v>83</v>
      </c>
      <c r="C12" s="73" t="s">
        <v>2368</v>
      </c>
      <c r="D12" s="4" t="s">
        <v>467</v>
      </c>
    </row>
    <row r="13" spans="2:4">
      <c r="B13" s="4" t="s">
        <v>3009</v>
      </c>
      <c r="C13" s="73" t="s">
        <v>4181</v>
      </c>
      <c r="D13" s="4" t="s">
        <v>4182</v>
      </c>
    </row>
    <row r="14" spans="2:4">
      <c r="B14" s="4" t="s">
        <v>3009</v>
      </c>
      <c r="C14" s="73" t="s">
        <v>4183</v>
      </c>
      <c r="D14" s="4" t="s">
        <v>4184</v>
      </c>
    </row>
    <row r="15" spans="2:4">
      <c r="B15" s="4" t="s">
        <v>3009</v>
      </c>
      <c r="C15" s="73" t="s">
        <v>4185</v>
      </c>
      <c r="D15" s="4" t="s">
        <v>4186</v>
      </c>
    </row>
    <row r="17" spans="2:4">
      <c r="B17" s="4" t="s">
        <v>83</v>
      </c>
      <c r="C17" s="73" t="s">
        <v>2368</v>
      </c>
      <c r="D17" s="4" t="s">
        <v>467</v>
      </c>
    </row>
    <row r="18" spans="2:4">
      <c r="B18" s="4" t="s">
        <v>3916</v>
      </c>
      <c r="C18" s="73" t="s">
        <v>4187</v>
      </c>
      <c r="D18" s="4" t="s">
        <v>4188</v>
      </c>
    </row>
    <row r="19" spans="2:4">
      <c r="B19" s="4" t="s">
        <v>3916</v>
      </c>
      <c r="C19" s="73" t="s">
        <v>4189</v>
      </c>
      <c r="D19" s="4" t="s">
        <v>4190</v>
      </c>
    </row>
    <row r="20" spans="2:4">
      <c r="B20" s="4" t="s">
        <v>3916</v>
      </c>
      <c r="C20" s="73" t="s">
        <v>4191</v>
      </c>
      <c r="D20" s="4" t="s">
        <v>4192</v>
      </c>
    </row>
    <row r="21" spans="2:4">
      <c r="B21" s="4" t="s">
        <v>3916</v>
      </c>
      <c r="C21" s="73" t="s">
        <v>4193</v>
      </c>
      <c r="D21" s="4" t="s">
        <v>4194</v>
      </c>
    </row>
    <row r="23" spans="2:4">
      <c r="B23" t="s">
        <v>4195</v>
      </c>
    </row>
    <row r="24" spans="2:4">
      <c r="B24" s="3" t="s">
        <v>4059</v>
      </c>
      <c r="C24" s="73" t="s">
        <v>4196</v>
      </c>
      <c r="D24" s="4" t="s">
        <v>4197</v>
      </c>
    </row>
    <row r="25" spans="2:4">
      <c r="B25" s="3" t="s">
        <v>4060</v>
      </c>
      <c r="C25" s="73" t="s">
        <v>4198</v>
      </c>
      <c r="D25" s="4" t="s">
        <v>4199</v>
      </c>
    </row>
    <row r="26" spans="2:4">
      <c r="B26" s="3" t="s">
        <v>4061</v>
      </c>
      <c r="C26" s="73" t="s">
        <v>4200</v>
      </c>
      <c r="D26" s="4" t="s">
        <v>4201</v>
      </c>
    </row>
    <row r="27" spans="2:4">
      <c r="B27" s="3" t="s">
        <v>4062</v>
      </c>
      <c r="C27" s="74" t="s">
        <v>4202</v>
      </c>
      <c r="D27" s="4" t="s">
        <v>4203</v>
      </c>
    </row>
    <row r="28" spans="2:4">
      <c r="B28" s="4" t="s">
        <v>4063</v>
      </c>
      <c r="C28" s="73" t="s">
        <v>4204</v>
      </c>
      <c r="D28" s="4" t="s">
        <v>4205</v>
      </c>
    </row>
    <row r="29" spans="2:4">
      <c r="B29" s="21"/>
    </row>
    <row r="30" spans="2:4">
      <c r="B30" s="4" t="s">
        <v>4206</v>
      </c>
      <c r="C30" s="73" t="s">
        <v>4207</v>
      </c>
      <c r="D30" s="4" t="s">
        <v>4208</v>
      </c>
    </row>
    <row r="31" spans="2:4">
      <c r="B31" s="4" t="s">
        <v>4206</v>
      </c>
      <c r="C31" s="73" t="s">
        <v>4209</v>
      </c>
      <c r="D31" s="4" t="s">
        <v>4210</v>
      </c>
    </row>
    <row r="32" spans="2:4">
      <c r="B32" s="4" t="s">
        <v>4206</v>
      </c>
      <c r="C32" s="73" t="s">
        <v>4211</v>
      </c>
      <c r="D32" s="4" t="s">
        <v>4212</v>
      </c>
    </row>
    <row r="34" spans="2:4">
      <c r="B34" s="4" t="s">
        <v>4213</v>
      </c>
      <c r="C34" s="73" t="s">
        <v>4214</v>
      </c>
      <c r="D34" s="4" t="s">
        <v>4215</v>
      </c>
    </row>
    <row r="35" spans="2:4">
      <c r="B35" s="4" t="s">
        <v>4213</v>
      </c>
      <c r="C35" s="73" t="s">
        <v>4216</v>
      </c>
      <c r="D35" s="4" t="s">
        <v>4217</v>
      </c>
    </row>
    <row r="36" spans="2:4">
      <c r="B36" s="4" t="s">
        <v>4213</v>
      </c>
      <c r="C36" s="73" t="s">
        <v>4218</v>
      </c>
      <c r="D36" s="4" t="s">
        <v>4219</v>
      </c>
    </row>
    <row r="37" spans="2:4">
      <c r="B37" s="4" t="s">
        <v>4213</v>
      </c>
      <c r="C37" s="73" t="s">
        <v>4220</v>
      </c>
      <c r="D37" s="4" t="s">
        <v>4221</v>
      </c>
    </row>
    <row r="96" spans="2:2">
      <c r="B96" s="11"/>
    </row>
    <row r="494" spans="2:2">
      <c r="B494" s="11"/>
    </row>
    <row r="806" spans="2:2">
      <c r="B806" s="11"/>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1374-741A-4248-B67B-BB6545A3A411}">
  <sheetPr>
    <tabColor rgb="FFFFFF00"/>
  </sheetPr>
  <dimension ref="B2:D476"/>
  <sheetViews>
    <sheetView topLeftCell="A133" workbookViewId="0">
      <selection activeCell="D141" sqref="D141"/>
    </sheetView>
  </sheetViews>
  <sheetFormatPr defaultRowHeight="17.399999999999999"/>
  <cols>
    <col min="2" max="2" width="21.69921875" bestFit="1" customWidth="1"/>
    <col min="3" max="3" width="36.8984375" customWidth="1"/>
    <col min="4" max="4" width="123.3984375" customWidth="1"/>
  </cols>
  <sheetData>
    <row r="2" spans="2:4">
      <c r="B2" t="s">
        <v>1986</v>
      </c>
    </row>
    <row r="3" spans="2:4">
      <c r="B3" s="4" t="s">
        <v>302</v>
      </c>
      <c r="C3" s="4" t="s">
        <v>1114</v>
      </c>
      <c r="D3" s="4" t="s">
        <v>467</v>
      </c>
    </row>
    <row r="4" spans="2:4">
      <c r="B4" s="4" t="s">
        <v>2665</v>
      </c>
      <c r="C4" s="4" t="s">
        <v>3663</v>
      </c>
      <c r="D4" s="4" t="s">
        <v>3664</v>
      </c>
    </row>
    <row r="5" spans="2:4">
      <c r="B5" s="4" t="s">
        <v>2665</v>
      </c>
      <c r="C5" s="4" t="s">
        <v>3665</v>
      </c>
      <c r="D5" s="4" t="s">
        <v>3666</v>
      </c>
    </row>
    <row r="6" spans="2:4">
      <c r="B6" s="4" t="s">
        <v>2666</v>
      </c>
      <c r="C6" s="4" t="s">
        <v>3667</v>
      </c>
      <c r="D6" s="4" t="s">
        <v>3668</v>
      </c>
    </row>
    <row r="7" spans="2:4">
      <c r="B7" s="4" t="s">
        <v>2666</v>
      </c>
      <c r="C7" s="4" t="s">
        <v>3669</v>
      </c>
      <c r="D7" s="4" t="s">
        <v>3670</v>
      </c>
    </row>
    <row r="8" spans="2:4">
      <c r="B8" s="4" t="s">
        <v>2667</v>
      </c>
      <c r="C8" s="4" t="s">
        <v>3671</v>
      </c>
      <c r="D8" s="4" t="s">
        <v>3672</v>
      </c>
    </row>
    <row r="9" spans="2:4">
      <c r="B9" s="4" t="s">
        <v>2667</v>
      </c>
      <c r="C9" s="4" t="s">
        <v>3673</v>
      </c>
      <c r="D9" s="4" t="s">
        <v>3674</v>
      </c>
    </row>
    <row r="10" spans="2:4">
      <c r="B10" s="4" t="s">
        <v>2668</v>
      </c>
      <c r="C10" s="4" t="s">
        <v>3675</v>
      </c>
      <c r="D10" s="4" t="s">
        <v>3676</v>
      </c>
    </row>
    <row r="11" spans="2:4">
      <c r="B11" s="4" t="s">
        <v>2668</v>
      </c>
      <c r="C11" s="4" t="s">
        <v>3677</v>
      </c>
      <c r="D11" s="4" t="s">
        <v>3678</v>
      </c>
    </row>
    <row r="12" spans="2:4">
      <c r="B12" s="4" t="s">
        <v>2669</v>
      </c>
      <c r="C12" s="4" t="s">
        <v>3679</v>
      </c>
      <c r="D12" s="4" t="s">
        <v>3680</v>
      </c>
    </row>
    <row r="13" spans="2:4">
      <c r="B13" s="4" t="s">
        <v>2669</v>
      </c>
      <c r="C13" s="4" t="s">
        <v>3681</v>
      </c>
      <c r="D13" s="4" t="s">
        <v>3682</v>
      </c>
    </row>
    <row r="15" spans="2:4">
      <c r="B15" s="4" t="s">
        <v>83</v>
      </c>
      <c r="C15" s="4" t="s">
        <v>2368</v>
      </c>
      <c r="D15" s="4" t="s">
        <v>467</v>
      </c>
    </row>
    <row r="16" spans="2:4">
      <c r="B16" s="4" t="s">
        <v>3009</v>
      </c>
      <c r="C16" s="4" t="s">
        <v>3683</v>
      </c>
      <c r="D16" s="4" t="s">
        <v>3684</v>
      </c>
    </row>
    <row r="17" spans="2:4">
      <c r="B17" s="4" t="s">
        <v>3009</v>
      </c>
      <c r="C17" s="4" t="s">
        <v>3663</v>
      </c>
      <c r="D17" s="4" t="s">
        <v>3685</v>
      </c>
    </row>
    <row r="18" spans="2:4">
      <c r="B18" s="4" t="s">
        <v>3009</v>
      </c>
      <c r="C18" s="4" t="s">
        <v>3686</v>
      </c>
      <c r="D18" s="4" t="s">
        <v>3687</v>
      </c>
    </row>
    <row r="19" spans="2:4">
      <c r="B19" s="4"/>
      <c r="C19" s="4"/>
      <c r="D19" s="4"/>
    </row>
    <row r="20" spans="2:4">
      <c r="B20" s="4" t="s">
        <v>2829</v>
      </c>
      <c r="C20" s="4" t="s">
        <v>3688</v>
      </c>
      <c r="D20" s="4" t="s">
        <v>3689</v>
      </c>
    </row>
    <row r="21" spans="2:4">
      <c r="B21" s="3" t="s">
        <v>2829</v>
      </c>
      <c r="C21" s="4" t="s">
        <v>3690</v>
      </c>
      <c r="D21" s="4" t="s">
        <v>3691</v>
      </c>
    </row>
    <row r="22" spans="2:4">
      <c r="B22" s="3" t="s">
        <v>2829</v>
      </c>
      <c r="C22" s="4" t="s">
        <v>3692</v>
      </c>
      <c r="D22" s="4" t="s">
        <v>3693</v>
      </c>
    </row>
    <row r="23" spans="2:4">
      <c r="B23" s="3" t="s">
        <v>2829</v>
      </c>
      <c r="C23" s="4" t="s">
        <v>3694</v>
      </c>
      <c r="D23" s="4" t="s">
        <v>3695</v>
      </c>
    </row>
    <row r="24" spans="2:4">
      <c r="B24" s="3" t="s">
        <v>2829</v>
      </c>
      <c r="C24" s="4" t="s">
        <v>3696</v>
      </c>
      <c r="D24" s="4" t="s">
        <v>3697</v>
      </c>
    </row>
    <row r="26" spans="2:4">
      <c r="B26" s="21" t="s">
        <v>4232</v>
      </c>
    </row>
    <row r="27" spans="2:4">
      <c r="B27" s="4" t="s">
        <v>83</v>
      </c>
      <c r="C27" s="4" t="s">
        <v>510</v>
      </c>
      <c r="D27" s="4" t="s">
        <v>467</v>
      </c>
    </row>
    <row r="28" spans="2:4">
      <c r="B28" s="4" t="s">
        <v>2665</v>
      </c>
      <c r="C28" s="4" t="s">
        <v>4222</v>
      </c>
      <c r="D28" s="4" t="s">
        <v>4223</v>
      </c>
    </row>
    <row r="29" spans="2:4">
      <c r="B29" s="4" t="s">
        <v>2666</v>
      </c>
      <c r="C29" s="4" t="s">
        <v>4224</v>
      </c>
      <c r="D29" s="4" t="s">
        <v>4225</v>
      </c>
    </row>
    <row r="30" spans="2:4">
      <c r="B30" s="4" t="s">
        <v>2667</v>
      </c>
      <c r="C30" s="4" t="s">
        <v>4226</v>
      </c>
      <c r="D30" s="4" t="s">
        <v>4227</v>
      </c>
    </row>
    <row r="31" spans="2:4">
      <c r="B31" s="4" t="s">
        <v>2668</v>
      </c>
      <c r="C31" s="4" t="s">
        <v>4228</v>
      </c>
      <c r="D31" s="4" t="s">
        <v>4229</v>
      </c>
    </row>
    <row r="32" spans="2:4">
      <c r="B32" s="4" t="s">
        <v>2669</v>
      </c>
      <c r="C32" s="4" t="s">
        <v>4230</v>
      </c>
      <c r="D32" s="4" t="s">
        <v>4231</v>
      </c>
    </row>
    <row r="34" spans="2:4">
      <c r="B34" s="4" t="s">
        <v>83</v>
      </c>
      <c r="C34" s="4" t="s">
        <v>2368</v>
      </c>
      <c r="D34" s="4" t="s">
        <v>467</v>
      </c>
    </row>
    <row r="35" spans="2:4">
      <c r="B35" s="4" t="s">
        <v>3878</v>
      </c>
      <c r="C35" s="4" t="s">
        <v>4233</v>
      </c>
      <c r="D35" s="4" t="s">
        <v>4234</v>
      </c>
    </row>
    <row r="36" spans="2:4">
      <c r="B36" s="4" t="s">
        <v>3878</v>
      </c>
      <c r="C36" s="4" t="s">
        <v>4235</v>
      </c>
      <c r="D36" s="4" t="s">
        <v>4236</v>
      </c>
    </row>
    <row r="37" spans="2:4">
      <c r="B37" s="4" t="s">
        <v>3878</v>
      </c>
      <c r="C37" s="4" t="s">
        <v>4237</v>
      </c>
      <c r="D37" s="4" t="s">
        <v>4238</v>
      </c>
    </row>
    <row r="38" spans="2:4">
      <c r="B38" s="4" t="s">
        <v>3878</v>
      </c>
      <c r="C38" s="4" t="s">
        <v>4239</v>
      </c>
      <c r="D38" s="4" t="s">
        <v>4240</v>
      </c>
    </row>
    <row r="40" spans="2:4">
      <c r="B40" s="4" t="s">
        <v>83</v>
      </c>
      <c r="C40" s="4" t="s">
        <v>2368</v>
      </c>
      <c r="D40" s="4" t="s">
        <v>467</v>
      </c>
    </row>
    <row r="41" spans="2:4">
      <c r="B41" s="4" t="s">
        <v>2793</v>
      </c>
      <c r="C41" s="4" t="s">
        <v>4241</v>
      </c>
      <c r="D41" s="4" t="s">
        <v>4242</v>
      </c>
    </row>
    <row r="42" spans="2:4">
      <c r="B42" s="4" t="s">
        <v>2793</v>
      </c>
      <c r="C42" s="4" t="s">
        <v>4243</v>
      </c>
      <c r="D42" s="4" t="s">
        <v>4244</v>
      </c>
    </row>
    <row r="43" spans="2:4">
      <c r="B43" s="4" t="s">
        <v>2793</v>
      </c>
      <c r="C43" s="4" t="s">
        <v>4245</v>
      </c>
      <c r="D43" s="4" t="s">
        <v>4246</v>
      </c>
    </row>
    <row r="44" spans="2:4">
      <c r="B44" s="4" t="s">
        <v>2793</v>
      </c>
      <c r="C44" s="4" t="s">
        <v>4247</v>
      </c>
      <c r="D44" s="4" t="s">
        <v>4248</v>
      </c>
    </row>
    <row r="45" spans="2:4">
      <c r="B45" s="4" t="s">
        <v>2793</v>
      </c>
      <c r="C45" s="4" t="s">
        <v>4249</v>
      </c>
      <c r="D45" s="4" t="s">
        <v>4250</v>
      </c>
    </row>
    <row r="47" spans="2:4">
      <c r="B47" t="s">
        <v>839</v>
      </c>
    </row>
    <row r="48" spans="2:4">
      <c r="B48" s="4" t="s">
        <v>302</v>
      </c>
      <c r="C48" s="4" t="s">
        <v>3872</v>
      </c>
      <c r="D48" s="4" t="s">
        <v>3873</v>
      </c>
    </row>
    <row r="49" spans="2:4">
      <c r="B49" s="4" t="s">
        <v>4059</v>
      </c>
      <c r="C49" s="4" t="s">
        <v>4346</v>
      </c>
      <c r="D49" s="4" t="s">
        <v>4347</v>
      </c>
    </row>
    <row r="50" spans="2:4">
      <c r="B50" s="4" t="s">
        <v>4060</v>
      </c>
      <c r="C50" s="4" t="s">
        <v>4348</v>
      </c>
      <c r="D50" s="4" t="s">
        <v>4349</v>
      </c>
    </row>
    <row r="51" spans="2:4">
      <c r="B51" s="4" t="s">
        <v>4061</v>
      </c>
      <c r="C51" s="4" t="s">
        <v>4350</v>
      </c>
      <c r="D51" s="4" t="s">
        <v>4351</v>
      </c>
    </row>
    <row r="52" spans="2:4">
      <c r="B52" s="4" t="s">
        <v>4062</v>
      </c>
      <c r="C52" s="4" t="s">
        <v>4352</v>
      </c>
      <c r="D52" s="4" t="s">
        <v>4353</v>
      </c>
    </row>
    <row r="53" spans="2:4">
      <c r="B53" s="4" t="s">
        <v>4063</v>
      </c>
      <c r="C53" s="4" t="s">
        <v>4354</v>
      </c>
      <c r="D53" s="4" t="s">
        <v>4355</v>
      </c>
    </row>
    <row r="55" spans="2:4">
      <c r="B55" s="4" t="s">
        <v>83</v>
      </c>
      <c r="C55" s="4" t="s">
        <v>2368</v>
      </c>
      <c r="D55" s="4" t="s">
        <v>3873</v>
      </c>
    </row>
    <row r="56" spans="2:4">
      <c r="B56" s="4" t="s">
        <v>4334</v>
      </c>
      <c r="C56" s="4" t="s">
        <v>4356</v>
      </c>
      <c r="D56" s="4" t="s">
        <v>4357</v>
      </c>
    </row>
    <row r="57" spans="2:4">
      <c r="B57" s="4" t="s">
        <v>4334</v>
      </c>
      <c r="C57" s="4" t="s">
        <v>4358</v>
      </c>
      <c r="D57" s="4" t="s">
        <v>4359</v>
      </c>
    </row>
    <row r="58" spans="2:4">
      <c r="B58" s="4" t="s">
        <v>4339</v>
      </c>
      <c r="C58" s="4" t="s">
        <v>4360</v>
      </c>
      <c r="D58" s="4" t="s">
        <v>4361</v>
      </c>
    </row>
    <row r="59" spans="2:4">
      <c r="B59" s="4" t="s">
        <v>4339</v>
      </c>
      <c r="C59" s="4" t="s">
        <v>4362</v>
      </c>
      <c r="D59" s="4" t="s">
        <v>4363</v>
      </c>
    </row>
    <row r="60" spans="2:4">
      <c r="B60" s="4" t="s">
        <v>4339</v>
      </c>
      <c r="C60" s="4" t="s">
        <v>4364</v>
      </c>
      <c r="D60" s="4" t="s">
        <v>4365</v>
      </c>
    </row>
    <row r="62" spans="2:4">
      <c r="B62" t="s">
        <v>4388</v>
      </c>
    </row>
    <row r="63" spans="2:4">
      <c r="B63" s="4" t="s">
        <v>302</v>
      </c>
      <c r="C63" s="4" t="s">
        <v>3872</v>
      </c>
      <c r="D63" s="4" t="s">
        <v>3873</v>
      </c>
    </row>
    <row r="64" spans="2:4">
      <c r="B64" s="4" t="s">
        <v>4059</v>
      </c>
      <c r="C64" s="4" t="s">
        <v>4389</v>
      </c>
      <c r="D64" s="4" t="s">
        <v>4390</v>
      </c>
    </row>
    <row r="65" spans="2:4">
      <c r="B65" s="4" t="s">
        <v>4060</v>
      </c>
      <c r="C65" s="4" t="s">
        <v>4391</v>
      </c>
      <c r="D65" s="4" t="s">
        <v>4392</v>
      </c>
    </row>
    <row r="66" spans="2:4">
      <c r="B66" s="4" t="s">
        <v>4061</v>
      </c>
      <c r="C66" s="4" t="s">
        <v>4393</v>
      </c>
      <c r="D66" s="4" t="s">
        <v>4394</v>
      </c>
    </row>
    <row r="67" spans="2:4">
      <c r="B67" s="4" t="s">
        <v>4062</v>
      </c>
      <c r="C67" s="4" t="s">
        <v>3543</v>
      </c>
      <c r="D67" s="4" t="s">
        <v>4395</v>
      </c>
    </row>
    <row r="68" spans="2:4">
      <c r="B68" s="4" t="s">
        <v>4063</v>
      </c>
      <c r="C68" s="4" t="s">
        <v>4396</v>
      </c>
      <c r="D68" s="4" t="s">
        <v>4397</v>
      </c>
    </row>
    <row r="70" spans="2:4">
      <c r="B70" s="4" t="s">
        <v>83</v>
      </c>
      <c r="C70" s="4" t="s">
        <v>2368</v>
      </c>
      <c r="D70" s="4" t="s">
        <v>3873</v>
      </c>
    </row>
    <row r="71" spans="2:4">
      <c r="B71" s="4" t="s">
        <v>3009</v>
      </c>
      <c r="C71" s="4" t="s">
        <v>4398</v>
      </c>
      <c r="D71" s="4" t="s">
        <v>4399</v>
      </c>
    </row>
    <row r="72" spans="2:4">
      <c r="B72" s="4" t="s">
        <v>3009</v>
      </c>
      <c r="C72" s="4" t="s">
        <v>4400</v>
      </c>
      <c r="D72" s="4" t="s">
        <v>4401</v>
      </c>
    </row>
    <row r="73" spans="2:4">
      <c r="B73" s="4" t="s">
        <v>4381</v>
      </c>
      <c r="C73" s="4" t="s">
        <v>4402</v>
      </c>
      <c r="D73" s="4" t="s">
        <v>4403</v>
      </c>
    </row>
    <row r="74" spans="2:4">
      <c r="B74" s="4" t="s">
        <v>4381</v>
      </c>
      <c r="C74" s="4" t="s">
        <v>4404</v>
      </c>
      <c r="D74" s="4" t="s">
        <v>4405</v>
      </c>
    </row>
    <row r="75" spans="2:4">
      <c r="B75" s="4" t="s">
        <v>4381</v>
      </c>
      <c r="C75" s="4" t="s">
        <v>4406</v>
      </c>
      <c r="D75" s="4" t="s">
        <v>4407</v>
      </c>
    </row>
    <row r="77" spans="2:4">
      <c r="B77" t="s">
        <v>4470</v>
      </c>
    </row>
    <row r="78" spans="2:4">
      <c r="B78" s="4" t="s">
        <v>302</v>
      </c>
      <c r="C78" s="4" t="s">
        <v>3872</v>
      </c>
      <c r="D78" s="4" t="s">
        <v>3873</v>
      </c>
    </row>
    <row r="79" spans="2:4">
      <c r="B79" s="4" t="s">
        <v>4059</v>
      </c>
      <c r="C79" s="4" t="s">
        <v>4450</v>
      </c>
      <c r="D79" s="4" t="s">
        <v>4451</v>
      </c>
    </row>
    <row r="80" spans="2:4">
      <c r="B80" s="4" t="s">
        <v>4060</v>
      </c>
      <c r="C80" s="4" t="s">
        <v>4452</v>
      </c>
      <c r="D80" s="4" t="s">
        <v>4453</v>
      </c>
    </row>
    <row r="81" spans="2:4">
      <c r="B81" s="4" t="s">
        <v>4061</v>
      </c>
      <c r="C81" s="4" t="s">
        <v>4454</v>
      </c>
      <c r="D81" s="4" t="s">
        <v>4455</v>
      </c>
    </row>
    <row r="82" spans="2:4">
      <c r="B82" s="4" t="s">
        <v>4062</v>
      </c>
      <c r="C82" s="4" t="s">
        <v>4456</v>
      </c>
      <c r="D82" s="4" t="s">
        <v>4457</v>
      </c>
    </row>
    <row r="83" spans="2:4">
      <c r="B83" s="4" t="s">
        <v>4063</v>
      </c>
      <c r="C83" s="4" t="s">
        <v>4458</v>
      </c>
      <c r="D83" s="4" t="s">
        <v>4459</v>
      </c>
    </row>
    <row r="85" spans="2:4">
      <c r="B85" s="4" t="s">
        <v>83</v>
      </c>
      <c r="C85" s="4" t="s">
        <v>2368</v>
      </c>
      <c r="D85" s="4" t="s">
        <v>3873</v>
      </c>
    </row>
    <row r="86" spans="2:4">
      <c r="B86" s="4" t="s">
        <v>3009</v>
      </c>
      <c r="C86" s="4" t="s">
        <v>4460</v>
      </c>
      <c r="D86" s="4" t="s">
        <v>4461</v>
      </c>
    </row>
    <row r="87" spans="2:4">
      <c r="B87" s="4" t="s">
        <v>3009</v>
      </c>
      <c r="C87" s="4" t="s">
        <v>4462</v>
      </c>
      <c r="D87" s="4" t="s">
        <v>4463</v>
      </c>
    </row>
    <row r="88" spans="2:4">
      <c r="B88" s="4" t="s">
        <v>4381</v>
      </c>
      <c r="C88" s="4" t="s">
        <v>4464</v>
      </c>
      <c r="D88" s="4" t="s">
        <v>4465</v>
      </c>
    </row>
    <row r="89" spans="2:4">
      <c r="B89" s="4" t="s">
        <v>4381</v>
      </c>
      <c r="C89" s="4" t="s">
        <v>4466</v>
      </c>
      <c r="D89" s="4" t="s">
        <v>4467</v>
      </c>
    </row>
    <row r="90" spans="2:4">
      <c r="B90" s="4" t="s">
        <v>4381</v>
      </c>
      <c r="C90" s="4" t="s">
        <v>4468</v>
      </c>
      <c r="D90" s="4" t="s">
        <v>4469</v>
      </c>
    </row>
    <row r="92" spans="2:4">
      <c r="B92" t="s">
        <v>2535</v>
      </c>
    </row>
    <row r="93" spans="2:4">
      <c r="B93" s="53" t="s">
        <v>302</v>
      </c>
      <c r="C93" s="4" t="s">
        <v>3872</v>
      </c>
      <c r="D93" s="4" t="s">
        <v>3873</v>
      </c>
    </row>
    <row r="94" spans="2:4">
      <c r="B94" s="4" t="s">
        <v>4059</v>
      </c>
      <c r="C94" s="4" t="s">
        <v>4471</v>
      </c>
      <c r="D94" s="4" t="s">
        <v>4472</v>
      </c>
    </row>
    <row r="95" spans="2:4">
      <c r="B95" s="4" t="s">
        <v>4060</v>
      </c>
      <c r="C95" s="4" t="s">
        <v>4473</v>
      </c>
      <c r="D95" s="4" t="s">
        <v>4474</v>
      </c>
    </row>
    <row r="96" spans="2:4">
      <c r="B96" s="4" t="s">
        <v>4061</v>
      </c>
      <c r="C96" s="4" t="s">
        <v>4475</v>
      </c>
      <c r="D96" s="4" t="s">
        <v>4476</v>
      </c>
    </row>
    <row r="97" spans="2:4">
      <c r="B97" s="4" t="s">
        <v>4062</v>
      </c>
      <c r="C97" s="4" t="s">
        <v>4477</v>
      </c>
      <c r="D97" s="4" t="s">
        <v>4478</v>
      </c>
    </row>
    <row r="98" spans="2:4">
      <c r="B98" s="4" t="s">
        <v>4063</v>
      </c>
      <c r="C98" s="4" t="s">
        <v>4479</v>
      </c>
      <c r="D98" s="4" t="s">
        <v>4480</v>
      </c>
    </row>
    <row r="100" spans="2:4">
      <c r="B100" s="4" t="s">
        <v>83</v>
      </c>
      <c r="C100" s="4" t="s">
        <v>2368</v>
      </c>
      <c r="D100" s="4" t="s">
        <v>3873</v>
      </c>
    </row>
    <row r="101" spans="2:4">
      <c r="B101" s="4" t="s">
        <v>3009</v>
      </c>
      <c r="C101" s="4" t="s">
        <v>4481</v>
      </c>
      <c r="D101" s="4" t="s">
        <v>4482</v>
      </c>
    </row>
    <row r="102" spans="2:4">
      <c r="B102" s="4" t="s">
        <v>3009</v>
      </c>
      <c r="C102" s="4" t="s">
        <v>4483</v>
      </c>
      <c r="D102" s="4" t="s">
        <v>4484</v>
      </c>
    </row>
    <row r="103" spans="2:4">
      <c r="B103" s="4" t="s">
        <v>4381</v>
      </c>
      <c r="C103" s="4" t="s">
        <v>4485</v>
      </c>
      <c r="D103" s="4" t="s">
        <v>4486</v>
      </c>
    </row>
    <row r="104" spans="2:4">
      <c r="B104" s="4" t="s">
        <v>4381</v>
      </c>
      <c r="C104" s="4" t="s">
        <v>4487</v>
      </c>
      <c r="D104" s="4" t="s">
        <v>4488</v>
      </c>
    </row>
    <row r="105" spans="2:4">
      <c r="B105" s="4" t="s">
        <v>4381</v>
      </c>
      <c r="C105" s="4" t="s">
        <v>4489</v>
      </c>
      <c r="D105" s="4" t="s">
        <v>4490</v>
      </c>
    </row>
    <row r="107" spans="2:4">
      <c r="B107" t="s">
        <v>4491</v>
      </c>
    </row>
    <row r="108" spans="2:4">
      <c r="B108" s="4" t="s">
        <v>302</v>
      </c>
      <c r="C108" s="4" t="s">
        <v>3872</v>
      </c>
      <c r="D108" s="4" t="s">
        <v>3873</v>
      </c>
    </row>
    <row r="109" spans="2:4">
      <c r="B109" s="4" t="s">
        <v>4059</v>
      </c>
      <c r="C109" s="4" t="s">
        <v>4492</v>
      </c>
      <c r="D109" s="4" t="s">
        <v>4493</v>
      </c>
    </row>
    <row r="110" spans="2:4">
      <c r="B110" s="4" t="s">
        <v>4060</v>
      </c>
      <c r="C110" s="4" t="s">
        <v>4494</v>
      </c>
      <c r="D110" s="4" t="s">
        <v>4495</v>
      </c>
    </row>
    <row r="111" spans="2:4">
      <c r="B111" s="4" t="s">
        <v>4061</v>
      </c>
      <c r="C111" s="4" t="s">
        <v>4496</v>
      </c>
      <c r="D111" s="4" t="s">
        <v>4497</v>
      </c>
    </row>
    <row r="112" spans="2:4">
      <c r="B112" s="4" t="s">
        <v>4062</v>
      </c>
      <c r="C112" s="4" t="s">
        <v>4498</v>
      </c>
      <c r="D112" s="4" t="s">
        <v>4499</v>
      </c>
    </row>
    <row r="113" spans="2:4">
      <c r="B113" s="4" t="s">
        <v>4063</v>
      </c>
      <c r="C113" s="4" t="s">
        <v>4500</v>
      </c>
      <c r="D113" s="4" t="s">
        <v>4501</v>
      </c>
    </row>
    <row r="115" spans="2:4">
      <c r="B115" s="4" t="s">
        <v>83</v>
      </c>
      <c r="C115" s="4" t="s">
        <v>2368</v>
      </c>
      <c r="D115" s="4" t="s">
        <v>3873</v>
      </c>
    </row>
    <row r="116" spans="2:4">
      <c r="B116" s="4" t="s">
        <v>3009</v>
      </c>
      <c r="C116" s="4" t="s">
        <v>4502</v>
      </c>
      <c r="D116" s="4" t="s">
        <v>4503</v>
      </c>
    </row>
    <row r="117" spans="2:4">
      <c r="B117" s="4" t="s">
        <v>3009</v>
      </c>
      <c r="C117" s="4" t="s">
        <v>4504</v>
      </c>
      <c r="D117" s="4" t="s">
        <v>4505</v>
      </c>
    </row>
    <row r="118" spans="2:4">
      <c r="B118" s="4" t="s">
        <v>4381</v>
      </c>
      <c r="C118" s="4" t="s">
        <v>4506</v>
      </c>
      <c r="D118" s="4" t="s">
        <v>4507</v>
      </c>
    </row>
    <row r="119" spans="2:4">
      <c r="B119" s="4" t="s">
        <v>4381</v>
      </c>
      <c r="C119" s="4" t="s">
        <v>4508</v>
      </c>
      <c r="D119" s="4" t="s">
        <v>4509</v>
      </c>
    </row>
    <row r="120" spans="2:4">
      <c r="B120" s="4" t="s">
        <v>4381</v>
      </c>
      <c r="C120" s="4" t="s">
        <v>4510</v>
      </c>
      <c r="D120" s="4" t="s">
        <v>4511</v>
      </c>
    </row>
    <row r="122" spans="2:4">
      <c r="B122" t="s">
        <v>4512</v>
      </c>
    </row>
    <row r="123" spans="2:4">
      <c r="B123" s="4" t="s">
        <v>302</v>
      </c>
      <c r="C123" s="4" t="s">
        <v>3872</v>
      </c>
      <c r="D123" s="4" t="s">
        <v>3873</v>
      </c>
    </row>
    <row r="124" spans="2:4">
      <c r="B124" s="4" t="s">
        <v>4059</v>
      </c>
      <c r="C124" s="4" t="s">
        <v>4513</v>
      </c>
      <c r="D124" s="4" t="s">
        <v>4514</v>
      </c>
    </row>
    <row r="125" spans="2:4">
      <c r="B125" s="4" t="s">
        <v>4060</v>
      </c>
      <c r="C125" s="4" t="s">
        <v>4515</v>
      </c>
      <c r="D125" s="4" t="s">
        <v>4516</v>
      </c>
    </row>
    <row r="126" spans="2:4">
      <c r="B126" s="4" t="s">
        <v>4061</v>
      </c>
      <c r="C126" s="4" t="s">
        <v>4517</v>
      </c>
      <c r="D126" s="4" t="s">
        <v>4518</v>
      </c>
    </row>
    <row r="127" spans="2:4">
      <c r="B127" s="4" t="s">
        <v>4062</v>
      </c>
      <c r="C127" s="4" t="s">
        <v>4519</v>
      </c>
      <c r="D127" s="4" t="s">
        <v>4520</v>
      </c>
    </row>
    <row r="128" spans="2:4">
      <c r="B128" s="4" t="s">
        <v>4063</v>
      </c>
      <c r="C128" s="4" t="s">
        <v>4521</v>
      </c>
      <c r="D128" s="4" t="s">
        <v>4522</v>
      </c>
    </row>
    <row r="130" spans="2:4">
      <c r="B130" s="4" t="s">
        <v>83</v>
      </c>
      <c r="C130" s="4" t="s">
        <v>2368</v>
      </c>
      <c r="D130" s="4" t="s">
        <v>3873</v>
      </c>
    </row>
    <row r="131" spans="2:4">
      <c r="B131" s="4" t="s">
        <v>3009</v>
      </c>
      <c r="C131" s="4" t="s">
        <v>4523</v>
      </c>
      <c r="D131" s="4" t="s">
        <v>4524</v>
      </c>
    </row>
    <row r="132" spans="2:4">
      <c r="B132" s="4" t="s">
        <v>3009</v>
      </c>
      <c r="C132" s="4" t="s">
        <v>4525</v>
      </c>
      <c r="D132" s="4" t="s">
        <v>4526</v>
      </c>
    </row>
    <row r="133" spans="2:4">
      <c r="B133" s="4" t="s">
        <v>4381</v>
      </c>
      <c r="C133" s="4" t="s">
        <v>4527</v>
      </c>
      <c r="D133" s="4" t="s">
        <v>4528</v>
      </c>
    </row>
    <row r="134" spans="2:4">
      <c r="B134" s="4" t="s">
        <v>4381</v>
      </c>
      <c r="C134" s="4" t="s">
        <v>4529</v>
      </c>
      <c r="D134" s="4" t="s">
        <v>4530</v>
      </c>
    </row>
    <row r="135" spans="2:4">
      <c r="B135" s="4" t="s">
        <v>4381</v>
      </c>
      <c r="C135" s="4" t="s">
        <v>4531</v>
      </c>
      <c r="D135" s="4" t="s">
        <v>4532</v>
      </c>
    </row>
    <row r="138" spans="2:4">
      <c r="B138" t="s">
        <v>4638</v>
      </c>
    </row>
    <row r="139" spans="2:4">
      <c r="B139" s="4" t="s">
        <v>302</v>
      </c>
      <c r="C139" s="4" t="s">
        <v>3872</v>
      </c>
      <c r="D139" s="4" t="s">
        <v>3873</v>
      </c>
    </row>
    <row r="140" spans="2:4">
      <c r="B140" s="4" t="s">
        <v>4059</v>
      </c>
      <c r="C140" s="4" t="s">
        <v>4640</v>
      </c>
      <c r="D140" s="4" t="s">
        <v>4641</v>
      </c>
    </row>
    <row r="141" spans="2:4">
      <c r="B141" s="4" t="s">
        <v>4060</v>
      </c>
      <c r="C141" s="4" t="s">
        <v>4642</v>
      </c>
      <c r="D141" s="4" t="s">
        <v>4643</v>
      </c>
    </row>
    <row r="142" spans="2:4">
      <c r="B142" s="4" t="s">
        <v>4061</v>
      </c>
      <c r="C142" s="4" t="s">
        <v>4639</v>
      </c>
      <c r="D142" s="4" t="s">
        <v>4644</v>
      </c>
    </row>
    <row r="143" spans="2:4">
      <c r="B143" s="4" t="s">
        <v>4062</v>
      </c>
      <c r="C143" s="4" t="s">
        <v>4645</v>
      </c>
      <c r="D143" s="4" t="s">
        <v>4646</v>
      </c>
    </row>
    <row r="144" spans="2:4">
      <c r="B144" s="4" t="s">
        <v>4063</v>
      </c>
      <c r="C144" s="4" t="s">
        <v>4647</v>
      </c>
      <c r="D144" s="4" t="s">
        <v>4648</v>
      </c>
    </row>
    <row r="145" spans="2:4">
      <c r="B145" s="4"/>
      <c r="C145" s="4"/>
      <c r="D145" s="4"/>
    </row>
    <row r="146" spans="2:4">
      <c r="B146" s="4" t="s">
        <v>83</v>
      </c>
      <c r="C146" s="4" t="s">
        <v>4029</v>
      </c>
      <c r="D146" s="4" t="s">
        <v>3873</v>
      </c>
    </row>
    <row r="147" spans="2:4">
      <c r="B147" s="4" t="s">
        <v>3009</v>
      </c>
      <c r="C147" s="4" t="s">
        <v>4649</v>
      </c>
      <c r="D147" s="4" t="s">
        <v>4650</v>
      </c>
    </row>
    <row r="148" spans="2:4">
      <c r="B148" s="4" t="s">
        <v>3009</v>
      </c>
      <c r="C148" s="4" t="s">
        <v>4651</v>
      </c>
      <c r="D148" s="4" t="s">
        <v>4652</v>
      </c>
    </row>
    <row r="149" spans="2:4">
      <c r="B149" s="4" t="s">
        <v>4381</v>
      </c>
      <c r="C149" s="4" t="s">
        <v>4653</v>
      </c>
      <c r="D149" s="4" t="s">
        <v>4654</v>
      </c>
    </row>
    <row r="150" spans="2:4">
      <c r="B150" s="4" t="s">
        <v>4381</v>
      </c>
      <c r="C150" s="4" t="s">
        <v>4655</v>
      </c>
      <c r="D150" s="4" t="s">
        <v>4656</v>
      </c>
    </row>
    <row r="151" spans="2:4">
      <c r="B151" s="4" t="s">
        <v>4381</v>
      </c>
      <c r="C151" s="4" t="s">
        <v>4657</v>
      </c>
      <c r="D151" s="4" t="s">
        <v>4658</v>
      </c>
    </row>
    <row r="476" spans="2:2">
      <c r="B476" s="11"/>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01DD-02CC-42F3-A883-D76CA1183E42}">
  <sheetPr>
    <tabColor rgb="FFFFFF00"/>
  </sheetPr>
  <dimension ref="B1:D480"/>
  <sheetViews>
    <sheetView topLeftCell="A13" workbookViewId="0">
      <selection activeCell="C26" sqref="C26"/>
    </sheetView>
  </sheetViews>
  <sheetFormatPr defaultRowHeight="17.399999999999999"/>
  <cols>
    <col min="2" max="2" width="21.69921875" bestFit="1" customWidth="1"/>
    <col min="3" max="3" width="43" bestFit="1" customWidth="1"/>
    <col min="4" max="4" width="115.59765625" bestFit="1" customWidth="1"/>
  </cols>
  <sheetData>
    <row r="1" spans="2:4">
      <c r="B1" t="s">
        <v>1884</v>
      </c>
    </row>
    <row r="2" spans="2:4">
      <c r="B2" s="4" t="s">
        <v>302</v>
      </c>
      <c r="C2" s="4" t="s">
        <v>3872</v>
      </c>
      <c r="D2" s="4" t="s">
        <v>3873</v>
      </c>
    </row>
    <row r="3" spans="2:4">
      <c r="B3" s="4" t="s">
        <v>4059</v>
      </c>
      <c r="C3" s="4" t="s">
        <v>4274</v>
      </c>
      <c r="D3" s="4" t="s">
        <v>4275</v>
      </c>
    </row>
    <row r="4" spans="2:4">
      <c r="B4" s="4" t="s">
        <v>4060</v>
      </c>
      <c r="C4" s="4" t="s">
        <v>4276</v>
      </c>
      <c r="D4" s="4" t="s">
        <v>4277</v>
      </c>
    </row>
    <row r="5" spans="2:4">
      <c r="B5" s="4" t="s">
        <v>4061</v>
      </c>
      <c r="C5" s="4" t="s">
        <v>4278</v>
      </c>
      <c r="D5" s="4" t="s">
        <v>4279</v>
      </c>
    </row>
    <row r="6" spans="2:4">
      <c r="B6" s="4" t="s">
        <v>4062</v>
      </c>
      <c r="C6" s="4" t="s">
        <v>4280</v>
      </c>
      <c r="D6" s="4" t="s">
        <v>4281</v>
      </c>
    </row>
    <row r="7" spans="2:4">
      <c r="B7" s="4" t="s">
        <v>4063</v>
      </c>
      <c r="C7" s="4" t="s">
        <v>4282</v>
      </c>
      <c r="D7" s="4" t="s">
        <v>4283</v>
      </c>
    </row>
    <row r="9" spans="2:4">
      <c r="B9" s="4" t="s">
        <v>83</v>
      </c>
      <c r="C9" s="4" t="s">
        <v>2368</v>
      </c>
      <c r="D9" s="4" t="s">
        <v>3873</v>
      </c>
    </row>
    <row r="10" spans="2:4">
      <c r="B10" s="4" t="s">
        <v>3878</v>
      </c>
      <c r="C10" s="4" t="s">
        <v>4284</v>
      </c>
      <c r="D10" s="4" t="s">
        <v>4285</v>
      </c>
    </row>
    <row r="11" spans="2:4">
      <c r="B11" s="4" t="s">
        <v>3878</v>
      </c>
      <c r="C11" s="4" t="s">
        <v>4286</v>
      </c>
      <c r="D11" s="4" t="s">
        <v>4287</v>
      </c>
    </row>
    <row r="12" spans="2:4">
      <c r="B12" s="4" t="s">
        <v>3878</v>
      </c>
      <c r="C12" s="4" t="s">
        <v>4288</v>
      </c>
      <c r="D12" s="4" t="s">
        <v>4289</v>
      </c>
    </row>
    <row r="13" spans="2:4">
      <c r="B13" s="4" t="s">
        <v>3878</v>
      </c>
      <c r="C13" s="4" t="s">
        <v>4290</v>
      </c>
      <c r="D13" s="4" t="s">
        <v>4291</v>
      </c>
    </row>
    <row r="15" spans="2:4">
      <c r="B15" s="4" t="s">
        <v>83</v>
      </c>
      <c r="C15" s="4" t="s">
        <v>2368</v>
      </c>
      <c r="D15" s="4" t="s">
        <v>3873</v>
      </c>
    </row>
    <row r="16" spans="2:4">
      <c r="B16" s="4" t="s">
        <v>2793</v>
      </c>
      <c r="C16" s="4" t="s">
        <v>4292</v>
      </c>
      <c r="D16" s="4" t="s">
        <v>4293</v>
      </c>
    </row>
    <row r="17" spans="2:4">
      <c r="B17" s="4" t="s">
        <v>2793</v>
      </c>
      <c r="C17" s="4" t="s">
        <v>4294</v>
      </c>
      <c r="D17" s="4" t="s">
        <v>4295</v>
      </c>
    </row>
    <row r="18" spans="2:4">
      <c r="B18" s="4" t="s">
        <v>2793</v>
      </c>
      <c r="C18" s="4" t="s">
        <v>4296</v>
      </c>
      <c r="D18" s="4" t="s">
        <v>4297</v>
      </c>
    </row>
    <row r="19" spans="2:4">
      <c r="B19" s="4" t="s">
        <v>2793</v>
      </c>
      <c r="C19" s="4" t="s">
        <v>4298</v>
      </c>
      <c r="D19" s="4" t="s">
        <v>4299</v>
      </c>
    </row>
    <row r="20" spans="2:4">
      <c r="B20" s="4" t="s">
        <v>2793</v>
      </c>
      <c r="C20" s="4" t="s">
        <v>4300</v>
      </c>
      <c r="D20" s="4" t="s">
        <v>4301</v>
      </c>
    </row>
    <row r="25" spans="2:4">
      <c r="B25" s="21"/>
    </row>
    <row r="26" spans="2:4">
      <c r="B26" s="21"/>
    </row>
    <row r="27" spans="2:4">
      <c r="B27" s="21"/>
    </row>
    <row r="28" spans="2:4">
      <c r="B28" s="21"/>
    </row>
    <row r="30" spans="2:4">
      <c r="B30" s="21"/>
    </row>
    <row r="97" spans="2:2">
      <c r="B97" s="11"/>
    </row>
    <row r="480" spans="2:2">
      <c r="B480" s="11"/>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EFE4-694A-4229-A099-03B246E32431}">
  <sheetPr>
    <tabColor rgb="FFFFFF00"/>
  </sheetPr>
  <dimension ref="B1:D480"/>
  <sheetViews>
    <sheetView zoomScale="70" zoomScaleNormal="70" workbookViewId="0">
      <selection activeCell="B1" sqref="B1:D1048576"/>
    </sheetView>
  </sheetViews>
  <sheetFormatPr defaultRowHeight="17.399999999999999"/>
  <cols>
    <col min="2" max="2" width="21.69921875" bestFit="1" customWidth="1"/>
    <col min="3" max="3" width="48.796875" bestFit="1" customWidth="1"/>
    <col min="4" max="4" width="231.5" bestFit="1" customWidth="1"/>
  </cols>
  <sheetData>
    <row r="1" spans="2:4">
      <c r="B1" t="s">
        <v>2023</v>
      </c>
    </row>
    <row r="2" spans="2:4">
      <c r="B2" t="s">
        <v>83</v>
      </c>
      <c r="C2" t="s">
        <v>3872</v>
      </c>
      <c r="D2" t="s">
        <v>3873</v>
      </c>
    </row>
    <row r="3" spans="2:4">
      <c r="B3" s="4" t="s">
        <v>4059</v>
      </c>
      <c r="C3" s="4" t="s">
        <v>4304</v>
      </c>
      <c r="D3" s="4" t="s">
        <v>4305</v>
      </c>
    </row>
    <row r="4" spans="2:4">
      <c r="B4" s="4" t="s">
        <v>4060</v>
      </c>
      <c r="C4" s="4" t="s">
        <v>4306</v>
      </c>
      <c r="D4" s="4" t="s">
        <v>4307</v>
      </c>
    </row>
    <row r="5" spans="2:4">
      <c r="B5" s="4" t="s">
        <v>4061</v>
      </c>
      <c r="C5" s="4" t="s">
        <v>4308</v>
      </c>
      <c r="D5" s="4" t="s">
        <v>4309</v>
      </c>
    </row>
    <row r="6" spans="2:4">
      <c r="B6" s="4" t="s">
        <v>4062</v>
      </c>
      <c r="C6" s="4" t="s">
        <v>4310</v>
      </c>
      <c r="D6" s="4" t="s">
        <v>4311</v>
      </c>
    </row>
    <row r="7" spans="2:4">
      <c r="B7" s="4" t="s">
        <v>4063</v>
      </c>
      <c r="C7" s="4" t="s">
        <v>4312</v>
      </c>
      <c r="D7" s="4" t="s">
        <v>4313</v>
      </c>
    </row>
    <row r="8" spans="2:4">
      <c r="B8" s="4"/>
      <c r="C8" s="4"/>
      <c r="D8" s="4"/>
    </row>
    <row r="9" spans="2:4">
      <c r="B9" s="4" t="s">
        <v>4302</v>
      </c>
      <c r="C9" s="4" t="s">
        <v>4314</v>
      </c>
      <c r="D9" s="4" t="s">
        <v>4315</v>
      </c>
    </row>
    <row r="10" spans="2:4">
      <c r="B10" s="4" t="s">
        <v>4316</v>
      </c>
      <c r="C10" s="4" t="s">
        <v>4317</v>
      </c>
      <c r="D10" s="4" t="s">
        <v>4318</v>
      </c>
    </row>
    <row r="11" spans="2:4">
      <c r="B11" s="4" t="s">
        <v>4303</v>
      </c>
      <c r="C11" s="4" t="s">
        <v>4319</v>
      </c>
      <c r="D11" s="4" t="s">
        <v>4320</v>
      </c>
    </row>
    <row r="12" spans="2:4">
      <c r="B12" s="4" t="s">
        <v>4321</v>
      </c>
      <c r="C12" s="4" t="s">
        <v>4322</v>
      </c>
      <c r="D12" s="4" t="s">
        <v>4323</v>
      </c>
    </row>
    <row r="14" spans="2:4">
      <c r="B14" t="s">
        <v>1897</v>
      </c>
    </row>
    <row r="15" spans="2:4">
      <c r="B15" s="4" t="s">
        <v>302</v>
      </c>
      <c r="C15" s="4" t="s">
        <v>3872</v>
      </c>
      <c r="D15" s="4" t="s">
        <v>3873</v>
      </c>
    </row>
    <row r="16" spans="2:4">
      <c r="B16" s="4" t="s">
        <v>4059</v>
      </c>
      <c r="C16" s="4" t="s">
        <v>4325</v>
      </c>
      <c r="D16" s="4" t="s">
        <v>4326</v>
      </c>
    </row>
    <row r="17" spans="2:4">
      <c r="B17" s="4" t="s">
        <v>4060</v>
      </c>
      <c r="C17" s="4" t="s">
        <v>4324</v>
      </c>
      <c r="D17" s="4" t="s">
        <v>4327</v>
      </c>
    </row>
    <row r="18" spans="2:4">
      <c r="B18" s="4" t="s">
        <v>4061</v>
      </c>
      <c r="C18" s="4" t="s">
        <v>4328</v>
      </c>
      <c r="D18" s="4" t="s">
        <v>4329</v>
      </c>
    </row>
    <row r="19" spans="2:4">
      <c r="B19" s="4" t="s">
        <v>4062</v>
      </c>
      <c r="C19" s="4" t="s">
        <v>4330</v>
      </c>
      <c r="D19" s="4" t="s">
        <v>4331</v>
      </c>
    </row>
    <row r="20" spans="2:4">
      <c r="B20" s="4" t="s">
        <v>4063</v>
      </c>
      <c r="C20" s="4" t="s">
        <v>4332</v>
      </c>
      <c r="D20" s="4" t="s">
        <v>4333</v>
      </c>
    </row>
    <row r="22" spans="2:4">
      <c r="B22" s="4" t="s">
        <v>83</v>
      </c>
      <c r="C22" s="4" t="s">
        <v>2368</v>
      </c>
      <c r="D22" s="4" t="s">
        <v>3873</v>
      </c>
    </row>
    <row r="23" spans="2:4">
      <c r="B23" s="4" t="s">
        <v>4334</v>
      </c>
      <c r="C23" s="4" t="s">
        <v>4335</v>
      </c>
      <c r="D23" s="4" t="s">
        <v>4336</v>
      </c>
    </row>
    <row r="24" spans="2:4">
      <c r="B24" s="4" t="s">
        <v>4334</v>
      </c>
      <c r="C24" s="4" t="s">
        <v>4337</v>
      </c>
      <c r="D24" s="4" t="s">
        <v>4338</v>
      </c>
    </row>
    <row r="25" spans="2:4">
      <c r="B25" s="3" t="s">
        <v>4339</v>
      </c>
      <c r="C25" s="4" t="s">
        <v>4340</v>
      </c>
      <c r="D25" s="4" t="s">
        <v>4341</v>
      </c>
    </row>
    <row r="26" spans="2:4">
      <c r="B26" s="3" t="s">
        <v>4339</v>
      </c>
      <c r="C26" s="4" t="s">
        <v>4342</v>
      </c>
      <c r="D26" s="4" t="s">
        <v>4343</v>
      </c>
    </row>
    <row r="27" spans="2:4">
      <c r="B27" s="3" t="s">
        <v>4339</v>
      </c>
      <c r="C27" s="4" t="s">
        <v>4344</v>
      </c>
      <c r="D27" s="4" t="s">
        <v>4345</v>
      </c>
    </row>
    <row r="28" spans="2:4">
      <c r="B28" s="21"/>
    </row>
    <row r="30" spans="2:4">
      <c r="B30" s="21"/>
    </row>
    <row r="97" spans="2:2">
      <c r="B97" s="11"/>
    </row>
    <row r="480" spans="2:2">
      <c r="B480" s="11"/>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D479"/>
  <sheetViews>
    <sheetView zoomScale="85" zoomScaleNormal="85" workbookViewId="0">
      <selection activeCell="C18" sqref="C18"/>
    </sheetView>
  </sheetViews>
  <sheetFormatPr defaultRowHeight="17.399999999999999"/>
  <cols>
    <col min="2" max="2" width="21.69921875" bestFit="1" customWidth="1"/>
    <col min="3" max="3" width="48.796875" bestFit="1" customWidth="1"/>
    <col min="4" max="4" width="92.3984375" customWidth="1"/>
  </cols>
  <sheetData>
    <row r="2" spans="2:4">
      <c r="B2" t="s">
        <v>1963</v>
      </c>
    </row>
    <row r="3" spans="2:4">
      <c r="B3" s="4" t="s">
        <v>302</v>
      </c>
      <c r="C3" s="4" t="s">
        <v>3872</v>
      </c>
      <c r="D3" s="4" t="s">
        <v>3873</v>
      </c>
    </row>
    <row r="4" spans="2:4">
      <c r="B4" s="4" t="s">
        <v>4059</v>
      </c>
      <c r="C4" s="4" t="s">
        <v>4596</v>
      </c>
      <c r="D4" s="4" t="s">
        <v>4597</v>
      </c>
    </row>
    <row r="5" spans="2:4">
      <c r="B5" s="4" t="s">
        <v>4060</v>
      </c>
      <c r="C5" s="4" t="s">
        <v>4598</v>
      </c>
      <c r="D5" s="4" t="s">
        <v>4599</v>
      </c>
    </row>
    <row r="6" spans="2:4">
      <c r="B6" s="4" t="s">
        <v>4061</v>
      </c>
      <c r="C6" s="4" t="s">
        <v>4600</v>
      </c>
      <c r="D6" s="4" t="s">
        <v>4601</v>
      </c>
    </row>
    <row r="7" spans="2:4">
      <c r="B7" s="4" t="s">
        <v>4062</v>
      </c>
      <c r="C7" s="4" t="s">
        <v>4602</v>
      </c>
      <c r="D7" s="4" t="s">
        <v>4603</v>
      </c>
    </row>
    <row r="8" spans="2:4">
      <c r="B8" s="4" t="s">
        <v>4063</v>
      </c>
      <c r="C8" s="4" t="s">
        <v>4604</v>
      </c>
      <c r="D8" s="4" t="s">
        <v>4605</v>
      </c>
    </row>
    <row r="10" spans="2:4">
      <c r="B10" s="4" t="s">
        <v>83</v>
      </c>
      <c r="C10" s="4" t="s">
        <v>2368</v>
      </c>
      <c r="D10" s="4" t="s">
        <v>3873</v>
      </c>
    </row>
    <row r="11" spans="2:4">
      <c r="B11" s="4" t="s">
        <v>3009</v>
      </c>
      <c r="C11" s="4" t="s">
        <v>4606</v>
      </c>
      <c r="D11" s="4" t="s">
        <v>4607</v>
      </c>
    </row>
    <row r="12" spans="2:4">
      <c r="B12" s="4" t="s">
        <v>3009</v>
      </c>
      <c r="C12" s="4" t="s">
        <v>4608</v>
      </c>
      <c r="D12" s="4" t="s">
        <v>4609</v>
      </c>
    </row>
    <row r="13" spans="2:4">
      <c r="B13" s="4" t="s">
        <v>4381</v>
      </c>
      <c r="C13" s="4" t="s">
        <v>4610</v>
      </c>
      <c r="D13" s="4" t="s">
        <v>4611</v>
      </c>
    </row>
    <row r="14" spans="2:4">
      <c r="B14" s="4" t="s">
        <v>4381</v>
      </c>
      <c r="C14" s="4" t="s">
        <v>4612</v>
      </c>
      <c r="D14" s="4" t="s">
        <v>4613</v>
      </c>
    </row>
    <row r="15" spans="2:4">
      <c r="B15" s="4" t="s">
        <v>4381</v>
      </c>
      <c r="C15" s="4" t="s">
        <v>4614</v>
      </c>
      <c r="D15" s="4" t="s">
        <v>4615</v>
      </c>
    </row>
    <row r="16" spans="2:4" ht="36" customHeight="1"/>
    <row r="17" spans="2:2" ht="36" customHeight="1"/>
    <row r="19" spans="2:2" ht="34.799999999999997" customHeight="1"/>
    <row r="21" spans="2:2" ht="72" customHeight="1"/>
    <row r="22" spans="2:2" ht="17.399999999999999" customHeight="1"/>
    <row r="24" spans="2:2">
      <c r="B24" s="21"/>
    </row>
    <row r="25" spans="2:2">
      <c r="B25" s="21"/>
    </row>
    <row r="26" spans="2:2">
      <c r="B26" s="21"/>
    </row>
    <row r="27" spans="2:2">
      <c r="B27" s="21"/>
    </row>
    <row r="29" spans="2:2">
      <c r="B29" s="21"/>
    </row>
    <row r="96" spans="2:2">
      <c r="B96" s="11"/>
    </row>
    <row r="479" spans="2:2">
      <c r="B479" s="11"/>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38"/>
  <sheetViews>
    <sheetView zoomScaleNormal="100" workbookViewId="0">
      <selection activeCell="C143" sqref="C143"/>
    </sheetView>
  </sheetViews>
  <sheetFormatPr defaultRowHeight="17.399999999999999"/>
  <cols>
    <col min="1" max="1" width="16.59765625" customWidth="1"/>
    <col min="2" max="2" width="19.3984375" customWidth="1"/>
    <col min="3" max="3" width="32.3984375" customWidth="1"/>
    <col min="4" max="4" width="24.796875" customWidth="1"/>
    <col min="5" max="5" width="23.59765625" customWidth="1"/>
  </cols>
  <sheetData>
    <row r="3" spans="1:5">
      <c r="A3" s="7" t="s">
        <v>2541</v>
      </c>
      <c r="B3" s="7" t="s">
        <v>86</v>
      </c>
      <c r="C3" s="7" t="s">
        <v>2563</v>
      </c>
      <c r="D3" s="7" t="s">
        <v>2564</v>
      </c>
      <c r="E3" s="7" t="s">
        <v>2565</v>
      </c>
    </row>
    <row r="4" spans="1:5" ht="34.799999999999997">
      <c r="A4" s="78" t="s">
        <v>2566</v>
      </c>
      <c r="B4" s="78" t="s">
        <v>2567</v>
      </c>
      <c r="C4" s="3" t="s">
        <v>2568</v>
      </c>
      <c r="D4" s="3" t="s">
        <v>2569</v>
      </c>
      <c r="E4" s="3" t="s">
        <v>2570</v>
      </c>
    </row>
    <row r="5" spans="1:5" ht="34.799999999999997">
      <c r="A5" s="78"/>
      <c r="B5" s="78"/>
      <c r="C5" s="3" t="s">
        <v>2571</v>
      </c>
      <c r="D5" s="3" t="s">
        <v>2572</v>
      </c>
      <c r="E5" s="3" t="s">
        <v>2573</v>
      </c>
    </row>
    <row r="6" spans="1:5">
      <c r="A6" s="78"/>
      <c r="B6" s="78"/>
      <c r="C6" s="3" t="s">
        <v>2574</v>
      </c>
      <c r="D6" s="3" t="s">
        <v>2575</v>
      </c>
      <c r="E6" s="3"/>
    </row>
    <row r="7" spans="1:5" ht="34.799999999999997">
      <c r="A7" s="78" t="s">
        <v>2566</v>
      </c>
      <c r="B7" s="78" t="s">
        <v>2576</v>
      </c>
      <c r="C7" s="3" t="s">
        <v>2577</v>
      </c>
      <c r="D7" s="3" t="s">
        <v>2578</v>
      </c>
      <c r="E7" s="3" t="s">
        <v>2579</v>
      </c>
    </row>
    <row r="8" spans="1:5">
      <c r="A8" s="78"/>
      <c r="B8" s="78"/>
      <c r="C8" s="3" t="s">
        <v>2580</v>
      </c>
      <c r="D8" s="3" t="s">
        <v>2581</v>
      </c>
      <c r="E8" s="3" t="s">
        <v>2582</v>
      </c>
    </row>
    <row r="9" spans="1:5">
      <c r="A9" s="78"/>
      <c r="B9" s="78"/>
      <c r="C9" s="3"/>
      <c r="D9" s="3" t="s">
        <v>2583</v>
      </c>
      <c r="E9" s="3"/>
    </row>
    <row r="10" spans="1:5" ht="34.799999999999997">
      <c r="A10" s="78" t="s">
        <v>2584</v>
      </c>
      <c r="B10" s="78" t="s">
        <v>2585</v>
      </c>
      <c r="C10" s="77" t="s">
        <v>2586</v>
      </c>
      <c r="D10" s="3" t="s">
        <v>2587</v>
      </c>
      <c r="E10" s="3" t="s">
        <v>2588</v>
      </c>
    </row>
    <row r="11" spans="1:5" ht="34.799999999999997">
      <c r="A11" s="78"/>
      <c r="B11" s="78"/>
      <c r="C11" s="77"/>
      <c r="D11" s="3" t="s">
        <v>2589</v>
      </c>
      <c r="E11" s="3" t="s">
        <v>2590</v>
      </c>
    </row>
    <row r="12" spans="1:5" ht="34.799999999999997">
      <c r="A12" s="78" t="s">
        <v>2584</v>
      </c>
      <c r="B12" s="78" t="s">
        <v>2591</v>
      </c>
      <c r="C12" s="77" t="s">
        <v>2592</v>
      </c>
      <c r="D12" s="3" t="s">
        <v>2593</v>
      </c>
      <c r="E12" s="3" t="s">
        <v>2594</v>
      </c>
    </row>
    <row r="13" spans="1:5" ht="34.799999999999997">
      <c r="A13" s="78"/>
      <c r="B13" s="78"/>
      <c r="C13" s="77"/>
      <c r="D13" s="3" t="s">
        <v>2595</v>
      </c>
      <c r="E13" s="3" t="s">
        <v>2596</v>
      </c>
    </row>
    <row r="14" spans="1:5" ht="34.799999999999997">
      <c r="A14" s="8" t="s">
        <v>2584</v>
      </c>
      <c r="B14" s="8" t="s">
        <v>2597</v>
      </c>
      <c r="C14" s="3" t="s">
        <v>2598</v>
      </c>
      <c r="D14" s="3" t="s">
        <v>2599</v>
      </c>
      <c r="E14" s="3" t="s">
        <v>2600</v>
      </c>
    </row>
    <row r="15" spans="1:5">
      <c r="A15" t="s">
        <v>2637</v>
      </c>
    </row>
    <row r="16" spans="1:5">
      <c r="A16" t="s">
        <v>2638</v>
      </c>
    </row>
    <row r="18" spans="1:1">
      <c r="A18" t="s">
        <v>2639</v>
      </c>
    </row>
    <row r="20" spans="1:1">
      <c r="A20" t="s">
        <v>2640</v>
      </c>
    </row>
    <row r="22" spans="1:1">
      <c r="A22" t="s">
        <v>2641</v>
      </c>
    </row>
    <row r="24" spans="1:1">
      <c r="A24" t="s">
        <v>2642</v>
      </c>
    </row>
    <row r="26" spans="1:1">
      <c r="A26" t="s">
        <v>2643</v>
      </c>
    </row>
    <row r="28" spans="1:1">
      <c r="A28" t="s">
        <v>2644</v>
      </c>
    </row>
    <row r="30" spans="1:1">
      <c r="A30" t="s">
        <v>2645</v>
      </c>
    </row>
    <row r="32" spans="1:1">
      <c r="A32" t="s">
        <v>2646</v>
      </c>
    </row>
    <row r="34" spans="1:1">
      <c r="A34" t="s">
        <v>2647</v>
      </c>
    </row>
    <row r="36" spans="1:1">
      <c r="A36" t="s">
        <v>2648</v>
      </c>
    </row>
    <row r="38" spans="1:1">
      <c r="A38" t="s">
        <v>2649</v>
      </c>
    </row>
    <row r="40" spans="1:1">
      <c r="A40" t="s">
        <v>2650</v>
      </c>
    </row>
    <row r="42" spans="1:1">
      <c r="A42" t="s">
        <v>2651</v>
      </c>
    </row>
    <row r="44" spans="1:1">
      <c r="A44" t="s">
        <v>2652</v>
      </c>
    </row>
    <row r="46" spans="1:1">
      <c r="A46" t="s">
        <v>2653</v>
      </c>
    </row>
    <row r="48" spans="1:1">
      <c r="A48" t="s">
        <v>2654</v>
      </c>
    </row>
    <row r="50" spans="1:1">
      <c r="A50" t="s">
        <v>2655</v>
      </c>
    </row>
    <row r="52" spans="1:1">
      <c r="A52" t="s">
        <v>2656</v>
      </c>
    </row>
    <row r="54" spans="1:1">
      <c r="A54" t="s">
        <v>2657</v>
      </c>
    </row>
    <row r="56" spans="1:1">
      <c r="A56" t="s">
        <v>2658</v>
      </c>
    </row>
    <row r="58" spans="1:1">
      <c r="A58" t="s">
        <v>2659</v>
      </c>
    </row>
    <row r="60" spans="1:1">
      <c r="A60" t="s">
        <v>2660</v>
      </c>
    </row>
    <row r="62" spans="1:1">
      <c r="A62" t="s">
        <v>2661</v>
      </c>
    </row>
    <row r="64" spans="1:1">
      <c r="A64" t="s">
        <v>2662</v>
      </c>
    </row>
    <row r="66" spans="1:1">
      <c r="A66" t="s">
        <v>2663</v>
      </c>
    </row>
    <row r="68" spans="1:1">
      <c r="A68" t="s">
        <v>2664</v>
      </c>
    </row>
    <row r="71" spans="1:1">
      <c r="A71" t="s">
        <v>2601</v>
      </c>
    </row>
    <row r="72" spans="1:1">
      <c r="A72" t="s">
        <v>2602</v>
      </c>
    </row>
    <row r="74" spans="1:1">
      <c r="A74" t="s">
        <v>2603</v>
      </c>
    </row>
    <row r="76" spans="1:1">
      <c r="A76" t="s">
        <v>2604</v>
      </c>
    </row>
    <row r="78" spans="1:1">
      <c r="A78" t="s">
        <v>2605</v>
      </c>
    </row>
    <row r="80" spans="1:1">
      <c r="A80" t="s">
        <v>2606</v>
      </c>
    </row>
    <row r="82" spans="1:1">
      <c r="A82" t="s">
        <v>2607</v>
      </c>
    </row>
    <row r="84" spans="1:1">
      <c r="A84" t="s">
        <v>2608</v>
      </c>
    </row>
    <row r="86" spans="1:1">
      <c r="A86" t="s">
        <v>2609</v>
      </c>
    </row>
    <row r="88" spans="1:1">
      <c r="A88" t="s">
        <v>2610</v>
      </c>
    </row>
    <row r="90" spans="1:1">
      <c r="A90" t="s">
        <v>2611</v>
      </c>
    </row>
    <row r="92" spans="1:1">
      <c r="A92" t="s">
        <v>2612</v>
      </c>
    </row>
    <row r="94" spans="1:1">
      <c r="A94" t="s">
        <v>2613</v>
      </c>
    </row>
    <row r="96" spans="1:1">
      <c r="A96" t="s">
        <v>2614</v>
      </c>
    </row>
    <row r="98" spans="1:1">
      <c r="A98" t="s">
        <v>2615</v>
      </c>
    </row>
    <row r="100" spans="1:1">
      <c r="A100" t="s">
        <v>2616</v>
      </c>
    </row>
    <row r="101" spans="1:1">
      <c r="A101" t="s">
        <v>2617</v>
      </c>
    </row>
    <row r="103" spans="1:1">
      <c r="A103" t="s">
        <v>2618</v>
      </c>
    </row>
    <row r="105" spans="1:1">
      <c r="A105" t="s">
        <v>2619</v>
      </c>
    </row>
    <row r="107" spans="1:1">
      <c r="A107" t="s">
        <v>2620</v>
      </c>
    </row>
    <row r="109" spans="1:1">
      <c r="A109" t="s">
        <v>2621</v>
      </c>
    </row>
    <row r="111" spans="1:1">
      <c r="A111" t="s">
        <v>2622</v>
      </c>
    </row>
    <row r="113" spans="1:1">
      <c r="A113" t="s">
        <v>2623</v>
      </c>
    </row>
    <row r="115" spans="1:1">
      <c r="A115" t="s">
        <v>2624</v>
      </c>
    </row>
    <row r="117" spans="1:1">
      <c r="A117" t="s">
        <v>2625</v>
      </c>
    </row>
    <row r="119" spans="1:1">
      <c r="A119" t="s">
        <v>2626</v>
      </c>
    </row>
    <row r="121" spans="1:1">
      <c r="A121" t="s">
        <v>2627</v>
      </c>
    </row>
    <row r="123" spans="1:1">
      <c r="A123" t="s">
        <v>2628</v>
      </c>
    </row>
    <row r="125" spans="1:1">
      <c r="A125" t="s">
        <v>2629</v>
      </c>
    </row>
    <row r="127" spans="1:1">
      <c r="A127" t="s">
        <v>2630</v>
      </c>
    </row>
    <row r="129" spans="1:1">
      <c r="A129" t="s">
        <v>2631</v>
      </c>
    </row>
    <row r="131" spans="1:1">
      <c r="A131" t="s">
        <v>2632</v>
      </c>
    </row>
    <row r="133" spans="1:1">
      <c r="A133" t="s">
        <v>2633</v>
      </c>
    </row>
    <row r="135" spans="1:1">
      <c r="A135" t="s">
        <v>2634</v>
      </c>
    </row>
    <row r="137" spans="1:1">
      <c r="A137" t="s">
        <v>2635</v>
      </c>
    </row>
    <row r="138" spans="1:1">
      <c r="A138" t="s">
        <v>2636</v>
      </c>
    </row>
  </sheetData>
  <mergeCells count="10">
    <mergeCell ref="C10:C11"/>
    <mergeCell ref="A12:A13"/>
    <mergeCell ref="B12:B13"/>
    <mergeCell ref="C12:C13"/>
    <mergeCell ref="A4:A6"/>
    <mergeCell ref="B4:B6"/>
    <mergeCell ref="A7:A9"/>
    <mergeCell ref="B7:B9"/>
    <mergeCell ref="A10:A11"/>
    <mergeCell ref="B10:B1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C86"/>
  <sheetViews>
    <sheetView topLeftCell="A43" zoomScale="85" zoomScaleNormal="85" workbookViewId="0">
      <selection activeCell="B48" sqref="B48:C49"/>
    </sheetView>
  </sheetViews>
  <sheetFormatPr defaultRowHeight="17.399999999999999"/>
  <cols>
    <col min="2" max="2" width="19.3984375" bestFit="1" customWidth="1"/>
    <col min="3" max="3" width="90.8984375" customWidth="1"/>
    <col min="4" max="4" width="65.5" customWidth="1"/>
    <col min="5" max="5" width="41.5" customWidth="1"/>
    <col min="6" max="7" width="38.5" customWidth="1"/>
  </cols>
  <sheetData>
    <row r="4" spans="2:3">
      <c r="B4" s="11" t="s">
        <v>905</v>
      </c>
    </row>
    <row r="5" spans="2:3" ht="87">
      <c r="B5" s="65" t="s">
        <v>1172</v>
      </c>
      <c r="C5" s="45" t="s">
        <v>2486</v>
      </c>
    </row>
    <row r="6" spans="2:3" ht="139.19999999999999">
      <c r="B6" s="65" t="s">
        <v>1173</v>
      </c>
      <c r="C6" s="45" t="s">
        <v>2487</v>
      </c>
    </row>
    <row r="7" spans="2:3" ht="121.8">
      <c r="B7" s="4" t="s">
        <v>1174</v>
      </c>
      <c r="C7" s="3" t="s">
        <v>2488</v>
      </c>
    </row>
    <row r="8" spans="2:3" ht="121.8">
      <c r="B8" s="4" t="s">
        <v>2057</v>
      </c>
      <c r="C8" s="3" t="s">
        <v>2489</v>
      </c>
    </row>
    <row r="9" spans="2:3" ht="139.19999999999999">
      <c r="B9" s="4" t="s">
        <v>2056</v>
      </c>
      <c r="C9" s="3" t="s">
        <v>2490</v>
      </c>
    </row>
    <row r="10" spans="2:3">
      <c r="B10" s="11"/>
    </row>
    <row r="11" spans="2:3">
      <c r="B11" s="11"/>
    </row>
    <row r="12" spans="2:3">
      <c r="B12" s="11"/>
    </row>
    <row r="13" spans="2:3">
      <c r="B13" t="s">
        <v>2053</v>
      </c>
    </row>
    <row r="14" spans="2:3" ht="87">
      <c r="B14" s="65" t="s">
        <v>1172</v>
      </c>
      <c r="C14" s="45" t="s">
        <v>2068</v>
      </c>
    </row>
    <row r="15" spans="2:3" ht="69.599999999999994">
      <c r="B15" s="65" t="s">
        <v>1173</v>
      </c>
      <c r="C15" s="45" t="s">
        <v>2054</v>
      </c>
    </row>
    <row r="16" spans="2:3" ht="69.599999999999994">
      <c r="B16" s="4" t="s">
        <v>1174</v>
      </c>
      <c r="C16" s="3" t="s">
        <v>2055</v>
      </c>
    </row>
    <row r="17" spans="2:3" ht="69.599999999999994">
      <c r="B17" s="4" t="s">
        <v>2057</v>
      </c>
      <c r="C17" s="3" t="s">
        <v>2059</v>
      </c>
    </row>
    <row r="18" spans="2:3" ht="69.599999999999994">
      <c r="B18" s="4" t="s">
        <v>2056</v>
      </c>
      <c r="C18" s="3" t="s">
        <v>2058</v>
      </c>
    </row>
    <row r="20" spans="2:3">
      <c r="B20" s="2"/>
      <c r="C20" s="2" t="s">
        <v>87</v>
      </c>
    </row>
    <row r="21" spans="2:3">
      <c r="B21" s="6" t="s">
        <v>2060</v>
      </c>
      <c r="C21" s="21" t="s">
        <v>2061</v>
      </c>
    </row>
    <row r="22" spans="2:3">
      <c r="B22" s="6" t="s">
        <v>2062</v>
      </c>
      <c r="C22" s="6" t="s">
        <v>2063</v>
      </c>
    </row>
    <row r="23" spans="2:3">
      <c r="B23" s="6" t="s">
        <v>2064</v>
      </c>
      <c r="C23" s="6" t="s">
        <v>2065</v>
      </c>
    </row>
    <row r="24" spans="2:3">
      <c r="B24" s="6" t="s">
        <v>2066</v>
      </c>
      <c r="C24" s="6" t="s">
        <v>2067</v>
      </c>
    </row>
    <row r="25" spans="2:3">
      <c r="B25" s="6" t="s">
        <v>2069</v>
      </c>
      <c r="C25" s="21" t="s">
        <v>2070</v>
      </c>
    </row>
    <row r="26" spans="2:3">
      <c r="B26" s="6" t="s">
        <v>2071</v>
      </c>
      <c r="C26" s="21" t="s">
        <v>2072</v>
      </c>
    </row>
    <row r="27" spans="2:3">
      <c r="B27" s="6" t="s">
        <v>2073</v>
      </c>
      <c r="C27" s="21" t="s">
        <v>2074</v>
      </c>
    </row>
    <row r="31" spans="2:3">
      <c r="B31" s="11" t="s">
        <v>2321</v>
      </c>
    </row>
    <row r="32" spans="2:3" ht="174">
      <c r="B32" s="39" t="s">
        <v>1015</v>
      </c>
      <c r="C32" s="3" t="s">
        <v>2322</v>
      </c>
    </row>
    <row r="33" spans="2:3" ht="121.8">
      <c r="B33" s="39" t="s">
        <v>1016</v>
      </c>
      <c r="C33" s="35" t="s">
        <v>2323</v>
      </c>
    </row>
    <row r="34" spans="2:3" ht="121.8">
      <c r="B34" s="39" t="s">
        <v>1017</v>
      </c>
      <c r="C34" s="3" t="s">
        <v>2324</v>
      </c>
    </row>
    <row r="35" spans="2:3" ht="121.8">
      <c r="B35" s="39" t="s">
        <v>2311</v>
      </c>
      <c r="C35" s="3" t="s">
        <v>2325</v>
      </c>
    </row>
    <row r="36" spans="2:3" ht="87">
      <c r="B36" s="39" t="s">
        <v>2312</v>
      </c>
      <c r="C36" s="3" t="s">
        <v>2326</v>
      </c>
    </row>
    <row r="38" spans="2:3">
      <c r="B38" s="11" t="s">
        <v>2327</v>
      </c>
    </row>
    <row r="39" spans="2:3" ht="121.8">
      <c r="B39" s="39" t="s">
        <v>1015</v>
      </c>
      <c r="C39" s="3" t="s">
        <v>2328</v>
      </c>
    </row>
    <row r="40" spans="2:3" ht="121.8">
      <c r="B40" s="39" t="s">
        <v>1016</v>
      </c>
      <c r="C40" s="35" t="s">
        <v>2329</v>
      </c>
    </row>
    <row r="41" spans="2:3" ht="87">
      <c r="B41" s="39" t="s">
        <v>1017</v>
      </c>
      <c r="C41" s="3" t="s">
        <v>2330</v>
      </c>
    </row>
    <row r="42" spans="2:3" ht="87">
      <c r="B42" s="39" t="s">
        <v>2311</v>
      </c>
      <c r="C42" s="3" t="s">
        <v>2331</v>
      </c>
    </row>
    <row r="43" spans="2:3" ht="121.8">
      <c r="B43" s="39" t="s">
        <v>2312</v>
      </c>
      <c r="C43" s="3" t="s">
        <v>2332</v>
      </c>
    </row>
    <row r="46" spans="2:3">
      <c r="B46" s="11" t="s">
        <v>2333</v>
      </c>
    </row>
    <row r="47" spans="2:3" ht="121.8">
      <c r="B47" s="39" t="s">
        <v>1015</v>
      </c>
      <c r="C47" s="3" t="s">
        <v>2334</v>
      </c>
    </row>
    <row r="48" spans="2:3" ht="121.8">
      <c r="B48" s="70" t="s">
        <v>1016</v>
      </c>
      <c r="C48" s="72" t="s">
        <v>2335</v>
      </c>
    </row>
    <row r="49" spans="2:3" ht="87">
      <c r="B49" s="70" t="s">
        <v>1017</v>
      </c>
      <c r="C49" s="71" t="s">
        <v>2336</v>
      </c>
    </row>
    <row r="50" spans="2:3" ht="87">
      <c r="B50" s="39" t="s">
        <v>2311</v>
      </c>
      <c r="C50" s="3" t="s">
        <v>2337</v>
      </c>
    </row>
    <row r="51" spans="2:3" ht="87">
      <c r="B51" s="39" t="s">
        <v>2312</v>
      </c>
      <c r="C51" s="3" t="s">
        <v>2338</v>
      </c>
    </row>
    <row r="54" spans="2:3">
      <c r="B54" s="11" t="s">
        <v>2502</v>
      </c>
    </row>
    <row r="55" spans="2:3" ht="104.4">
      <c r="B55" s="39" t="s">
        <v>1015</v>
      </c>
      <c r="C55" s="3" t="s">
        <v>2503</v>
      </c>
    </row>
    <row r="56" spans="2:3" ht="104.4">
      <c r="B56" s="39" t="s">
        <v>1016</v>
      </c>
      <c r="C56" s="35" t="s">
        <v>2504</v>
      </c>
    </row>
    <row r="57" spans="2:3" ht="104.4">
      <c r="B57" s="39" t="s">
        <v>1017</v>
      </c>
      <c r="C57" s="3" t="s">
        <v>2505</v>
      </c>
    </row>
    <row r="58" spans="2:3" ht="121.8">
      <c r="B58" s="39" t="s">
        <v>2311</v>
      </c>
      <c r="C58" s="3" t="s">
        <v>2506</v>
      </c>
    </row>
    <row r="59" spans="2:3" ht="121.8">
      <c r="B59" s="39" t="s">
        <v>2312</v>
      </c>
      <c r="C59" s="3" t="s">
        <v>2507</v>
      </c>
    </row>
    <row r="62" spans="2:3">
      <c r="B62" s="11" t="s">
        <v>2534</v>
      </c>
    </row>
    <row r="63" spans="2:3">
      <c r="B63" s="7" t="s">
        <v>302</v>
      </c>
      <c r="C63" s="7" t="s">
        <v>401</v>
      </c>
    </row>
    <row r="64" spans="2:3">
      <c r="B64" s="78" t="s">
        <v>304</v>
      </c>
      <c r="C64" s="3" t="s">
        <v>412</v>
      </c>
    </row>
    <row r="65" spans="2:3">
      <c r="B65" s="78"/>
      <c r="C65" s="3" t="s">
        <v>413</v>
      </c>
    </row>
    <row r="66" spans="2:3">
      <c r="B66" s="78"/>
      <c r="C66" s="3" t="s">
        <v>414</v>
      </c>
    </row>
    <row r="67" spans="2:3">
      <c r="B67" s="78" t="s">
        <v>310</v>
      </c>
      <c r="C67" s="3" t="s">
        <v>415</v>
      </c>
    </row>
    <row r="68" spans="2:3">
      <c r="B68" s="78"/>
      <c r="C68" s="3" t="s">
        <v>416</v>
      </c>
    </row>
    <row r="69" spans="2:3">
      <c r="B69" s="78"/>
      <c r="C69" s="3" t="s">
        <v>417</v>
      </c>
    </row>
    <row r="70" spans="2:3">
      <c r="B70" s="78" t="s">
        <v>314</v>
      </c>
      <c r="C70" s="3" t="s">
        <v>418</v>
      </c>
    </row>
    <row r="71" spans="2:3">
      <c r="B71" s="78"/>
      <c r="C71" s="3" t="s">
        <v>419</v>
      </c>
    </row>
    <row r="72" spans="2:3">
      <c r="B72" s="78"/>
      <c r="C72" s="3" t="s">
        <v>420</v>
      </c>
    </row>
    <row r="73" spans="2:3">
      <c r="B73" s="78" t="s">
        <v>317</v>
      </c>
      <c r="C73" s="3" t="s">
        <v>421</v>
      </c>
    </row>
    <row r="74" spans="2:3">
      <c r="B74" s="78"/>
      <c r="C74" s="3" t="s">
        <v>422</v>
      </c>
    </row>
    <row r="75" spans="2:3">
      <c r="B75" s="78"/>
      <c r="C75" s="3" t="s">
        <v>423</v>
      </c>
    </row>
    <row r="77" spans="2:3">
      <c r="B77" s="7" t="s">
        <v>83</v>
      </c>
      <c r="C77" s="7" t="s">
        <v>87</v>
      </c>
    </row>
    <row r="78" spans="2:3">
      <c r="B78" s="78" t="s">
        <v>424</v>
      </c>
      <c r="C78" s="3" t="s">
        <v>425</v>
      </c>
    </row>
    <row r="79" spans="2:3">
      <c r="B79" s="78"/>
      <c r="C79" s="3" t="s">
        <v>426</v>
      </c>
    </row>
    <row r="80" spans="2:3">
      <c r="B80" s="78"/>
      <c r="C80" s="3" t="s">
        <v>427</v>
      </c>
    </row>
    <row r="81" spans="2:3">
      <c r="B81" s="78" t="s">
        <v>428</v>
      </c>
      <c r="C81" s="3" t="s">
        <v>429</v>
      </c>
    </row>
    <row r="82" spans="2:3">
      <c r="B82" s="78"/>
      <c r="C82" s="3" t="s">
        <v>430</v>
      </c>
    </row>
    <row r="83" spans="2:3">
      <c r="B83" s="78" t="s">
        <v>431</v>
      </c>
      <c r="C83" s="3" t="s">
        <v>432</v>
      </c>
    </row>
    <row r="84" spans="2:3">
      <c r="B84" s="78"/>
      <c r="C84" s="3" t="s">
        <v>433</v>
      </c>
    </row>
    <row r="85" spans="2:3">
      <c r="B85" s="78" t="s">
        <v>434</v>
      </c>
      <c r="C85" s="3" t="s">
        <v>435</v>
      </c>
    </row>
    <row r="86" spans="2:3">
      <c r="B86" s="78"/>
      <c r="C86" s="3" t="s">
        <v>436</v>
      </c>
    </row>
  </sheetData>
  <mergeCells count="8">
    <mergeCell ref="B83:B84"/>
    <mergeCell ref="B85:B86"/>
    <mergeCell ref="B64:B66"/>
    <mergeCell ref="B67:B69"/>
    <mergeCell ref="B70:B72"/>
    <mergeCell ref="B73:B75"/>
    <mergeCell ref="B78:B80"/>
    <mergeCell ref="B81:B8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35"/>
  <sheetViews>
    <sheetView topLeftCell="A64" workbookViewId="0">
      <selection activeCell="C34" sqref="C34"/>
    </sheetView>
  </sheetViews>
  <sheetFormatPr defaultRowHeight="17.399999999999999"/>
  <cols>
    <col min="2" max="2" width="12.8984375" customWidth="1"/>
    <col min="3" max="3" width="68.3984375" customWidth="1"/>
    <col min="4" max="4" width="46.5" customWidth="1"/>
    <col min="5" max="5" width="31.5" customWidth="1"/>
  </cols>
  <sheetData>
    <row r="2" spans="2:3">
      <c r="B2" s="11" t="s">
        <v>1098</v>
      </c>
    </row>
    <row r="3" spans="2:3">
      <c r="B3" s="7" t="s">
        <v>302</v>
      </c>
      <c r="C3" s="7" t="s">
        <v>1085</v>
      </c>
    </row>
    <row r="4" spans="2:3">
      <c r="B4" s="78" t="s">
        <v>1086</v>
      </c>
      <c r="C4" s="45" t="s">
        <v>1087</v>
      </c>
    </row>
    <row r="5" spans="2:3">
      <c r="B5" s="78"/>
      <c r="C5" s="45" t="s">
        <v>1088</v>
      </c>
    </row>
    <row r="6" spans="2:3">
      <c r="B6" s="78"/>
      <c r="C6" s="45" t="s">
        <v>1089</v>
      </c>
    </row>
    <row r="7" spans="2:3">
      <c r="B7" s="78" t="s">
        <v>1090</v>
      </c>
      <c r="C7" s="45" t="s">
        <v>1091</v>
      </c>
    </row>
    <row r="8" spans="2:3">
      <c r="B8" s="78"/>
      <c r="C8" s="45" t="s">
        <v>1092</v>
      </c>
    </row>
    <row r="9" spans="2:3">
      <c r="B9" s="78"/>
      <c r="C9" s="45" t="s">
        <v>1093</v>
      </c>
    </row>
    <row r="10" spans="2:3">
      <c r="B10" s="78" t="s">
        <v>1094</v>
      </c>
      <c r="C10" s="3" t="s">
        <v>1095</v>
      </c>
    </row>
    <row r="11" spans="2:3">
      <c r="B11" s="78"/>
      <c r="C11" s="3" t="s">
        <v>1096</v>
      </c>
    </row>
    <row r="12" spans="2:3">
      <c r="B12" s="78"/>
      <c r="C12" s="3" t="s">
        <v>1097</v>
      </c>
    </row>
    <row r="14" spans="2:3">
      <c r="B14" s="11" t="s">
        <v>1099</v>
      </c>
    </row>
    <row r="15" spans="2:3">
      <c r="B15" s="11" t="s">
        <v>1100</v>
      </c>
    </row>
    <row r="16" spans="2:3">
      <c r="B16" s="11" t="s">
        <v>1101</v>
      </c>
    </row>
    <row r="17" spans="2:3">
      <c r="B17" s="11" t="s">
        <v>1102</v>
      </c>
    </row>
    <row r="19" spans="2:3" ht="19.2">
      <c r="B19" s="42" t="s">
        <v>1113</v>
      </c>
    </row>
    <row r="20" spans="2:3">
      <c r="B20" s="7" t="s">
        <v>85</v>
      </c>
      <c r="C20" s="7" t="s">
        <v>82</v>
      </c>
    </row>
    <row r="21" spans="2:3">
      <c r="B21" s="8" t="s">
        <v>1103</v>
      </c>
      <c r="C21" s="3" t="s">
        <v>1104</v>
      </c>
    </row>
    <row r="22" spans="2:3">
      <c r="B22" s="8" t="s">
        <v>1105</v>
      </c>
      <c r="C22" s="3" t="s">
        <v>1106</v>
      </c>
    </row>
    <row r="23" spans="2:3">
      <c r="B23" s="8" t="s">
        <v>1107</v>
      </c>
      <c r="C23" s="3" t="s">
        <v>1108</v>
      </c>
    </row>
    <row r="24" spans="2:3" ht="34.799999999999997">
      <c r="B24" s="8" t="s">
        <v>1109</v>
      </c>
      <c r="C24" s="3" t="s">
        <v>1110</v>
      </c>
    </row>
    <row r="25" spans="2:3">
      <c r="B25" s="8" t="s">
        <v>1111</v>
      </c>
      <c r="C25" s="3" t="s">
        <v>1112</v>
      </c>
    </row>
    <row r="28" spans="2:3">
      <c r="B28" s="11" t="s">
        <v>1142</v>
      </c>
    </row>
    <row r="29" spans="2:3">
      <c r="B29" s="7" t="s">
        <v>302</v>
      </c>
      <c r="C29" s="7" t="s">
        <v>1114</v>
      </c>
    </row>
    <row r="30" spans="2:3">
      <c r="B30" s="78" t="s">
        <v>1086</v>
      </c>
      <c r="C30" s="3" t="s">
        <v>1115</v>
      </c>
    </row>
    <row r="31" spans="2:3">
      <c r="B31" s="78"/>
      <c r="C31" s="3" t="s">
        <v>1116</v>
      </c>
    </row>
    <row r="32" spans="2:3">
      <c r="B32" s="78"/>
      <c r="C32" s="3" t="s">
        <v>1117</v>
      </c>
    </row>
    <row r="33" spans="2:3">
      <c r="B33" s="78"/>
      <c r="C33" s="45" t="s">
        <v>1118</v>
      </c>
    </row>
    <row r="34" spans="2:3">
      <c r="B34" s="78"/>
      <c r="C34" s="3" t="s">
        <v>1119</v>
      </c>
    </row>
    <row r="35" spans="2:3">
      <c r="B35" s="78" t="s">
        <v>1090</v>
      </c>
      <c r="C35" s="3" t="s">
        <v>1120</v>
      </c>
    </row>
    <row r="36" spans="2:3">
      <c r="B36" s="78"/>
      <c r="C36" s="45" t="s">
        <v>1121</v>
      </c>
    </row>
    <row r="37" spans="2:3">
      <c r="B37" s="78"/>
      <c r="C37" s="3" t="s">
        <v>1122</v>
      </c>
    </row>
    <row r="38" spans="2:3">
      <c r="B38" s="78"/>
      <c r="C38" s="3" t="s">
        <v>1123</v>
      </c>
    </row>
    <row r="39" spans="2:3">
      <c r="B39" s="78" t="s">
        <v>1094</v>
      </c>
      <c r="C39" s="3" t="s">
        <v>1124</v>
      </c>
    </row>
    <row r="40" spans="2:3">
      <c r="B40" s="78"/>
      <c r="C40" s="3" t="s">
        <v>1125</v>
      </c>
    </row>
    <row r="41" spans="2:3">
      <c r="B41" s="78"/>
      <c r="C41" s="3" t="s">
        <v>1126</v>
      </c>
    </row>
    <row r="42" spans="2:3">
      <c r="B42" s="78"/>
      <c r="C42" s="3" t="s">
        <v>1127</v>
      </c>
    </row>
    <row r="45" spans="2:3">
      <c r="B45" s="7" t="s">
        <v>85</v>
      </c>
      <c r="C45" s="7" t="s">
        <v>150</v>
      </c>
    </row>
    <row r="46" spans="2:3">
      <c r="B46" s="78" t="s">
        <v>482</v>
      </c>
      <c r="C46" s="3" t="s">
        <v>1128</v>
      </c>
    </row>
    <row r="47" spans="2:3">
      <c r="B47" s="78"/>
      <c r="C47" s="3" t="s">
        <v>1129</v>
      </c>
    </row>
    <row r="48" spans="2:3">
      <c r="B48" s="78"/>
      <c r="C48" s="3" t="s">
        <v>1130</v>
      </c>
    </row>
    <row r="49" spans="1:3">
      <c r="B49" s="78" t="s">
        <v>245</v>
      </c>
      <c r="C49" s="3" t="s">
        <v>1131</v>
      </c>
    </row>
    <row r="50" spans="1:3">
      <c r="B50" s="78"/>
      <c r="C50" s="3" t="s">
        <v>1132</v>
      </c>
    </row>
    <row r="51" spans="1:3">
      <c r="B51" s="78" t="s">
        <v>1133</v>
      </c>
      <c r="C51" s="3" t="s">
        <v>1134</v>
      </c>
    </row>
    <row r="52" spans="1:3">
      <c r="B52" s="78"/>
      <c r="C52" s="3" t="s">
        <v>1135</v>
      </c>
    </row>
    <row r="53" spans="1:3">
      <c r="B53" s="78" t="s">
        <v>7</v>
      </c>
      <c r="C53" s="3" t="s">
        <v>1136</v>
      </c>
    </row>
    <row r="54" spans="1:3">
      <c r="B54" s="78"/>
      <c r="C54" s="3" t="s">
        <v>1137</v>
      </c>
    </row>
    <row r="55" spans="1:3" ht="34.799999999999997">
      <c r="B55" s="8" t="s">
        <v>1138</v>
      </c>
      <c r="C55" s="3" t="s">
        <v>1139</v>
      </c>
    </row>
    <row r="56" spans="1:3">
      <c r="B56" s="78" t="s">
        <v>347</v>
      </c>
      <c r="C56" s="3" t="s">
        <v>1140</v>
      </c>
    </row>
    <row r="57" spans="1:3">
      <c r="B57" s="78"/>
      <c r="C57" s="3" t="s">
        <v>1141</v>
      </c>
    </row>
    <row r="59" spans="1:3">
      <c r="B59" s="11" t="s">
        <v>1021</v>
      </c>
    </row>
    <row r="60" spans="1:3" ht="104.4">
      <c r="B60" s="39" t="s">
        <v>1015</v>
      </c>
      <c r="C60" s="3" t="s">
        <v>1018</v>
      </c>
    </row>
    <row r="61" spans="1:3" ht="69.599999999999994">
      <c r="B61" s="39" t="s">
        <v>1016</v>
      </c>
      <c r="C61" s="8" t="s">
        <v>1019</v>
      </c>
    </row>
    <row r="62" spans="1:3" ht="69.599999999999994">
      <c r="B62" s="39" t="s">
        <v>1017</v>
      </c>
      <c r="C62" s="3" t="s">
        <v>1020</v>
      </c>
    </row>
    <row r="63" spans="1:3">
      <c r="A63" s="11"/>
    </row>
    <row r="65" spans="2:3">
      <c r="B65" s="31" t="s">
        <v>1022</v>
      </c>
    </row>
    <row r="66" spans="2:3">
      <c r="B66" s="30" t="s">
        <v>1025</v>
      </c>
    </row>
    <row r="67" spans="2:3">
      <c r="B67" s="31" t="s">
        <v>1026</v>
      </c>
    </row>
    <row r="68" spans="2:3">
      <c r="B68" t="s">
        <v>1027</v>
      </c>
    </row>
    <row r="69" spans="2:3">
      <c r="B69" s="31" t="s">
        <v>1023</v>
      </c>
    </row>
    <row r="70" spans="2:3">
      <c r="B70" s="30" t="s">
        <v>1024</v>
      </c>
    </row>
    <row r="73" spans="2:3">
      <c r="B73" s="11" t="s">
        <v>1567</v>
      </c>
    </row>
    <row r="74" spans="2:3" ht="52.2">
      <c r="B74" s="39" t="s">
        <v>1014</v>
      </c>
      <c r="C74" s="3" t="s">
        <v>1577</v>
      </c>
    </row>
    <row r="75" spans="2:3" ht="34.799999999999997">
      <c r="B75" s="39" t="s">
        <v>1015</v>
      </c>
      <c r="C75" s="45" t="s">
        <v>1568</v>
      </c>
    </row>
    <row r="76" spans="2:3" ht="69.599999999999994">
      <c r="B76" s="39" t="s">
        <v>1016</v>
      </c>
      <c r="C76" s="45" t="s">
        <v>1569</v>
      </c>
    </row>
    <row r="77" spans="2:3" ht="34.799999999999997">
      <c r="B77" s="39" t="s">
        <v>1017</v>
      </c>
      <c r="C77" s="3" t="s">
        <v>1570</v>
      </c>
    </row>
    <row r="79" spans="2:3">
      <c r="B79" s="11" t="s">
        <v>1613</v>
      </c>
    </row>
    <row r="80" spans="2:3">
      <c r="B80" s="11" t="s">
        <v>1614</v>
      </c>
    </row>
    <row r="81" spans="2:5">
      <c r="B81" s="11" t="s">
        <v>1615</v>
      </c>
    </row>
    <row r="83" spans="2:5">
      <c r="B83" s="11" t="s">
        <v>1571</v>
      </c>
    </row>
    <row r="84" spans="2:5">
      <c r="B84" s="30"/>
    </row>
    <row r="85" spans="2:5">
      <c r="B85" s="30" t="s">
        <v>1578</v>
      </c>
    </row>
    <row r="86" spans="2:5">
      <c r="B86" s="30" t="s">
        <v>1572</v>
      </c>
    </row>
    <row r="87" spans="2:5">
      <c r="B87" s="30" t="s">
        <v>1573</v>
      </c>
    </row>
    <row r="88" spans="2:5">
      <c r="B88" s="30" t="s">
        <v>1579</v>
      </c>
    </row>
    <row r="90" spans="2:5">
      <c r="B90" s="11" t="s">
        <v>1574</v>
      </c>
    </row>
    <row r="91" spans="2:5">
      <c r="B91" s="30" t="s">
        <v>1575</v>
      </c>
    </row>
    <row r="92" spans="2:5">
      <c r="B92" s="30" t="s">
        <v>1576</v>
      </c>
    </row>
    <row r="95" spans="2:5">
      <c r="B95" s="7" t="s">
        <v>320</v>
      </c>
      <c r="C95" s="7" t="s">
        <v>1580</v>
      </c>
      <c r="D95" s="7" t="s">
        <v>1581</v>
      </c>
      <c r="E95" s="7" t="s">
        <v>467</v>
      </c>
    </row>
    <row r="96" spans="2:5">
      <c r="B96" s="77" t="s">
        <v>1582</v>
      </c>
      <c r="C96" s="78" t="s">
        <v>1583</v>
      </c>
      <c r="D96" s="79" t="s">
        <v>1584</v>
      </c>
      <c r="E96" s="3" t="s">
        <v>1585</v>
      </c>
    </row>
    <row r="97" spans="2:5">
      <c r="B97" s="77"/>
      <c r="C97" s="78"/>
      <c r="D97" s="79"/>
      <c r="E97" s="3" t="s">
        <v>1586</v>
      </c>
    </row>
    <row r="98" spans="2:5">
      <c r="B98" s="77" t="s">
        <v>1582</v>
      </c>
      <c r="C98" s="78" t="s">
        <v>1587</v>
      </c>
      <c r="D98" s="78" t="s">
        <v>1588</v>
      </c>
      <c r="E98" s="3" t="s">
        <v>1589</v>
      </c>
    </row>
    <row r="99" spans="2:5">
      <c r="B99" s="77"/>
      <c r="C99" s="78"/>
      <c r="D99" s="78"/>
      <c r="E99" s="3" t="s">
        <v>1590</v>
      </c>
    </row>
    <row r="100" spans="2:5" ht="34.799999999999997">
      <c r="B100" s="3" t="s">
        <v>1582</v>
      </c>
      <c r="C100" s="8" t="s">
        <v>1591</v>
      </c>
      <c r="D100" s="8" t="s">
        <v>1592</v>
      </c>
      <c r="E100" s="3" t="s">
        <v>1593</v>
      </c>
    </row>
    <row r="101" spans="2:5">
      <c r="B101" s="77" t="s">
        <v>1594</v>
      </c>
      <c r="C101" s="78" t="s">
        <v>1595</v>
      </c>
      <c r="D101" s="78" t="s">
        <v>1596</v>
      </c>
      <c r="E101" s="3" t="s">
        <v>1597</v>
      </c>
    </row>
    <row r="102" spans="2:5" ht="34.799999999999997">
      <c r="B102" s="77"/>
      <c r="C102" s="78"/>
      <c r="D102" s="78"/>
      <c r="E102" s="3" t="s">
        <v>1598</v>
      </c>
    </row>
    <row r="103" spans="2:5" ht="34.799999999999997">
      <c r="B103" s="3" t="s">
        <v>1594</v>
      </c>
      <c r="C103" s="8" t="s">
        <v>1599</v>
      </c>
      <c r="D103" s="8" t="s">
        <v>1600</v>
      </c>
      <c r="E103" s="3" t="s">
        <v>1601</v>
      </c>
    </row>
    <row r="104" spans="2:5" ht="34.799999999999997">
      <c r="B104" s="77" t="s">
        <v>1602</v>
      </c>
      <c r="C104" s="78" t="s">
        <v>1603</v>
      </c>
      <c r="D104" s="78" t="s">
        <v>1604</v>
      </c>
      <c r="E104" s="3" t="s">
        <v>1605</v>
      </c>
    </row>
    <row r="105" spans="2:5">
      <c r="B105" s="77"/>
      <c r="C105" s="78"/>
      <c r="D105" s="78"/>
      <c r="E105" s="3" t="s">
        <v>1606</v>
      </c>
    </row>
    <row r="106" spans="2:5">
      <c r="B106" s="77" t="s">
        <v>1607</v>
      </c>
      <c r="C106" s="8" t="s">
        <v>1608</v>
      </c>
      <c r="D106" s="78" t="s">
        <v>1610</v>
      </c>
      <c r="E106" s="3" t="s">
        <v>1611</v>
      </c>
    </row>
    <row r="107" spans="2:5">
      <c r="B107" s="77"/>
      <c r="C107" s="3" t="s">
        <v>1609</v>
      </c>
      <c r="D107" s="78"/>
      <c r="E107" s="3" t="s">
        <v>1612</v>
      </c>
    </row>
    <row r="112" spans="2:5">
      <c r="B112" s="11" t="s">
        <v>2083</v>
      </c>
    </row>
    <row r="113" spans="2:3" ht="156.6">
      <c r="B113" s="39" t="s">
        <v>1015</v>
      </c>
      <c r="C113" s="3" t="s">
        <v>2084</v>
      </c>
    </row>
    <row r="114" spans="2:3" ht="156.6">
      <c r="B114" s="39" t="s">
        <v>1016</v>
      </c>
      <c r="C114" s="35" t="s">
        <v>2085</v>
      </c>
    </row>
    <row r="115" spans="2:3" ht="156.6">
      <c r="B115" s="39" t="s">
        <v>1017</v>
      </c>
      <c r="C115" s="3" t="s">
        <v>2086</v>
      </c>
    </row>
    <row r="116" spans="2:3" ht="156.6">
      <c r="B116" s="39" t="s">
        <v>2088</v>
      </c>
      <c r="C116" s="3" t="s">
        <v>2087</v>
      </c>
    </row>
    <row r="118" spans="2:3" ht="19.2">
      <c r="B118" s="52" t="s">
        <v>2305</v>
      </c>
    </row>
    <row r="119" spans="2:3" ht="121.8">
      <c r="B119" s="39" t="s">
        <v>1015</v>
      </c>
      <c r="C119" s="3" t="s">
        <v>2306</v>
      </c>
    </row>
    <row r="120" spans="2:3" ht="156.6">
      <c r="B120" s="39" t="s">
        <v>1016</v>
      </c>
      <c r="C120" s="35" t="s">
        <v>2307</v>
      </c>
    </row>
    <row r="121" spans="2:3" ht="139.19999999999999">
      <c r="B121" s="39" t="s">
        <v>1017</v>
      </c>
      <c r="C121" s="3" t="s">
        <v>2308</v>
      </c>
    </row>
    <row r="122" spans="2:3" ht="104.4">
      <c r="B122" s="39" t="s">
        <v>2311</v>
      </c>
      <c r="C122" s="3" t="s">
        <v>2309</v>
      </c>
    </row>
    <row r="123" spans="2:3" ht="156.6">
      <c r="B123" s="39" t="s">
        <v>2312</v>
      </c>
      <c r="C123" s="3" t="s">
        <v>2310</v>
      </c>
    </row>
    <row r="127" spans="2:3">
      <c r="B127" s="11" t="s">
        <v>2313</v>
      </c>
    </row>
    <row r="128" spans="2:3">
      <c r="B128" s="30" t="s">
        <v>2314</v>
      </c>
    </row>
    <row r="129" spans="2:2">
      <c r="B129" s="30" t="s">
        <v>2315</v>
      </c>
    </row>
    <row r="130" spans="2:2">
      <c r="B130" s="30" t="s">
        <v>2316</v>
      </c>
    </row>
    <row r="132" spans="2:2">
      <c r="B132" t="s">
        <v>2320</v>
      </c>
    </row>
    <row r="133" spans="2:2">
      <c r="B133" s="30" t="s">
        <v>2317</v>
      </c>
    </row>
    <row r="134" spans="2:2">
      <c r="B134" s="30" t="s">
        <v>2318</v>
      </c>
    </row>
    <row r="135" spans="2:2">
      <c r="B135" s="30" t="s">
        <v>2319</v>
      </c>
    </row>
  </sheetData>
  <mergeCells count="25">
    <mergeCell ref="B106:B107"/>
    <mergeCell ref="D106:D107"/>
    <mergeCell ref="B101:B102"/>
    <mergeCell ref="C101:C102"/>
    <mergeCell ref="D101:D102"/>
    <mergeCell ref="B104:B105"/>
    <mergeCell ref="C104:C105"/>
    <mergeCell ref="D104:D105"/>
    <mergeCell ref="B96:B97"/>
    <mergeCell ref="C96:C97"/>
    <mergeCell ref="D96:D97"/>
    <mergeCell ref="B98:B99"/>
    <mergeCell ref="C98:C99"/>
    <mergeCell ref="D98:D99"/>
    <mergeCell ref="B53:B54"/>
    <mergeCell ref="B56:B57"/>
    <mergeCell ref="B35:B38"/>
    <mergeCell ref="B39:B42"/>
    <mergeCell ref="B46:B48"/>
    <mergeCell ref="B49:B50"/>
    <mergeCell ref="B10:B12"/>
    <mergeCell ref="B30:B34"/>
    <mergeCell ref="B4:B6"/>
    <mergeCell ref="B7:B9"/>
    <mergeCell ref="B51:B52"/>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I126"/>
  <sheetViews>
    <sheetView topLeftCell="B115" zoomScale="85" zoomScaleNormal="85" workbookViewId="0">
      <selection activeCell="E127" sqref="E127"/>
    </sheetView>
  </sheetViews>
  <sheetFormatPr defaultRowHeight="17.399999999999999"/>
  <cols>
    <col min="3" max="3" width="12.59765625" customWidth="1"/>
    <col min="4" max="4" width="76.59765625" customWidth="1"/>
    <col min="5" max="5" width="53.59765625" customWidth="1"/>
    <col min="6" max="6" width="43.8984375" customWidth="1"/>
    <col min="7" max="7" width="13.19921875" customWidth="1"/>
    <col min="8" max="8" width="14.09765625" customWidth="1"/>
    <col min="9" max="9" width="14.59765625" customWidth="1"/>
  </cols>
  <sheetData>
    <row r="6" spans="1:9">
      <c r="C6" t="s">
        <v>1354</v>
      </c>
    </row>
    <row r="7" spans="1:9">
      <c r="C7" s="7" t="s">
        <v>320</v>
      </c>
      <c r="D7" s="7" t="s">
        <v>1275</v>
      </c>
      <c r="E7" s="7" t="s">
        <v>1276</v>
      </c>
      <c r="F7" s="7" t="s">
        <v>1277</v>
      </c>
      <c r="G7" s="7" t="s">
        <v>1278</v>
      </c>
      <c r="H7" s="7" t="s">
        <v>1279</v>
      </c>
      <c r="I7" s="7" t="s">
        <v>1300</v>
      </c>
    </row>
    <row r="8" spans="1:9">
      <c r="A8">
        <v>25</v>
      </c>
      <c r="B8" t="s">
        <v>1295</v>
      </c>
      <c r="C8" s="3" t="s">
        <v>1294</v>
      </c>
      <c r="D8" s="37" t="s">
        <v>1280</v>
      </c>
      <c r="E8" s="37" t="s">
        <v>1281</v>
      </c>
      <c r="F8" s="51">
        <v>1387.1</v>
      </c>
      <c r="G8" s="37" t="s">
        <v>1282</v>
      </c>
      <c r="H8" s="50" t="s">
        <v>1283</v>
      </c>
      <c r="I8" s="49">
        <v>46721</v>
      </c>
    </row>
    <row r="9" spans="1:9">
      <c r="A9">
        <v>25</v>
      </c>
      <c r="B9" t="s">
        <v>1296</v>
      </c>
      <c r="C9" s="3" t="s">
        <v>1292</v>
      </c>
      <c r="D9" s="37" t="s">
        <v>1284</v>
      </c>
      <c r="E9" s="37" t="s">
        <v>1285</v>
      </c>
      <c r="F9" s="51">
        <v>1447.1</v>
      </c>
      <c r="G9" s="37" t="s">
        <v>1286</v>
      </c>
      <c r="H9" s="50" t="s">
        <v>1287</v>
      </c>
      <c r="I9" s="50" t="s">
        <v>1298</v>
      </c>
    </row>
    <row r="10" spans="1:9">
      <c r="A10">
        <v>24</v>
      </c>
      <c r="B10" t="s">
        <v>1297</v>
      </c>
      <c r="C10" s="3" t="s">
        <v>1293</v>
      </c>
      <c r="D10" s="37" t="s">
        <v>1284</v>
      </c>
      <c r="E10" s="37" t="s">
        <v>1288</v>
      </c>
      <c r="F10" s="51">
        <v>1391.5</v>
      </c>
      <c r="G10" s="37" t="s">
        <v>1289</v>
      </c>
      <c r="H10" s="50" t="s">
        <v>1290</v>
      </c>
      <c r="I10" s="50" t="s">
        <v>1299</v>
      </c>
    </row>
    <row r="12" spans="1:9" ht="16.5" customHeight="1">
      <c r="C12" s="11" t="s">
        <v>1317</v>
      </c>
    </row>
    <row r="14" spans="1:9">
      <c r="C14" s="11" t="s">
        <v>1353</v>
      </c>
    </row>
    <row r="15" spans="1:9">
      <c r="C15" s="7" t="s">
        <v>85</v>
      </c>
      <c r="D15" s="7" t="s">
        <v>1301</v>
      </c>
      <c r="E15" s="7" t="s">
        <v>1302</v>
      </c>
    </row>
    <row r="16" spans="1:9">
      <c r="C16" s="3" t="s">
        <v>1303</v>
      </c>
      <c r="D16" s="3" t="s">
        <v>1304</v>
      </c>
      <c r="E16" s="3" t="s">
        <v>1305</v>
      </c>
    </row>
    <row r="17" spans="3:5">
      <c r="C17" s="3" t="s">
        <v>1306</v>
      </c>
      <c r="D17" s="3" t="s">
        <v>1307</v>
      </c>
      <c r="E17" s="3" t="s">
        <v>1308</v>
      </c>
    </row>
    <row r="18" spans="3:5">
      <c r="C18" s="3" t="s">
        <v>1309</v>
      </c>
      <c r="D18" s="3" t="s">
        <v>1310</v>
      </c>
      <c r="E18" s="8" t="s">
        <v>1311</v>
      </c>
    </row>
    <row r="19" spans="3:5">
      <c r="C19" s="3" t="s">
        <v>1312</v>
      </c>
      <c r="D19" s="3" t="s">
        <v>565</v>
      </c>
      <c r="E19" s="3" t="s">
        <v>1313</v>
      </c>
    </row>
    <row r="20" spans="3:5">
      <c r="C20" s="3" t="s">
        <v>1314</v>
      </c>
      <c r="D20" s="3" t="s">
        <v>92</v>
      </c>
      <c r="E20" s="3" t="s">
        <v>1315</v>
      </c>
    </row>
    <row r="22" spans="3:5">
      <c r="C22" s="11" t="s">
        <v>1316</v>
      </c>
    </row>
    <row r="23" spans="3:5" ht="19.2">
      <c r="C23" s="52" t="s">
        <v>1318</v>
      </c>
    </row>
    <row r="24" spans="3:5">
      <c r="C24" s="7" t="s">
        <v>85</v>
      </c>
      <c r="D24" s="7" t="s">
        <v>368</v>
      </c>
      <c r="E24" s="7" t="s">
        <v>1291</v>
      </c>
    </row>
    <row r="25" spans="3:5">
      <c r="C25" s="3" t="s">
        <v>1319</v>
      </c>
      <c r="D25" s="3" t="s">
        <v>1320</v>
      </c>
      <c r="E25" s="3" t="s">
        <v>1321</v>
      </c>
    </row>
    <row r="26" spans="3:5">
      <c r="C26" s="3" t="s">
        <v>1322</v>
      </c>
      <c r="D26" s="3" t="s">
        <v>1323</v>
      </c>
      <c r="E26" s="3" t="s">
        <v>1324</v>
      </c>
    </row>
    <row r="27" spans="3:5">
      <c r="C27" s="3" t="s">
        <v>1325</v>
      </c>
      <c r="D27" s="8" t="s">
        <v>1326</v>
      </c>
      <c r="E27" s="8" t="s">
        <v>1327</v>
      </c>
    </row>
    <row r="30" spans="3:5" ht="19.2">
      <c r="C30" s="52" t="s">
        <v>1328</v>
      </c>
    </row>
    <row r="31" spans="3:5">
      <c r="C31" s="7" t="s">
        <v>85</v>
      </c>
      <c r="D31" s="7" t="s">
        <v>368</v>
      </c>
      <c r="E31" s="7" t="s">
        <v>1291</v>
      </c>
    </row>
    <row r="32" spans="3:5">
      <c r="C32" s="3" t="s">
        <v>1329</v>
      </c>
      <c r="D32" s="3" t="s">
        <v>1330</v>
      </c>
      <c r="E32" s="3" t="s">
        <v>1331</v>
      </c>
    </row>
    <row r="33" spans="2:5">
      <c r="C33" s="3" t="s">
        <v>86</v>
      </c>
      <c r="D33" s="3" t="s">
        <v>1332</v>
      </c>
      <c r="E33" s="3" t="s">
        <v>1333</v>
      </c>
    </row>
    <row r="34" spans="2:5">
      <c r="C34" s="3" t="s">
        <v>1334</v>
      </c>
      <c r="D34" s="3" t="s">
        <v>1335</v>
      </c>
      <c r="E34" s="3" t="s">
        <v>1336</v>
      </c>
    </row>
    <row r="36" spans="2:5" ht="19.2">
      <c r="C36" s="52" t="s">
        <v>1337</v>
      </c>
    </row>
    <row r="37" spans="2:5">
      <c r="C37" s="7" t="s">
        <v>85</v>
      </c>
      <c r="D37" s="7" t="s">
        <v>368</v>
      </c>
      <c r="E37" s="7" t="s">
        <v>1291</v>
      </c>
    </row>
    <row r="38" spans="2:5">
      <c r="C38" s="3" t="s">
        <v>1338</v>
      </c>
      <c r="D38" s="8" t="s">
        <v>1339</v>
      </c>
      <c r="E38" s="3" t="s">
        <v>565</v>
      </c>
    </row>
    <row r="39" spans="2:5">
      <c r="C39" s="3" t="s">
        <v>1340</v>
      </c>
      <c r="D39" s="3" t="s">
        <v>1341</v>
      </c>
      <c r="E39" s="3" t="s">
        <v>1342</v>
      </c>
    </row>
    <row r="40" spans="2:5">
      <c r="C40" s="3" t="s">
        <v>1343</v>
      </c>
      <c r="D40" s="3" t="s">
        <v>1344</v>
      </c>
      <c r="E40" s="3" t="s">
        <v>1345</v>
      </c>
    </row>
    <row r="42" spans="2:5" ht="19.2">
      <c r="C42" s="52" t="s">
        <v>1352</v>
      </c>
    </row>
    <row r="43" spans="2:5">
      <c r="C43" s="7" t="s">
        <v>85</v>
      </c>
      <c r="D43" s="7" t="s">
        <v>368</v>
      </c>
      <c r="E43" s="7" t="s">
        <v>1291</v>
      </c>
    </row>
    <row r="44" spans="2:5">
      <c r="C44" s="3" t="s">
        <v>1346</v>
      </c>
      <c r="D44" s="3" t="s">
        <v>1347</v>
      </c>
      <c r="E44" s="3" t="s">
        <v>1348</v>
      </c>
    </row>
    <row r="45" spans="2:5">
      <c r="C45" s="3" t="s">
        <v>1349</v>
      </c>
      <c r="D45" s="3" t="s">
        <v>1350</v>
      </c>
      <c r="E45" s="3" t="s">
        <v>1351</v>
      </c>
    </row>
    <row r="48" spans="2:5" ht="34.799999999999997">
      <c r="B48" s="6" t="s">
        <v>2215</v>
      </c>
    </row>
    <row r="49" spans="2:7">
      <c r="B49" s="1" t="s">
        <v>2</v>
      </c>
      <c r="C49" s="1" t="s">
        <v>0</v>
      </c>
      <c r="D49" s="1" t="s">
        <v>4</v>
      </c>
      <c r="E49" s="1" t="s">
        <v>5</v>
      </c>
    </row>
    <row r="50" spans="2:7" ht="69.599999999999994">
      <c r="B50" s="4" t="s">
        <v>9</v>
      </c>
      <c r="C50" s="4" t="s">
        <v>10</v>
      </c>
      <c r="D50" s="5" t="s">
        <v>11</v>
      </c>
      <c r="E50" s="4" t="s">
        <v>12</v>
      </c>
    </row>
    <row r="53" spans="2:7">
      <c r="B53" s="64" t="s">
        <v>13</v>
      </c>
      <c r="C53" s="64" t="s">
        <v>14</v>
      </c>
      <c r="D53" s="64" t="s">
        <v>15</v>
      </c>
      <c r="E53" s="64" t="s">
        <v>16</v>
      </c>
      <c r="F53" s="64" t="s">
        <v>17</v>
      </c>
      <c r="G53" s="64" t="s">
        <v>18</v>
      </c>
    </row>
    <row r="54" spans="2:7" ht="52.2">
      <c r="B54" s="63" t="s">
        <v>19</v>
      </c>
      <c r="C54" s="19" t="s">
        <v>21</v>
      </c>
      <c r="D54" s="19" t="s">
        <v>24</v>
      </c>
      <c r="E54" s="19" t="s">
        <v>26</v>
      </c>
      <c r="F54" s="63" t="s">
        <v>28</v>
      </c>
      <c r="G54" s="19" t="s">
        <v>30</v>
      </c>
    </row>
    <row r="55" spans="2:7" ht="52.2">
      <c r="B55" s="21" t="s">
        <v>20</v>
      </c>
      <c r="C55" s="21" t="s">
        <v>22</v>
      </c>
      <c r="D55" s="21" t="s">
        <v>25</v>
      </c>
      <c r="E55" s="21" t="s">
        <v>27</v>
      </c>
      <c r="F55" s="21" t="s">
        <v>29</v>
      </c>
      <c r="G55" s="21" t="s">
        <v>31</v>
      </c>
    </row>
    <row r="56" spans="2:7" ht="34.799999999999997">
      <c r="B56" s="20"/>
      <c r="C56" s="20" t="s">
        <v>23</v>
      </c>
      <c r="D56" s="20"/>
      <c r="E56" s="20"/>
      <c r="F56" s="20"/>
      <c r="G56" s="20" t="s">
        <v>32</v>
      </c>
    </row>
    <row r="57" spans="2:7" ht="52.2">
      <c r="B57" s="63" t="s">
        <v>33</v>
      </c>
      <c r="C57" s="19" t="s">
        <v>35</v>
      </c>
      <c r="D57" s="19" t="s">
        <v>24</v>
      </c>
      <c r="E57" s="19" t="s">
        <v>26</v>
      </c>
      <c r="F57" s="63" t="s">
        <v>40</v>
      </c>
      <c r="G57" s="19" t="s">
        <v>42</v>
      </c>
    </row>
    <row r="58" spans="2:7" ht="52.2">
      <c r="B58" s="21" t="s">
        <v>34</v>
      </c>
      <c r="C58" s="21" t="s">
        <v>36</v>
      </c>
      <c r="D58" s="21" t="s">
        <v>38</v>
      </c>
      <c r="E58" s="21" t="s">
        <v>39</v>
      </c>
      <c r="F58" s="21" t="s">
        <v>41</v>
      </c>
      <c r="G58" s="21" t="s">
        <v>43</v>
      </c>
    </row>
    <row r="59" spans="2:7" ht="52.2">
      <c r="B59" s="20"/>
      <c r="C59" s="20" t="s">
        <v>37</v>
      </c>
      <c r="D59" s="20"/>
      <c r="E59" s="20"/>
      <c r="F59" s="20"/>
      <c r="G59" s="20" t="s">
        <v>44</v>
      </c>
    </row>
    <row r="60" spans="2:7" ht="34.799999999999997">
      <c r="B60" s="63" t="s">
        <v>45</v>
      </c>
      <c r="C60" s="19" t="s">
        <v>47</v>
      </c>
      <c r="D60" s="19" t="s">
        <v>50</v>
      </c>
      <c r="E60" s="84" t="s">
        <v>52</v>
      </c>
      <c r="F60" s="80" t="s">
        <v>53</v>
      </c>
      <c r="G60" s="19" t="s">
        <v>54</v>
      </c>
    </row>
    <row r="61" spans="2:7" ht="52.2">
      <c r="B61" s="21" t="s">
        <v>46</v>
      </c>
      <c r="C61" s="21" t="s">
        <v>48</v>
      </c>
      <c r="D61" s="21" t="s">
        <v>51</v>
      </c>
      <c r="E61" s="85"/>
      <c r="F61" s="81"/>
      <c r="G61" s="21" t="s">
        <v>55</v>
      </c>
    </row>
    <row r="62" spans="2:7" ht="52.2">
      <c r="B62" s="20"/>
      <c r="C62" s="20" t="s">
        <v>49</v>
      </c>
      <c r="D62" s="20"/>
      <c r="E62" s="86"/>
      <c r="F62" s="82"/>
      <c r="G62" s="20" t="s">
        <v>56</v>
      </c>
    </row>
    <row r="65" spans="2:5" ht="34.799999999999997">
      <c r="B65" s="2" t="s">
        <v>13</v>
      </c>
      <c r="C65" s="2" t="s">
        <v>57</v>
      </c>
      <c r="D65" s="2" t="s">
        <v>58</v>
      </c>
      <c r="E65" s="2" t="s">
        <v>59</v>
      </c>
    </row>
    <row r="66" spans="2:5" ht="34.799999999999997">
      <c r="B66" s="63" t="s">
        <v>19</v>
      </c>
      <c r="C66" s="19" t="s">
        <v>61</v>
      </c>
      <c r="D66" s="19" t="s">
        <v>63</v>
      </c>
      <c r="E66" s="19" t="s">
        <v>65</v>
      </c>
    </row>
    <row r="67" spans="2:5" ht="52.2">
      <c r="B67" s="21" t="s">
        <v>60</v>
      </c>
      <c r="C67" s="21" t="s">
        <v>62</v>
      </c>
      <c r="D67" s="21" t="s">
        <v>64</v>
      </c>
      <c r="E67" s="21" t="s">
        <v>66</v>
      </c>
    </row>
    <row r="68" spans="2:5">
      <c r="B68" s="20"/>
      <c r="C68" s="20"/>
      <c r="D68" s="20"/>
      <c r="E68" s="20" t="s">
        <v>67</v>
      </c>
    </row>
    <row r="69" spans="2:5" ht="34.799999999999997">
      <c r="B69" s="63" t="s">
        <v>33</v>
      </c>
      <c r="C69" s="19" t="s">
        <v>69</v>
      </c>
      <c r="D69" s="19" t="s">
        <v>71</v>
      </c>
      <c r="E69" s="19" t="s">
        <v>73</v>
      </c>
    </row>
    <row r="70" spans="2:5" ht="52.2">
      <c r="B70" s="21" t="s">
        <v>68</v>
      </c>
      <c r="C70" s="21" t="s">
        <v>70</v>
      </c>
      <c r="D70" s="21" t="s">
        <v>72</v>
      </c>
      <c r="E70" s="21" t="s">
        <v>74</v>
      </c>
    </row>
    <row r="71" spans="2:5">
      <c r="B71" s="20"/>
      <c r="C71" s="20"/>
      <c r="D71" s="20"/>
      <c r="E71" s="20" t="s">
        <v>75</v>
      </c>
    </row>
    <row r="72" spans="2:5" ht="34.799999999999997">
      <c r="B72" s="63" t="s">
        <v>45</v>
      </c>
      <c r="C72" s="19" t="s">
        <v>69</v>
      </c>
      <c r="D72" s="19" t="s">
        <v>78</v>
      </c>
      <c r="E72" s="9"/>
    </row>
    <row r="73" spans="2:5" ht="52.2">
      <c r="B73" s="20" t="s">
        <v>76</v>
      </c>
      <c r="C73" s="20" t="s">
        <v>77</v>
      </c>
      <c r="D73" s="20" t="s">
        <v>79</v>
      </c>
      <c r="E73" s="10"/>
    </row>
    <row r="78" spans="2:5">
      <c r="C78" s="11" t="s">
        <v>2491</v>
      </c>
    </row>
    <row r="79" spans="2:5" ht="174">
      <c r="C79" s="4" t="s">
        <v>2494</v>
      </c>
      <c r="D79" s="3" t="s">
        <v>2492</v>
      </c>
    </row>
    <row r="80" spans="2:5" ht="156.6">
      <c r="C80" s="4" t="s">
        <v>2495</v>
      </c>
      <c r="D80" s="3" t="s">
        <v>2493</v>
      </c>
    </row>
    <row r="81" spans="3:4" ht="156.6">
      <c r="C81" s="4" t="s">
        <v>2496</v>
      </c>
      <c r="D81" s="3" t="s">
        <v>2497</v>
      </c>
    </row>
    <row r="82" spans="3:4" ht="121.8">
      <c r="C82" s="4" t="s">
        <v>2498</v>
      </c>
      <c r="D82" s="3" t="s">
        <v>2500</v>
      </c>
    </row>
    <row r="83" spans="3:4" ht="156.6">
      <c r="C83" s="4" t="s">
        <v>2499</v>
      </c>
      <c r="D83" s="3" t="s">
        <v>2501</v>
      </c>
    </row>
    <row r="86" spans="3:4">
      <c r="C86" t="s">
        <v>2518</v>
      </c>
    </row>
    <row r="87" spans="3:4" ht="139.19999999999999">
      <c r="C87" s="4" t="s">
        <v>2494</v>
      </c>
      <c r="D87" s="3" t="s">
        <v>2519</v>
      </c>
    </row>
    <row r="88" spans="3:4" ht="139.19999999999999">
      <c r="C88" s="4" t="s">
        <v>2495</v>
      </c>
      <c r="D88" s="35" t="s">
        <v>2520</v>
      </c>
    </row>
    <row r="89" spans="3:4" ht="139.19999999999999">
      <c r="C89" s="4" t="s">
        <v>2496</v>
      </c>
      <c r="D89" s="3" t="s">
        <v>2521</v>
      </c>
    </row>
    <row r="91" spans="3:4">
      <c r="C91" t="s">
        <v>2522</v>
      </c>
    </row>
    <row r="93" spans="3:4">
      <c r="C93" s="11" t="s">
        <v>2523</v>
      </c>
    </row>
    <row r="94" spans="3:4" ht="87">
      <c r="C94" s="4" t="s">
        <v>2494</v>
      </c>
      <c r="D94" s="3" t="s">
        <v>2524</v>
      </c>
    </row>
    <row r="95" spans="3:4" ht="87">
      <c r="C95" s="4" t="s">
        <v>2495</v>
      </c>
      <c r="D95" s="35" t="s">
        <v>2525</v>
      </c>
    </row>
    <row r="96" spans="3:4" ht="69.599999999999994">
      <c r="C96" s="4" t="s">
        <v>2496</v>
      </c>
      <c r="D96" s="3" t="s">
        <v>2526</v>
      </c>
    </row>
    <row r="97" spans="3:5" ht="139.19999999999999">
      <c r="C97" s="4" t="s">
        <v>2498</v>
      </c>
      <c r="D97" s="3" t="s">
        <v>2527</v>
      </c>
    </row>
    <row r="98" spans="3:5" ht="104.4">
      <c r="C98" s="4" t="s">
        <v>2096</v>
      </c>
      <c r="D98" s="3" t="s">
        <v>2528</v>
      </c>
    </row>
    <row r="100" spans="3:5">
      <c r="C100" s="11" t="s">
        <v>1464</v>
      </c>
    </row>
    <row r="101" spans="3:5">
      <c r="C101" s="11" t="s">
        <v>1461</v>
      </c>
    </row>
    <row r="102" spans="3:5">
      <c r="C102" s="11" t="s">
        <v>1484</v>
      </c>
    </row>
    <row r="103" spans="3:5">
      <c r="C103" s="11" t="s">
        <v>1485</v>
      </c>
    </row>
    <row r="104" spans="3:5">
      <c r="C104" s="11" t="s">
        <v>1462</v>
      </c>
      <c r="D104" s="21"/>
    </row>
    <row r="105" spans="3:5">
      <c r="C105" s="11" t="s">
        <v>1463</v>
      </c>
      <c r="D105" s="21"/>
    </row>
    <row r="106" spans="3:5">
      <c r="C106" s="21"/>
      <c r="D106" s="21"/>
    </row>
    <row r="107" spans="3:5">
      <c r="C107" s="7" t="s">
        <v>1486</v>
      </c>
      <c r="D107" s="7" t="s">
        <v>1465</v>
      </c>
      <c r="E107" s="7" t="s">
        <v>1466</v>
      </c>
    </row>
    <row r="108" spans="3:5">
      <c r="C108" s="78" t="s">
        <v>1090</v>
      </c>
      <c r="D108" s="83" t="s">
        <v>1467</v>
      </c>
      <c r="E108" s="3" t="s">
        <v>1468</v>
      </c>
    </row>
    <row r="109" spans="3:5">
      <c r="C109" s="78"/>
      <c r="D109" s="83"/>
      <c r="E109" s="3" t="s">
        <v>1469</v>
      </c>
    </row>
    <row r="110" spans="3:5">
      <c r="C110" s="78"/>
      <c r="D110" s="83"/>
      <c r="E110" s="3" t="s">
        <v>1470</v>
      </c>
    </row>
    <row r="111" spans="3:5">
      <c r="C111" s="78" t="s">
        <v>1094</v>
      </c>
      <c r="D111" s="83" t="s">
        <v>1471</v>
      </c>
      <c r="E111" s="3" t="s">
        <v>1472</v>
      </c>
    </row>
    <row r="112" spans="3:5">
      <c r="C112" s="78"/>
      <c r="D112" s="83"/>
      <c r="E112" s="3" t="s">
        <v>1473</v>
      </c>
    </row>
    <row r="113" spans="3:5">
      <c r="C113" s="78"/>
      <c r="D113" s="83"/>
      <c r="E113" s="3" t="s">
        <v>1474</v>
      </c>
    </row>
    <row r="114" spans="3:5">
      <c r="C114" s="78" t="s">
        <v>1475</v>
      </c>
      <c r="D114" s="83" t="s">
        <v>1476</v>
      </c>
      <c r="E114" s="3" t="s">
        <v>1477</v>
      </c>
    </row>
    <row r="115" spans="3:5">
      <c r="C115" s="78"/>
      <c r="D115" s="83"/>
      <c r="E115" s="3" t="s">
        <v>1478</v>
      </c>
    </row>
    <row r="116" spans="3:5">
      <c r="C116" s="78"/>
      <c r="D116" s="83"/>
      <c r="E116" s="3" t="s">
        <v>1479</v>
      </c>
    </row>
    <row r="117" spans="3:5">
      <c r="C117" s="78" t="s">
        <v>1480</v>
      </c>
      <c r="D117" s="83" t="s">
        <v>1476</v>
      </c>
      <c r="E117" s="3" t="s">
        <v>1481</v>
      </c>
    </row>
    <row r="118" spans="3:5">
      <c r="C118" s="78"/>
      <c r="D118" s="83"/>
      <c r="E118" s="3" t="s">
        <v>1482</v>
      </c>
    </row>
    <row r="119" spans="3:5">
      <c r="C119" s="78"/>
      <c r="D119" s="83"/>
      <c r="E119" s="3" t="s">
        <v>1483</v>
      </c>
    </row>
    <row r="121" spans="3:5">
      <c r="C121" s="11" t="s">
        <v>2089</v>
      </c>
    </row>
    <row r="122" spans="3:5" ht="121.8">
      <c r="C122" s="4" t="s">
        <v>2494</v>
      </c>
      <c r="D122" s="3" t="s">
        <v>2529</v>
      </c>
    </row>
    <row r="123" spans="3:5" ht="104.4">
      <c r="C123" s="4" t="s">
        <v>2495</v>
      </c>
      <c r="D123" s="35" t="s">
        <v>2530</v>
      </c>
    </row>
    <row r="124" spans="3:5" ht="104.4">
      <c r="C124" s="4" t="s">
        <v>2496</v>
      </c>
      <c r="D124" s="3" t="s">
        <v>2531</v>
      </c>
    </row>
    <row r="125" spans="3:5" ht="87">
      <c r="C125" s="4" t="s">
        <v>2498</v>
      </c>
      <c r="D125" s="3" t="s">
        <v>2532</v>
      </c>
    </row>
    <row r="126" spans="3:5" ht="87">
      <c r="C126" s="4" t="s">
        <v>2096</v>
      </c>
      <c r="D126" s="3" t="s">
        <v>2533</v>
      </c>
    </row>
  </sheetData>
  <mergeCells count="10">
    <mergeCell ref="C114:C116"/>
    <mergeCell ref="D114:D116"/>
    <mergeCell ref="C117:C119"/>
    <mergeCell ref="D117:D119"/>
    <mergeCell ref="E60:E62"/>
    <mergeCell ref="F60:F62"/>
    <mergeCell ref="C108:C110"/>
    <mergeCell ref="D108:D110"/>
    <mergeCell ref="C111:C113"/>
    <mergeCell ref="D111:D113"/>
  </mergeCells>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145"/>
  <sheetViews>
    <sheetView topLeftCell="A115" zoomScale="115" zoomScaleNormal="115" workbookViewId="0">
      <selection activeCell="B121" sqref="B121"/>
    </sheetView>
  </sheetViews>
  <sheetFormatPr defaultRowHeight="17.399999999999999"/>
  <cols>
    <col min="1" max="1" width="25" customWidth="1"/>
    <col min="2" max="2" width="83.19921875" customWidth="1"/>
    <col min="3" max="3" width="48.3984375" customWidth="1"/>
    <col min="4" max="4" width="32.3984375" customWidth="1"/>
  </cols>
  <sheetData>
    <row r="2" spans="1:3">
      <c r="A2" s="11" t="s">
        <v>491</v>
      </c>
    </row>
    <row r="3" spans="1:3">
      <c r="A3" s="7" t="s">
        <v>83</v>
      </c>
      <c r="B3" s="7" t="s">
        <v>87</v>
      </c>
      <c r="C3" s="7" t="s">
        <v>349</v>
      </c>
    </row>
    <row r="4" spans="1:3" ht="34.799999999999997">
      <c r="A4" s="8" t="s">
        <v>437</v>
      </c>
      <c r="B4" s="3" t="s">
        <v>438</v>
      </c>
      <c r="C4" s="3" t="s">
        <v>439</v>
      </c>
    </row>
    <row r="5" spans="1:3" ht="34.799999999999997">
      <c r="A5" s="3"/>
      <c r="B5" s="8" t="s">
        <v>440</v>
      </c>
      <c r="C5" s="3" t="s">
        <v>441</v>
      </c>
    </row>
    <row r="6" spans="1:3" ht="34.799999999999997">
      <c r="A6" s="3"/>
      <c r="B6" s="3" t="s">
        <v>442</v>
      </c>
      <c r="C6" s="3" t="s">
        <v>443</v>
      </c>
    </row>
    <row r="7" spans="1:3" ht="34.799999999999997">
      <c r="A7" s="8" t="s">
        <v>444</v>
      </c>
      <c r="B7" s="3" t="s">
        <v>445</v>
      </c>
      <c r="C7" s="3" t="s">
        <v>446</v>
      </c>
    </row>
    <row r="8" spans="1:3" ht="34.799999999999997">
      <c r="A8" s="3"/>
      <c r="B8" s="3" t="s">
        <v>447</v>
      </c>
      <c r="C8" s="3" t="s">
        <v>448</v>
      </c>
    </row>
    <row r="9" spans="1:3" ht="34.799999999999997">
      <c r="A9" s="8" t="s">
        <v>449</v>
      </c>
      <c r="B9" s="3" t="s">
        <v>450</v>
      </c>
      <c r="C9" s="3" t="s">
        <v>451</v>
      </c>
    </row>
    <row r="10" spans="1:3">
      <c r="A10" s="3"/>
      <c r="B10" s="3" t="s">
        <v>452</v>
      </c>
      <c r="C10" s="3" t="s">
        <v>453</v>
      </c>
    </row>
    <row r="13" spans="1:3">
      <c r="A13" s="2" t="s">
        <v>302</v>
      </c>
      <c r="B13" s="2" t="s">
        <v>454</v>
      </c>
    </row>
    <row r="14" spans="1:3">
      <c r="A14" s="78" t="s">
        <v>304</v>
      </c>
      <c r="B14" s="3" t="s">
        <v>455</v>
      </c>
    </row>
    <row r="15" spans="1:3">
      <c r="A15" s="78"/>
      <c r="B15" s="3" t="s">
        <v>456</v>
      </c>
    </row>
    <row r="16" spans="1:3">
      <c r="A16" s="78"/>
      <c r="B16" s="3" t="s">
        <v>457</v>
      </c>
    </row>
    <row r="17" spans="1:3">
      <c r="A17" s="78" t="s">
        <v>310</v>
      </c>
      <c r="B17" s="3" t="s">
        <v>458</v>
      </c>
    </row>
    <row r="18" spans="1:3">
      <c r="A18" s="78"/>
      <c r="B18" s="3" t="s">
        <v>459</v>
      </c>
    </row>
    <row r="19" spans="1:3">
      <c r="A19" s="78" t="s">
        <v>314</v>
      </c>
      <c r="B19" s="3" t="s">
        <v>460</v>
      </c>
    </row>
    <row r="20" spans="1:3">
      <c r="A20" s="78"/>
      <c r="B20" s="3" t="s">
        <v>461</v>
      </c>
    </row>
    <row r="21" spans="1:3">
      <c r="A21" s="78"/>
      <c r="B21" s="3" t="s">
        <v>462</v>
      </c>
    </row>
    <row r="22" spans="1:3">
      <c r="A22" s="78" t="s">
        <v>317</v>
      </c>
      <c r="B22" s="3" t="s">
        <v>463</v>
      </c>
    </row>
    <row r="23" spans="1:3">
      <c r="A23" s="78"/>
      <c r="B23" s="3" t="s">
        <v>464</v>
      </c>
    </row>
    <row r="24" spans="1:3">
      <c r="A24" s="78"/>
      <c r="B24" s="3" t="s">
        <v>465</v>
      </c>
    </row>
    <row r="25" spans="1:3" ht="24.75" customHeight="1"/>
    <row r="27" spans="1:3">
      <c r="A27" s="7" t="s">
        <v>320</v>
      </c>
      <c r="B27" s="7" t="s">
        <v>466</v>
      </c>
      <c r="C27" s="7" t="s">
        <v>467</v>
      </c>
    </row>
    <row r="28" spans="1:3" ht="34.799999999999997">
      <c r="A28" s="78" t="s">
        <v>322</v>
      </c>
      <c r="B28" s="77" t="s">
        <v>490</v>
      </c>
      <c r="C28" s="3" t="s">
        <v>468</v>
      </c>
    </row>
    <row r="29" spans="1:3">
      <c r="A29" s="78"/>
      <c r="B29" s="77"/>
      <c r="C29" s="3" t="s">
        <v>469</v>
      </c>
    </row>
    <row r="30" spans="1:3">
      <c r="A30" s="78"/>
      <c r="B30" s="77"/>
      <c r="C30" s="3" t="s">
        <v>470</v>
      </c>
    </row>
    <row r="31" spans="1:3" ht="34.799999999999997">
      <c r="A31" s="78" t="s">
        <v>325</v>
      </c>
      <c r="B31" s="77" t="s">
        <v>489</v>
      </c>
      <c r="C31" s="3" t="s">
        <v>471</v>
      </c>
    </row>
    <row r="32" spans="1:3">
      <c r="A32" s="78"/>
      <c r="B32" s="77"/>
      <c r="C32" s="3" t="s">
        <v>472</v>
      </c>
    </row>
    <row r="33" spans="1:3">
      <c r="A33" s="78"/>
      <c r="B33" s="77"/>
      <c r="C33" s="3" t="s">
        <v>473</v>
      </c>
    </row>
    <row r="34" spans="1:3">
      <c r="A34" s="78" t="s">
        <v>7</v>
      </c>
      <c r="B34" s="77" t="s">
        <v>488</v>
      </c>
      <c r="C34" s="3" t="s">
        <v>474</v>
      </c>
    </row>
    <row r="35" spans="1:3">
      <c r="A35" s="78"/>
      <c r="B35" s="77"/>
      <c r="C35" s="3" t="s">
        <v>475</v>
      </c>
    </row>
    <row r="36" spans="1:3">
      <c r="A36" s="78"/>
      <c r="B36" s="77"/>
      <c r="C36" s="3" t="s">
        <v>476</v>
      </c>
    </row>
    <row r="37" spans="1:3">
      <c r="A37" s="78" t="s">
        <v>368</v>
      </c>
      <c r="B37" s="77" t="s">
        <v>487</v>
      </c>
      <c r="C37" s="3" t="s">
        <v>477</v>
      </c>
    </row>
    <row r="38" spans="1:3">
      <c r="A38" s="78"/>
      <c r="B38" s="77"/>
      <c r="C38" s="3" t="s">
        <v>478</v>
      </c>
    </row>
    <row r="39" spans="1:3">
      <c r="A39" s="78"/>
      <c r="B39" s="77"/>
      <c r="C39" s="3" t="s">
        <v>479</v>
      </c>
    </row>
    <row r="40" spans="1:3">
      <c r="A40" s="78" t="s">
        <v>331</v>
      </c>
      <c r="B40" s="77" t="s">
        <v>486</v>
      </c>
      <c r="C40" s="3" t="s">
        <v>480</v>
      </c>
    </row>
    <row r="41" spans="1:3">
      <c r="A41" s="78"/>
      <c r="B41" s="77"/>
      <c r="C41" s="3" t="s">
        <v>481</v>
      </c>
    </row>
    <row r="42" spans="1:3" ht="34.799999999999997">
      <c r="A42" s="78" t="s">
        <v>482</v>
      </c>
      <c r="B42" s="77" t="s">
        <v>485</v>
      </c>
      <c r="C42" s="3" t="s">
        <v>483</v>
      </c>
    </row>
    <row r="43" spans="1:3">
      <c r="A43" s="78"/>
      <c r="B43" s="77"/>
      <c r="C43" s="3" t="s">
        <v>484</v>
      </c>
    </row>
    <row r="45" spans="1:3">
      <c r="A45" s="6" t="s">
        <v>374</v>
      </c>
    </row>
    <row r="46" spans="1:3">
      <c r="A46" s="7" t="s">
        <v>302</v>
      </c>
      <c r="B46" s="7" t="s">
        <v>303</v>
      </c>
    </row>
    <row r="47" spans="1:3">
      <c r="A47" s="78" t="s">
        <v>304</v>
      </c>
      <c r="B47" s="3" t="s">
        <v>305</v>
      </c>
      <c r="C47" t="s">
        <v>492</v>
      </c>
    </row>
    <row r="48" spans="1:3">
      <c r="A48" s="78"/>
      <c r="B48" s="3" t="s">
        <v>306</v>
      </c>
    </row>
    <row r="49" spans="1:2">
      <c r="A49" s="78"/>
      <c r="B49" s="3" t="s">
        <v>307</v>
      </c>
    </row>
    <row r="50" spans="1:2">
      <c r="A50" s="78"/>
      <c r="B50" s="3" t="s">
        <v>308</v>
      </c>
    </row>
    <row r="51" spans="1:2" ht="16.5" customHeight="1">
      <c r="A51" s="78"/>
      <c r="B51" s="3" t="s">
        <v>309</v>
      </c>
    </row>
    <row r="52" spans="1:2">
      <c r="A52" s="78" t="s">
        <v>310</v>
      </c>
      <c r="B52" s="3" t="s">
        <v>311</v>
      </c>
    </row>
    <row r="53" spans="1:2">
      <c r="A53" s="78"/>
      <c r="B53" s="45" t="s">
        <v>312</v>
      </c>
    </row>
    <row r="54" spans="1:2">
      <c r="A54" s="78"/>
      <c r="B54" s="45" t="s">
        <v>313</v>
      </c>
    </row>
    <row r="55" spans="1:2">
      <c r="A55" s="78" t="s">
        <v>314</v>
      </c>
      <c r="B55" s="3" t="s">
        <v>315</v>
      </c>
    </row>
    <row r="56" spans="1:2">
      <c r="A56" s="78"/>
      <c r="B56" s="3" t="s">
        <v>316</v>
      </c>
    </row>
    <row r="57" spans="1:2">
      <c r="A57" s="78" t="s">
        <v>317</v>
      </c>
      <c r="B57" s="3" t="s">
        <v>318</v>
      </c>
    </row>
    <row r="58" spans="1:2">
      <c r="A58" s="78"/>
      <c r="B58" s="3" t="s">
        <v>319</v>
      </c>
    </row>
    <row r="60" spans="1:2">
      <c r="A60" s="7" t="s">
        <v>320</v>
      </c>
      <c r="B60" s="7" t="s">
        <v>321</v>
      </c>
    </row>
    <row r="61" spans="1:2">
      <c r="A61" s="78" t="s">
        <v>322</v>
      </c>
      <c r="B61" s="3" t="s">
        <v>323</v>
      </c>
    </row>
    <row r="62" spans="1:2">
      <c r="A62" s="78"/>
      <c r="B62" s="3" t="s">
        <v>324</v>
      </c>
    </row>
    <row r="63" spans="1:2">
      <c r="A63" s="78" t="s">
        <v>325</v>
      </c>
      <c r="B63" s="3" t="s">
        <v>326</v>
      </c>
    </row>
    <row r="64" spans="1:2">
      <c r="A64" s="78"/>
      <c r="B64" s="3" t="s">
        <v>327</v>
      </c>
    </row>
    <row r="65" spans="1:3">
      <c r="A65" s="78"/>
      <c r="B65" s="3" t="s">
        <v>328</v>
      </c>
    </row>
    <row r="66" spans="1:3">
      <c r="A66" s="78" t="s">
        <v>7</v>
      </c>
      <c r="B66" s="3" t="s">
        <v>329</v>
      </c>
    </row>
    <row r="67" spans="1:3">
      <c r="A67" s="78"/>
      <c r="B67" s="3" t="s">
        <v>330</v>
      </c>
    </row>
    <row r="68" spans="1:3">
      <c r="A68" s="8" t="s">
        <v>331</v>
      </c>
      <c r="B68" s="3" t="s">
        <v>332</v>
      </c>
    </row>
    <row r="69" spans="1:3">
      <c r="A69" s="8" t="s">
        <v>333</v>
      </c>
      <c r="B69" s="3" t="s">
        <v>334</v>
      </c>
    </row>
    <row r="71" spans="1:3">
      <c r="A71" s="7" t="s">
        <v>335</v>
      </c>
      <c r="B71" s="7" t="s">
        <v>321</v>
      </c>
    </row>
    <row r="72" spans="1:3">
      <c r="A72" s="78" t="s">
        <v>336</v>
      </c>
      <c r="B72" s="3" t="s">
        <v>337</v>
      </c>
    </row>
    <row r="73" spans="1:3">
      <c r="A73" s="78"/>
      <c r="B73" s="3" t="s">
        <v>338</v>
      </c>
    </row>
    <row r="74" spans="1:3" ht="16.5" customHeight="1">
      <c r="A74" s="78" t="s">
        <v>339</v>
      </c>
      <c r="B74" s="3" t="s">
        <v>340</v>
      </c>
    </row>
    <row r="75" spans="1:3">
      <c r="A75" s="78"/>
      <c r="B75" s="3" t="s">
        <v>341</v>
      </c>
    </row>
    <row r="76" spans="1:3">
      <c r="A76" s="78" t="s">
        <v>342</v>
      </c>
      <c r="B76" s="3" t="s">
        <v>343</v>
      </c>
    </row>
    <row r="77" spans="1:3">
      <c r="A77" s="78"/>
      <c r="B77" s="3" t="s">
        <v>344</v>
      </c>
      <c r="C77" s="27"/>
    </row>
    <row r="78" spans="1:3">
      <c r="A78" s="8" t="s">
        <v>345</v>
      </c>
      <c r="B78" s="3" t="s">
        <v>346</v>
      </c>
    </row>
    <row r="79" spans="1:3">
      <c r="A79" s="8" t="s">
        <v>347</v>
      </c>
      <c r="B79" s="3" t="s">
        <v>348</v>
      </c>
    </row>
    <row r="82" spans="1:4">
      <c r="A82" s="11" t="s">
        <v>1029</v>
      </c>
    </row>
    <row r="83" spans="1:4" ht="139.19999999999999">
      <c r="A83" s="41" t="s">
        <v>1032</v>
      </c>
      <c r="B83" s="35" t="s">
        <v>1037</v>
      </c>
    </row>
    <row r="84" spans="1:4" ht="87">
      <c r="A84" s="40" t="s">
        <v>1030</v>
      </c>
      <c r="B84" s="35" t="s">
        <v>1036</v>
      </c>
    </row>
    <row r="85" spans="1:4" ht="104.4">
      <c r="A85" s="40" t="s">
        <v>1031</v>
      </c>
      <c r="B85" s="35" t="s">
        <v>1035</v>
      </c>
    </row>
    <row r="86" spans="1:4" ht="69.599999999999994">
      <c r="A86" s="40" t="s">
        <v>1033</v>
      </c>
      <c r="B86" s="35" t="s">
        <v>1034</v>
      </c>
    </row>
    <row r="87" spans="1:4">
      <c r="A87" s="21"/>
      <c r="B87" s="21"/>
    </row>
    <row r="88" spans="1:4">
      <c r="A88" s="11"/>
    </row>
    <row r="89" spans="1:4">
      <c r="A89" s="7" t="s">
        <v>80</v>
      </c>
      <c r="B89" s="7" t="s">
        <v>1038</v>
      </c>
      <c r="C89" s="7" t="s">
        <v>8</v>
      </c>
      <c r="D89" s="7" t="s">
        <v>523</v>
      </c>
    </row>
    <row r="90" spans="1:4" ht="34.799999999999997">
      <c r="A90" s="8" t="s">
        <v>1039</v>
      </c>
      <c r="B90" s="3" t="s">
        <v>1040</v>
      </c>
      <c r="C90" s="3" t="s">
        <v>1041</v>
      </c>
      <c r="D90" s="3" t="s">
        <v>1042</v>
      </c>
    </row>
    <row r="91" spans="1:4" ht="34.799999999999997">
      <c r="A91" s="8" t="s">
        <v>1043</v>
      </c>
      <c r="B91" s="3" t="s">
        <v>1044</v>
      </c>
      <c r="C91" s="3" t="s">
        <v>7</v>
      </c>
      <c r="D91" s="3" t="s">
        <v>1045</v>
      </c>
    </row>
    <row r="92" spans="1:4" ht="34.799999999999997">
      <c r="A92" s="8" t="s">
        <v>1046</v>
      </c>
      <c r="B92" s="3" t="s">
        <v>1047</v>
      </c>
      <c r="C92" s="3" t="s">
        <v>1048</v>
      </c>
      <c r="D92" s="3" t="s">
        <v>1049</v>
      </c>
    </row>
    <row r="93" spans="1:4" ht="34.799999999999997">
      <c r="A93" s="8" t="s">
        <v>1028</v>
      </c>
      <c r="B93" s="3" t="s">
        <v>1050</v>
      </c>
      <c r="C93" s="3" t="s">
        <v>1051</v>
      </c>
      <c r="D93" s="3" t="s">
        <v>1052</v>
      </c>
    </row>
    <row r="97" spans="1:3">
      <c r="A97" s="7" t="s">
        <v>85</v>
      </c>
      <c r="B97" s="7" t="s">
        <v>149</v>
      </c>
    </row>
    <row r="98" spans="1:3">
      <c r="A98" s="8" t="s">
        <v>1053</v>
      </c>
      <c r="B98" s="3" t="s">
        <v>1054</v>
      </c>
    </row>
    <row r="99" spans="1:3">
      <c r="A99" s="8" t="s">
        <v>1055</v>
      </c>
      <c r="B99" s="3" t="s">
        <v>1056</v>
      </c>
    </row>
    <row r="100" spans="1:3">
      <c r="A100" s="8" t="s">
        <v>1057</v>
      </c>
      <c r="B100" s="3" t="s">
        <v>1058</v>
      </c>
    </row>
    <row r="101" spans="1:3">
      <c r="A101" s="8" t="s">
        <v>1059</v>
      </c>
      <c r="B101" s="3" t="s">
        <v>1060</v>
      </c>
    </row>
    <row r="102" spans="1:3">
      <c r="A102" s="8" t="s">
        <v>1061</v>
      </c>
      <c r="B102" s="3" t="s">
        <v>1062</v>
      </c>
    </row>
    <row r="104" spans="1:3">
      <c r="A104" s="7" t="s">
        <v>85</v>
      </c>
      <c r="B104" s="7" t="s">
        <v>82</v>
      </c>
    </row>
    <row r="105" spans="1:3">
      <c r="A105" s="8" t="s">
        <v>1063</v>
      </c>
      <c r="B105" s="3" t="s">
        <v>1064</v>
      </c>
    </row>
    <row r="106" spans="1:3">
      <c r="A106" s="8" t="s">
        <v>1050</v>
      </c>
      <c r="B106" s="3" t="s">
        <v>1065</v>
      </c>
    </row>
    <row r="107" spans="1:3">
      <c r="A107" s="8" t="s">
        <v>1066</v>
      </c>
      <c r="B107" s="3" t="s">
        <v>1067</v>
      </c>
    </row>
    <row r="110" spans="1:3">
      <c r="A110" s="7" t="s">
        <v>83</v>
      </c>
      <c r="B110" s="7" t="s">
        <v>1068</v>
      </c>
      <c r="C110" s="7" t="s">
        <v>1069</v>
      </c>
    </row>
    <row r="111" spans="1:3">
      <c r="A111" s="8" t="s">
        <v>1070</v>
      </c>
      <c r="B111" s="3" t="s">
        <v>1071</v>
      </c>
      <c r="C111" s="3" t="s">
        <v>1072</v>
      </c>
    </row>
    <row r="112" spans="1:3">
      <c r="A112" s="8" t="s">
        <v>1073</v>
      </c>
      <c r="B112" s="3" t="s">
        <v>1074</v>
      </c>
      <c r="C112" s="3" t="s">
        <v>1075</v>
      </c>
    </row>
    <row r="113" spans="1:3">
      <c r="A113" s="8" t="s">
        <v>1076</v>
      </c>
      <c r="B113" s="3" t="s">
        <v>1077</v>
      </c>
      <c r="C113" s="3" t="s">
        <v>1078</v>
      </c>
    </row>
    <row r="114" spans="1:3">
      <c r="A114" s="8" t="s">
        <v>1079</v>
      </c>
      <c r="B114" s="3" t="s">
        <v>1080</v>
      </c>
      <c r="C114" s="3" t="s">
        <v>1081</v>
      </c>
    </row>
    <row r="115" spans="1:3">
      <c r="A115" s="8" t="s">
        <v>1082</v>
      </c>
      <c r="B115" s="3" t="s">
        <v>1083</v>
      </c>
      <c r="C115" s="3" t="s">
        <v>1084</v>
      </c>
    </row>
    <row r="118" spans="1:3">
      <c r="A118" s="6" t="s">
        <v>2347</v>
      </c>
    </row>
    <row r="119" spans="1:3" ht="139.19999999999999">
      <c r="A119" s="67" t="s">
        <v>1015</v>
      </c>
      <c r="B119" s="45" t="s">
        <v>2348</v>
      </c>
    </row>
    <row r="120" spans="1:3" ht="121.8">
      <c r="A120" s="67" t="s">
        <v>1016</v>
      </c>
      <c r="B120" s="68" t="s">
        <v>2386</v>
      </c>
    </row>
    <row r="121" spans="1:3" ht="87">
      <c r="A121" s="39" t="s">
        <v>1017</v>
      </c>
      <c r="B121" s="3" t="s">
        <v>2349</v>
      </c>
    </row>
    <row r="122" spans="1:3" ht="87">
      <c r="A122" s="39" t="s">
        <v>2090</v>
      </c>
      <c r="B122" s="3" t="s">
        <v>2350</v>
      </c>
    </row>
    <row r="123" spans="1:3" ht="87">
      <c r="A123" s="39" t="s">
        <v>2090</v>
      </c>
      <c r="B123" s="3" t="s">
        <v>2351</v>
      </c>
    </row>
    <row r="126" spans="1:3">
      <c r="A126" s="11" t="s">
        <v>952</v>
      </c>
    </row>
    <row r="127" spans="1:3">
      <c r="A127" s="7" t="s">
        <v>302</v>
      </c>
      <c r="B127" s="7" t="s">
        <v>454</v>
      </c>
      <c r="C127" s="7" t="s">
        <v>150</v>
      </c>
    </row>
    <row r="128" spans="1:3">
      <c r="A128" s="78" t="s">
        <v>1892</v>
      </c>
      <c r="B128" s="77" t="s">
        <v>937</v>
      </c>
      <c r="C128" s="3" t="s">
        <v>938</v>
      </c>
    </row>
    <row r="129" spans="1:3">
      <c r="A129" s="78"/>
      <c r="B129" s="77"/>
      <c r="C129" s="3" t="s">
        <v>939</v>
      </c>
    </row>
    <row r="130" spans="1:3">
      <c r="A130" s="78"/>
      <c r="B130" s="77"/>
      <c r="C130" s="3" t="s">
        <v>940</v>
      </c>
    </row>
    <row r="131" spans="1:3">
      <c r="A131" s="78"/>
      <c r="B131" s="77"/>
      <c r="C131" s="3" t="s">
        <v>941</v>
      </c>
    </row>
    <row r="132" spans="1:3">
      <c r="A132" s="78" t="s">
        <v>1893</v>
      </c>
      <c r="B132" s="77" t="s">
        <v>942</v>
      </c>
      <c r="C132" s="3" t="s">
        <v>943</v>
      </c>
    </row>
    <row r="133" spans="1:3">
      <c r="A133" s="78"/>
      <c r="B133" s="77"/>
      <c r="C133" s="3" t="s">
        <v>944</v>
      </c>
    </row>
    <row r="134" spans="1:3">
      <c r="A134" s="78"/>
      <c r="B134" s="77"/>
      <c r="C134" s="3" t="s">
        <v>945</v>
      </c>
    </row>
    <row r="135" spans="1:3">
      <c r="A135" s="87" t="s">
        <v>1894</v>
      </c>
      <c r="B135" s="88" t="s">
        <v>946</v>
      </c>
      <c r="C135" s="45" t="s">
        <v>947</v>
      </c>
    </row>
    <row r="136" spans="1:3">
      <c r="A136" s="87"/>
      <c r="B136" s="88"/>
      <c r="C136" s="45" t="s">
        <v>948</v>
      </c>
    </row>
    <row r="137" spans="1:3">
      <c r="A137" s="78" t="s">
        <v>1895</v>
      </c>
      <c r="B137" s="77" t="s">
        <v>949</v>
      </c>
      <c r="C137" s="3" t="s">
        <v>950</v>
      </c>
    </row>
    <row r="138" spans="1:3">
      <c r="A138" s="78"/>
      <c r="B138" s="77"/>
      <c r="C138" s="3" t="s">
        <v>951</v>
      </c>
    </row>
    <row r="141" spans="1:3">
      <c r="A141" s="7" t="s">
        <v>83</v>
      </c>
      <c r="B141" s="7" t="s">
        <v>953</v>
      </c>
      <c r="C141" s="7" t="s">
        <v>954</v>
      </c>
    </row>
    <row r="142" spans="1:3">
      <c r="A142" s="8" t="s">
        <v>955</v>
      </c>
      <c r="B142" s="3" t="s">
        <v>956</v>
      </c>
      <c r="C142" s="3" t="s">
        <v>957</v>
      </c>
    </row>
    <row r="143" spans="1:3">
      <c r="A143" s="8" t="s">
        <v>958</v>
      </c>
      <c r="B143" s="3" t="s">
        <v>959</v>
      </c>
      <c r="C143" s="3" t="s">
        <v>960</v>
      </c>
    </row>
    <row r="144" spans="1:3">
      <c r="A144" s="8" t="s">
        <v>961</v>
      </c>
      <c r="B144" s="3" t="s">
        <v>962</v>
      </c>
      <c r="C144" s="8" t="s">
        <v>963</v>
      </c>
    </row>
    <row r="145" spans="1:3">
      <c r="A145" s="8" t="s">
        <v>964</v>
      </c>
      <c r="B145" s="3" t="s">
        <v>965</v>
      </c>
      <c r="C145" s="8" t="s">
        <v>966</v>
      </c>
    </row>
  </sheetData>
  <mergeCells count="34">
    <mergeCell ref="A137:A138"/>
    <mergeCell ref="B137:B138"/>
    <mergeCell ref="A128:A131"/>
    <mergeCell ref="B128:B131"/>
    <mergeCell ref="A132:A134"/>
    <mergeCell ref="B132:B134"/>
    <mergeCell ref="A135:A136"/>
    <mergeCell ref="B135:B136"/>
    <mergeCell ref="B28:B30"/>
    <mergeCell ref="A14:A16"/>
    <mergeCell ref="A17:A18"/>
    <mergeCell ref="A19:A21"/>
    <mergeCell ref="A22:A24"/>
    <mergeCell ref="A28:A30"/>
    <mergeCell ref="A52:A54"/>
    <mergeCell ref="A31:A33"/>
    <mergeCell ref="B31:B33"/>
    <mergeCell ref="A34:A36"/>
    <mergeCell ref="B34:B36"/>
    <mergeCell ref="A37:A39"/>
    <mergeCell ref="B37:B39"/>
    <mergeCell ref="A40:A41"/>
    <mergeCell ref="B40:B41"/>
    <mergeCell ref="A42:A43"/>
    <mergeCell ref="B42:B43"/>
    <mergeCell ref="A47:A51"/>
    <mergeCell ref="A74:A75"/>
    <mergeCell ref="A76:A77"/>
    <mergeCell ref="A55:A56"/>
    <mergeCell ref="A57:A58"/>
    <mergeCell ref="A61:A62"/>
    <mergeCell ref="A63:A65"/>
    <mergeCell ref="A66:A67"/>
    <mergeCell ref="A72:A73"/>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D44"/>
  <sheetViews>
    <sheetView topLeftCell="A40" workbookViewId="0">
      <selection activeCell="C43" sqref="C43"/>
    </sheetView>
  </sheetViews>
  <sheetFormatPr defaultRowHeight="17.399999999999999"/>
  <cols>
    <col min="2" max="2" width="14.19921875" customWidth="1"/>
    <col min="3" max="3" width="60" customWidth="1"/>
    <col min="4" max="4" width="51.8984375" customWidth="1"/>
  </cols>
  <sheetData>
    <row r="1" spans="2:4">
      <c r="B1" s="11" t="s">
        <v>411</v>
      </c>
    </row>
    <row r="2" spans="2:4" ht="34.799999999999997">
      <c r="B2" s="89" t="s">
        <v>375</v>
      </c>
      <c r="C2" s="8" t="s">
        <v>376</v>
      </c>
      <c r="D2" s="3" t="s">
        <v>377</v>
      </c>
    </row>
    <row r="3" spans="2:4" ht="34.799999999999997">
      <c r="B3" s="90"/>
      <c r="C3" s="8" t="s">
        <v>378</v>
      </c>
      <c r="D3" s="3" t="s">
        <v>379</v>
      </c>
    </row>
    <row r="4" spans="2:4" ht="34.799999999999997">
      <c r="B4" s="90"/>
      <c r="C4" s="8" t="s">
        <v>380</v>
      </c>
      <c r="D4" s="3" t="s">
        <v>381</v>
      </c>
    </row>
    <row r="5" spans="2:4" ht="34.799999999999997">
      <c r="B5" s="91"/>
      <c r="C5" s="8" t="s">
        <v>382</v>
      </c>
      <c r="D5" s="3" t="s">
        <v>383</v>
      </c>
    </row>
    <row r="6" spans="2:4" ht="34.799999999999997">
      <c r="B6" s="89" t="s">
        <v>384</v>
      </c>
      <c r="C6" s="8" t="s">
        <v>385</v>
      </c>
      <c r="D6" s="3" t="s">
        <v>386</v>
      </c>
    </row>
    <row r="7" spans="2:4" ht="34.799999999999997">
      <c r="B7" s="91"/>
      <c r="C7" s="8" t="s">
        <v>387</v>
      </c>
      <c r="D7" s="3" t="s">
        <v>388</v>
      </c>
    </row>
    <row r="8" spans="2:4" ht="49.5" customHeight="1">
      <c r="B8" s="89" t="s">
        <v>389</v>
      </c>
      <c r="C8" s="8" t="s">
        <v>390</v>
      </c>
      <c r="D8" s="3" t="s">
        <v>391</v>
      </c>
    </row>
    <row r="9" spans="2:4" ht="34.799999999999997">
      <c r="B9" s="90"/>
      <c r="C9" s="8" t="s">
        <v>392</v>
      </c>
      <c r="D9" s="3" t="s">
        <v>393</v>
      </c>
    </row>
    <row r="10" spans="2:4">
      <c r="B10" s="91"/>
      <c r="C10" s="8" t="s">
        <v>394</v>
      </c>
      <c r="D10" s="3" t="s">
        <v>395</v>
      </c>
    </row>
    <row r="11" spans="2:4" ht="34.799999999999997">
      <c r="B11" s="89" t="s">
        <v>396</v>
      </c>
      <c r="C11" s="8" t="s">
        <v>397</v>
      </c>
      <c r="D11" s="3" t="s">
        <v>398</v>
      </c>
    </row>
    <row r="12" spans="2:4" ht="34.799999999999997">
      <c r="B12" s="91"/>
      <c r="C12" s="8" t="s">
        <v>399</v>
      </c>
      <c r="D12" s="3" t="s">
        <v>400</v>
      </c>
    </row>
    <row r="15" spans="2:4">
      <c r="B15" s="7" t="s">
        <v>302</v>
      </c>
      <c r="C15" s="7" t="s">
        <v>401</v>
      </c>
    </row>
    <row r="16" spans="2:4">
      <c r="B16" s="78" t="s">
        <v>310</v>
      </c>
      <c r="C16" s="3" t="s">
        <v>402</v>
      </c>
    </row>
    <row r="17" spans="2:3">
      <c r="B17" s="78"/>
      <c r="C17" s="3" t="s">
        <v>403</v>
      </c>
    </row>
    <row r="18" spans="2:3">
      <c r="B18" s="78"/>
      <c r="C18" s="3" t="s">
        <v>404</v>
      </c>
    </row>
    <row r="19" spans="2:3">
      <c r="B19" s="78" t="s">
        <v>314</v>
      </c>
      <c r="C19" s="3" t="s">
        <v>405</v>
      </c>
    </row>
    <row r="20" spans="2:3">
      <c r="B20" s="78"/>
      <c r="C20" s="3" t="s">
        <v>406</v>
      </c>
    </row>
    <row r="21" spans="2:3">
      <c r="B21" s="78"/>
      <c r="C21" s="3" t="s">
        <v>407</v>
      </c>
    </row>
    <row r="22" spans="2:3">
      <c r="B22" s="78" t="s">
        <v>1151</v>
      </c>
      <c r="C22" s="3" t="s">
        <v>408</v>
      </c>
    </row>
    <row r="23" spans="2:3">
      <c r="B23" s="78"/>
      <c r="C23" s="3" t="s">
        <v>409</v>
      </c>
    </row>
    <row r="24" spans="2:3">
      <c r="B24" s="78"/>
      <c r="C24" s="3" t="s">
        <v>410</v>
      </c>
    </row>
    <row r="28" spans="2:3">
      <c r="B28" s="11" t="s">
        <v>1150</v>
      </c>
    </row>
    <row r="29" spans="2:3">
      <c r="B29" s="7" t="s">
        <v>85</v>
      </c>
      <c r="C29" s="7" t="s">
        <v>82</v>
      </c>
    </row>
    <row r="30" spans="2:3" ht="34.799999999999997">
      <c r="B30" s="8" t="s">
        <v>1143</v>
      </c>
      <c r="C30" s="3" t="s">
        <v>1144</v>
      </c>
    </row>
    <row r="31" spans="2:3" ht="34.799999999999997">
      <c r="B31" s="8" t="s">
        <v>7</v>
      </c>
      <c r="C31" s="3" t="s">
        <v>1145</v>
      </c>
    </row>
    <row r="32" spans="2:3">
      <c r="B32" s="8" t="s">
        <v>245</v>
      </c>
      <c r="C32" s="3" t="s">
        <v>1146</v>
      </c>
    </row>
    <row r="33" spans="2:3">
      <c r="B33" s="8" t="s">
        <v>387</v>
      </c>
      <c r="C33" s="3" t="s">
        <v>1147</v>
      </c>
    </row>
    <row r="34" spans="2:3">
      <c r="B34" s="8" t="s">
        <v>1148</v>
      </c>
      <c r="C34" s="3" t="s">
        <v>1149</v>
      </c>
    </row>
    <row r="36" spans="2:3" ht="104.4">
      <c r="B36" s="8" t="s">
        <v>1153</v>
      </c>
      <c r="C36" s="3" t="s">
        <v>1155</v>
      </c>
    </row>
    <row r="37" spans="2:3" ht="69.599999999999994">
      <c r="B37" s="8" t="s">
        <v>1154</v>
      </c>
      <c r="C37" s="3" t="s">
        <v>1156</v>
      </c>
    </row>
    <row r="38" spans="2:3" ht="87">
      <c r="B38" s="8" t="s">
        <v>1152</v>
      </c>
      <c r="C38" s="3" t="s">
        <v>1157</v>
      </c>
    </row>
    <row r="41" spans="2:3">
      <c r="B41" s="6" t="s">
        <v>2387</v>
      </c>
    </row>
    <row r="42" spans="2:3" ht="365.4">
      <c r="B42" s="8" t="s">
        <v>1153</v>
      </c>
      <c r="C42" s="3" t="s">
        <v>2388</v>
      </c>
    </row>
    <row r="43" spans="2:3" ht="261">
      <c r="B43" s="8" t="s">
        <v>1154</v>
      </c>
      <c r="C43" s="3" t="s">
        <v>2389</v>
      </c>
    </row>
    <row r="44" spans="2:3" ht="261">
      <c r="B44" s="8" t="s">
        <v>1151</v>
      </c>
      <c r="C44" s="3" t="s">
        <v>2390</v>
      </c>
    </row>
  </sheetData>
  <mergeCells count="7">
    <mergeCell ref="B16:B18"/>
    <mergeCell ref="B19:B21"/>
    <mergeCell ref="B22:B24"/>
    <mergeCell ref="B2:B5"/>
    <mergeCell ref="B6:B7"/>
    <mergeCell ref="B8:B10"/>
    <mergeCell ref="B11:B12"/>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E49"/>
  <sheetViews>
    <sheetView topLeftCell="A13" workbookViewId="0">
      <selection activeCell="C44" sqref="C44"/>
    </sheetView>
  </sheetViews>
  <sheetFormatPr defaultRowHeight="17.399999999999999"/>
  <cols>
    <col min="2" max="2" width="39.3984375" customWidth="1"/>
    <col min="3" max="3" width="20.59765625" customWidth="1"/>
    <col min="4" max="4" width="51.5" customWidth="1"/>
    <col min="5" max="5" width="25.8984375" customWidth="1"/>
  </cols>
  <sheetData>
    <row r="3" spans="2:5" ht="27.6">
      <c r="B3" s="33" t="s">
        <v>907</v>
      </c>
    </row>
    <row r="5" spans="2:5" ht="34.799999999999997">
      <c r="B5" s="7" t="s">
        <v>908</v>
      </c>
      <c r="C5" s="7" t="s">
        <v>909</v>
      </c>
      <c r="D5" s="7" t="s">
        <v>910</v>
      </c>
    </row>
    <row r="6" spans="2:5">
      <c r="B6" s="8" t="s">
        <v>911</v>
      </c>
      <c r="C6" s="8">
        <v>-0.09</v>
      </c>
      <c r="D6" s="3" t="s">
        <v>912</v>
      </c>
    </row>
    <row r="7" spans="2:5">
      <c r="B7" s="8" t="s">
        <v>913</v>
      </c>
      <c r="C7" s="8">
        <v>0.04</v>
      </c>
      <c r="D7" s="3" t="s">
        <v>914</v>
      </c>
    </row>
    <row r="9" spans="2:5" ht="27.6">
      <c r="B9" s="33" t="s">
        <v>915</v>
      </c>
    </row>
    <row r="11" spans="2:5">
      <c r="B11" s="7" t="s">
        <v>916</v>
      </c>
      <c r="C11" s="7" t="s">
        <v>917</v>
      </c>
      <c r="D11" s="7" t="s">
        <v>918</v>
      </c>
      <c r="E11" s="7" t="s">
        <v>919</v>
      </c>
    </row>
    <row r="12" spans="2:5" ht="34.799999999999997">
      <c r="B12" s="3" t="s">
        <v>920</v>
      </c>
      <c r="C12" s="8">
        <v>-0.34</v>
      </c>
      <c r="D12" s="8">
        <v>-0.09</v>
      </c>
      <c r="E12" s="3" t="s">
        <v>921</v>
      </c>
    </row>
    <row r="13" spans="2:5">
      <c r="B13" s="3" t="s">
        <v>922</v>
      </c>
      <c r="C13" s="3">
        <v>0.09</v>
      </c>
      <c r="D13" s="3">
        <v>0.04</v>
      </c>
      <c r="E13" s="3" t="s">
        <v>923</v>
      </c>
    </row>
    <row r="16" spans="2:5">
      <c r="B16" s="11" t="s">
        <v>924</v>
      </c>
    </row>
    <row r="18" spans="2:3">
      <c r="B18" s="11" t="s">
        <v>925</v>
      </c>
    </row>
    <row r="20" spans="2:3">
      <c r="B20" t="s">
        <v>926</v>
      </c>
    </row>
    <row r="23" spans="2:3" ht="27.6">
      <c r="B23" s="33" t="s">
        <v>927</v>
      </c>
    </row>
    <row r="25" spans="2:3" ht="34.799999999999997">
      <c r="B25" s="7" t="s">
        <v>83</v>
      </c>
      <c r="C25" s="7" t="s">
        <v>928</v>
      </c>
    </row>
    <row r="26" spans="2:3">
      <c r="B26" s="8" t="s">
        <v>929</v>
      </c>
      <c r="C26" s="38">
        <v>8.2000000000000007E-3</v>
      </c>
    </row>
    <row r="27" spans="2:3">
      <c r="B27" s="8" t="s">
        <v>930</v>
      </c>
      <c r="C27" s="38">
        <v>3.0999999999999999E-3</v>
      </c>
    </row>
    <row r="30" spans="2:3">
      <c r="B30" s="11" t="s">
        <v>931</v>
      </c>
    </row>
    <row r="31" spans="2:3">
      <c r="B31" t="s">
        <v>932</v>
      </c>
    </row>
    <row r="33" spans="2:4">
      <c r="B33" t="s">
        <v>933</v>
      </c>
    </row>
    <row r="35" spans="2:4">
      <c r="B35" t="s">
        <v>934</v>
      </c>
    </row>
    <row r="39" spans="2:4">
      <c r="B39" s="11" t="s">
        <v>206</v>
      </c>
    </row>
    <row r="40" spans="2:4">
      <c r="B40" s="7" t="s">
        <v>83</v>
      </c>
      <c r="C40" s="7" t="s">
        <v>82</v>
      </c>
      <c r="D40" s="7" t="s">
        <v>152</v>
      </c>
    </row>
    <row r="41" spans="2:4" ht="52.2">
      <c r="B41" s="22" t="s">
        <v>207</v>
      </c>
      <c r="C41" s="13" t="s">
        <v>213</v>
      </c>
      <c r="D41" s="23" t="s">
        <v>214</v>
      </c>
    </row>
    <row r="42" spans="2:4" ht="52.2">
      <c r="B42" s="22" t="s">
        <v>208</v>
      </c>
      <c r="C42" s="13" t="s">
        <v>215</v>
      </c>
      <c r="D42" s="23" t="s">
        <v>216</v>
      </c>
    </row>
    <row r="43" spans="2:4" ht="34.799999999999997">
      <c r="B43" s="92" t="s">
        <v>209</v>
      </c>
      <c r="C43" s="13" t="s">
        <v>217</v>
      </c>
      <c r="D43" s="93" t="s">
        <v>218</v>
      </c>
    </row>
    <row r="44" spans="2:4" ht="34.799999999999997">
      <c r="B44" s="92"/>
      <c r="C44" s="13" t="s">
        <v>227</v>
      </c>
      <c r="D44" s="93"/>
    </row>
    <row r="45" spans="2:4" ht="52.2">
      <c r="B45" s="92" t="s">
        <v>210</v>
      </c>
      <c r="C45" s="13" t="s">
        <v>219</v>
      </c>
      <c r="D45" s="93" t="s">
        <v>221</v>
      </c>
    </row>
    <row r="46" spans="2:4" ht="34.799999999999997">
      <c r="B46" s="92"/>
      <c r="C46" s="13" t="s">
        <v>220</v>
      </c>
      <c r="D46" s="93"/>
    </row>
    <row r="47" spans="2:4" ht="52.2">
      <c r="B47" s="22" t="s">
        <v>211</v>
      </c>
      <c r="C47" s="13" t="s">
        <v>222</v>
      </c>
      <c r="D47" s="23" t="s">
        <v>223</v>
      </c>
    </row>
    <row r="48" spans="2:4" ht="34.799999999999997">
      <c r="B48" s="92" t="s">
        <v>212</v>
      </c>
      <c r="C48" s="13" t="s">
        <v>224</v>
      </c>
      <c r="D48" s="93" t="s">
        <v>226</v>
      </c>
    </row>
    <row r="49" spans="2:4" ht="52.2">
      <c r="B49" s="92"/>
      <c r="C49" s="13" t="s">
        <v>225</v>
      </c>
      <c r="D49" s="93"/>
    </row>
  </sheetData>
  <mergeCells count="6">
    <mergeCell ref="B48:B49"/>
    <mergeCell ref="D48:D49"/>
    <mergeCell ref="B43:B44"/>
    <mergeCell ref="D43:D44"/>
    <mergeCell ref="B45:B46"/>
    <mergeCell ref="D45:D46"/>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C7"/>
  <sheetViews>
    <sheetView zoomScale="85" zoomScaleNormal="85" workbookViewId="0">
      <selection activeCell="C7" sqref="C7"/>
    </sheetView>
  </sheetViews>
  <sheetFormatPr defaultRowHeight="17.399999999999999"/>
  <cols>
    <col min="2" max="2" width="18.09765625" customWidth="1"/>
    <col min="3" max="3" width="99.09765625" customWidth="1"/>
  </cols>
  <sheetData>
    <row r="1" spans="2:3">
      <c r="B1" s="11" t="s">
        <v>2339</v>
      </c>
    </row>
    <row r="2" spans="2:3">
      <c r="B2" s="44" t="s">
        <v>83</v>
      </c>
      <c r="C2" s="44" t="s">
        <v>454</v>
      </c>
    </row>
    <row r="3" spans="2:3" ht="121.8">
      <c r="B3" s="4" t="s">
        <v>1172</v>
      </c>
      <c r="C3" s="3" t="s">
        <v>2340</v>
      </c>
    </row>
    <row r="4" spans="2:3" ht="121.8">
      <c r="B4" s="65" t="s">
        <v>1173</v>
      </c>
      <c r="C4" s="45" t="s">
        <v>2341</v>
      </c>
    </row>
    <row r="5" spans="2:3" ht="121.8">
      <c r="B5" s="4" t="s">
        <v>1174</v>
      </c>
      <c r="C5" s="3" t="s">
        <v>2342</v>
      </c>
    </row>
    <row r="6" spans="2:3" ht="87">
      <c r="B6" s="4" t="s">
        <v>2343</v>
      </c>
      <c r="C6" s="3" t="s">
        <v>2345</v>
      </c>
    </row>
    <row r="7" spans="2:3" ht="87">
      <c r="B7" s="4" t="s">
        <v>2344</v>
      </c>
      <c r="C7" s="3" t="s">
        <v>2346</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C22"/>
  <sheetViews>
    <sheetView zoomScaleNormal="100" workbookViewId="0">
      <selection activeCell="D8" sqref="D8"/>
    </sheetView>
  </sheetViews>
  <sheetFormatPr defaultRowHeight="17.399999999999999"/>
  <cols>
    <col min="2" max="2" width="17.69921875" customWidth="1"/>
    <col min="3" max="3" width="77.69921875" customWidth="1"/>
    <col min="4" max="4" width="43.19921875" customWidth="1"/>
  </cols>
  <sheetData>
    <row r="4" spans="2:3">
      <c r="B4" s="54" t="s">
        <v>1488</v>
      </c>
    </row>
    <row r="5" spans="2:3">
      <c r="B5" s="44" t="s">
        <v>83</v>
      </c>
      <c r="C5" s="44" t="s">
        <v>454</v>
      </c>
    </row>
    <row r="6" spans="2:3" ht="87">
      <c r="B6" s="4" t="s">
        <v>1172</v>
      </c>
      <c r="C6" s="3" t="s">
        <v>2458</v>
      </c>
    </row>
    <row r="7" spans="2:3" ht="121.8">
      <c r="B7" s="65" t="s">
        <v>1173</v>
      </c>
      <c r="C7" s="45" t="s">
        <v>2459</v>
      </c>
    </row>
    <row r="8" spans="2:3" ht="121.8">
      <c r="B8" s="4" t="s">
        <v>1174</v>
      </c>
      <c r="C8" s="3" t="s">
        <v>2460</v>
      </c>
    </row>
    <row r="9" spans="2:3" ht="87">
      <c r="B9" s="4" t="s">
        <v>2456</v>
      </c>
      <c r="C9" s="3" t="s">
        <v>2461</v>
      </c>
    </row>
    <row r="10" spans="2:3" ht="87">
      <c r="B10" s="4" t="s">
        <v>2457</v>
      </c>
      <c r="C10" s="3" t="s">
        <v>2462</v>
      </c>
    </row>
    <row r="11" spans="2:3" ht="87">
      <c r="B11" s="4" t="s">
        <v>2464</v>
      </c>
      <c r="C11" s="3" t="s">
        <v>2463</v>
      </c>
    </row>
    <row r="12" spans="2:3" ht="87">
      <c r="B12" s="4" t="s">
        <v>2466</v>
      </c>
      <c r="C12" s="3" t="s">
        <v>2465</v>
      </c>
    </row>
    <row r="16" spans="2:3">
      <c r="B16" s="11" t="s">
        <v>1189</v>
      </c>
    </row>
    <row r="17" spans="2:3">
      <c r="B17" s="44" t="s">
        <v>83</v>
      </c>
      <c r="C17" s="44" t="s">
        <v>454</v>
      </c>
    </row>
    <row r="18" spans="2:3" ht="52.2">
      <c r="B18" s="4" t="s">
        <v>1171</v>
      </c>
      <c r="C18" s="3" t="s">
        <v>1184</v>
      </c>
    </row>
    <row r="19" spans="2:3" ht="52.2">
      <c r="B19" s="4" t="s">
        <v>1172</v>
      </c>
      <c r="C19" s="3" t="s">
        <v>1185</v>
      </c>
    </row>
    <row r="20" spans="2:3" ht="52.2">
      <c r="B20" s="4" t="s">
        <v>1173</v>
      </c>
      <c r="C20" s="3" t="s">
        <v>1186</v>
      </c>
    </row>
    <row r="21" spans="2:3" ht="34.799999999999997">
      <c r="B21" s="4" t="s">
        <v>1174</v>
      </c>
      <c r="C21" s="3" t="s">
        <v>1187</v>
      </c>
    </row>
    <row r="22" spans="2:3" ht="52.2">
      <c r="B22" s="4" t="s">
        <v>1175</v>
      </c>
      <c r="C22" s="3" t="s">
        <v>1188</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L143"/>
  <sheetViews>
    <sheetView topLeftCell="F126" zoomScaleNormal="100" workbookViewId="0">
      <selection activeCell="H146" sqref="H146"/>
    </sheetView>
  </sheetViews>
  <sheetFormatPr defaultRowHeight="17.399999999999999"/>
  <cols>
    <col min="2" max="2" width="18.09765625" customWidth="1"/>
    <col min="3" max="3" width="115.8984375" customWidth="1"/>
    <col min="4" max="4" width="45.09765625" customWidth="1"/>
    <col min="5" max="5" width="23.3984375" customWidth="1"/>
    <col min="9" max="9" width="13.5" customWidth="1"/>
    <col min="10" max="10" width="26.69921875" customWidth="1"/>
    <col min="11" max="11" width="44" customWidth="1"/>
    <col min="12" max="12" width="39.8984375" customWidth="1"/>
  </cols>
  <sheetData>
    <row r="1" spans="2:4">
      <c r="B1" s="11" t="s">
        <v>2148</v>
      </c>
    </row>
    <row r="2" spans="2:4">
      <c r="B2" s="44" t="s">
        <v>83</v>
      </c>
      <c r="C2" s="44" t="s">
        <v>454</v>
      </c>
    </row>
    <row r="3" spans="2:4" ht="191.4">
      <c r="B3" s="4" t="s">
        <v>1172</v>
      </c>
      <c r="C3" s="3" t="s">
        <v>2091</v>
      </c>
      <c r="D3" s="21" t="s">
        <v>2134</v>
      </c>
    </row>
    <row r="4" spans="2:4" ht="121.8">
      <c r="B4" s="4" t="s">
        <v>1173</v>
      </c>
      <c r="C4" s="3" t="s">
        <v>2092</v>
      </c>
      <c r="D4" s="21" t="s">
        <v>2135</v>
      </c>
    </row>
    <row r="5" spans="2:4" ht="139.19999999999999">
      <c r="B5" s="4" t="s">
        <v>1174</v>
      </c>
      <c r="C5" s="3" t="s">
        <v>2093</v>
      </c>
    </row>
    <row r="6" spans="2:4" ht="121.8">
      <c r="B6" s="4" t="s">
        <v>2094</v>
      </c>
      <c r="C6" s="3" t="s">
        <v>2095</v>
      </c>
    </row>
    <row r="7" spans="2:4" ht="139.19999999999999">
      <c r="B7" s="4" t="s">
        <v>2096</v>
      </c>
      <c r="C7" s="3" t="s">
        <v>2097</v>
      </c>
    </row>
    <row r="9" spans="2:4" ht="21">
      <c r="B9" s="12" t="s">
        <v>2098</v>
      </c>
    </row>
    <row r="10" spans="2:4">
      <c r="B10" s="31" t="s">
        <v>2099</v>
      </c>
    </row>
    <row r="11" spans="2:4">
      <c r="B11" s="31" t="s">
        <v>2100</v>
      </c>
    </row>
    <row r="12" spans="2:4">
      <c r="B12" s="31" t="s">
        <v>2101</v>
      </c>
    </row>
    <row r="14" spans="2:4" ht="21">
      <c r="B14" s="12" t="s">
        <v>2102</v>
      </c>
    </row>
    <row r="15" spans="2:4">
      <c r="B15" s="31" t="s">
        <v>2103</v>
      </c>
    </row>
    <row r="16" spans="2:4">
      <c r="B16" s="31" t="s">
        <v>2104</v>
      </c>
    </row>
    <row r="17" spans="2:2">
      <c r="B17" s="31" t="s">
        <v>2105</v>
      </c>
    </row>
    <row r="19" spans="2:2" ht="21">
      <c r="B19" s="12" t="s">
        <v>2106</v>
      </c>
    </row>
    <row r="20" spans="2:2">
      <c r="B20" s="30"/>
    </row>
    <row r="21" spans="2:2">
      <c r="B21" s="31" t="s">
        <v>2107</v>
      </c>
    </row>
    <row r="22" spans="2:2">
      <c r="B22" s="30" t="s">
        <v>2108</v>
      </c>
    </row>
    <row r="23" spans="2:2">
      <c r="B23" s="30" t="s">
        <v>2109</v>
      </c>
    </row>
    <row r="24" spans="2:2">
      <c r="B24" s="30"/>
    </row>
    <row r="25" spans="2:2">
      <c r="B25" s="31" t="s">
        <v>2110</v>
      </c>
    </row>
    <row r="26" spans="2:2">
      <c r="B26" s="30" t="s">
        <v>2111</v>
      </c>
    </row>
    <row r="27" spans="2:2">
      <c r="B27" s="30" t="s">
        <v>2112</v>
      </c>
    </row>
    <row r="28" spans="2:2">
      <c r="B28" s="30"/>
    </row>
    <row r="29" spans="2:2">
      <c r="B29" s="31" t="s">
        <v>2113</v>
      </c>
    </row>
    <row r="30" spans="2:2">
      <c r="B30" s="30" t="s">
        <v>2114</v>
      </c>
    </row>
    <row r="31" spans="2:2">
      <c r="B31" s="30" t="s">
        <v>2115</v>
      </c>
    </row>
    <row r="33" spans="2:2" ht="21">
      <c r="B33" s="12" t="s">
        <v>2116</v>
      </c>
    </row>
    <row r="34" spans="2:2">
      <c r="B34" s="30"/>
    </row>
    <row r="35" spans="2:2">
      <c r="B35" s="31" t="s">
        <v>2117</v>
      </c>
    </row>
    <row r="36" spans="2:2">
      <c r="B36" s="30" t="s">
        <v>2118</v>
      </c>
    </row>
    <row r="37" spans="2:2">
      <c r="B37" s="30" t="s">
        <v>2119</v>
      </c>
    </row>
    <row r="38" spans="2:2">
      <c r="B38" s="30"/>
    </row>
    <row r="39" spans="2:2">
      <c r="B39" s="31" t="s">
        <v>2120</v>
      </c>
    </row>
    <row r="40" spans="2:2">
      <c r="B40" s="30" t="s">
        <v>2121</v>
      </c>
    </row>
    <row r="41" spans="2:2">
      <c r="B41" s="30" t="s">
        <v>2122</v>
      </c>
    </row>
    <row r="43" spans="2:2" ht="21">
      <c r="B43" s="12" t="s">
        <v>2123</v>
      </c>
    </row>
    <row r="44" spans="2:2">
      <c r="B44" s="30"/>
    </row>
    <row r="45" spans="2:2">
      <c r="B45" s="31" t="s">
        <v>2124</v>
      </c>
    </row>
    <row r="46" spans="2:2">
      <c r="B46" s="30" t="s">
        <v>2125</v>
      </c>
    </row>
    <row r="47" spans="2:2">
      <c r="B47" s="30" t="s">
        <v>2126</v>
      </c>
    </row>
    <row r="48" spans="2:2">
      <c r="B48" s="30"/>
    </row>
    <row r="49" spans="2:2">
      <c r="B49" s="31" t="s">
        <v>2127</v>
      </c>
    </row>
    <row r="50" spans="2:2">
      <c r="B50" s="30" t="s">
        <v>2128</v>
      </c>
    </row>
    <row r="51" spans="2:2">
      <c r="B51" s="30" t="s">
        <v>2129</v>
      </c>
    </row>
    <row r="53" spans="2:2" ht="21">
      <c r="B53" s="12" t="s">
        <v>2130</v>
      </c>
    </row>
    <row r="54" spans="2:2">
      <c r="B54" s="30"/>
    </row>
    <row r="55" spans="2:2">
      <c r="B55" s="31" t="s">
        <v>2131</v>
      </c>
    </row>
    <row r="56" spans="2:2">
      <c r="B56" s="30" t="s">
        <v>2132</v>
      </c>
    </row>
    <row r="57" spans="2:2">
      <c r="B57" s="30" t="s">
        <v>2133</v>
      </c>
    </row>
    <row r="60" spans="2:2">
      <c r="B60" s="17" t="s">
        <v>2149</v>
      </c>
    </row>
    <row r="64" spans="2:2">
      <c r="B64" s="30"/>
    </row>
    <row r="65" spans="2:2">
      <c r="B65" s="30" t="s">
        <v>2136</v>
      </c>
    </row>
    <row r="66" spans="2:2">
      <c r="B66" s="30"/>
    </row>
    <row r="67" spans="2:2" ht="19.2">
      <c r="B67" s="30" t="s">
        <v>2139</v>
      </c>
    </row>
    <row r="68" spans="2:2">
      <c r="B68" s="30"/>
    </row>
    <row r="69" spans="2:2" ht="19.2">
      <c r="B69" s="30" t="s">
        <v>2140</v>
      </c>
    </row>
    <row r="70" spans="2:2">
      <c r="B70" s="30"/>
    </row>
    <row r="71" spans="2:2">
      <c r="B71" s="30" t="s">
        <v>2141</v>
      </c>
    </row>
    <row r="72" spans="2:2">
      <c r="B72" s="30"/>
    </row>
    <row r="73" spans="2:2">
      <c r="B73" s="30" t="s">
        <v>2142</v>
      </c>
    </row>
    <row r="74" spans="2:2">
      <c r="B74" s="30"/>
    </row>
    <row r="75" spans="2:2">
      <c r="B75" s="30" t="s">
        <v>2143</v>
      </c>
    </row>
    <row r="76" spans="2:2">
      <c r="B76" s="30"/>
    </row>
    <row r="77" spans="2:2">
      <c r="B77" s="30" t="s">
        <v>2144</v>
      </c>
    </row>
    <row r="78" spans="2:2">
      <c r="B78" s="30"/>
    </row>
    <row r="79" spans="2:2">
      <c r="B79" s="30" t="s">
        <v>2145</v>
      </c>
    </row>
    <row r="80" spans="2:2">
      <c r="B80" s="30"/>
    </row>
    <row r="81" spans="2:4">
      <c r="B81" s="30" t="s">
        <v>2137</v>
      </c>
    </row>
    <row r="82" spans="2:4">
      <c r="B82" s="30"/>
    </row>
    <row r="83" spans="2:4">
      <c r="B83" s="30" t="s">
        <v>2146</v>
      </c>
    </row>
    <row r="84" spans="2:4">
      <c r="B84" s="30"/>
    </row>
    <row r="85" spans="2:4">
      <c r="B85" s="30" t="s">
        <v>2138</v>
      </c>
    </row>
    <row r="86" spans="2:4">
      <c r="B86" s="30"/>
    </row>
    <row r="87" spans="2:4">
      <c r="B87" s="30" t="s">
        <v>2147</v>
      </c>
    </row>
    <row r="91" spans="2:4">
      <c r="B91" s="11" t="s">
        <v>2150</v>
      </c>
    </row>
    <row r="92" spans="2:4">
      <c r="B92" s="44" t="s">
        <v>83</v>
      </c>
      <c r="C92" s="44" t="s">
        <v>454</v>
      </c>
    </row>
    <row r="93" spans="2:4" ht="174">
      <c r="B93" s="4" t="s">
        <v>1172</v>
      </c>
      <c r="C93" s="3" t="s">
        <v>2155</v>
      </c>
      <c r="D93" s="21" t="s">
        <v>2157</v>
      </c>
    </row>
    <row r="94" spans="2:4" ht="156.6">
      <c r="B94" s="4" t="s">
        <v>1173</v>
      </c>
      <c r="C94" s="3" t="s">
        <v>2156</v>
      </c>
      <c r="D94" s="21" t="s">
        <v>2158</v>
      </c>
    </row>
    <row r="95" spans="2:4" ht="156.6">
      <c r="B95" s="4" t="s">
        <v>1174</v>
      </c>
      <c r="C95" s="3" t="s">
        <v>2151</v>
      </c>
      <c r="D95" s="21" t="s">
        <v>2159</v>
      </c>
    </row>
    <row r="96" spans="2:4" ht="87">
      <c r="B96" s="4" t="s">
        <v>2090</v>
      </c>
      <c r="C96" s="3" t="s">
        <v>2152</v>
      </c>
    </row>
    <row r="97" spans="2:3" ht="87">
      <c r="B97" s="4" t="s">
        <v>2096</v>
      </c>
      <c r="C97" s="3" t="s">
        <v>2153</v>
      </c>
    </row>
    <row r="100" spans="2:3">
      <c r="B100" t="s">
        <v>2154</v>
      </c>
    </row>
    <row r="117" spans="9:12">
      <c r="I117" s="7" t="s">
        <v>1</v>
      </c>
      <c r="J117" s="7" t="s">
        <v>2160</v>
      </c>
      <c r="K117" s="7" t="s">
        <v>2161</v>
      </c>
      <c r="L117" s="7" t="s">
        <v>2162</v>
      </c>
    </row>
    <row r="118" spans="9:12">
      <c r="I118" s="3" t="s">
        <v>310</v>
      </c>
      <c r="J118" s="3" t="s">
        <v>2163</v>
      </c>
      <c r="K118" s="3" t="s">
        <v>2164</v>
      </c>
      <c r="L118" s="3" t="s">
        <v>2165</v>
      </c>
    </row>
    <row r="119" spans="9:12">
      <c r="I119" s="3" t="s">
        <v>314</v>
      </c>
      <c r="J119" s="3" t="s">
        <v>2166</v>
      </c>
      <c r="K119" s="3" t="s">
        <v>2167</v>
      </c>
      <c r="L119" s="3" t="s">
        <v>2168</v>
      </c>
    </row>
    <row r="120" spans="9:12">
      <c r="I120" s="3" t="s">
        <v>317</v>
      </c>
      <c r="J120" s="3" t="s">
        <v>2169</v>
      </c>
      <c r="K120" s="3" t="s">
        <v>2170</v>
      </c>
      <c r="L120" s="3" t="s">
        <v>2171</v>
      </c>
    </row>
    <row r="121" spans="9:12">
      <c r="I121" s="3" t="s">
        <v>2172</v>
      </c>
      <c r="J121" s="3" t="s">
        <v>2173</v>
      </c>
      <c r="K121" s="3" t="s">
        <v>2174</v>
      </c>
      <c r="L121" s="3" t="s">
        <v>2175</v>
      </c>
    </row>
    <row r="122" spans="9:12">
      <c r="I122" s="3" t="s">
        <v>2176</v>
      </c>
      <c r="J122" s="3" t="s">
        <v>2177</v>
      </c>
      <c r="K122" s="3" t="s">
        <v>2178</v>
      </c>
      <c r="L122" s="3" t="s">
        <v>2179</v>
      </c>
    </row>
    <row r="125" spans="9:12">
      <c r="I125" s="7" t="s">
        <v>83</v>
      </c>
      <c r="J125" s="7" t="s">
        <v>2180</v>
      </c>
      <c r="K125" s="7" t="s">
        <v>2181</v>
      </c>
      <c r="L125" s="7" t="s">
        <v>2182</v>
      </c>
    </row>
    <row r="126" spans="9:12">
      <c r="I126" s="3" t="s">
        <v>2183</v>
      </c>
      <c r="J126" s="3" t="s">
        <v>2184</v>
      </c>
      <c r="K126" s="3" t="s">
        <v>2185</v>
      </c>
      <c r="L126" s="3" t="s">
        <v>2190</v>
      </c>
    </row>
    <row r="127" spans="9:12" ht="34.799999999999997">
      <c r="I127" s="3" t="s">
        <v>2186</v>
      </c>
      <c r="J127" s="3" t="s">
        <v>2187</v>
      </c>
      <c r="K127" s="3" t="s">
        <v>2188</v>
      </c>
      <c r="L127" s="3" t="s">
        <v>2189</v>
      </c>
    </row>
    <row r="131" spans="9:11">
      <c r="I131" s="7" t="s">
        <v>151</v>
      </c>
      <c r="J131" s="7" t="s">
        <v>2162</v>
      </c>
      <c r="K131" s="7" t="s">
        <v>2191</v>
      </c>
    </row>
    <row r="132" spans="9:11" ht="34.799999999999997">
      <c r="I132" s="78" t="s">
        <v>1902</v>
      </c>
      <c r="J132" s="3" t="s">
        <v>2192</v>
      </c>
      <c r="K132" s="3" t="s">
        <v>2194</v>
      </c>
    </row>
    <row r="133" spans="9:11" ht="52.2">
      <c r="I133" s="78"/>
      <c r="J133" s="3" t="s">
        <v>2193</v>
      </c>
      <c r="K133" s="3" t="s">
        <v>2195</v>
      </c>
    </row>
    <row r="134" spans="9:11">
      <c r="I134" s="78"/>
      <c r="J134" s="3"/>
      <c r="K134" s="3" t="s">
        <v>2196</v>
      </c>
    </row>
    <row r="135" spans="9:11">
      <c r="I135" s="78" t="s">
        <v>1907</v>
      </c>
      <c r="J135" s="3" t="s">
        <v>2197</v>
      </c>
      <c r="K135" s="3" t="s">
        <v>2199</v>
      </c>
    </row>
    <row r="136" spans="9:11" ht="34.799999999999997">
      <c r="I136" s="78"/>
      <c r="J136" s="3" t="s">
        <v>2198</v>
      </c>
      <c r="K136" s="3" t="s">
        <v>2200</v>
      </c>
    </row>
    <row r="137" spans="9:11">
      <c r="I137" s="78"/>
      <c r="J137" s="3"/>
      <c r="K137" s="3" t="s">
        <v>2201</v>
      </c>
    </row>
    <row r="138" spans="9:11" ht="34.799999999999997">
      <c r="I138" s="78" t="s">
        <v>1911</v>
      </c>
      <c r="J138" s="3" t="s">
        <v>2202</v>
      </c>
      <c r="K138" s="3" t="s">
        <v>2204</v>
      </c>
    </row>
    <row r="139" spans="9:11" ht="34.799999999999997">
      <c r="I139" s="78"/>
      <c r="J139" s="3" t="s">
        <v>2203</v>
      </c>
      <c r="K139" s="3" t="s">
        <v>2205</v>
      </c>
    </row>
    <row r="140" spans="9:11" ht="34.799999999999997">
      <c r="I140" s="78" t="s">
        <v>91</v>
      </c>
      <c r="J140" s="3" t="s">
        <v>2206</v>
      </c>
      <c r="K140" s="3" t="s">
        <v>2208</v>
      </c>
    </row>
    <row r="141" spans="9:11" ht="34.799999999999997">
      <c r="I141" s="78"/>
      <c r="J141" s="3" t="s">
        <v>2207</v>
      </c>
      <c r="K141" s="3" t="s">
        <v>2209</v>
      </c>
    </row>
    <row r="142" spans="9:11" ht="34.799999999999997">
      <c r="I142" s="78" t="s">
        <v>2210</v>
      </c>
      <c r="J142" s="3" t="s">
        <v>2211</v>
      </c>
      <c r="K142" s="3" t="s">
        <v>2213</v>
      </c>
    </row>
    <row r="143" spans="9:11" ht="34.799999999999997">
      <c r="I143" s="78"/>
      <c r="J143" s="3" t="s">
        <v>2212</v>
      </c>
      <c r="K143" s="3" t="s">
        <v>2214</v>
      </c>
    </row>
  </sheetData>
  <mergeCells count="5">
    <mergeCell ref="I132:I134"/>
    <mergeCell ref="I135:I137"/>
    <mergeCell ref="I138:I139"/>
    <mergeCell ref="I140:I141"/>
    <mergeCell ref="I142:I143"/>
  </mergeCells>
  <phoneticPr fontId="1" type="noConversion"/>
  <hyperlinks>
    <hyperlink ref="B60" r:id="rId1" xr:uid="{00000000-0004-0000-0D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3:C47"/>
  <sheetViews>
    <sheetView topLeftCell="A22" zoomScaleNormal="100" workbookViewId="0">
      <selection activeCell="H25" sqref="H25"/>
    </sheetView>
  </sheetViews>
  <sheetFormatPr defaultRowHeight="17.399999999999999"/>
  <cols>
    <col min="3" max="3" width="66" customWidth="1"/>
  </cols>
  <sheetData>
    <row r="3" spans="2:3">
      <c r="B3" s="60" t="s">
        <v>1883</v>
      </c>
    </row>
    <row r="4" spans="2:3">
      <c r="B4" s="7" t="s">
        <v>83</v>
      </c>
      <c r="C4" s="7" t="s">
        <v>454</v>
      </c>
    </row>
    <row r="5" spans="2:3" ht="34.799999999999997">
      <c r="B5" s="78" t="s">
        <v>1863</v>
      </c>
      <c r="C5" s="3" t="s">
        <v>1864</v>
      </c>
    </row>
    <row r="6" spans="2:3">
      <c r="B6" s="78"/>
      <c r="C6" s="3" t="s">
        <v>1865</v>
      </c>
    </row>
    <row r="7" spans="2:3">
      <c r="B7" s="78"/>
      <c r="C7" s="3" t="s">
        <v>1866</v>
      </c>
    </row>
    <row r="8" spans="2:3">
      <c r="B8" s="78" t="s">
        <v>1867</v>
      </c>
      <c r="C8" s="3" t="s">
        <v>1868</v>
      </c>
    </row>
    <row r="9" spans="2:3">
      <c r="B9" s="78"/>
      <c r="C9" s="3" t="s">
        <v>1869</v>
      </c>
    </row>
    <row r="10" spans="2:3">
      <c r="B10" s="78"/>
      <c r="C10" s="3" t="s">
        <v>1870</v>
      </c>
    </row>
    <row r="11" spans="2:3" ht="34.799999999999997">
      <c r="B11" s="78" t="s">
        <v>1871</v>
      </c>
      <c r="C11" s="45" t="s">
        <v>1872</v>
      </c>
    </row>
    <row r="12" spans="2:3">
      <c r="B12" s="78"/>
      <c r="C12" s="3" t="s">
        <v>1873</v>
      </c>
    </row>
    <row r="13" spans="2:3">
      <c r="B13" s="78"/>
      <c r="C13" s="3" t="s">
        <v>1874</v>
      </c>
    </row>
    <row r="14" spans="2:3">
      <c r="B14" s="78" t="s">
        <v>1875</v>
      </c>
      <c r="C14" s="3" t="s">
        <v>1876</v>
      </c>
    </row>
    <row r="15" spans="2:3">
      <c r="B15" s="78"/>
      <c r="C15" s="3" t="s">
        <v>1877</v>
      </c>
    </row>
    <row r="16" spans="2:3">
      <c r="B16" s="78"/>
      <c r="C16" s="3" t="s">
        <v>1878</v>
      </c>
    </row>
    <row r="17" spans="2:3" ht="34.799999999999997">
      <c r="B17" s="78" t="s">
        <v>1879</v>
      </c>
      <c r="C17" s="3" t="s">
        <v>1880</v>
      </c>
    </row>
    <row r="18" spans="2:3">
      <c r="B18" s="78"/>
      <c r="C18" s="3" t="s">
        <v>1881</v>
      </c>
    </row>
    <row r="19" spans="2:3">
      <c r="B19" s="78"/>
      <c r="C19" s="3" t="s">
        <v>1882</v>
      </c>
    </row>
    <row r="22" spans="2:3">
      <c r="B22" s="11" t="s">
        <v>1884</v>
      </c>
    </row>
    <row r="23" spans="2:3">
      <c r="B23" s="7" t="s">
        <v>302</v>
      </c>
      <c r="C23" s="7" t="s">
        <v>454</v>
      </c>
    </row>
    <row r="24" spans="2:3" ht="87.75" customHeight="1">
      <c r="B24" s="8" t="s">
        <v>1889</v>
      </c>
      <c r="C24" s="58" t="s">
        <v>1885</v>
      </c>
    </row>
    <row r="25" spans="2:3" ht="126" customHeight="1">
      <c r="B25" s="48" t="s">
        <v>1890</v>
      </c>
      <c r="C25" s="59" t="s">
        <v>1886</v>
      </c>
    </row>
    <row r="26" spans="2:3" ht="101.25" customHeight="1">
      <c r="B26" s="8" t="s">
        <v>1891</v>
      </c>
      <c r="C26" s="58" t="s">
        <v>1887</v>
      </c>
    </row>
    <row r="30" spans="2:3">
      <c r="B30" t="s">
        <v>1964</v>
      </c>
    </row>
    <row r="31" spans="2:3">
      <c r="B31" s="7" t="s">
        <v>302</v>
      </c>
      <c r="C31" s="7" t="s">
        <v>454</v>
      </c>
    </row>
    <row r="32" spans="2:3" ht="191.4">
      <c r="B32" s="8" t="s">
        <v>1888</v>
      </c>
      <c r="C32" s="61" t="s">
        <v>1965</v>
      </c>
    </row>
    <row r="33" spans="2:3" ht="191.4">
      <c r="B33" s="8" t="s">
        <v>1889</v>
      </c>
      <c r="C33" s="58" t="s">
        <v>1966</v>
      </c>
    </row>
    <row r="34" spans="2:3" ht="226.2">
      <c r="B34" s="48" t="s">
        <v>1890</v>
      </c>
      <c r="C34" s="59" t="s">
        <v>1967</v>
      </c>
    </row>
    <row r="35" spans="2:3" ht="191.4">
      <c r="B35" s="8" t="s">
        <v>1151</v>
      </c>
      <c r="C35" s="58" t="s">
        <v>1968</v>
      </c>
    </row>
    <row r="37" spans="2:3">
      <c r="B37" t="s">
        <v>2078</v>
      </c>
    </row>
    <row r="38" spans="2:3">
      <c r="B38" s="7" t="s">
        <v>302</v>
      </c>
      <c r="C38" s="7" t="s">
        <v>454</v>
      </c>
    </row>
    <row r="39" spans="2:3" ht="34.799999999999997">
      <c r="B39" s="8" t="s">
        <v>1889</v>
      </c>
      <c r="C39" s="58" t="s">
        <v>2076</v>
      </c>
    </row>
    <row r="40" spans="2:3" ht="52.2">
      <c r="B40" s="48" t="s">
        <v>1890</v>
      </c>
      <c r="C40" s="59" t="s">
        <v>2075</v>
      </c>
    </row>
    <row r="41" spans="2:3">
      <c r="B41" s="8" t="s">
        <v>1151</v>
      </c>
      <c r="C41" s="58" t="s">
        <v>2077</v>
      </c>
    </row>
    <row r="43" spans="2:3">
      <c r="B43" t="s">
        <v>2079</v>
      </c>
    </row>
    <row r="44" spans="2:3">
      <c r="B44" s="7" t="s">
        <v>302</v>
      </c>
      <c r="C44" s="7" t="s">
        <v>454</v>
      </c>
    </row>
    <row r="45" spans="2:3" ht="69.599999999999994">
      <c r="B45" s="8" t="s">
        <v>1889</v>
      </c>
      <c r="C45" s="58" t="s">
        <v>2080</v>
      </c>
    </row>
    <row r="46" spans="2:3" ht="69.599999999999994">
      <c r="B46" s="48" t="s">
        <v>1890</v>
      </c>
      <c r="C46" s="59" t="s">
        <v>2081</v>
      </c>
    </row>
    <row r="47" spans="2:3" ht="69.599999999999994">
      <c r="B47" s="8" t="s">
        <v>1151</v>
      </c>
      <c r="C47" s="58" t="s">
        <v>2082</v>
      </c>
    </row>
  </sheetData>
  <mergeCells count="5">
    <mergeCell ref="B5:B7"/>
    <mergeCell ref="B8:B10"/>
    <mergeCell ref="B11:B13"/>
    <mergeCell ref="B14:B16"/>
    <mergeCell ref="B17:B19"/>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D95"/>
  <sheetViews>
    <sheetView topLeftCell="A76" zoomScale="85" zoomScaleNormal="85" workbookViewId="0">
      <selection activeCell="B99" sqref="B99"/>
    </sheetView>
  </sheetViews>
  <sheetFormatPr defaultRowHeight="17.399999999999999"/>
  <cols>
    <col min="1" max="1" width="30.19921875" customWidth="1"/>
    <col min="2" max="2" width="38.69921875" customWidth="1"/>
    <col min="3" max="3" width="44.19921875" customWidth="1"/>
    <col min="4" max="4" width="26.09765625" customWidth="1"/>
  </cols>
  <sheetData>
    <row r="2" spans="1:3">
      <c r="A2" s="11" t="s">
        <v>103</v>
      </c>
    </row>
    <row r="3" spans="1:3">
      <c r="A3" s="7" t="s">
        <v>83</v>
      </c>
      <c r="B3" s="7" t="s">
        <v>82</v>
      </c>
      <c r="C3" s="7" t="s">
        <v>1</v>
      </c>
    </row>
    <row r="4" spans="1:3" ht="34.799999999999997">
      <c r="A4" s="8" t="s">
        <v>93</v>
      </c>
      <c r="B4" s="3" t="s">
        <v>94</v>
      </c>
      <c r="C4" s="3" t="s">
        <v>95</v>
      </c>
    </row>
    <row r="5" spans="1:3" ht="34.799999999999997">
      <c r="A5" s="8" t="s">
        <v>96</v>
      </c>
      <c r="B5" s="3" t="s">
        <v>97</v>
      </c>
      <c r="C5" s="3" t="s">
        <v>98</v>
      </c>
    </row>
    <row r="6" spans="1:3" ht="34.799999999999997">
      <c r="A6" s="8" t="s">
        <v>99</v>
      </c>
      <c r="B6" s="3" t="s">
        <v>100</v>
      </c>
      <c r="C6" s="3" t="s">
        <v>104</v>
      </c>
    </row>
    <row r="7" spans="1:3" ht="34.799999999999997">
      <c r="A7" s="8" t="s">
        <v>101</v>
      </c>
      <c r="B7" s="3" t="s">
        <v>102</v>
      </c>
      <c r="C7" s="3" t="s">
        <v>98</v>
      </c>
    </row>
    <row r="8" spans="1:3" ht="33" customHeight="1">
      <c r="A8" s="100" t="s">
        <v>105</v>
      </c>
      <c r="B8" s="101"/>
      <c r="C8" s="101"/>
    </row>
    <row r="10" spans="1:3">
      <c r="A10" s="6" t="s">
        <v>493</v>
      </c>
    </row>
    <row r="11" spans="1:3">
      <c r="A11" s="7" t="s">
        <v>302</v>
      </c>
      <c r="B11" s="7" t="s">
        <v>454</v>
      </c>
      <c r="C11" s="7" t="s">
        <v>150</v>
      </c>
    </row>
    <row r="12" spans="1:3">
      <c r="A12" s="78" t="s">
        <v>625</v>
      </c>
      <c r="B12" s="77" t="s">
        <v>887</v>
      </c>
      <c r="C12" s="3" t="s">
        <v>888</v>
      </c>
    </row>
    <row r="13" spans="1:3" ht="34.799999999999997">
      <c r="A13" s="78"/>
      <c r="B13" s="77"/>
      <c r="C13" s="3" t="s">
        <v>889</v>
      </c>
    </row>
    <row r="14" spans="1:3">
      <c r="A14" s="78"/>
      <c r="B14" s="77"/>
      <c r="C14" s="3" t="s">
        <v>890</v>
      </c>
    </row>
    <row r="15" spans="1:3">
      <c r="A15" s="78" t="s">
        <v>629</v>
      </c>
      <c r="B15" s="77" t="s">
        <v>891</v>
      </c>
      <c r="C15" s="3" t="s">
        <v>892</v>
      </c>
    </row>
    <row r="16" spans="1:3" ht="34.799999999999997">
      <c r="A16" s="78"/>
      <c r="B16" s="77"/>
      <c r="C16" s="3" t="s">
        <v>893</v>
      </c>
    </row>
    <row r="17" spans="1:3">
      <c r="A17" s="78"/>
      <c r="B17" s="77"/>
      <c r="C17" s="3" t="s">
        <v>894</v>
      </c>
    </row>
    <row r="18" spans="1:3">
      <c r="A18" s="78" t="s">
        <v>633</v>
      </c>
      <c r="B18" s="77" t="s">
        <v>895</v>
      </c>
      <c r="C18" s="3" t="s">
        <v>896</v>
      </c>
    </row>
    <row r="19" spans="1:3" ht="34.799999999999997">
      <c r="A19" s="78"/>
      <c r="B19" s="77"/>
      <c r="C19" s="3" t="s">
        <v>897</v>
      </c>
    </row>
    <row r="20" spans="1:3">
      <c r="A20" s="78"/>
      <c r="B20" s="77"/>
      <c r="C20" s="3" t="s">
        <v>898</v>
      </c>
    </row>
    <row r="21" spans="1:3" ht="34.799999999999997">
      <c r="A21" s="78" t="s">
        <v>636</v>
      </c>
      <c r="B21" s="77" t="s">
        <v>899</v>
      </c>
      <c r="C21" s="3" t="s">
        <v>900</v>
      </c>
    </row>
    <row r="22" spans="1:3" ht="34.799999999999997">
      <c r="A22" s="78"/>
      <c r="B22" s="77"/>
      <c r="C22" s="3" t="s">
        <v>901</v>
      </c>
    </row>
    <row r="23" spans="1:3">
      <c r="A23" s="78"/>
      <c r="B23" s="77"/>
      <c r="C23" s="3" t="s">
        <v>902</v>
      </c>
    </row>
    <row r="25" spans="1:3">
      <c r="A25" s="7" t="s">
        <v>83</v>
      </c>
      <c r="B25" s="7" t="s">
        <v>82</v>
      </c>
      <c r="C25" s="7" t="s">
        <v>349</v>
      </c>
    </row>
    <row r="26" spans="1:3">
      <c r="A26" s="78" t="s">
        <v>494</v>
      </c>
      <c r="B26" s="78" t="s">
        <v>508</v>
      </c>
      <c r="C26" s="3" t="s">
        <v>495</v>
      </c>
    </row>
    <row r="27" spans="1:3">
      <c r="A27" s="78"/>
      <c r="B27" s="78"/>
      <c r="C27" s="3" t="s">
        <v>496</v>
      </c>
    </row>
    <row r="28" spans="1:3">
      <c r="A28" s="78" t="s">
        <v>497</v>
      </c>
      <c r="B28" s="78" t="s">
        <v>498</v>
      </c>
      <c r="C28" s="3" t="s">
        <v>499</v>
      </c>
    </row>
    <row r="29" spans="1:3">
      <c r="A29" s="78"/>
      <c r="B29" s="78"/>
      <c r="C29" s="3" t="s">
        <v>500</v>
      </c>
    </row>
    <row r="30" spans="1:3">
      <c r="A30" s="78" t="s">
        <v>501</v>
      </c>
      <c r="B30" s="78" t="s">
        <v>502</v>
      </c>
      <c r="C30" s="3" t="s">
        <v>503</v>
      </c>
    </row>
    <row r="31" spans="1:3">
      <c r="A31" s="78"/>
      <c r="B31" s="78"/>
      <c r="C31" s="3" t="s">
        <v>504</v>
      </c>
    </row>
    <row r="32" spans="1:3">
      <c r="A32" s="8" t="s">
        <v>505</v>
      </c>
      <c r="B32" s="8" t="s">
        <v>506</v>
      </c>
      <c r="C32" s="3" t="s">
        <v>507</v>
      </c>
    </row>
    <row r="35" spans="1:4">
      <c r="A35" s="6" t="s">
        <v>106</v>
      </c>
    </row>
    <row r="36" spans="1:4">
      <c r="A36" s="7" t="s">
        <v>83</v>
      </c>
      <c r="B36" s="15" t="s">
        <v>87</v>
      </c>
      <c r="C36" s="15" t="s">
        <v>1</v>
      </c>
    </row>
    <row r="37" spans="1:4" ht="34.799999999999997">
      <c r="A37" s="8" t="s">
        <v>107</v>
      </c>
      <c r="B37" s="3" t="s">
        <v>108</v>
      </c>
      <c r="C37" s="3" t="s">
        <v>111</v>
      </c>
    </row>
    <row r="38" spans="1:4" ht="87">
      <c r="A38" s="8" t="s">
        <v>109</v>
      </c>
      <c r="B38" s="3" t="s">
        <v>112</v>
      </c>
      <c r="C38" s="3" t="s">
        <v>111</v>
      </c>
    </row>
    <row r="39" spans="1:4" ht="34.799999999999997">
      <c r="A39" s="8" t="s">
        <v>110</v>
      </c>
      <c r="B39" s="3" t="s">
        <v>113</v>
      </c>
      <c r="C39" s="3"/>
    </row>
    <row r="41" spans="1:4">
      <c r="A41" s="8" t="s">
        <v>83</v>
      </c>
      <c r="B41" s="3" t="s">
        <v>120</v>
      </c>
      <c r="C41" s="3"/>
    </row>
    <row r="42" spans="1:4" ht="226.2">
      <c r="A42" s="8" t="s">
        <v>114</v>
      </c>
      <c r="B42" s="3" t="s">
        <v>121</v>
      </c>
      <c r="C42" s="16" t="s">
        <v>127</v>
      </c>
      <c r="D42" s="17" t="s">
        <v>128</v>
      </c>
    </row>
    <row r="43" spans="1:4" ht="52.2">
      <c r="A43" s="8" t="s">
        <v>115</v>
      </c>
      <c r="B43" s="3" t="s">
        <v>122</v>
      </c>
      <c r="C43" s="3"/>
    </row>
    <row r="44" spans="1:4" ht="52.2">
      <c r="A44" s="8" t="s">
        <v>116</v>
      </c>
      <c r="B44" s="3" t="s">
        <v>123</v>
      </c>
      <c r="C44" s="3"/>
    </row>
    <row r="45" spans="1:4" ht="34.799999999999997">
      <c r="A45" s="8" t="s">
        <v>117</v>
      </c>
      <c r="B45" s="3" t="s">
        <v>124</v>
      </c>
      <c r="C45" s="3"/>
    </row>
    <row r="46" spans="1:4" ht="52.2">
      <c r="A46" s="8" t="s">
        <v>118</v>
      </c>
      <c r="B46" s="3" t="s">
        <v>125</v>
      </c>
      <c r="C46" s="3"/>
    </row>
    <row r="47" spans="1:4" ht="69.599999999999994">
      <c r="A47" s="8" t="s">
        <v>119</v>
      </c>
      <c r="B47" s="3" t="s">
        <v>126</v>
      </c>
      <c r="C47" s="3"/>
    </row>
    <row r="50" spans="1:4">
      <c r="A50" s="8" t="s">
        <v>129</v>
      </c>
      <c r="B50" s="4"/>
      <c r="C50" s="4"/>
    </row>
    <row r="51" spans="1:4">
      <c r="A51" s="7" t="s">
        <v>83</v>
      </c>
      <c r="B51" s="7" t="s">
        <v>87</v>
      </c>
      <c r="C51" s="7" t="s">
        <v>1</v>
      </c>
      <c r="D51" s="2"/>
    </row>
    <row r="52" spans="1:4" ht="34.799999999999997">
      <c r="A52" s="8" t="s">
        <v>130</v>
      </c>
      <c r="B52" s="3" t="s">
        <v>131</v>
      </c>
      <c r="C52" s="3" t="s">
        <v>132</v>
      </c>
      <c r="D52" s="14"/>
    </row>
    <row r="53" spans="1:4" ht="34.799999999999997">
      <c r="A53" s="8" t="s">
        <v>133</v>
      </c>
      <c r="B53" s="3" t="s">
        <v>134</v>
      </c>
      <c r="C53" s="3" t="s">
        <v>89</v>
      </c>
      <c r="D53" s="14"/>
    </row>
    <row r="54" spans="1:4" ht="34.799999999999997">
      <c r="A54" s="8" t="s">
        <v>135</v>
      </c>
      <c r="B54" s="3" t="s">
        <v>136</v>
      </c>
      <c r="C54" s="3" t="s">
        <v>89</v>
      </c>
      <c r="D54" s="14"/>
    </row>
    <row r="55" spans="1:4" ht="34.799999999999997">
      <c r="A55" s="8" t="s">
        <v>137</v>
      </c>
      <c r="B55" s="3" t="s">
        <v>138</v>
      </c>
      <c r="C55" s="3" t="s">
        <v>89</v>
      </c>
      <c r="D55" s="14"/>
    </row>
    <row r="58" spans="1:4">
      <c r="A58" s="7" t="s">
        <v>83</v>
      </c>
      <c r="B58" s="7" t="s">
        <v>87</v>
      </c>
      <c r="C58" s="7" t="s">
        <v>1</v>
      </c>
      <c r="D58" s="2"/>
    </row>
    <row r="59" spans="1:4" ht="87">
      <c r="A59" s="8" t="s">
        <v>139</v>
      </c>
      <c r="B59" s="3" t="s">
        <v>140</v>
      </c>
      <c r="C59" s="3" t="s">
        <v>141</v>
      </c>
      <c r="D59" s="14"/>
    </row>
    <row r="60" spans="1:4" ht="69.599999999999994">
      <c r="A60" s="8" t="s">
        <v>142</v>
      </c>
      <c r="B60" s="3" t="s">
        <v>143</v>
      </c>
      <c r="C60" s="3" t="s">
        <v>141</v>
      </c>
      <c r="D60" s="14"/>
    </row>
    <row r="61" spans="1:4" ht="69.599999999999994">
      <c r="A61" s="8" t="s">
        <v>144</v>
      </c>
      <c r="B61" s="3" t="s">
        <v>145</v>
      </c>
      <c r="C61" s="3" t="s">
        <v>146</v>
      </c>
      <c r="D61" s="14"/>
    </row>
    <row r="65" spans="1:4">
      <c r="A65" s="11" t="s">
        <v>157</v>
      </c>
    </row>
    <row r="66" spans="1:4">
      <c r="A66" s="7" t="s">
        <v>83</v>
      </c>
      <c r="B66" s="7" t="s">
        <v>150</v>
      </c>
      <c r="C66" s="7" t="s">
        <v>151</v>
      </c>
      <c r="D66" s="7" t="s">
        <v>152</v>
      </c>
    </row>
    <row r="67" spans="1:4" ht="34.799999999999997">
      <c r="A67" s="8" t="s">
        <v>153</v>
      </c>
      <c r="B67" s="3" t="s">
        <v>154</v>
      </c>
      <c r="C67" s="3" t="s">
        <v>155</v>
      </c>
      <c r="D67" s="3" t="s">
        <v>156</v>
      </c>
    </row>
    <row r="68" spans="1:4">
      <c r="A68" s="97" t="s">
        <v>158</v>
      </c>
      <c r="B68" s="19" t="s">
        <v>159</v>
      </c>
      <c r="C68" s="84" t="s">
        <v>164</v>
      </c>
      <c r="D68" s="94" t="s">
        <v>165</v>
      </c>
    </row>
    <row r="69" spans="1:4">
      <c r="A69" s="98"/>
      <c r="B69" s="21" t="s">
        <v>160</v>
      </c>
      <c r="C69" s="85"/>
      <c r="D69" s="95"/>
    </row>
    <row r="70" spans="1:4">
      <c r="A70" s="98"/>
      <c r="B70" s="21" t="s">
        <v>161</v>
      </c>
      <c r="C70" s="85"/>
      <c r="D70" s="95"/>
    </row>
    <row r="71" spans="1:4">
      <c r="A71" s="98"/>
      <c r="B71" s="21" t="s">
        <v>162</v>
      </c>
      <c r="C71" s="85"/>
      <c r="D71" s="95"/>
    </row>
    <row r="72" spans="1:4">
      <c r="A72" s="99"/>
      <c r="B72" s="20" t="s">
        <v>163</v>
      </c>
      <c r="C72" s="86"/>
      <c r="D72" s="96"/>
    </row>
    <row r="73" spans="1:4" ht="34.799999999999997">
      <c r="A73" s="97" t="s">
        <v>181</v>
      </c>
      <c r="B73" s="19" t="s">
        <v>166</v>
      </c>
      <c r="C73" s="19" t="s">
        <v>171</v>
      </c>
      <c r="D73" s="24" t="s">
        <v>173</v>
      </c>
    </row>
    <row r="74" spans="1:4" ht="34.799999999999997">
      <c r="A74" s="98"/>
      <c r="B74" s="21" t="s">
        <v>167</v>
      </c>
      <c r="C74" s="21" t="s">
        <v>172</v>
      </c>
      <c r="D74" s="25" t="s">
        <v>174</v>
      </c>
    </row>
    <row r="75" spans="1:4">
      <c r="A75" s="98"/>
      <c r="B75" s="21" t="s">
        <v>168</v>
      </c>
      <c r="C75" s="21"/>
      <c r="D75" s="25" t="s">
        <v>182</v>
      </c>
    </row>
    <row r="76" spans="1:4">
      <c r="A76" s="98"/>
      <c r="B76" s="21" t="s">
        <v>169</v>
      </c>
      <c r="C76" s="21"/>
      <c r="D76" s="25"/>
    </row>
    <row r="77" spans="1:4">
      <c r="A77" s="99"/>
      <c r="B77" s="20" t="s">
        <v>170</v>
      </c>
      <c r="C77" s="20"/>
      <c r="D77" s="26"/>
    </row>
    <row r="78" spans="1:4" ht="34.799999999999997">
      <c r="A78" s="97" t="s">
        <v>175</v>
      </c>
      <c r="B78" s="19" t="s">
        <v>176</v>
      </c>
      <c r="C78" s="84" t="s">
        <v>178</v>
      </c>
      <c r="D78" s="24" t="s">
        <v>179</v>
      </c>
    </row>
    <row r="79" spans="1:4" ht="34.799999999999997">
      <c r="A79" s="99"/>
      <c r="B79" s="20" t="s">
        <v>177</v>
      </c>
      <c r="C79" s="86"/>
      <c r="D79" s="26" t="s">
        <v>180</v>
      </c>
    </row>
    <row r="84" spans="1:3">
      <c r="A84" s="7" t="s">
        <v>302</v>
      </c>
      <c r="B84" s="7" t="s">
        <v>454</v>
      </c>
      <c r="C84" s="7" t="s">
        <v>150</v>
      </c>
    </row>
    <row r="85" spans="1:3">
      <c r="A85" s="78" t="s">
        <v>625</v>
      </c>
      <c r="B85" s="77" t="s">
        <v>841</v>
      </c>
      <c r="C85" s="3" t="s">
        <v>842</v>
      </c>
    </row>
    <row r="86" spans="1:3">
      <c r="A86" s="78"/>
      <c r="B86" s="77"/>
      <c r="C86" s="3" t="s">
        <v>843</v>
      </c>
    </row>
    <row r="87" spans="1:3">
      <c r="A87" s="78"/>
      <c r="B87" s="77"/>
      <c r="C87" s="3" t="s">
        <v>844</v>
      </c>
    </row>
    <row r="88" spans="1:3">
      <c r="A88" s="78" t="s">
        <v>629</v>
      </c>
      <c r="B88" s="77" t="s">
        <v>845</v>
      </c>
      <c r="C88" s="3" t="s">
        <v>846</v>
      </c>
    </row>
    <row r="89" spans="1:3">
      <c r="A89" s="78"/>
      <c r="B89" s="77"/>
      <c r="C89" s="3" t="s">
        <v>847</v>
      </c>
    </row>
    <row r="90" spans="1:3">
      <c r="A90" s="78"/>
      <c r="B90" s="77"/>
      <c r="C90" s="3" t="s">
        <v>848</v>
      </c>
    </row>
    <row r="91" spans="1:3">
      <c r="A91" s="78" t="s">
        <v>633</v>
      </c>
      <c r="B91" s="77" t="s">
        <v>849</v>
      </c>
      <c r="C91" s="3" t="s">
        <v>850</v>
      </c>
    </row>
    <row r="92" spans="1:3">
      <c r="A92" s="78"/>
      <c r="B92" s="77"/>
      <c r="C92" s="3" t="s">
        <v>851</v>
      </c>
    </row>
    <row r="93" spans="1:3">
      <c r="A93" s="78" t="s">
        <v>636</v>
      </c>
      <c r="B93" s="77" t="s">
        <v>852</v>
      </c>
      <c r="C93" s="3" t="s">
        <v>853</v>
      </c>
    </row>
    <row r="94" spans="1:3" ht="34.799999999999997">
      <c r="A94" s="78"/>
      <c r="B94" s="77"/>
      <c r="C94" s="3" t="s">
        <v>854</v>
      </c>
    </row>
    <row r="95" spans="1:3">
      <c r="A95" s="78"/>
      <c r="B95" s="77"/>
      <c r="C95" s="3" t="s">
        <v>855</v>
      </c>
    </row>
  </sheetData>
  <mergeCells count="29">
    <mergeCell ref="D68:D72"/>
    <mergeCell ref="A73:A77"/>
    <mergeCell ref="A78:A79"/>
    <mergeCell ref="C78:C79"/>
    <mergeCell ref="A8:C8"/>
    <mergeCell ref="A68:A72"/>
    <mergeCell ref="C68:C72"/>
    <mergeCell ref="A12:A14"/>
    <mergeCell ref="A15:A17"/>
    <mergeCell ref="A18:A20"/>
    <mergeCell ref="A28:A29"/>
    <mergeCell ref="B28:B29"/>
    <mergeCell ref="A30:A31"/>
    <mergeCell ref="B30:B31"/>
    <mergeCell ref="A21:A23"/>
    <mergeCell ref="A26:A27"/>
    <mergeCell ref="A93:A95"/>
    <mergeCell ref="B93:B95"/>
    <mergeCell ref="B26:B27"/>
    <mergeCell ref="A85:A87"/>
    <mergeCell ref="B85:B87"/>
    <mergeCell ref="A88:A90"/>
    <mergeCell ref="B88:B90"/>
    <mergeCell ref="B12:B14"/>
    <mergeCell ref="B15:B17"/>
    <mergeCell ref="B18:B20"/>
    <mergeCell ref="B21:B23"/>
    <mergeCell ref="A91:A92"/>
    <mergeCell ref="B91:B92"/>
  </mergeCells>
  <phoneticPr fontId="1" type="noConversion"/>
  <hyperlinks>
    <hyperlink ref="C42" r:id="rId1" location="0000" display="https://www.law.go.kr/LSW/lsInfoP.do?lsiSeq=268319#0000" xr:uid="{00000000-0004-0000-0F00-000000000000}"/>
    <hyperlink ref="D42" r:id="rId2" xr:uid="{00000000-0004-0000-0F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E95"/>
  <sheetViews>
    <sheetView topLeftCell="A63" workbookViewId="0">
      <selection activeCell="C100" sqref="C100"/>
    </sheetView>
  </sheetViews>
  <sheetFormatPr defaultRowHeight="17.399999999999999"/>
  <cols>
    <col min="2" max="2" width="15.69921875" customWidth="1"/>
    <col min="3" max="3" width="60.5" customWidth="1"/>
    <col min="4" max="4" width="51" customWidth="1"/>
    <col min="5" max="5" width="26.59765625" customWidth="1"/>
  </cols>
  <sheetData>
    <row r="3" spans="2:5">
      <c r="B3" t="s">
        <v>509</v>
      </c>
      <c r="E3" t="s">
        <v>624</v>
      </c>
    </row>
    <row r="5" spans="2:5">
      <c r="B5" s="7" t="s">
        <v>302</v>
      </c>
      <c r="C5" s="7" t="s">
        <v>510</v>
      </c>
      <c r="D5" s="7" t="s">
        <v>511</v>
      </c>
    </row>
    <row r="6" spans="2:5" ht="34.799999999999997">
      <c r="B6" s="8" t="s">
        <v>304</v>
      </c>
      <c r="C6" s="3" t="s">
        <v>512</v>
      </c>
      <c r="D6" s="3" t="s">
        <v>513</v>
      </c>
    </row>
    <row r="7" spans="2:5" ht="34.799999999999997">
      <c r="B7" s="8" t="s">
        <v>310</v>
      </c>
      <c r="C7" s="3" t="s">
        <v>514</v>
      </c>
      <c r="D7" s="3" t="s">
        <v>515</v>
      </c>
    </row>
    <row r="8" spans="2:5" ht="34.799999999999997">
      <c r="B8" s="8" t="s">
        <v>314</v>
      </c>
      <c r="C8" s="3" t="s">
        <v>516</v>
      </c>
      <c r="D8" s="3" t="s">
        <v>517</v>
      </c>
    </row>
    <row r="9" spans="2:5" ht="34.799999999999997">
      <c r="B9" s="8" t="s">
        <v>317</v>
      </c>
      <c r="C9" s="3" t="s">
        <v>518</v>
      </c>
      <c r="D9" s="3" t="s">
        <v>519</v>
      </c>
    </row>
    <row r="10" spans="2:5">
      <c r="B10" s="21"/>
      <c r="C10" s="21"/>
    </row>
    <row r="11" spans="2:5">
      <c r="B11" s="32" t="s">
        <v>588</v>
      </c>
    </row>
    <row r="13" spans="2:5">
      <c r="B13" s="7" t="s">
        <v>85</v>
      </c>
      <c r="C13" s="7" t="s">
        <v>571</v>
      </c>
      <c r="D13" s="7" t="s">
        <v>572</v>
      </c>
    </row>
    <row r="14" spans="2:5">
      <c r="B14" s="8" t="s">
        <v>583</v>
      </c>
      <c r="C14" s="3" t="s">
        <v>573</v>
      </c>
      <c r="D14" s="3" t="s">
        <v>574</v>
      </c>
    </row>
    <row r="15" spans="2:5">
      <c r="B15" s="8" t="s">
        <v>584</v>
      </c>
      <c r="C15" s="3" t="s">
        <v>575</v>
      </c>
      <c r="D15" s="3" t="s">
        <v>576</v>
      </c>
    </row>
    <row r="16" spans="2:5">
      <c r="B16" s="8" t="s">
        <v>585</v>
      </c>
      <c r="C16" s="3" t="s">
        <v>577</v>
      </c>
      <c r="D16" s="3" t="s">
        <v>578</v>
      </c>
    </row>
    <row r="17" spans="2:4" ht="34.799999999999997">
      <c r="B17" s="8" t="s">
        <v>586</v>
      </c>
      <c r="C17" s="3" t="s">
        <v>579</v>
      </c>
      <c r="D17" s="3" t="s">
        <v>580</v>
      </c>
    </row>
    <row r="18" spans="2:4">
      <c r="B18" s="8" t="s">
        <v>587</v>
      </c>
      <c r="C18" s="3" t="s">
        <v>581</v>
      </c>
      <c r="D18" s="3" t="s">
        <v>582</v>
      </c>
    </row>
    <row r="20" spans="2:4">
      <c r="B20" s="6" t="s">
        <v>596</v>
      </c>
    </row>
    <row r="21" spans="2:4">
      <c r="B21" s="31" t="s">
        <v>589</v>
      </c>
    </row>
    <row r="22" spans="2:4" ht="21">
      <c r="B22" s="12" t="s">
        <v>590</v>
      </c>
    </row>
    <row r="23" spans="2:4">
      <c r="B23" s="31" t="s">
        <v>591</v>
      </c>
    </row>
    <row r="24" spans="2:4">
      <c r="B24" s="31" t="s">
        <v>592</v>
      </c>
    </row>
    <row r="25" spans="2:4">
      <c r="B25" s="30" t="s">
        <v>593</v>
      </c>
    </row>
    <row r="26" spans="2:4">
      <c r="B26" s="30" t="s">
        <v>594</v>
      </c>
    </row>
    <row r="27" spans="2:4">
      <c r="B27" s="30" t="s">
        <v>595</v>
      </c>
    </row>
    <row r="28" spans="2:4">
      <c r="B28" s="30"/>
    </row>
    <row r="29" spans="2:4" ht="27.6">
      <c r="B29" s="33" t="s">
        <v>602</v>
      </c>
    </row>
    <row r="31" spans="2:4">
      <c r="B31" s="7" t="s">
        <v>597</v>
      </c>
      <c r="C31" s="7" t="s">
        <v>149</v>
      </c>
    </row>
    <row r="32" spans="2:4" ht="34.799999999999997">
      <c r="B32" s="3" t="s">
        <v>603</v>
      </c>
      <c r="C32" s="3" t="s">
        <v>598</v>
      </c>
    </row>
    <row r="33" spans="2:3">
      <c r="B33" s="8" t="s">
        <v>604</v>
      </c>
      <c r="C33" s="3" t="s">
        <v>599</v>
      </c>
    </row>
    <row r="34" spans="2:3" ht="34.799999999999997">
      <c r="B34" s="8" t="s">
        <v>605</v>
      </c>
      <c r="C34" s="3" t="s">
        <v>600</v>
      </c>
    </row>
    <row r="35" spans="2:3" ht="34.799999999999997">
      <c r="B35" s="8" t="s">
        <v>606</v>
      </c>
      <c r="C35" s="3" t="s">
        <v>601</v>
      </c>
    </row>
    <row r="36" spans="2:3">
      <c r="B36" s="30"/>
    </row>
    <row r="37" spans="2:3" ht="21">
      <c r="B37" s="12" t="s">
        <v>607</v>
      </c>
    </row>
    <row r="38" spans="2:3">
      <c r="B38" s="31" t="s">
        <v>608</v>
      </c>
    </row>
    <row r="39" spans="2:3">
      <c r="B39" s="31" t="s">
        <v>609</v>
      </c>
    </row>
    <row r="41" spans="2:3" ht="21">
      <c r="B41" s="12" t="s">
        <v>610</v>
      </c>
    </row>
    <row r="42" spans="2:3">
      <c r="B42" s="31" t="s">
        <v>611</v>
      </c>
    </row>
    <row r="43" spans="2:3">
      <c r="B43" s="31" t="s">
        <v>612</v>
      </c>
    </row>
    <row r="45" spans="2:3" ht="21">
      <c r="B45" s="12" t="s">
        <v>613</v>
      </c>
    </row>
    <row r="46" spans="2:3">
      <c r="B46" s="31" t="s">
        <v>614</v>
      </c>
    </row>
    <row r="47" spans="2:3">
      <c r="B47" s="31" t="s">
        <v>615</v>
      </c>
    </row>
    <row r="49" spans="2:5" ht="21">
      <c r="B49" s="12" t="s">
        <v>616</v>
      </c>
    </row>
    <row r="50" spans="2:5">
      <c r="B50" s="31" t="s">
        <v>617</v>
      </c>
    </row>
    <row r="51" spans="2:5">
      <c r="B51" s="31" t="s">
        <v>618</v>
      </c>
    </row>
    <row r="53" spans="2:5" ht="21">
      <c r="B53" s="12" t="s">
        <v>619</v>
      </c>
    </row>
    <row r="54" spans="2:5">
      <c r="B54" s="31" t="s">
        <v>620</v>
      </c>
    </row>
    <row r="55" spans="2:5">
      <c r="B55" s="31" t="s">
        <v>621</v>
      </c>
    </row>
    <row r="57" spans="2:5">
      <c r="B57" s="7" t="s">
        <v>520</v>
      </c>
      <c r="C57" s="7" t="s">
        <v>521</v>
      </c>
      <c r="D57" s="7" t="s">
        <v>522</v>
      </c>
      <c r="E57" s="7" t="s">
        <v>523</v>
      </c>
    </row>
    <row r="58" spans="2:5" ht="34.799999999999997">
      <c r="B58" s="8" t="s">
        <v>524</v>
      </c>
      <c r="C58" s="3" t="s">
        <v>525</v>
      </c>
      <c r="D58" s="3" t="s">
        <v>526</v>
      </c>
      <c r="E58" s="3" t="s">
        <v>527</v>
      </c>
    </row>
    <row r="59" spans="2:5" ht="34.799999999999997">
      <c r="B59" s="8" t="s">
        <v>528</v>
      </c>
      <c r="C59" s="3" t="s">
        <v>529</v>
      </c>
      <c r="D59" s="3" t="s">
        <v>530</v>
      </c>
      <c r="E59" s="3" t="s">
        <v>531</v>
      </c>
    </row>
    <row r="60" spans="2:5" ht="34.799999999999997">
      <c r="B60" s="8" t="s">
        <v>532</v>
      </c>
      <c r="C60" s="3" t="s">
        <v>622</v>
      </c>
      <c r="D60" s="3" t="s">
        <v>533</v>
      </c>
      <c r="E60" s="3" t="s">
        <v>534</v>
      </c>
    </row>
    <row r="61" spans="2:5">
      <c r="B61" s="8" t="s">
        <v>535</v>
      </c>
      <c r="C61" s="3" t="s">
        <v>623</v>
      </c>
      <c r="D61" s="3" t="s">
        <v>536</v>
      </c>
      <c r="E61" s="4"/>
    </row>
    <row r="62" spans="2:5">
      <c r="B62" s="21"/>
      <c r="C62" s="21"/>
    </row>
    <row r="63" spans="2:5">
      <c r="B63" s="21"/>
      <c r="C63" s="21"/>
    </row>
    <row r="65" spans="2:4">
      <c r="B65" s="7" t="s">
        <v>85</v>
      </c>
      <c r="C65" s="7" t="s">
        <v>537</v>
      </c>
      <c r="D65" s="7" t="s">
        <v>538</v>
      </c>
    </row>
    <row r="66" spans="2:4">
      <c r="B66" s="8" t="s">
        <v>545</v>
      </c>
      <c r="C66" s="3" t="s">
        <v>539</v>
      </c>
      <c r="D66" s="8" t="s">
        <v>540</v>
      </c>
    </row>
    <row r="67" spans="2:4" ht="34.799999999999997">
      <c r="B67" s="8" t="s">
        <v>546</v>
      </c>
      <c r="C67" s="3" t="s">
        <v>541</v>
      </c>
      <c r="D67" s="8" t="s">
        <v>542</v>
      </c>
    </row>
    <row r="68" spans="2:4" ht="34.799999999999997">
      <c r="B68" s="8" t="s">
        <v>547</v>
      </c>
      <c r="C68" s="3" t="s">
        <v>543</v>
      </c>
      <c r="D68" s="3" t="s">
        <v>544</v>
      </c>
    </row>
    <row r="69" spans="2:4">
      <c r="B69" s="21"/>
      <c r="C69" s="21"/>
    </row>
    <row r="70" spans="2:4">
      <c r="B70" s="21"/>
      <c r="C70" s="21"/>
    </row>
    <row r="71" spans="2:4" ht="21">
      <c r="B71" s="12" t="s">
        <v>548</v>
      </c>
    </row>
    <row r="72" spans="2:4">
      <c r="B72" s="30" t="s">
        <v>549</v>
      </c>
    </row>
    <row r="73" spans="2:4">
      <c r="B73" s="30" t="s">
        <v>550</v>
      </c>
    </row>
    <row r="74" spans="2:4">
      <c r="B74" s="30" t="s">
        <v>551</v>
      </c>
    </row>
    <row r="76" spans="2:4" ht="21">
      <c r="B76" s="12" t="s">
        <v>552</v>
      </c>
    </row>
    <row r="77" spans="2:4">
      <c r="B77" s="31" t="s">
        <v>553</v>
      </c>
    </row>
    <row r="78" spans="2:4">
      <c r="B78" s="31" t="s">
        <v>554</v>
      </c>
    </row>
    <row r="79" spans="2:4">
      <c r="B79" s="30" t="s">
        <v>555</v>
      </c>
    </row>
    <row r="81" spans="2:4" ht="21">
      <c r="B81" s="12" t="s">
        <v>556</v>
      </c>
    </row>
    <row r="82" spans="2:4">
      <c r="B82" s="7" t="s">
        <v>85</v>
      </c>
      <c r="C82" s="7" t="s">
        <v>557</v>
      </c>
      <c r="D82" s="7" t="s">
        <v>558</v>
      </c>
    </row>
    <row r="83" spans="2:4">
      <c r="B83" s="3" t="s">
        <v>567</v>
      </c>
      <c r="C83" s="3" t="s">
        <v>559</v>
      </c>
      <c r="D83" s="3" t="s">
        <v>560</v>
      </c>
    </row>
    <row r="84" spans="2:4">
      <c r="B84" s="3" t="s">
        <v>568</v>
      </c>
      <c r="C84" s="3" t="s">
        <v>561</v>
      </c>
      <c r="D84" s="8" t="s">
        <v>562</v>
      </c>
    </row>
    <row r="85" spans="2:4">
      <c r="B85" s="3" t="s">
        <v>569</v>
      </c>
      <c r="C85" s="3" t="s">
        <v>563</v>
      </c>
      <c r="D85" s="3" t="s">
        <v>564</v>
      </c>
    </row>
    <row r="86" spans="2:4">
      <c r="B86" s="3" t="s">
        <v>570</v>
      </c>
      <c r="C86" s="3" t="s">
        <v>565</v>
      </c>
      <c r="D86" s="3" t="s">
        <v>566</v>
      </c>
    </row>
    <row r="90" spans="2:4">
      <c r="B90" t="s">
        <v>2508</v>
      </c>
    </row>
    <row r="91" spans="2:4" ht="156.6">
      <c r="B91" s="8" t="s">
        <v>1902</v>
      </c>
      <c r="C91" s="3" t="s">
        <v>2509</v>
      </c>
    </row>
    <row r="92" spans="2:4" ht="174">
      <c r="B92" s="48" t="s">
        <v>1907</v>
      </c>
      <c r="C92" s="48" t="s">
        <v>2510</v>
      </c>
    </row>
    <row r="93" spans="2:4" ht="121.8">
      <c r="B93" s="48" t="s">
        <v>1911</v>
      </c>
      <c r="C93" s="48" t="s">
        <v>2511</v>
      </c>
    </row>
    <row r="94" spans="2:4" ht="156.6">
      <c r="B94" s="8" t="s">
        <v>2512</v>
      </c>
      <c r="C94" s="3" t="s">
        <v>2515</v>
      </c>
    </row>
    <row r="95" spans="2:4" ht="156.6">
      <c r="B95" s="8" t="s">
        <v>2513</v>
      </c>
      <c r="C95" s="3" t="s">
        <v>2514</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G65"/>
  <sheetViews>
    <sheetView topLeftCell="A16" zoomScaleNormal="100" workbookViewId="0">
      <selection activeCell="E46" sqref="E46"/>
    </sheetView>
  </sheetViews>
  <sheetFormatPr defaultRowHeight="17.399999999999999"/>
  <cols>
    <col min="1" max="1" width="4.09765625" customWidth="1"/>
    <col min="2" max="2" width="25" customWidth="1"/>
    <col min="3" max="3" width="31.8984375" customWidth="1"/>
    <col min="4" max="4" width="44.3984375" customWidth="1"/>
  </cols>
  <sheetData>
    <row r="2" spans="2:7">
      <c r="G2" t="s">
        <v>840</v>
      </c>
    </row>
    <row r="3" spans="2:7">
      <c r="B3" s="11" t="s">
        <v>725</v>
      </c>
    </row>
    <row r="4" spans="2:7">
      <c r="B4" s="7" t="s">
        <v>302</v>
      </c>
      <c r="C4" s="7" t="s">
        <v>454</v>
      </c>
      <c r="D4" s="7" t="s">
        <v>467</v>
      </c>
    </row>
    <row r="5" spans="2:7" ht="34.799999999999997">
      <c r="B5" s="78" t="s">
        <v>625</v>
      </c>
      <c r="C5" s="77" t="s">
        <v>722</v>
      </c>
      <c r="D5" s="3" t="s">
        <v>712</v>
      </c>
    </row>
    <row r="6" spans="2:7" ht="34.799999999999997">
      <c r="B6" s="78"/>
      <c r="C6" s="77"/>
      <c r="D6" s="3" t="s">
        <v>713</v>
      </c>
    </row>
    <row r="7" spans="2:7">
      <c r="B7" s="78"/>
      <c r="C7" s="77"/>
      <c r="D7" s="3" t="s">
        <v>714</v>
      </c>
    </row>
    <row r="8" spans="2:7" ht="34.799999999999997">
      <c r="B8" s="78" t="s">
        <v>629</v>
      </c>
      <c r="C8" s="77" t="s">
        <v>936</v>
      </c>
      <c r="D8" s="3" t="s">
        <v>715</v>
      </c>
    </row>
    <row r="9" spans="2:7">
      <c r="B9" s="78"/>
      <c r="C9" s="77"/>
      <c r="D9" s="3" t="s">
        <v>716</v>
      </c>
    </row>
    <row r="10" spans="2:7" ht="34.799999999999997">
      <c r="B10" s="87" t="s">
        <v>633</v>
      </c>
      <c r="C10" s="88" t="s">
        <v>723</v>
      </c>
      <c r="D10" s="45" t="s">
        <v>717</v>
      </c>
    </row>
    <row r="11" spans="2:7">
      <c r="B11" s="87"/>
      <c r="C11" s="88"/>
      <c r="D11" s="45" t="s">
        <v>718</v>
      </c>
    </row>
    <row r="12" spans="2:7">
      <c r="B12" s="78" t="s">
        <v>636</v>
      </c>
      <c r="C12" s="77" t="s">
        <v>724</v>
      </c>
      <c r="D12" s="3" t="s">
        <v>719</v>
      </c>
    </row>
    <row r="13" spans="2:7">
      <c r="B13" s="78"/>
      <c r="C13" s="77"/>
      <c r="D13" s="3" t="s">
        <v>720</v>
      </c>
    </row>
    <row r="14" spans="2:7">
      <c r="B14" s="78"/>
      <c r="C14" s="77"/>
      <c r="D14" s="3" t="s">
        <v>721</v>
      </c>
    </row>
    <row r="16" spans="2:7">
      <c r="B16" s="7" t="s">
        <v>302</v>
      </c>
      <c r="C16" s="7" t="s">
        <v>229</v>
      </c>
      <c r="D16" s="7" t="s">
        <v>726</v>
      </c>
    </row>
    <row r="17" spans="2:4">
      <c r="B17" s="3" t="s">
        <v>727</v>
      </c>
      <c r="C17" s="3" t="s">
        <v>728</v>
      </c>
      <c r="D17" s="3" t="s">
        <v>729</v>
      </c>
    </row>
    <row r="18" spans="2:4">
      <c r="B18" s="3" t="s">
        <v>730</v>
      </c>
      <c r="C18" s="3" t="s">
        <v>731</v>
      </c>
      <c r="D18" s="3" t="s">
        <v>732</v>
      </c>
    </row>
    <row r="19" spans="2:4">
      <c r="B19" s="45" t="s">
        <v>733</v>
      </c>
      <c r="C19" s="45" t="s">
        <v>734</v>
      </c>
      <c r="D19" s="45" t="s">
        <v>735</v>
      </c>
    </row>
    <row r="20" spans="2:4">
      <c r="B20" s="3" t="s">
        <v>736</v>
      </c>
      <c r="C20" s="3" t="s">
        <v>737</v>
      </c>
      <c r="D20" s="3" t="s">
        <v>738</v>
      </c>
    </row>
    <row r="22" spans="2:4">
      <c r="B22" s="11" t="s">
        <v>739</v>
      </c>
    </row>
    <row r="25" spans="2:4">
      <c r="B25" s="11" t="s">
        <v>199</v>
      </c>
    </row>
    <row r="26" spans="2:4">
      <c r="B26" s="7" t="s">
        <v>85</v>
      </c>
      <c r="C26" s="7" t="s">
        <v>82</v>
      </c>
      <c r="D26" s="7" t="s">
        <v>183</v>
      </c>
    </row>
    <row r="27" spans="2:4">
      <c r="B27" s="8" t="s">
        <v>184</v>
      </c>
      <c r="C27" s="3" t="s">
        <v>185</v>
      </c>
      <c r="D27" s="18">
        <v>45357</v>
      </c>
    </row>
    <row r="28" spans="2:4">
      <c r="B28" s="8" t="s">
        <v>186</v>
      </c>
      <c r="C28" s="3" t="s">
        <v>187</v>
      </c>
      <c r="D28" s="3" t="s">
        <v>200</v>
      </c>
    </row>
    <row r="29" spans="2:4">
      <c r="B29" s="8" t="s">
        <v>188</v>
      </c>
      <c r="C29" s="3" t="s">
        <v>189</v>
      </c>
      <c r="D29" s="3" t="s">
        <v>190</v>
      </c>
    </row>
    <row r="30" spans="2:4">
      <c r="B30" s="48" t="s">
        <v>191</v>
      </c>
      <c r="C30" s="45" t="s">
        <v>201</v>
      </c>
      <c r="D30" s="45" t="s">
        <v>192</v>
      </c>
    </row>
    <row r="31" spans="2:4">
      <c r="B31" s="48" t="s">
        <v>193</v>
      </c>
      <c r="C31" s="45" t="s">
        <v>194</v>
      </c>
      <c r="D31" s="45" t="s">
        <v>195</v>
      </c>
    </row>
    <row r="32" spans="2:4">
      <c r="B32" s="8" t="s">
        <v>196</v>
      </c>
      <c r="C32" s="3" t="s">
        <v>197</v>
      </c>
      <c r="D32" s="3" t="s">
        <v>198</v>
      </c>
    </row>
    <row r="33" spans="2:4">
      <c r="B33" s="78" t="s">
        <v>202</v>
      </c>
      <c r="C33" s="77" t="s">
        <v>203</v>
      </c>
      <c r="D33" s="8" t="s">
        <v>204</v>
      </c>
    </row>
    <row r="34" spans="2:4">
      <c r="B34" s="78"/>
      <c r="C34" s="77"/>
      <c r="D34" s="3" t="s">
        <v>205</v>
      </c>
    </row>
    <row r="36" spans="2:4">
      <c r="B36" s="6" t="s">
        <v>839</v>
      </c>
    </row>
    <row r="37" spans="2:4">
      <c r="B37" s="7" t="s">
        <v>302</v>
      </c>
      <c r="C37" s="7" t="s">
        <v>454</v>
      </c>
      <c r="D37" s="7" t="s">
        <v>349</v>
      </c>
    </row>
    <row r="38" spans="2:4">
      <c r="B38" s="78" t="s">
        <v>625</v>
      </c>
      <c r="C38" s="77" t="s">
        <v>772</v>
      </c>
      <c r="D38" s="3" t="s">
        <v>773</v>
      </c>
    </row>
    <row r="39" spans="2:4">
      <c r="B39" s="78"/>
      <c r="C39" s="77"/>
      <c r="D39" s="3" t="s">
        <v>774</v>
      </c>
    </row>
    <row r="40" spans="2:4">
      <c r="B40" s="78"/>
      <c r="C40" s="77"/>
      <c r="D40" s="3" t="s">
        <v>775</v>
      </c>
    </row>
    <row r="41" spans="2:4" ht="34.799999999999997">
      <c r="B41" s="78" t="s">
        <v>629</v>
      </c>
      <c r="C41" s="77" t="s">
        <v>776</v>
      </c>
      <c r="D41" s="3" t="s">
        <v>777</v>
      </c>
    </row>
    <row r="42" spans="2:4">
      <c r="B42" s="78"/>
      <c r="C42" s="77"/>
      <c r="D42" s="3" t="s">
        <v>778</v>
      </c>
    </row>
    <row r="43" spans="2:4">
      <c r="B43" s="8" t="s">
        <v>633</v>
      </c>
      <c r="C43" s="3" t="s">
        <v>779</v>
      </c>
      <c r="D43" s="3" t="s">
        <v>810</v>
      </c>
    </row>
    <row r="44" spans="2:4">
      <c r="B44" s="78" t="s">
        <v>636</v>
      </c>
      <c r="C44" s="77" t="s">
        <v>780</v>
      </c>
      <c r="D44" s="3" t="s">
        <v>781</v>
      </c>
    </row>
    <row r="45" spans="2:4">
      <c r="B45" s="78"/>
      <c r="C45" s="77"/>
      <c r="D45" s="3" t="s">
        <v>782</v>
      </c>
    </row>
    <row r="47" spans="2:4">
      <c r="B47" t="s">
        <v>783</v>
      </c>
    </row>
    <row r="48" spans="2:4">
      <c r="B48" t="s">
        <v>784</v>
      </c>
    </row>
    <row r="51" spans="2:4">
      <c r="B51" s="7" t="s">
        <v>83</v>
      </c>
      <c r="C51" s="7" t="s">
        <v>82</v>
      </c>
    </row>
    <row r="52" spans="2:4" ht="52.2">
      <c r="B52" s="8" t="s">
        <v>785</v>
      </c>
      <c r="C52" s="3" t="s">
        <v>786</v>
      </c>
    </row>
    <row r="53" spans="2:4" ht="52.2">
      <c r="B53" s="8" t="s">
        <v>787</v>
      </c>
      <c r="C53" s="3" t="s">
        <v>788</v>
      </c>
    </row>
    <row r="54" spans="2:4" ht="34.799999999999997">
      <c r="B54" s="78" t="s">
        <v>789</v>
      </c>
      <c r="C54" s="3" t="s">
        <v>790</v>
      </c>
    </row>
    <row r="55" spans="2:4" ht="34.799999999999997">
      <c r="B55" s="78"/>
      <c r="C55" s="3" t="s">
        <v>791</v>
      </c>
    </row>
    <row r="56" spans="2:4" ht="34.799999999999997">
      <c r="B56" s="8" t="s">
        <v>792</v>
      </c>
      <c r="C56" s="3" t="s">
        <v>793</v>
      </c>
    </row>
    <row r="57" spans="2:4" ht="33.75" customHeight="1">
      <c r="B57" s="78" t="s">
        <v>794</v>
      </c>
      <c r="C57" s="3" t="s">
        <v>795</v>
      </c>
    </row>
    <row r="58" spans="2:4" ht="33.75" customHeight="1">
      <c r="B58" s="78"/>
      <c r="C58" s="3" t="s">
        <v>796</v>
      </c>
    </row>
    <row r="59" spans="2:4" ht="33.75" customHeight="1">
      <c r="B59" s="8" t="s">
        <v>797</v>
      </c>
      <c r="C59" s="3" t="s">
        <v>798</v>
      </c>
    </row>
    <row r="62" spans="2:4">
      <c r="B62" s="7" t="s">
        <v>799</v>
      </c>
      <c r="C62" s="7" t="s">
        <v>523</v>
      </c>
      <c r="D62" s="7" t="s">
        <v>800</v>
      </c>
    </row>
    <row r="63" spans="2:4">
      <c r="B63" s="8" t="s">
        <v>801</v>
      </c>
      <c r="C63" s="3" t="s">
        <v>802</v>
      </c>
      <c r="D63" s="3" t="s">
        <v>803</v>
      </c>
    </row>
    <row r="64" spans="2:4">
      <c r="B64" s="8" t="s">
        <v>804</v>
      </c>
      <c r="C64" s="3" t="s">
        <v>805</v>
      </c>
      <c r="D64" s="3" t="s">
        <v>806</v>
      </c>
    </row>
    <row r="65" spans="2:4">
      <c r="B65" s="8" t="s">
        <v>807</v>
      </c>
      <c r="C65" s="3" t="s">
        <v>808</v>
      </c>
      <c r="D65" s="3" t="s">
        <v>809</v>
      </c>
    </row>
  </sheetData>
  <mergeCells count="18">
    <mergeCell ref="C44:C45"/>
    <mergeCell ref="B54:B55"/>
    <mergeCell ref="B57:B58"/>
    <mergeCell ref="B44:B45"/>
    <mergeCell ref="B33:B34"/>
    <mergeCell ref="C33:C34"/>
    <mergeCell ref="B38:B40"/>
    <mergeCell ref="C38:C40"/>
    <mergeCell ref="B41:B42"/>
    <mergeCell ref="C41:C42"/>
    <mergeCell ref="B12:B14"/>
    <mergeCell ref="C12:C14"/>
    <mergeCell ref="B5:B7"/>
    <mergeCell ref="C5:C7"/>
    <mergeCell ref="B8:B9"/>
    <mergeCell ref="C8:C9"/>
    <mergeCell ref="B10:B11"/>
    <mergeCell ref="C10:C11"/>
  </mergeCells>
  <phoneticPr fontId="1"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4:G60"/>
  <sheetViews>
    <sheetView topLeftCell="A63" zoomScale="85" zoomScaleNormal="85" workbookViewId="0">
      <selection activeCell="B58" sqref="B58:C60"/>
    </sheetView>
  </sheetViews>
  <sheetFormatPr defaultRowHeight="17.399999999999999"/>
  <cols>
    <col min="2" max="2" width="19.5" customWidth="1"/>
    <col min="3" max="3" width="71.09765625" customWidth="1"/>
    <col min="4" max="4" width="40.59765625" customWidth="1"/>
    <col min="7" max="7" width="37.69921875" customWidth="1"/>
  </cols>
  <sheetData>
    <row r="4" spans="2:7">
      <c r="B4" s="7" t="s">
        <v>302</v>
      </c>
      <c r="C4" s="7" t="s">
        <v>401</v>
      </c>
      <c r="D4" s="7" t="s">
        <v>1489</v>
      </c>
    </row>
    <row r="5" spans="2:7">
      <c r="B5" s="78" t="s">
        <v>304</v>
      </c>
      <c r="C5" s="3" t="s">
        <v>1490</v>
      </c>
      <c r="D5" s="77" t="s">
        <v>1492</v>
      </c>
    </row>
    <row r="6" spans="2:7">
      <c r="B6" s="78"/>
      <c r="C6" s="3" t="s">
        <v>1491</v>
      </c>
      <c r="D6" s="77"/>
    </row>
    <row r="7" spans="2:7">
      <c r="B7" s="78" t="s">
        <v>310</v>
      </c>
      <c r="C7" s="3" t="s">
        <v>1493</v>
      </c>
      <c r="D7" s="8" t="s">
        <v>1495</v>
      </c>
    </row>
    <row r="8" spans="2:7">
      <c r="B8" s="78"/>
      <c r="C8" s="3" t="s">
        <v>1494</v>
      </c>
      <c r="D8" s="3" t="s">
        <v>1496</v>
      </c>
    </row>
    <row r="9" spans="2:7">
      <c r="B9" s="78"/>
      <c r="C9" s="3"/>
      <c r="D9" s="3" t="s">
        <v>1497</v>
      </c>
    </row>
    <row r="10" spans="2:7">
      <c r="B10" s="78" t="s">
        <v>314</v>
      </c>
      <c r="C10" s="3" t="s">
        <v>1498</v>
      </c>
      <c r="D10" s="77" t="s">
        <v>1500</v>
      </c>
    </row>
    <row r="11" spans="2:7">
      <c r="B11" s="78"/>
      <c r="C11" s="3" t="s">
        <v>1499</v>
      </c>
      <c r="D11" s="77"/>
    </row>
    <row r="12" spans="2:7">
      <c r="B12" s="78" t="s">
        <v>317</v>
      </c>
      <c r="C12" s="8" t="s">
        <v>1501</v>
      </c>
      <c r="D12" s="78" t="s">
        <v>1503</v>
      </c>
    </row>
    <row r="13" spans="2:7">
      <c r="B13" s="78"/>
      <c r="C13" s="3" t="s">
        <v>1502</v>
      </c>
      <c r="D13" s="78"/>
    </row>
    <row r="14" spans="2:7" ht="21">
      <c r="B14" s="12"/>
      <c r="C14" s="30"/>
    </row>
    <row r="15" spans="2:7">
      <c r="B15" s="30"/>
      <c r="C15" s="30"/>
    </row>
    <row r="16" spans="2:7">
      <c r="B16" s="7" t="s">
        <v>86</v>
      </c>
      <c r="C16" s="7" t="s">
        <v>147</v>
      </c>
      <c r="D16" s="7" t="s">
        <v>1504</v>
      </c>
      <c r="E16" s="7" t="s">
        <v>1505</v>
      </c>
      <c r="F16" s="7" t="s">
        <v>1506</v>
      </c>
      <c r="G16" s="7" t="s">
        <v>1507</v>
      </c>
    </row>
    <row r="17" spans="2:7" ht="34.799999999999997">
      <c r="B17" s="8" t="s">
        <v>1522</v>
      </c>
      <c r="C17" s="3" t="s">
        <v>1508</v>
      </c>
      <c r="D17" s="3" t="s">
        <v>1509</v>
      </c>
      <c r="E17" s="3" t="s">
        <v>1510</v>
      </c>
      <c r="F17" s="3" t="s">
        <v>1511</v>
      </c>
      <c r="G17" s="8" t="s">
        <v>1523</v>
      </c>
    </row>
    <row r="18" spans="2:7" ht="69.599999999999994">
      <c r="B18" s="8" t="s">
        <v>1512</v>
      </c>
      <c r="C18" s="3" t="s">
        <v>1513</v>
      </c>
      <c r="D18" s="3" t="s">
        <v>1514</v>
      </c>
      <c r="E18" s="3" t="s">
        <v>565</v>
      </c>
      <c r="F18" s="3" t="s">
        <v>1515</v>
      </c>
      <c r="G18" s="3" t="s">
        <v>1516</v>
      </c>
    </row>
    <row r="19" spans="2:7" ht="69.599999999999994">
      <c r="B19" s="8" t="s">
        <v>1517</v>
      </c>
      <c r="C19" s="3" t="s">
        <v>1518</v>
      </c>
      <c r="D19" s="3" t="s">
        <v>1519</v>
      </c>
      <c r="E19" s="3" t="s">
        <v>565</v>
      </c>
      <c r="F19" s="3" t="s">
        <v>1520</v>
      </c>
      <c r="G19" s="3" t="s">
        <v>1521</v>
      </c>
    </row>
    <row r="20" spans="2:7">
      <c r="C20" s="30"/>
    </row>
    <row r="21" spans="2:7">
      <c r="C21" s="34"/>
    </row>
    <row r="22" spans="2:7">
      <c r="C22" s="55"/>
    </row>
    <row r="23" spans="2:7">
      <c r="B23" s="7" t="s">
        <v>85</v>
      </c>
      <c r="C23" s="7" t="s">
        <v>1524</v>
      </c>
      <c r="D23" s="7" t="s">
        <v>1525</v>
      </c>
    </row>
    <row r="24" spans="2:7">
      <c r="B24" s="3" t="s">
        <v>147</v>
      </c>
      <c r="C24" s="3" t="s">
        <v>1526</v>
      </c>
      <c r="D24" s="3" t="s">
        <v>1527</v>
      </c>
    </row>
    <row r="25" spans="2:7">
      <c r="B25" s="3" t="s">
        <v>1528</v>
      </c>
      <c r="C25" s="3" t="s">
        <v>1529</v>
      </c>
      <c r="D25" s="3" t="s">
        <v>1530</v>
      </c>
    </row>
    <row r="26" spans="2:7">
      <c r="B26" s="3" t="s">
        <v>1505</v>
      </c>
      <c r="C26" s="3" t="s">
        <v>1531</v>
      </c>
      <c r="D26" s="8" t="s">
        <v>1532</v>
      </c>
    </row>
    <row r="27" spans="2:7">
      <c r="B27" s="3" t="s">
        <v>1533</v>
      </c>
      <c r="C27" s="3" t="s">
        <v>1534</v>
      </c>
      <c r="D27" s="3" t="s">
        <v>1535</v>
      </c>
    </row>
    <row r="30" spans="2:7">
      <c r="B30" s="7" t="s">
        <v>83</v>
      </c>
      <c r="C30" s="7" t="s">
        <v>82</v>
      </c>
      <c r="D30" s="7" t="s">
        <v>1536</v>
      </c>
    </row>
    <row r="31" spans="2:7">
      <c r="B31" s="8" t="s">
        <v>1537</v>
      </c>
      <c r="C31" s="3" t="s">
        <v>1538</v>
      </c>
      <c r="D31" s="3" t="s">
        <v>1539</v>
      </c>
    </row>
    <row r="32" spans="2:7" ht="34.799999999999997">
      <c r="B32" s="8" t="s">
        <v>1540</v>
      </c>
      <c r="C32" s="3" t="s">
        <v>1541</v>
      </c>
      <c r="D32" s="3" t="s">
        <v>1542</v>
      </c>
    </row>
    <row r="33" spans="2:4">
      <c r="B33" s="78" t="s">
        <v>1543</v>
      </c>
      <c r="C33" s="8" t="s">
        <v>1544</v>
      </c>
      <c r="D33" s="77" t="s">
        <v>1547</v>
      </c>
    </row>
    <row r="34" spans="2:4">
      <c r="B34" s="78"/>
      <c r="C34" s="3" t="s">
        <v>1545</v>
      </c>
      <c r="D34" s="77"/>
    </row>
    <row r="35" spans="2:4">
      <c r="B35" s="78"/>
      <c r="C35" s="3" t="s">
        <v>1546</v>
      </c>
      <c r="D35" s="77"/>
    </row>
    <row r="36" spans="2:4">
      <c r="B36" s="78" t="s">
        <v>1548</v>
      </c>
      <c r="C36" s="8" t="s">
        <v>1549</v>
      </c>
      <c r="D36" s="78" t="s">
        <v>1551</v>
      </c>
    </row>
    <row r="37" spans="2:4">
      <c r="B37" s="78"/>
      <c r="C37" s="3" t="s">
        <v>1550</v>
      </c>
      <c r="D37" s="78"/>
    </row>
    <row r="38" spans="2:4">
      <c r="B38" s="78" t="s">
        <v>1552</v>
      </c>
      <c r="C38" s="3" t="s">
        <v>1553</v>
      </c>
      <c r="D38" s="77" t="s">
        <v>1555</v>
      </c>
    </row>
    <row r="39" spans="2:4">
      <c r="B39" s="78"/>
      <c r="C39" s="3" t="s">
        <v>1554</v>
      </c>
      <c r="D39" s="77"/>
    </row>
    <row r="42" spans="2:4" ht="21">
      <c r="B42" s="12" t="s">
        <v>1565</v>
      </c>
      <c r="C42" s="31"/>
    </row>
    <row r="43" spans="2:4">
      <c r="B43" s="55" t="s">
        <v>1556</v>
      </c>
      <c r="C43" s="30"/>
    </row>
    <row r="44" spans="2:4">
      <c r="B44" s="34" t="s">
        <v>1566</v>
      </c>
    </row>
    <row r="45" spans="2:4">
      <c r="B45" s="31" t="s">
        <v>1557</v>
      </c>
    </row>
    <row r="46" spans="2:4">
      <c r="B46" s="34" t="s">
        <v>1558</v>
      </c>
    </row>
    <row r="47" spans="2:4">
      <c r="B47" s="31" t="s">
        <v>1559</v>
      </c>
    </row>
    <row r="48" spans="2:4">
      <c r="B48" s="55" t="s">
        <v>1560</v>
      </c>
    </row>
    <row r="49" spans="2:3">
      <c r="B49" s="55" t="s">
        <v>1561</v>
      </c>
    </row>
    <row r="50" spans="2:3">
      <c r="B50" s="31" t="s">
        <v>1562</v>
      </c>
    </row>
    <row r="51" spans="2:3">
      <c r="B51" s="55" t="s">
        <v>1563</v>
      </c>
    </row>
    <row r="52" spans="2:3">
      <c r="B52" s="34" t="s">
        <v>1564</v>
      </c>
    </row>
    <row r="57" spans="2:3">
      <c r="B57" t="s">
        <v>2051</v>
      </c>
    </row>
    <row r="58" spans="2:3" ht="226.2">
      <c r="B58" s="8" t="s">
        <v>1902</v>
      </c>
      <c r="C58" s="3" t="s">
        <v>2049</v>
      </c>
    </row>
    <row r="59" spans="2:3" ht="156.6">
      <c r="B59" s="8" t="s">
        <v>1907</v>
      </c>
      <c r="C59" s="35" t="s">
        <v>2052</v>
      </c>
    </row>
    <row r="60" spans="2:3" ht="174">
      <c r="B60" s="8" t="s">
        <v>1911</v>
      </c>
      <c r="C60" s="35" t="s">
        <v>2050</v>
      </c>
    </row>
  </sheetData>
  <mergeCells count="13">
    <mergeCell ref="B12:B13"/>
    <mergeCell ref="D12:D13"/>
    <mergeCell ref="B5:B6"/>
    <mergeCell ref="D5:D6"/>
    <mergeCell ref="B7:B9"/>
    <mergeCell ref="B10:B11"/>
    <mergeCell ref="D10:D11"/>
    <mergeCell ref="B33:B35"/>
    <mergeCell ref="D33:D35"/>
    <mergeCell ref="B36:B37"/>
    <mergeCell ref="D36:D37"/>
    <mergeCell ref="B38:B39"/>
    <mergeCell ref="D38:D39"/>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3:D30"/>
  <sheetViews>
    <sheetView topLeftCell="D1" zoomScale="115" zoomScaleNormal="115" workbookViewId="0">
      <selection activeCell="F5" sqref="F5"/>
    </sheetView>
  </sheetViews>
  <sheetFormatPr defaultRowHeight="17.399999999999999"/>
  <cols>
    <col min="1" max="1" width="11" customWidth="1"/>
    <col min="2" max="2" width="44.19921875" customWidth="1"/>
    <col min="3" max="3" width="48.09765625" customWidth="1"/>
    <col min="4" max="4" width="28.19921875" customWidth="1"/>
  </cols>
  <sheetData>
    <row r="3" spans="2:4">
      <c r="B3" s="11" t="s">
        <v>759</v>
      </c>
    </row>
    <row r="4" spans="2:4">
      <c r="B4" s="7" t="s">
        <v>302</v>
      </c>
      <c r="C4" s="7" t="s">
        <v>749</v>
      </c>
      <c r="D4" s="7" t="s">
        <v>467</v>
      </c>
    </row>
    <row r="5" spans="2:4" ht="34.799999999999997">
      <c r="B5" s="78" t="s">
        <v>625</v>
      </c>
      <c r="C5" s="78" t="s">
        <v>757</v>
      </c>
      <c r="D5" s="3" t="s">
        <v>750</v>
      </c>
    </row>
    <row r="6" spans="2:4" ht="34.799999999999997">
      <c r="B6" s="78"/>
      <c r="C6" s="77"/>
      <c r="D6" s="3" t="s">
        <v>751</v>
      </c>
    </row>
    <row r="7" spans="2:4" ht="34.799999999999997">
      <c r="B7" s="78"/>
      <c r="C7" s="77"/>
      <c r="D7" s="3" t="s">
        <v>752</v>
      </c>
    </row>
    <row r="8" spans="2:4" ht="34.799999999999997">
      <c r="B8" s="78" t="s">
        <v>753</v>
      </c>
      <c r="C8" s="78" t="s">
        <v>758</v>
      </c>
      <c r="D8" s="3" t="s">
        <v>754</v>
      </c>
    </row>
    <row r="9" spans="2:4" ht="34.799999999999997">
      <c r="B9" s="78"/>
      <c r="C9" s="77"/>
      <c r="D9" s="3" t="s">
        <v>755</v>
      </c>
    </row>
    <row r="10" spans="2:4" ht="34.799999999999997">
      <c r="B10" s="78"/>
      <c r="C10" s="77"/>
      <c r="D10" s="3" t="s">
        <v>756</v>
      </c>
    </row>
    <row r="11" spans="2:4">
      <c r="B11" s="6"/>
      <c r="C11" s="21"/>
      <c r="D11" s="21"/>
    </row>
    <row r="13" spans="2:4">
      <c r="B13" s="7" t="s">
        <v>83</v>
      </c>
      <c r="C13" s="7" t="s">
        <v>760</v>
      </c>
    </row>
    <row r="14" spans="2:4">
      <c r="B14" s="78" t="s">
        <v>761</v>
      </c>
      <c r="C14" s="3" t="s">
        <v>762</v>
      </c>
    </row>
    <row r="15" spans="2:4" ht="34.799999999999997">
      <c r="B15" s="78"/>
      <c r="C15" s="3" t="s">
        <v>763</v>
      </c>
    </row>
    <row r="16" spans="2:4">
      <c r="B16" s="78" t="s">
        <v>764</v>
      </c>
      <c r="C16" s="3" t="s">
        <v>765</v>
      </c>
    </row>
    <row r="17" spans="2:3" ht="34.799999999999997">
      <c r="B17" s="78"/>
      <c r="C17" s="3" t="s">
        <v>766</v>
      </c>
    </row>
    <row r="18" spans="2:3" ht="34.799999999999997">
      <c r="B18" s="78" t="s">
        <v>767</v>
      </c>
      <c r="C18" s="3" t="s">
        <v>768</v>
      </c>
    </row>
    <row r="19" spans="2:3">
      <c r="B19" s="78"/>
      <c r="C19" s="3" t="s">
        <v>769</v>
      </c>
    </row>
    <row r="21" spans="2:3">
      <c r="B21" s="36" t="s">
        <v>770</v>
      </c>
    </row>
    <row r="22" spans="2:3">
      <c r="B22" t="s">
        <v>771</v>
      </c>
    </row>
    <row r="24" spans="2:3">
      <c r="B24" t="s">
        <v>828</v>
      </c>
    </row>
    <row r="25" spans="2:3">
      <c r="B25" s="7" t="s">
        <v>83</v>
      </c>
      <c r="C25" s="7" t="s">
        <v>82</v>
      </c>
    </row>
    <row r="26" spans="2:3" ht="52.2">
      <c r="B26" s="8" t="s">
        <v>829</v>
      </c>
      <c r="C26" s="3" t="s">
        <v>830</v>
      </c>
    </row>
    <row r="27" spans="2:3" ht="34.799999999999997">
      <c r="B27" s="8" t="s">
        <v>831</v>
      </c>
      <c r="C27" s="3" t="s">
        <v>832</v>
      </c>
    </row>
    <row r="28" spans="2:3" ht="34.799999999999997">
      <c r="B28" s="8" t="s">
        <v>833</v>
      </c>
      <c r="C28" s="3" t="s">
        <v>834</v>
      </c>
    </row>
    <row r="29" spans="2:3" ht="34.799999999999997">
      <c r="B29" s="8" t="s">
        <v>835</v>
      </c>
      <c r="C29" s="3" t="s">
        <v>836</v>
      </c>
    </row>
    <row r="30" spans="2:3" ht="52.2">
      <c r="B30" s="8" t="s">
        <v>837</v>
      </c>
      <c r="C30" s="3" t="s">
        <v>838</v>
      </c>
    </row>
  </sheetData>
  <mergeCells count="7">
    <mergeCell ref="B16:B17"/>
    <mergeCell ref="B18:B19"/>
    <mergeCell ref="B5:B7"/>
    <mergeCell ref="C5:C7"/>
    <mergeCell ref="B8:B10"/>
    <mergeCell ref="C8:C10"/>
    <mergeCell ref="B14:B15"/>
  </mergeCells>
  <phoneticPr fontId="1" type="noConversion"/>
  <hyperlinks>
    <hyperlink ref="B21" r:id="rId1" display="https://www.thebell.co.kr/free/content/ArticleView.asp?key=202501101127555640103766" xr:uid="{00000000-0004-0000-1300-000000000000}"/>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C38"/>
  <sheetViews>
    <sheetView workbookViewId="0">
      <selection activeCell="C11" sqref="C11"/>
    </sheetView>
  </sheetViews>
  <sheetFormatPr defaultRowHeight="17.399999999999999"/>
  <cols>
    <col min="2" max="2" width="30.59765625" customWidth="1"/>
    <col min="3" max="3" width="50.09765625" customWidth="1"/>
  </cols>
  <sheetData>
    <row r="2" spans="2:3">
      <c r="B2" s="11" t="s">
        <v>989</v>
      </c>
    </row>
    <row r="3" spans="2:3">
      <c r="B3" s="7" t="s">
        <v>83</v>
      </c>
      <c r="C3" s="7" t="s">
        <v>967</v>
      </c>
    </row>
    <row r="4" spans="2:3">
      <c r="B4" s="78" t="s">
        <v>968</v>
      </c>
      <c r="C4" s="3" t="s">
        <v>969</v>
      </c>
    </row>
    <row r="5" spans="2:3">
      <c r="B5" s="78"/>
      <c r="C5" s="3" t="s">
        <v>970</v>
      </c>
    </row>
    <row r="6" spans="2:3">
      <c r="B6" s="78"/>
      <c r="C6" s="3" t="s">
        <v>971</v>
      </c>
    </row>
    <row r="7" spans="2:3">
      <c r="B7" s="78" t="s">
        <v>972</v>
      </c>
      <c r="C7" s="3" t="s">
        <v>973</v>
      </c>
    </row>
    <row r="8" spans="2:3">
      <c r="B8" s="78"/>
      <c r="C8" s="3" t="s">
        <v>974</v>
      </c>
    </row>
    <row r="9" spans="2:3">
      <c r="B9" s="78"/>
      <c r="C9" s="3" t="s">
        <v>975</v>
      </c>
    </row>
    <row r="10" spans="2:3">
      <c r="B10" s="78" t="s">
        <v>976</v>
      </c>
      <c r="C10" s="3" t="s">
        <v>977</v>
      </c>
    </row>
    <row r="11" spans="2:3">
      <c r="B11" s="78"/>
      <c r="C11" s="3" t="s">
        <v>978</v>
      </c>
    </row>
    <row r="12" spans="2:3">
      <c r="B12" s="78"/>
      <c r="C12" s="3" t="s">
        <v>979</v>
      </c>
    </row>
    <row r="13" spans="2:3">
      <c r="B13" s="78" t="s">
        <v>980</v>
      </c>
      <c r="C13" s="3" t="s">
        <v>981</v>
      </c>
    </row>
    <row r="14" spans="2:3">
      <c r="B14" s="78"/>
      <c r="C14" s="3" t="s">
        <v>982</v>
      </c>
    </row>
    <row r="15" spans="2:3">
      <c r="B15" s="78"/>
      <c r="C15" s="5" t="s">
        <v>1013</v>
      </c>
    </row>
    <row r="16" spans="2:3">
      <c r="B16" s="78" t="s">
        <v>983</v>
      </c>
      <c r="C16" s="3" t="s">
        <v>984</v>
      </c>
    </row>
    <row r="17" spans="2:3">
      <c r="B17" s="78"/>
      <c r="C17" s="3" t="s">
        <v>985</v>
      </c>
    </row>
    <row r="18" spans="2:3">
      <c r="B18" s="78" t="s">
        <v>986</v>
      </c>
      <c r="C18" s="3" t="s">
        <v>987</v>
      </c>
    </row>
    <row r="19" spans="2:3">
      <c r="B19" s="78"/>
      <c r="C19" s="3" t="s">
        <v>988</v>
      </c>
    </row>
    <row r="21" spans="2:3">
      <c r="B21" s="11" t="s">
        <v>990</v>
      </c>
    </row>
    <row r="22" spans="2:3">
      <c r="B22" s="7" t="s">
        <v>83</v>
      </c>
      <c r="C22" s="7" t="s">
        <v>967</v>
      </c>
    </row>
    <row r="23" spans="2:3" ht="34.799999999999997">
      <c r="B23" s="78" t="s">
        <v>991</v>
      </c>
      <c r="C23" s="3" t="s">
        <v>992</v>
      </c>
    </row>
    <row r="24" spans="2:3">
      <c r="B24" s="78"/>
      <c r="C24" s="3" t="s">
        <v>993</v>
      </c>
    </row>
    <row r="25" spans="2:3">
      <c r="B25" s="78"/>
      <c r="C25" s="3" t="s">
        <v>994</v>
      </c>
    </row>
    <row r="26" spans="2:3">
      <c r="B26" s="78" t="s">
        <v>995</v>
      </c>
      <c r="C26" s="3" t="s">
        <v>996</v>
      </c>
    </row>
    <row r="27" spans="2:3">
      <c r="B27" s="78"/>
      <c r="C27" s="3" t="s">
        <v>997</v>
      </c>
    </row>
    <row r="28" spans="2:3">
      <c r="B28" s="78"/>
      <c r="C28" s="3" t="s">
        <v>998</v>
      </c>
    </row>
    <row r="29" spans="2:3">
      <c r="B29" s="78" t="s">
        <v>999</v>
      </c>
      <c r="C29" s="3" t="s">
        <v>1000</v>
      </c>
    </row>
    <row r="30" spans="2:3">
      <c r="B30" s="78"/>
      <c r="C30" s="3" t="s">
        <v>1001</v>
      </c>
    </row>
    <row r="31" spans="2:3">
      <c r="B31" s="78"/>
      <c r="C31" s="3" t="s">
        <v>1002</v>
      </c>
    </row>
    <row r="32" spans="2:3">
      <c r="B32" s="78" t="s">
        <v>1003</v>
      </c>
      <c r="C32" s="3" t="s">
        <v>1004</v>
      </c>
    </row>
    <row r="33" spans="2:3">
      <c r="B33" s="78"/>
      <c r="C33" s="3" t="s">
        <v>1005</v>
      </c>
    </row>
    <row r="34" spans="2:3">
      <c r="B34" s="78"/>
      <c r="C34" s="3" t="s">
        <v>1006</v>
      </c>
    </row>
    <row r="35" spans="2:3">
      <c r="B35" s="78" t="s">
        <v>1007</v>
      </c>
      <c r="C35" s="3" t="s">
        <v>1008</v>
      </c>
    </row>
    <row r="36" spans="2:3">
      <c r="B36" s="78"/>
      <c r="C36" s="3" t="s">
        <v>1009</v>
      </c>
    </row>
    <row r="37" spans="2:3">
      <c r="B37" s="78" t="s">
        <v>1010</v>
      </c>
      <c r="C37" s="3" t="s">
        <v>1011</v>
      </c>
    </row>
    <row r="38" spans="2:3">
      <c r="B38" s="78"/>
      <c r="C38" s="3" t="s">
        <v>1012</v>
      </c>
    </row>
  </sheetData>
  <mergeCells count="12">
    <mergeCell ref="B37:B38"/>
    <mergeCell ref="B4:B6"/>
    <mergeCell ref="B7:B9"/>
    <mergeCell ref="B10:B12"/>
    <mergeCell ref="B13:B15"/>
    <mergeCell ref="B16:B17"/>
    <mergeCell ref="B18:B19"/>
    <mergeCell ref="B23:B25"/>
    <mergeCell ref="B26:B28"/>
    <mergeCell ref="B29:B31"/>
    <mergeCell ref="B32:B34"/>
    <mergeCell ref="B35:B36"/>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D241"/>
  <sheetViews>
    <sheetView topLeftCell="A70" workbookViewId="0">
      <selection activeCell="C71" sqref="C71"/>
    </sheetView>
  </sheetViews>
  <sheetFormatPr defaultRowHeight="17.399999999999999"/>
  <cols>
    <col min="2" max="2" width="13.69921875" customWidth="1"/>
    <col min="3" max="3" width="97" customWidth="1"/>
    <col min="4" max="4" width="37.59765625" customWidth="1"/>
  </cols>
  <sheetData>
    <row r="2" spans="2:3">
      <c r="B2" s="11" t="s">
        <v>1158</v>
      </c>
    </row>
    <row r="3" spans="2:3">
      <c r="B3" s="7" t="s">
        <v>302</v>
      </c>
      <c r="C3" s="7" t="s">
        <v>1443</v>
      </c>
    </row>
    <row r="4" spans="2:3">
      <c r="B4" s="78" t="s">
        <v>304</v>
      </c>
      <c r="C4" s="3" t="s">
        <v>1439</v>
      </c>
    </row>
    <row r="5" spans="2:3">
      <c r="B5" s="78"/>
      <c r="C5" s="3" t="s">
        <v>1440</v>
      </c>
    </row>
    <row r="6" spans="2:3">
      <c r="B6" s="78"/>
      <c r="C6" s="3" t="s">
        <v>1441</v>
      </c>
    </row>
    <row r="7" spans="2:3">
      <c r="B7" s="78"/>
      <c r="C7" s="3" t="s">
        <v>1442</v>
      </c>
    </row>
    <row r="8" spans="2:3">
      <c r="B8" s="87" t="s">
        <v>1086</v>
      </c>
      <c r="C8" s="45" t="s">
        <v>1446</v>
      </c>
    </row>
    <row r="9" spans="2:3">
      <c r="B9" s="87"/>
      <c r="C9" s="45" t="s">
        <v>1445</v>
      </c>
    </row>
    <row r="10" spans="2:3">
      <c r="B10" s="87"/>
      <c r="C10" s="45" t="s">
        <v>1444</v>
      </c>
    </row>
    <row r="11" spans="2:3">
      <c r="B11" s="87"/>
      <c r="C11" s="45" t="s">
        <v>1447</v>
      </c>
    </row>
    <row r="12" spans="2:3">
      <c r="B12" s="87" t="s">
        <v>1090</v>
      </c>
      <c r="C12" s="45" t="s">
        <v>1448</v>
      </c>
    </row>
    <row r="13" spans="2:3">
      <c r="B13" s="87"/>
      <c r="C13" s="45" t="s">
        <v>1449</v>
      </c>
    </row>
    <row r="14" spans="2:3">
      <c r="B14" s="87"/>
      <c r="C14" s="45" t="s">
        <v>1450</v>
      </c>
    </row>
    <row r="15" spans="2:3">
      <c r="B15" s="87"/>
      <c r="C15" s="45" t="s">
        <v>1451</v>
      </c>
    </row>
    <row r="16" spans="2:3">
      <c r="B16" s="78" t="s">
        <v>1094</v>
      </c>
      <c r="C16" s="3" t="s">
        <v>1452</v>
      </c>
    </row>
    <row r="17" spans="2:3">
      <c r="B17" s="78"/>
      <c r="C17" s="3" t="s">
        <v>1453</v>
      </c>
    </row>
    <row r="18" spans="2:3">
      <c r="B18" s="78"/>
      <c r="C18" s="3" t="s">
        <v>1454</v>
      </c>
    </row>
    <row r="19" spans="2:3">
      <c r="B19" s="78"/>
      <c r="C19" s="3" t="s">
        <v>1455</v>
      </c>
    </row>
    <row r="20" spans="2:3">
      <c r="B20" s="11"/>
    </row>
    <row r="21" spans="2:3">
      <c r="B21" s="11" t="s">
        <v>1159</v>
      </c>
    </row>
    <row r="22" spans="2:3">
      <c r="B22" s="30" t="s">
        <v>1160</v>
      </c>
    </row>
    <row r="23" spans="2:3">
      <c r="B23" s="30" t="s">
        <v>1161</v>
      </c>
    </row>
    <row r="24" spans="2:3">
      <c r="B24" s="31" t="s">
        <v>1162</v>
      </c>
    </row>
    <row r="26" spans="2:3">
      <c r="B26" s="11" t="s">
        <v>1163</v>
      </c>
    </row>
    <row r="27" spans="2:3">
      <c r="B27" s="30" t="s">
        <v>1164</v>
      </c>
    </row>
    <row r="28" spans="2:3">
      <c r="B28" s="30" t="s">
        <v>1165</v>
      </c>
    </row>
    <row r="29" spans="2:3">
      <c r="B29" s="31" t="s">
        <v>1166</v>
      </c>
    </row>
    <row r="30" spans="2:3">
      <c r="B30" s="11" t="s">
        <v>1456</v>
      </c>
    </row>
    <row r="31" spans="2:3">
      <c r="B31" s="11"/>
    </row>
    <row r="32" spans="2:3">
      <c r="B32" s="11" t="s">
        <v>1167</v>
      </c>
    </row>
    <row r="33" spans="2:4">
      <c r="B33" s="30" t="s">
        <v>1168</v>
      </c>
    </row>
    <row r="34" spans="2:4">
      <c r="B34" s="30" t="s">
        <v>1169</v>
      </c>
    </row>
    <row r="35" spans="2:4">
      <c r="B35" s="31" t="s">
        <v>1170</v>
      </c>
    </row>
    <row r="36" spans="2:4">
      <c r="B36" s="31"/>
    </row>
    <row r="37" spans="2:4" ht="21">
      <c r="B37" s="12" t="s">
        <v>1457</v>
      </c>
    </row>
    <row r="38" spans="2:4">
      <c r="B38" s="30" t="s">
        <v>1458</v>
      </c>
    </row>
    <row r="39" spans="2:4">
      <c r="B39" s="30" t="s">
        <v>1459</v>
      </c>
    </row>
    <row r="40" spans="2:4">
      <c r="B40" s="30" t="s">
        <v>1460</v>
      </c>
    </row>
    <row r="41" spans="2:4">
      <c r="B41" s="31"/>
    </row>
    <row r="43" spans="2:4">
      <c r="B43" s="6" t="s">
        <v>827</v>
      </c>
    </row>
    <row r="44" spans="2:4">
      <c r="B44" s="7" t="s">
        <v>302</v>
      </c>
      <c r="C44" s="7" t="s">
        <v>454</v>
      </c>
      <c r="D44" s="7" t="s">
        <v>150</v>
      </c>
    </row>
    <row r="45" spans="2:4" ht="34.799999999999997">
      <c r="B45" s="78" t="s">
        <v>625</v>
      </c>
      <c r="C45" s="77" t="s">
        <v>811</v>
      </c>
      <c r="D45" s="3" t="s">
        <v>812</v>
      </c>
    </row>
    <row r="46" spans="2:4" ht="34.799999999999997">
      <c r="B46" s="78"/>
      <c r="C46" s="77"/>
      <c r="D46" s="35" t="s">
        <v>813</v>
      </c>
    </row>
    <row r="47" spans="2:4">
      <c r="B47" s="78"/>
      <c r="C47" s="77"/>
      <c r="D47" s="35" t="s">
        <v>814</v>
      </c>
    </row>
    <row r="48" spans="2:4">
      <c r="B48" s="78" t="s">
        <v>629</v>
      </c>
      <c r="C48" s="78" t="s">
        <v>815</v>
      </c>
      <c r="D48" s="35" t="s">
        <v>816</v>
      </c>
    </row>
    <row r="49" spans="2:4">
      <c r="B49" s="78"/>
      <c r="C49" s="78"/>
      <c r="D49" s="35" t="s">
        <v>817</v>
      </c>
    </row>
    <row r="50" spans="2:4" ht="34.799999999999997">
      <c r="B50" s="78"/>
      <c r="C50" s="78"/>
      <c r="D50" s="35" t="s">
        <v>825</v>
      </c>
    </row>
    <row r="51" spans="2:4">
      <c r="B51" s="78" t="s">
        <v>633</v>
      </c>
      <c r="C51" s="77" t="s">
        <v>818</v>
      </c>
      <c r="D51" s="35" t="s">
        <v>819</v>
      </c>
    </row>
    <row r="52" spans="2:4" ht="34.799999999999997">
      <c r="B52" s="78"/>
      <c r="C52" s="77"/>
      <c r="D52" s="35" t="s">
        <v>826</v>
      </c>
    </row>
    <row r="53" spans="2:4" ht="34.799999999999997">
      <c r="B53" s="78"/>
      <c r="C53" s="77"/>
      <c r="D53" s="35" t="s">
        <v>820</v>
      </c>
    </row>
    <row r="54" spans="2:4" ht="34.799999999999997">
      <c r="B54" s="78" t="s">
        <v>636</v>
      </c>
      <c r="C54" s="77" t="s">
        <v>821</v>
      </c>
      <c r="D54" s="35" t="s">
        <v>822</v>
      </c>
    </row>
    <row r="55" spans="2:4">
      <c r="B55" s="78"/>
      <c r="C55" s="77"/>
      <c r="D55" s="35" t="s">
        <v>823</v>
      </c>
    </row>
    <row r="56" spans="2:4">
      <c r="B56" s="78"/>
      <c r="C56" s="77"/>
      <c r="D56" s="35" t="s">
        <v>824</v>
      </c>
    </row>
    <row r="60" spans="2:4">
      <c r="B60" s="11" t="s">
        <v>1180</v>
      </c>
    </row>
    <row r="61" spans="2:4">
      <c r="B61" s="44" t="s">
        <v>83</v>
      </c>
      <c r="C61" s="44" t="s">
        <v>454</v>
      </c>
    </row>
    <row r="62" spans="2:4" ht="52.2">
      <c r="B62" s="46" t="s">
        <v>1171</v>
      </c>
      <c r="C62" s="43" t="s">
        <v>1176</v>
      </c>
    </row>
    <row r="63" spans="2:4" ht="69.599999999999994">
      <c r="B63" s="46" t="s">
        <v>1172</v>
      </c>
      <c r="C63" s="47" t="s">
        <v>1177</v>
      </c>
      <c r="D63" t="s">
        <v>1183</v>
      </c>
    </row>
    <row r="64" spans="2:4" ht="52.2">
      <c r="B64" s="46" t="s">
        <v>1173</v>
      </c>
      <c r="C64" s="47" t="s">
        <v>1181</v>
      </c>
      <c r="D64" t="s">
        <v>1182</v>
      </c>
    </row>
    <row r="65" spans="2:3" ht="52.2">
      <c r="B65" s="46" t="s">
        <v>1174</v>
      </c>
      <c r="C65" s="47" t="s">
        <v>1178</v>
      </c>
    </row>
    <row r="66" spans="2:3" ht="52.2">
      <c r="B66" s="46" t="s">
        <v>1175</v>
      </c>
      <c r="C66" s="43" t="s">
        <v>1179</v>
      </c>
    </row>
    <row r="69" spans="2:3">
      <c r="B69" s="66" t="s">
        <v>2352</v>
      </c>
    </row>
    <row r="70" spans="2:3" ht="243.6">
      <c r="B70" s="46" t="s">
        <v>1172</v>
      </c>
      <c r="C70" s="47" t="s">
        <v>2353</v>
      </c>
    </row>
    <row r="71" spans="2:3" ht="191.4">
      <c r="B71" s="46" t="s">
        <v>1173</v>
      </c>
      <c r="C71" s="47" t="s">
        <v>2354</v>
      </c>
    </row>
    <row r="72" spans="2:3" ht="156.6">
      <c r="B72" s="46" t="s">
        <v>1174</v>
      </c>
      <c r="C72" s="47" t="s">
        <v>2355</v>
      </c>
    </row>
    <row r="141" spans="2:3">
      <c r="B141" s="1" t="s">
        <v>1916</v>
      </c>
    </row>
    <row r="142" spans="2:3">
      <c r="B142" s="7" t="s">
        <v>302</v>
      </c>
      <c r="C142" s="7" t="s">
        <v>454</v>
      </c>
    </row>
    <row r="143" spans="2:3">
      <c r="B143" s="78" t="s">
        <v>1896</v>
      </c>
      <c r="C143" s="3" t="s">
        <v>1898</v>
      </c>
    </row>
    <row r="144" spans="2:3">
      <c r="B144" s="78"/>
      <c r="C144" s="3" t="s">
        <v>1899</v>
      </c>
    </row>
    <row r="145" spans="2:3">
      <c r="B145" s="78"/>
      <c r="C145" s="3" t="s">
        <v>1900</v>
      </c>
    </row>
    <row r="146" spans="2:3">
      <c r="B146" s="78"/>
      <c r="C146" s="3" t="s">
        <v>1901</v>
      </c>
    </row>
    <row r="147" spans="2:3">
      <c r="B147" s="78" t="s">
        <v>1902</v>
      </c>
      <c r="C147" s="3" t="s">
        <v>1903</v>
      </c>
    </row>
    <row r="148" spans="2:3">
      <c r="B148" s="78"/>
      <c r="C148" s="3" t="s">
        <v>1904</v>
      </c>
    </row>
    <row r="149" spans="2:3">
      <c r="B149" s="78"/>
      <c r="C149" s="3" t="s">
        <v>1905</v>
      </c>
    </row>
    <row r="150" spans="2:3">
      <c r="B150" s="78"/>
      <c r="C150" s="3" t="s">
        <v>1906</v>
      </c>
    </row>
    <row r="151" spans="2:3">
      <c r="B151" s="78" t="s">
        <v>1907</v>
      </c>
      <c r="C151" s="3" t="s">
        <v>1908</v>
      </c>
    </row>
    <row r="152" spans="2:3">
      <c r="B152" s="78"/>
      <c r="C152" s="3" t="s">
        <v>1909</v>
      </c>
    </row>
    <row r="153" spans="2:3">
      <c r="B153" s="78"/>
      <c r="C153" s="3" t="s">
        <v>1910</v>
      </c>
    </row>
    <row r="154" spans="2:3">
      <c r="B154" s="78" t="s">
        <v>1911</v>
      </c>
      <c r="C154" s="3" t="s">
        <v>1912</v>
      </c>
    </row>
    <row r="155" spans="2:3">
      <c r="B155" s="78"/>
      <c r="C155" s="3" t="s">
        <v>1913</v>
      </c>
    </row>
    <row r="156" spans="2:3">
      <c r="B156" s="78"/>
      <c r="C156" s="3" t="s">
        <v>1914</v>
      </c>
    </row>
    <row r="157" spans="2:3">
      <c r="B157" s="78"/>
      <c r="C157" s="3" t="s">
        <v>1915</v>
      </c>
    </row>
    <row r="160" spans="2:3" ht="21">
      <c r="B160" s="12" t="s">
        <v>1917</v>
      </c>
    </row>
    <row r="161" spans="2:2">
      <c r="B161" s="30"/>
    </row>
    <row r="162" spans="2:2">
      <c r="B162" s="30" t="s">
        <v>1918</v>
      </c>
    </row>
    <row r="163" spans="2:2">
      <c r="B163" s="30" t="s">
        <v>1919</v>
      </c>
    </row>
    <row r="164" spans="2:2">
      <c r="B164" s="30"/>
    </row>
    <row r="165" spans="2:2">
      <c r="B165" s="30" t="s">
        <v>1920</v>
      </c>
    </row>
    <row r="166" spans="2:2">
      <c r="B166" s="30" t="s">
        <v>1921</v>
      </c>
    </row>
    <row r="168" spans="2:2" ht="21">
      <c r="B168" s="12" t="s">
        <v>1922</v>
      </c>
    </row>
    <row r="169" spans="2:2">
      <c r="B169" s="30"/>
    </row>
    <row r="170" spans="2:2">
      <c r="B170" s="30" t="s">
        <v>1923</v>
      </c>
    </row>
    <row r="171" spans="2:2">
      <c r="B171" s="30" t="s">
        <v>1924</v>
      </c>
    </row>
    <row r="172" spans="2:2">
      <c r="B172" s="30"/>
    </row>
    <row r="173" spans="2:2">
      <c r="B173" s="30" t="s">
        <v>1925</v>
      </c>
    </row>
    <row r="175" spans="2:2" ht="21">
      <c r="B175" s="12" t="s">
        <v>1926</v>
      </c>
    </row>
    <row r="176" spans="2:2">
      <c r="B176" s="30"/>
    </row>
    <row r="177" spans="2:2">
      <c r="B177" s="30" t="s">
        <v>1927</v>
      </c>
    </row>
    <row r="178" spans="2:2">
      <c r="B178" s="30" t="s">
        <v>1928</v>
      </c>
    </row>
    <row r="179" spans="2:2">
      <c r="B179" s="30"/>
    </row>
    <row r="180" spans="2:2">
      <c r="B180" s="30" t="s">
        <v>1929</v>
      </c>
    </row>
    <row r="182" spans="2:2" ht="21">
      <c r="B182" s="12" t="s">
        <v>1930</v>
      </c>
    </row>
    <row r="183" spans="2:2">
      <c r="B183" s="30"/>
    </row>
    <row r="184" spans="2:2">
      <c r="B184" s="30" t="s">
        <v>1931</v>
      </c>
    </row>
    <row r="185" spans="2:2">
      <c r="B185" s="30"/>
    </row>
    <row r="186" spans="2:2">
      <c r="B186" s="30" t="s">
        <v>1932</v>
      </c>
    </row>
    <row r="187" spans="2:2">
      <c r="B187" s="30"/>
    </row>
    <row r="188" spans="2:2">
      <c r="B188" s="30" t="s">
        <v>1933</v>
      </c>
    </row>
    <row r="190" spans="2:2" ht="21">
      <c r="B190" s="12" t="s">
        <v>1934</v>
      </c>
    </row>
    <row r="191" spans="2:2">
      <c r="B191" s="30"/>
    </row>
    <row r="192" spans="2:2">
      <c r="B192" s="30" t="s">
        <v>1935</v>
      </c>
    </row>
    <row r="193" spans="2:2">
      <c r="B193" s="30" t="s">
        <v>1936</v>
      </c>
    </row>
    <row r="194" spans="2:2">
      <c r="B194" s="30"/>
    </row>
    <row r="195" spans="2:2">
      <c r="B195" s="30" t="s">
        <v>1937</v>
      </c>
    </row>
    <row r="197" spans="2:2" ht="21">
      <c r="B197" s="12" t="s">
        <v>1938</v>
      </c>
    </row>
    <row r="198" spans="2:2">
      <c r="B198" s="30"/>
    </row>
    <row r="199" spans="2:2">
      <c r="B199" s="30" t="s">
        <v>1939</v>
      </c>
    </row>
    <row r="200" spans="2:2">
      <c r="B200" s="30" t="s">
        <v>1940</v>
      </c>
    </row>
    <row r="201" spans="2:2">
      <c r="B201" s="30"/>
    </row>
    <row r="202" spans="2:2">
      <c r="B202" s="30" t="s">
        <v>1941</v>
      </c>
    </row>
    <row r="203" spans="2:2">
      <c r="B203" s="30" t="s">
        <v>1942</v>
      </c>
    </row>
    <row r="206" spans="2:2" ht="27.6">
      <c r="B206" s="33" t="s">
        <v>1943</v>
      </c>
    </row>
    <row r="208" spans="2:2" ht="21">
      <c r="B208" s="12" t="s">
        <v>1944</v>
      </c>
    </row>
    <row r="209" spans="2:2">
      <c r="B209" s="30"/>
    </row>
    <row r="210" spans="2:2">
      <c r="B210" s="31" t="s">
        <v>1945</v>
      </c>
    </row>
    <row r="211" spans="2:2">
      <c r="B211" s="30"/>
    </row>
    <row r="212" spans="2:2">
      <c r="B212" s="30" t="s">
        <v>1946</v>
      </c>
    </row>
    <row r="214" spans="2:2" ht="21">
      <c r="B214" s="12" t="s">
        <v>1947</v>
      </c>
    </row>
    <row r="215" spans="2:2">
      <c r="B215" s="30"/>
    </row>
    <row r="216" spans="2:2">
      <c r="B216" s="31" t="s">
        <v>1948</v>
      </c>
    </row>
    <row r="217" spans="2:2">
      <c r="B217" s="30" t="s">
        <v>1949</v>
      </c>
    </row>
    <row r="218" spans="2:2">
      <c r="B218" s="30"/>
    </row>
    <row r="219" spans="2:2">
      <c r="B219" s="30" t="s">
        <v>1950</v>
      </c>
    </row>
    <row r="221" spans="2:2" ht="21">
      <c r="B221" s="12" t="s">
        <v>1951</v>
      </c>
    </row>
    <row r="222" spans="2:2">
      <c r="B222" s="30"/>
    </row>
    <row r="223" spans="2:2">
      <c r="B223" s="30" t="s">
        <v>1952</v>
      </c>
    </row>
    <row r="224" spans="2:2">
      <c r="B224" s="30" t="s">
        <v>1953</v>
      </c>
    </row>
    <row r="226" spans="2:3" ht="21">
      <c r="B226" s="12" t="s">
        <v>1954</v>
      </c>
    </row>
    <row r="227" spans="2:3">
      <c r="B227" s="30"/>
    </row>
    <row r="228" spans="2:3">
      <c r="B228" s="30" t="s">
        <v>1955</v>
      </c>
    </row>
    <row r="229" spans="2:3">
      <c r="B229" s="30" t="s">
        <v>1956</v>
      </c>
    </row>
    <row r="237" spans="2:3">
      <c r="B237" s="11" t="s">
        <v>1961</v>
      </c>
    </row>
    <row r="238" spans="2:3" ht="87">
      <c r="B238" s="8" t="s">
        <v>1896</v>
      </c>
      <c r="C238" s="3" t="s">
        <v>1958</v>
      </c>
    </row>
    <row r="239" spans="2:3" ht="87">
      <c r="B239" s="48" t="s">
        <v>1902</v>
      </c>
      <c r="C239" s="45" t="s">
        <v>1959</v>
      </c>
    </row>
    <row r="240" spans="2:3" ht="87">
      <c r="B240" s="48" t="s">
        <v>1907</v>
      </c>
      <c r="C240" s="45" t="s">
        <v>1960</v>
      </c>
    </row>
    <row r="241" spans="2:3" ht="121.8">
      <c r="B241" s="8" t="s">
        <v>1911</v>
      </c>
      <c r="C241" s="3" t="s">
        <v>1962</v>
      </c>
    </row>
  </sheetData>
  <mergeCells count="16">
    <mergeCell ref="B143:B146"/>
    <mergeCell ref="B147:B150"/>
    <mergeCell ref="B151:B153"/>
    <mergeCell ref="B154:B157"/>
    <mergeCell ref="B4:B7"/>
    <mergeCell ref="B8:B11"/>
    <mergeCell ref="B12:B15"/>
    <mergeCell ref="B16:B19"/>
    <mergeCell ref="B54:B56"/>
    <mergeCell ref="C54:C56"/>
    <mergeCell ref="B45:B47"/>
    <mergeCell ref="C45:C47"/>
    <mergeCell ref="B48:B50"/>
    <mergeCell ref="C48:C50"/>
    <mergeCell ref="B51:B53"/>
    <mergeCell ref="C51:C53"/>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D51"/>
  <sheetViews>
    <sheetView topLeftCell="A34" workbookViewId="0">
      <selection activeCell="C76" sqref="C76"/>
    </sheetView>
  </sheetViews>
  <sheetFormatPr defaultRowHeight="17.399999999999999"/>
  <cols>
    <col min="1" max="1" width="17.69921875" customWidth="1"/>
    <col min="2" max="2" width="40.59765625" customWidth="1"/>
    <col min="3" max="3" width="36.3984375" customWidth="1"/>
    <col min="4" max="4" width="23.59765625" customWidth="1"/>
  </cols>
  <sheetData>
    <row r="2" spans="1:4">
      <c r="A2" s="11" t="s">
        <v>281</v>
      </c>
    </row>
    <row r="3" spans="1:4">
      <c r="A3" s="7" t="s">
        <v>80</v>
      </c>
      <c r="B3" s="7" t="s">
        <v>228</v>
      </c>
      <c r="C3" s="7" t="s">
        <v>229</v>
      </c>
      <c r="D3" s="7" t="s">
        <v>230</v>
      </c>
    </row>
    <row r="4" spans="1:4" ht="52.2">
      <c r="A4" s="8" t="s">
        <v>231</v>
      </c>
      <c r="B4" s="3" t="s">
        <v>7</v>
      </c>
      <c r="C4" s="3" t="s">
        <v>232</v>
      </c>
      <c r="D4" s="3" t="s">
        <v>233</v>
      </c>
    </row>
    <row r="5" spans="1:4" ht="34.799999999999997">
      <c r="A5" s="8" t="s">
        <v>234</v>
      </c>
      <c r="B5" s="3" t="s">
        <v>84</v>
      </c>
      <c r="C5" s="3" t="s">
        <v>235</v>
      </c>
      <c r="D5" s="3" t="s">
        <v>236</v>
      </c>
    </row>
    <row r="6" spans="1:4" ht="34.799999999999997">
      <c r="A6" s="8" t="s">
        <v>237</v>
      </c>
      <c r="B6" s="3" t="s">
        <v>84</v>
      </c>
      <c r="C6" s="3" t="s">
        <v>238</v>
      </c>
      <c r="D6" s="3" t="s">
        <v>239</v>
      </c>
    </row>
    <row r="7" spans="1:4" ht="34.799999999999997">
      <c r="A7" s="8" t="s">
        <v>240</v>
      </c>
      <c r="B7" s="3" t="s">
        <v>241</v>
      </c>
      <c r="C7" s="3" t="s">
        <v>242</v>
      </c>
      <c r="D7" s="3" t="s">
        <v>243</v>
      </c>
    </row>
    <row r="8" spans="1:4" ht="34.799999999999997">
      <c r="A8" s="8" t="s">
        <v>244</v>
      </c>
      <c r="B8" s="3" t="s">
        <v>245</v>
      </c>
      <c r="C8" s="3" t="s">
        <v>246</v>
      </c>
      <c r="D8" s="3" t="s">
        <v>247</v>
      </c>
    </row>
    <row r="11" spans="1:4">
      <c r="A11" s="7" t="s">
        <v>83</v>
      </c>
      <c r="B11" s="7" t="s">
        <v>82</v>
      </c>
    </row>
    <row r="12" spans="1:4" ht="34.799999999999997">
      <c r="A12" s="8" t="s">
        <v>248</v>
      </c>
      <c r="B12" s="3" t="s">
        <v>249</v>
      </c>
    </row>
    <row r="13" spans="1:4" ht="34.799999999999997">
      <c r="A13" s="8" t="s">
        <v>250</v>
      </c>
      <c r="B13" s="3" t="s">
        <v>251</v>
      </c>
    </row>
    <row r="14" spans="1:4" ht="34.799999999999997">
      <c r="A14" s="8" t="s">
        <v>252</v>
      </c>
      <c r="B14" s="3" t="s">
        <v>253</v>
      </c>
    </row>
    <row r="15" spans="1:4" ht="34.799999999999997">
      <c r="A15" s="8" t="s">
        <v>254</v>
      </c>
      <c r="B15" s="3" t="s">
        <v>255</v>
      </c>
    </row>
    <row r="16" spans="1:4" ht="34.799999999999997">
      <c r="A16" s="8" t="s">
        <v>256</v>
      </c>
      <c r="B16" s="3" t="s">
        <v>257</v>
      </c>
    </row>
    <row r="17" spans="1:4" ht="34.799999999999997">
      <c r="A17" s="8" t="s">
        <v>258</v>
      </c>
      <c r="B17" s="3" t="s">
        <v>259</v>
      </c>
    </row>
    <row r="18" spans="1:4" ht="34.799999999999997">
      <c r="A18" s="8" t="s">
        <v>260</v>
      </c>
      <c r="B18" s="3" t="s">
        <v>261</v>
      </c>
    </row>
    <row r="21" spans="1:4">
      <c r="A21" s="7" t="s">
        <v>151</v>
      </c>
      <c r="B21" s="7" t="s">
        <v>262</v>
      </c>
      <c r="C21" s="7" t="s">
        <v>263</v>
      </c>
      <c r="D21" s="7" t="s">
        <v>150</v>
      </c>
    </row>
    <row r="22" spans="1:4" ht="52.2">
      <c r="A22" s="8" t="s">
        <v>95</v>
      </c>
      <c r="B22" s="3" t="s">
        <v>264</v>
      </c>
      <c r="C22" s="3" t="s">
        <v>265</v>
      </c>
      <c r="D22" s="3" t="s">
        <v>266</v>
      </c>
    </row>
    <row r="23" spans="1:4" ht="52.2">
      <c r="A23" s="8" t="s">
        <v>267</v>
      </c>
      <c r="B23" s="3" t="s">
        <v>268</v>
      </c>
      <c r="C23" s="3" t="s">
        <v>269</v>
      </c>
      <c r="D23" s="3" t="s">
        <v>270</v>
      </c>
    </row>
    <row r="24" spans="1:4" ht="52.2">
      <c r="A24" s="8" t="s">
        <v>88</v>
      </c>
      <c r="B24" s="3" t="s">
        <v>271</v>
      </c>
      <c r="C24" s="3" t="s">
        <v>272</v>
      </c>
      <c r="D24" s="3" t="s">
        <v>273</v>
      </c>
    </row>
    <row r="25" spans="1:4" ht="52.2">
      <c r="A25" s="8" t="s">
        <v>91</v>
      </c>
      <c r="B25" s="3" t="s">
        <v>274</v>
      </c>
      <c r="C25" s="3" t="s">
        <v>275</v>
      </c>
      <c r="D25" s="3" t="s">
        <v>276</v>
      </c>
    </row>
    <row r="26" spans="1:4" ht="52.2">
      <c r="A26" s="8" t="s">
        <v>277</v>
      </c>
      <c r="B26" s="3" t="s">
        <v>278</v>
      </c>
      <c r="C26" s="3" t="s">
        <v>279</v>
      </c>
      <c r="D26" s="3" t="s">
        <v>280</v>
      </c>
    </row>
    <row r="30" spans="1:4">
      <c r="A30" s="28" t="s">
        <v>282</v>
      </c>
      <c r="B30" s="29">
        <v>115256</v>
      </c>
    </row>
    <row r="31" spans="1:4">
      <c r="A31" s="28" t="s">
        <v>283</v>
      </c>
      <c r="B31" s="29">
        <v>12880</v>
      </c>
    </row>
    <row r="32" spans="1:4">
      <c r="B32" s="27">
        <f>B31/B30</f>
        <v>0.11175123203998057</v>
      </c>
    </row>
    <row r="34" spans="1:3">
      <c r="A34" s="7" t="s">
        <v>83</v>
      </c>
      <c r="B34" s="7" t="s">
        <v>82</v>
      </c>
      <c r="C34" s="7" t="s">
        <v>148</v>
      </c>
    </row>
    <row r="35" spans="1:3" ht="34.799999999999997">
      <c r="A35" s="8" t="s">
        <v>284</v>
      </c>
      <c r="B35" s="3" t="s">
        <v>285</v>
      </c>
      <c r="C35" s="3" t="s">
        <v>286</v>
      </c>
    </row>
    <row r="36" spans="1:3" ht="34.799999999999997">
      <c r="A36" s="8" t="s">
        <v>287</v>
      </c>
      <c r="B36" s="3" t="s">
        <v>288</v>
      </c>
      <c r="C36" s="3" t="s">
        <v>289</v>
      </c>
    </row>
    <row r="37" spans="1:3" ht="34.799999999999997">
      <c r="A37" s="8" t="s">
        <v>290</v>
      </c>
      <c r="B37" s="3" t="s">
        <v>291</v>
      </c>
      <c r="C37" s="3" t="s">
        <v>292</v>
      </c>
    </row>
    <row r="38" spans="1:3">
      <c r="A38" s="8" t="s">
        <v>293</v>
      </c>
      <c r="B38" s="3" t="s">
        <v>294</v>
      </c>
      <c r="C38" s="3" t="s">
        <v>295</v>
      </c>
    </row>
    <row r="39" spans="1:3" ht="34.799999999999997">
      <c r="A39" s="8" t="s">
        <v>296</v>
      </c>
      <c r="B39" s="3" t="s">
        <v>297</v>
      </c>
      <c r="C39" s="3" t="s">
        <v>298</v>
      </c>
    </row>
    <row r="40" spans="1:3" ht="34.799999999999997">
      <c r="A40" s="8" t="s">
        <v>299</v>
      </c>
      <c r="B40" s="3" t="s">
        <v>300</v>
      </c>
      <c r="C40" s="3" t="s">
        <v>301</v>
      </c>
    </row>
    <row r="41" spans="1:3">
      <c r="A41" s="6"/>
      <c r="B41" s="21"/>
      <c r="C41" s="21"/>
    </row>
    <row r="42" spans="1:3">
      <c r="A42" s="7" t="s">
        <v>740</v>
      </c>
      <c r="B42" s="7" t="s">
        <v>454</v>
      </c>
      <c r="C42" s="7" t="s">
        <v>467</v>
      </c>
    </row>
    <row r="43" spans="1:3" ht="33" customHeight="1">
      <c r="A43" s="78" t="s">
        <v>625</v>
      </c>
      <c r="B43" s="78" t="s">
        <v>741</v>
      </c>
      <c r="C43" s="102" t="s">
        <v>745</v>
      </c>
    </row>
    <row r="44" spans="1:3" ht="40.5" customHeight="1">
      <c r="A44" s="78"/>
      <c r="B44" s="78"/>
      <c r="C44" s="102"/>
    </row>
    <row r="45" spans="1:3" ht="49.5" customHeight="1">
      <c r="A45" s="78" t="s">
        <v>629</v>
      </c>
      <c r="B45" s="78" t="s">
        <v>742</v>
      </c>
      <c r="C45" s="102" t="s">
        <v>746</v>
      </c>
    </row>
    <row r="46" spans="1:3">
      <c r="A46" s="78"/>
      <c r="B46" s="78"/>
      <c r="C46" s="102"/>
    </row>
    <row r="47" spans="1:3" ht="49.5" customHeight="1">
      <c r="A47" s="78" t="s">
        <v>633</v>
      </c>
      <c r="B47" s="78" t="s">
        <v>743</v>
      </c>
      <c r="C47" s="102" t="s">
        <v>747</v>
      </c>
    </row>
    <row r="48" spans="1:3">
      <c r="A48" s="78"/>
      <c r="B48" s="78"/>
      <c r="C48" s="102"/>
    </row>
    <row r="49" spans="1:3" ht="33" customHeight="1">
      <c r="A49" s="78" t="s">
        <v>636</v>
      </c>
      <c r="B49" s="78" t="s">
        <v>744</v>
      </c>
      <c r="C49" s="102" t="s">
        <v>748</v>
      </c>
    </row>
    <row r="50" spans="1:3">
      <c r="A50" s="78"/>
      <c r="B50" s="78"/>
      <c r="C50" s="102"/>
    </row>
    <row r="51" spans="1:3">
      <c r="A51" s="6"/>
      <c r="B51" s="21"/>
      <c r="C51" s="21"/>
    </row>
  </sheetData>
  <mergeCells count="12">
    <mergeCell ref="A43:A44"/>
    <mergeCell ref="B43:B44"/>
    <mergeCell ref="C43:C44"/>
    <mergeCell ref="A45:A46"/>
    <mergeCell ref="B45:B46"/>
    <mergeCell ref="C45:C46"/>
    <mergeCell ref="A47:A48"/>
    <mergeCell ref="B47:B48"/>
    <mergeCell ref="C47:C48"/>
    <mergeCell ref="A49:A50"/>
    <mergeCell ref="B49:B50"/>
    <mergeCell ref="C49:C50"/>
  </mergeCells>
  <phoneticPr fontId="1"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4:D53"/>
  <sheetViews>
    <sheetView topLeftCell="A51" zoomScaleNormal="100" workbookViewId="0">
      <selection activeCell="B48" sqref="B48:C53"/>
    </sheetView>
  </sheetViews>
  <sheetFormatPr defaultRowHeight="17.399999999999999"/>
  <cols>
    <col min="2" max="2" width="16" customWidth="1"/>
    <col min="3" max="3" width="57.69921875" customWidth="1"/>
    <col min="4" max="4" width="31.5" customWidth="1"/>
  </cols>
  <sheetData>
    <row r="4" spans="2:3">
      <c r="B4" s="11" t="s">
        <v>1986</v>
      </c>
    </row>
    <row r="5" spans="2:3" ht="139.19999999999999">
      <c r="B5" s="8" t="s">
        <v>1896</v>
      </c>
      <c r="C5" s="3" t="s">
        <v>1987</v>
      </c>
    </row>
    <row r="6" spans="2:3" ht="139.19999999999999">
      <c r="B6" s="8" t="s">
        <v>1902</v>
      </c>
      <c r="C6" s="3" t="s">
        <v>1988</v>
      </c>
    </row>
    <row r="7" spans="2:3" ht="139.19999999999999">
      <c r="B7" s="8" t="s">
        <v>1907</v>
      </c>
      <c r="C7" s="3" t="s">
        <v>1989</v>
      </c>
    </row>
    <row r="8" spans="2:3" ht="139.19999999999999">
      <c r="B8" s="8" t="s">
        <v>1911</v>
      </c>
      <c r="C8" s="3" t="s">
        <v>1990</v>
      </c>
    </row>
    <row r="9" spans="2:3" ht="139.19999999999999">
      <c r="B9" s="8" t="s">
        <v>1991</v>
      </c>
      <c r="C9" s="3" t="s">
        <v>1992</v>
      </c>
    </row>
    <row r="11" spans="2:3">
      <c r="B11" s="6" t="s">
        <v>2216</v>
      </c>
    </row>
    <row r="12" spans="2:3" ht="52.2">
      <c r="B12" s="8" t="s">
        <v>1902</v>
      </c>
      <c r="C12" s="5" t="s">
        <v>2223</v>
      </c>
    </row>
    <row r="13" spans="2:3" ht="34.799999999999997">
      <c r="B13" s="8" t="s">
        <v>1907</v>
      </c>
      <c r="C13" s="62" t="s">
        <v>2221</v>
      </c>
    </row>
    <row r="14" spans="2:3" ht="52.2">
      <c r="B14" s="8" t="s">
        <v>1911</v>
      </c>
      <c r="C14" s="5" t="s">
        <v>2222</v>
      </c>
    </row>
    <row r="15" spans="2:3" ht="34.799999999999997">
      <c r="B15" s="8" t="s">
        <v>2218</v>
      </c>
      <c r="C15" s="3" t="s">
        <v>2217</v>
      </c>
    </row>
    <row r="16" spans="2:3" ht="34.799999999999997">
      <c r="B16" s="8" t="s">
        <v>2219</v>
      </c>
      <c r="C16" s="3" t="s">
        <v>2220</v>
      </c>
    </row>
    <row r="18" spans="2:4">
      <c r="B18" s="6"/>
    </row>
    <row r="19" spans="2:4">
      <c r="B19" s="7" t="s">
        <v>85</v>
      </c>
      <c r="C19" s="7" t="s">
        <v>150</v>
      </c>
      <c r="D19" s="2"/>
    </row>
    <row r="20" spans="2:4">
      <c r="B20" s="8" t="s">
        <v>1038</v>
      </c>
      <c r="C20" s="3" t="s">
        <v>2291</v>
      </c>
      <c r="D20" s="21"/>
    </row>
    <row r="21" spans="2:4">
      <c r="B21" s="8" t="s">
        <v>2292</v>
      </c>
      <c r="C21" s="3" t="s">
        <v>2293</v>
      </c>
      <c r="D21" s="21"/>
    </row>
    <row r="22" spans="2:4">
      <c r="B22" s="8" t="s">
        <v>2294</v>
      </c>
      <c r="C22" s="3" t="s">
        <v>2295</v>
      </c>
      <c r="D22" s="21"/>
    </row>
    <row r="23" spans="2:4" ht="34.799999999999997">
      <c r="B23" s="8" t="s">
        <v>2296</v>
      </c>
      <c r="C23" s="8" t="s">
        <v>2297</v>
      </c>
      <c r="D23" s="21"/>
    </row>
    <row r="24" spans="2:4">
      <c r="B24" s="8" t="s">
        <v>2298</v>
      </c>
      <c r="C24" s="3" t="s">
        <v>2299</v>
      </c>
      <c r="D24" s="21"/>
    </row>
    <row r="25" spans="2:4">
      <c r="B25" s="78" t="s">
        <v>2300</v>
      </c>
      <c r="C25" s="3" t="s">
        <v>2301</v>
      </c>
      <c r="D25" s="85"/>
    </row>
    <row r="26" spans="2:4">
      <c r="B26" s="78"/>
      <c r="C26" s="3" t="s">
        <v>2302</v>
      </c>
      <c r="D26" s="85"/>
    </row>
    <row r="27" spans="2:4" ht="34.799999999999997">
      <c r="B27" s="8" t="s">
        <v>2303</v>
      </c>
      <c r="C27" s="3" t="s">
        <v>2304</v>
      </c>
    </row>
    <row r="31" spans="2:4">
      <c r="B31" s="7" t="s">
        <v>83</v>
      </c>
      <c r="C31" s="7" t="s">
        <v>87</v>
      </c>
      <c r="D31" s="7" t="s">
        <v>349</v>
      </c>
    </row>
    <row r="32" spans="2:4">
      <c r="B32" s="78" t="s">
        <v>350</v>
      </c>
      <c r="C32" s="77" t="s">
        <v>351</v>
      </c>
      <c r="D32" s="3" t="s">
        <v>352</v>
      </c>
    </row>
    <row r="33" spans="2:4" ht="34.799999999999997">
      <c r="B33" s="78"/>
      <c r="C33" s="77"/>
      <c r="D33" s="3" t="s">
        <v>353</v>
      </c>
    </row>
    <row r="34" spans="2:4">
      <c r="B34" s="77"/>
      <c r="C34" s="77" t="s">
        <v>354</v>
      </c>
      <c r="D34" s="3" t="s">
        <v>355</v>
      </c>
    </row>
    <row r="35" spans="2:4">
      <c r="B35" s="77"/>
      <c r="C35" s="77"/>
      <c r="D35" s="3" t="s">
        <v>356</v>
      </c>
    </row>
    <row r="36" spans="2:4">
      <c r="B36" s="78" t="s">
        <v>357</v>
      </c>
      <c r="C36" s="78" t="s">
        <v>358</v>
      </c>
      <c r="D36" s="3" t="s">
        <v>359</v>
      </c>
    </row>
    <row r="37" spans="2:4" ht="34.799999999999997">
      <c r="B37" s="78"/>
      <c r="C37" s="78"/>
      <c r="D37" s="3" t="s">
        <v>360</v>
      </c>
    </row>
    <row r="38" spans="2:4" ht="34.799999999999997">
      <c r="B38" s="3"/>
      <c r="C38" s="8" t="s">
        <v>361</v>
      </c>
      <c r="D38" s="3" t="s">
        <v>362</v>
      </c>
    </row>
    <row r="39" spans="2:4">
      <c r="B39" s="78" t="s">
        <v>363</v>
      </c>
      <c r="C39" s="78" t="s">
        <v>7</v>
      </c>
      <c r="D39" s="3" t="s">
        <v>364</v>
      </c>
    </row>
    <row r="40" spans="2:4" ht="34.799999999999997">
      <c r="B40" s="78"/>
      <c r="C40" s="78"/>
      <c r="D40" s="3" t="s">
        <v>365</v>
      </c>
    </row>
    <row r="41" spans="2:4" ht="34.799999999999997">
      <c r="B41" s="3"/>
      <c r="C41" s="8" t="s">
        <v>331</v>
      </c>
      <c r="D41" s="3" t="s">
        <v>366</v>
      </c>
    </row>
    <row r="42" spans="2:4">
      <c r="B42" s="3"/>
      <c r="C42" s="8" t="s">
        <v>245</v>
      </c>
      <c r="D42" s="3" t="s">
        <v>367</v>
      </c>
    </row>
    <row r="43" spans="2:4" ht="34.799999999999997">
      <c r="B43" s="3"/>
      <c r="C43" s="8" t="s">
        <v>368</v>
      </c>
      <c r="D43" s="3" t="s">
        <v>369</v>
      </c>
    </row>
    <row r="44" spans="2:4" ht="34.799999999999997">
      <c r="B44" s="78" t="s">
        <v>373</v>
      </c>
      <c r="C44" s="77" t="s">
        <v>370</v>
      </c>
      <c r="D44" s="3" t="s">
        <v>371</v>
      </c>
    </row>
    <row r="45" spans="2:4" ht="34.799999999999997">
      <c r="B45" s="78"/>
      <c r="C45" s="77"/>
      <c r="D45" s="3" t="s">
        <v>372</v>
      </c>
    </row>
    <row r="48" spans="2:4">
      <c r="B48" s="11" t="s">
        <v>2535</v>
      </c>
    </row>
    <row r="49" spans="2:3" ht="156.6">
      <c r="B49" s="8" t="s">
        <v>1902</v>
      </c>
      <c r="C49" s="3" t="s">
        <v>2536</v>
      </c>
    </row>
    <row r="50" spans="2:3" ht="139.19999999999999">
      <c r="B50" s="8" t="s">
        <v>1907</v>
      </c>
      <c r="C50" s="8" t="s">
        <v>2537</v>
      </c>
    </row>
    <row r="51" spans="2:3" ht="121.8">
      <c r="B51" s="8" t="s">
        <v>1911</v>
      </c>
      <c r="C51" s="3" t="s">
        <v>2538</v>
      </c>
    </row>
    <row r="52" spans="2:3" ht="121.8">
      <c r="B52" s="8" t="s">
        <v>2512</v>
      </c>
      <c r="C52" s="3" t="s">
        <v>2539</v>
      </c>
    </row>
    <row r="53" spans="2:3" ht="156.6">
      <c r="B53" s="8" t="s">
        <v>2513</v>
      </c>
      <c r="C53" s="3" t="s">
        <v>2540</v>
      </c>
    </row>
  </sheetData>
  <mergeCells count="12">
    <mergeCell ref="B25:B26"/>
    <mergeCell ref="D25:D26"/>
    <mergeCell ref="B32:B33"/>
    <mergeCell ref="C32:C33"/>
    <mergeCell ref="B34:B35"/>
    <mergeCell ref="C34:C35"/>
    <mergeCell ref="B36:B37"/>
    <mergeCell ref="C36:C37"/>
    <mergeCell ref="B39:B40"/>
    <mergeCell ref="C39:C40"/>
    <mergeCell ref="B44:B45"/>
    <mergeCell ref="C44:C45"/>
  </mergeCells>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C5:H19"/>
  <sheetViews>
    <sheetView workbookViewId="0">
      <selection activeCell="F8" sqref="F8"/>
    </sheetView>
  </sheetViews>
  <sheetFormatPr defaultRowHeight="17.399999999999999"/>
  <cols>
    <col min="3" max="3" width="16" customWidth="1"/>
    <col min="4" max="4" width="26.59765625" customWidth="1"/>
    <col min="5" max="5" width="20.3984375" customWidth="1"/>
    <col min="6" max="6" width="26.09765625" customWidth="1"/>
    <col min="7" max="7" width="18" customWidth="1"/>
    <col min="8" max="8" width="24" customWidth="1"/>
  </cols>
  <sheetData>
    <row r="5" spans="3:8">
      <c r="C5" s="7" t="s">
        <v>2541</v>
      </c>
      <c r="D5" s="7" t="s">
        <v>2542</v>
      </c>
      <c r="E5" s="7" t="s">
        <v>2543</v>
      </c>
      <c r="F5" s="7" t="s">
        <v>2544</v>
      </c>
      <c r="G5" s="7" t="s">
        <v>2545</v>
      </c>
      <c r="H5" s="7" t="s">
        <v>81</v>
      </c>
    </row>
    <row r="6" spans="3:8" ht="34.799999999999997">
      <c r="C6" s="8" t="s">
        <v>2187</v>
      </c>
      <c r="D6" s="3" t="s">
        <v>2546</v>
      </c>
      <c r="E6" s="3" t="s">
        <v>2547</v>
      </c>
      <c r="F6" s="8" t="s">
        <v>2560</v>
      </c>
      <c r="G6" s="3" t="s">
        <v>2548</v>
      </c>
      <c r="H6" s="3" t="s">
        <v>2549</v>
      </c>
    </row>
    <row r="7" spans="3:8" ht="34.799999999999997">
      <c r="C7" s="8" t="s">
        <v>2550</v>
      </c>
      <c r="D7" s="3" t="s">
        <v>2551</v>
      </c>
      <c r="E7" s="3" t="s">
        <v>2552</v>
      </c>
      <c r="F7" s="8" t="s">
        <v>2561</v>
      </c>
      <c r="G7" s="3" t="s">
        <v>2553</v>
      </c>
      <c r="H7" s="3" t="s">
        <v>2554</v>
      </c>
    </row>
    <row r="8" spans="3:8" ht="34.799999999999997">
      <c r="C8" s="8" t="s">
        <v>2550</v>
      </c>
      <c r="D8" s="3" t="s">
        <v>2555</v>
      </c>
      <c r="E8" s="3" t="s">
        <v>2556</v>
      </c>
      <c r="F8" s="8" t="s">
        <v>2557</v>
      </c>
      <c r="G8" s="3" t="s">
        <v>2558</v>
      </c>
      <c r="H8" s="3" t="s">
        <v>2559</v>
      </c>
    </row>
    <row r="11" spans="3:8" ht="27.6">
      <c r="C11" s="33"/>
    </row>
    <row r="12" spans="3:8">
      <c r="C12" s="30"/>
    </row>
    <row r="13" spans="3:8">
      <c r="C13" s="31"/>
    </row>
    <row r="14" spans="3:8">
      <c r="C14" s="30"/>
    </row>
    <row r="15" spans="3:8">
      <c r="C15" s="30"/>
    </row>
    <row r="16" spans="3:8">
      <c r="C16" s="30"/>
    </row>
    <row r="17" spans="3:3">
      <c r="C17" s="30"/>
    </row>
    <row r="18" spans="3:3">
      <c r="C18" s="30"/>
    </row>
    <row r="19" spans="3:3">
      <c r="C19" s="30"/>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D3:F103"/>
  <sheetViews>
    <sheetView topLeftCell="A73" zoomScale="85" zoomScaleNormal="85" workbookViewId="0">
      <selection activeCell="F82" sqref="F82"/>
    </sheetView>
  </sheetViews>
  <sheetFormatPr defaultRowHeight="17.399999999999999"/>
  <cols>
    <col min="4" max="4" width="31.8984375" customWidth="1"/>
    <col min="5" max="5" width="70.69921875" customWidth="1"/>
    <col min="6" max="6" width="44.19921875" customWidth="1"/>
  </cols>
  <sheetData>
    <row r="3" spans="4:6">
      <c r="D3" s="7" t="s">
        <v>1190</v>
      </c>
      <c r="E3" s="7" t="s">
        <v>82</v>
      </c>
      <c r="F3" s="7" t="s">
        <v>1191</v>
      </c>
    </row>
    <row r="4" spans="4:6">
      <c r="D4" s="78" t="s">
        <v>1192</v>
      </c>
      <c r="E4" s="77" t="s">
        <v>1193</v>
      </c>
      <c r="F4" s="8" t="s">
        <v>1194</v>
      </c>
    </row>
    <row r="5" spans="4:6">
      <c r="D5" s="78"/>
      <c r="E5" s="77"/>
      <c r="F5" s="3" t="s">
        <v>1195</v>
      </c>
    </row>
    <row r="6" spans="4:6">
      <c r="D6" s="78" t="s">
        <v>1196</v>
      </c>
      <c r="E6" s="77" t="s">
        <v>1197</v>
      </c>
      <c r="F6" s="8" t="s">
        <v>1198</v>
      </c>
    </row>
    <row r="7" spans="4:6">
      <c r="D7" s="78"/>
      <c r="E7" s="77"/>
      <c r="F7" s="3" t="s">
        <v>1199</v>
      </c>
    </row>
    <row r="8" spans="4:6" ht="34.799999999999997">
      <c r="D8" s="8" t="s">
        <v>1200</v>
      </c>
      <c r="E8" s="3" t="s">
        <v>1201</v>
      </c>
      <c r="F8" s="8" t="s">
        <v>1202</v>
      </c>
    </row>
    <row r="9" spans="4:6">
      <c r="D9" s="78" t="s">
        <v>1203</v>
      </c>
      <c r="E9" s="77" t="s">
        <v>1204</v>
      </c>
      <c r="F9" s="8" t="s">
        <v>1205</v>
      </c>
    </row>
    <row r="10" spans="4:6">
      <c r="D10" s="78"/>
      <c r="E10" s="77"/>
      <c r="F10" s="3" t="s">
        <v>1206</v>
      </c>
    </row>
    <row r="11" spans="4:6">
      <c r="D11" s="8" t="s">
        <v>1207</v>
      </c>
      <c r="E11" s="3" t="s">
        <v>1208</v>
      </c>
      <c r="F11" s="3" t="s">
        <v>1209</v>
      </c>
    </row>
    <row r="12" spans="4:6">
      <c r="D12" s="8" t="s">
        <v>1210</v>
      </c>
      <c r="E12" s="3" t="s">
        <v>1211</v>
      </c>
      <c r="F12" s="8" t="s">
        <v>1212</v>
      </c>
    </row>
    <row r="13" spans="4:6" ht="34.799999999999997">
      <c r="D13" s="8" t="s">
        <v>1213</v>
      </c>
      <c r="E13" s="3" t="s">
        <v>1214</v>
      </c>
      <c r="F13" s="8" t="s">
        <v>1215</v>
      </c>
    </row>
    <row r="17" spans="4:6">
      <c r="D17" s="7" t="s">
        <v>83</v>
      </c>
      <c r="E17" s="7" t="s">
        <v>1216</v>
      </c>
      <c r="F17" s="7" t="s">
        <v>1217</v>
      </c>
    </row>
    <row r="18" spans="4:6" ht="52.2">
      <c r="D18" s="48" t="s">
        <v>1218</v>
      </c>
      <c r="E18" s="45" t="s">
        <v>1219</v>
      </c>
      <c r="F18" s="45" t="s">
        <v>1220</v>
      </c>
    </row>
    <row r="19" spans="4:6" ht="52.2">
      <c r="D19" s="8" t="s">
        <v>1221</v>
      </c>
      <c r="E19" s="3" t="s">
        <v>1222</v>
      </c>
      <c r="F19" s="3" t="s">
        <v>1223</v>
      </c>
    </row>
    <row r="20" spans="4:6" ht="52.2">
      <c r="D20" s="8" t="s">
        <v>1224</v>
      </c>
      <c r="E20" s="3" t="s">
        <v>1225</v>
      </c>
      <c r="F20" s="3" t="s">
        <v>1226</v>
      </c>
    </row>
    <row r="21" spans="4:6" ht="34.799999999999997">
      <c r="D21" s="48" t="s">
        <v>1227</v>
      </c>
      <c r="E21" s="45" t="s">
        <v>1228</v>
      </c>
      <c r="F21" s="45" t="s">
        <v>1229</v>
      </c>
    </row>
    <row r="22" spans="4:6" ht="52.2">
      <c r="D22" s="8" t="s">
        <v>1230</v>
      </c>
      <c r="E22" s="3" t="s">
        <v>1231</v>
      </c>
      <c r="F22" s="3" t="s">
        <v>1232</v>
      </c>
    </row>
    <row r="23" spans="4:6" ht="34.799999999999997">
      <c r="D23" s="8" t="s">
        <v>1233</v>
      </c>
      <c r="E23" s="3" t="s">
        <v>1234</v>
      </c>
      <c r="F23" s="3" t="s">
        <v>1235</v>
      </c>
    </row>
    <row r="24" spans="4:6" ht="34.799999999999997">
      <c r="D24" s="48" t="s">
        <v>1236</v>
      </c>
      <c r="E24" s="45" t="s">
        <v>1237</v>
      </c>
      <c r="F24" s="45" t="s">
        <v>1238</v>
      </c>
    </row>
    <row r="27" spans="4:6">
      <c r="D27" s="30"/>
    </row>
    <row r="28" spans="4:6">
      <c r="D28" s="30" t="s">
        <v>1239</v>
      </c>
    </row>
    <row r="29" spans="4:6">
      <c r="D29" s="34" t="s">
        <v>1240</v>
      </c>
    </row>
    <row r="30" spans="4:6">
      <c r="D30" s="34" t="s">
        <v>1241</v>
      </c>
    </row>
    <row r="31" spans="4:6">
      <c r="D31" s="11" t="s">
        <v>1248</v>
      </c>
    </row>
    <row r="35" spans="4:5" ht="27.6">
      <c r="D35" s="33" t="s">
        <v>1250</v>
      </c>
    </row>
    <row r="36" spans="4:5">
      <c r="D36" s="30"/>
    </row>
    <row r="37" spans="4:5">
      <c r="D37" s="30" t="s">
        <v>1242</v>
      </c>
    </row>
    <row r="38" spans="4:5">
      <c r="D38" s="30" t="s">
        <v>1243</v>
      </c>
    </row>
    <row r="39" spans="4:5">
      <c r="D39" s="34" t="s">
        <v>1244</v>
      </c>
    </row>
    <row r="40" spans="4:5">
      <c r="D40" s="30" t="s">
        <v>1245</v>
      </c>
    </row>
    <row r="41" spans="4:5">
      <c r="D41" s="34" t="s">
        <v>1246</v>
      </c>
    </row>
    <row r="42" spans="4:5">
      <c r="D42" s="34" t="s">
        <v>1247</v>
      </c>
    </row>
    <row r="43" spans="4:5">
      <c r="D43" s="11" t="s">
        <v>1249</v>
      </c>
    </row>
    <row r="46" spans="4:5">
      <c r="D46" s="7" t="s">
        <v>85</v>
      </c>
      <c r="E46" s="7" t="s">
        <v>82</v>
      </c>
    </row>
    <row r="47" spans="4:5">
      <c r="D47" s="8" t="s">
        <v>1251</v>
      </c>
      <c r="E47" s="3" t="s">
        <v>1252</v>
      </c>
    </row>
    <row r="48" spans="4:5">
      <c r="D48" s="8" t="s">
        <v>1253</v>
      </c>
      <c r="E48" s="3" t="s">
        <v>1254</v>
      </c>
    </row>
    <row r="49" spans="4:6">
      <c r="D49" s="8" t="s">
        <v>1255</v>
      </c>
      <c r="E49" s="8" t="s">
        <v>1256</v>
      </c>
    </row>
    <row r="50" spans="4:6">
      <c r="D50" s="8" t="s">
        <v>1257</v>
      </c>
      <c r="E50" s="3" t="s">
        <v>1258</v>
      </c>
    </row>
    <row r="51" spans="4:6">
      <c r="D51" s="8" t="s">
        <v>1259</v>
      </c>
      <c r="E51" s="3" t="s">
        <v>1260</v>
      </c>
    </row>
    <row r="52" spans="4:6">
      <c r="D52" s="8" t="s">
        <v>1261</v>
      </c>
      <c r="E52" s="3" t="s">
        <v>1262</v>
      </c>
    </row>
    <row r="53" spans="4:6">
      <c r="D53" s="8" t="s">
        <v>1263</v>
      </c>
      <c r="E53" s="3" t="s">
        <v>1264</v>
      </c>
    </row>
    <row r="54" spans="4:6">
      <c r="D54" s="78" t="s">
        <v>1265</v>
      </c>
      <c r="E54" s="3" t="s">
        <v>1266</v>
      </c>
    </row>
    <row r="55" spans="4:6">
      <c r="D55" s="78"/>
      <c r="E55" s="3" t="s">
        <v>1267</v>
      </c>
    </row>
    <row r="56" spans="4:6">
      <c r="D56" s="78" t="s">
        <v>1268</v>
      </c>
      <c r="E56" s="3" t="s">
        <v>1269</v>
      </c>
    </row>
    <row r="57" spans="4:6">
      <c r="D57" s="78"/>
      <c r="E57" s="3" t="s">
        <v>1270</v>
      </c>
    </row>
    <row r="58" spans="4:6">
      <c r="D58" s="78"/>
      <c r="E58" s="3" t="s">
        <v>1271</v>
      </c>
    </row>
    <row r="59" spans="4:6">
      <c r="D59" s="78" t="s">
        <v>1272</v>
      </c>
      <c r="E59" s="3" t="s">
        <v>1273</v>
      </c>
    </row>
    <row r="60" spans="4:6">
      <c r="D60" s="78"/>
      <c r="E60" s="3" t="s">
        <v>1274</v>
      </c>
    </row>
    <row r="63" spans="4:6">
      <c r="D63" s="11" t="s">
        <v>1897</v>
      </c>
    </row>
    <row r="64" spans="4:6">
      <c r="D64" s="7" t="s">
        <v>302</v>
      </c>
      <c r="E64" s="7" t="s">
        <v>2420</v>
      </c>
      <c r="F64" s="7" t="s">
        <v>2421</v>
      </c>
    </row>
    <row r="65" spans="4:6" ht="34.799999999999997">
      <c r="D65" s="78" t="s">
        <v>1907</v>
      </c>
      <c r="E65" s="3" t="s">
        <v>2422</v>
      </c>
      <c r="F65" s="3" t="s">
        <v>2425</v>
      </c>
    </row>
    <row r="66" spans="4:6" ht="34.799999999999997">
      <c r="D66" s="78"/>
      <c r="E66" s="3" t="s">
        <v>2423</v>
      </c>
      <c r="F66" s="3" t="s">
        <v>2426</v>
      </c>
    </row>
    <row r="67" spans="4:6" ht="34.799999999999997">
      <c r="D67" s="78"/>
      <c r="E67" s="3" t="s">
        <v>2424</v>
      </c>
      <c r="F67" s="3" t="s">
        <v>2427</v>
      </c>
    </row>
    <row r="68" spans="4:6">
      <c r="D68" s="78" t="s">
        <v>1911</v>
      </c>
      <c r="E68" s="3" t="s">
        <v>2428</v>
      </c>
      <c r="F68" s="3" t="s">
        <v>2430</v>
      </c>
    </row>
    <row r="69" spans="4:6" ht="34.799999999999997">
      <c r="D69" s="78"/>
      <c r="E69" s="3" t="s">
        <v>2455</v>
      </c>
      <c r="F69" s="3" t="s">
        <v>2431</v>
      </c>
    </row>
    <row r="70" spans="4:6">
      <c r="D70" s="78"/>
      <c r="E70" s="3" t="s">
        <v>2429</v>
      </c>
      <c r="F70" s="3" t="s">
        <v>2432</v>
      </c>
    </row>
    <row r="71" spans="4:6">
      <c r="D71" s="81" t="s">
        <v>2433</v>
      </c>
      <c r="E71" s="21" t="s">
        <v>2434</v>
      </c>
      <c r="F71" s="21" t="s">
        <v>2436</v>
      </c>
    </row>
    <row r="72" spans="4:6" ht="52.2">
      <c r="D72" s="81"/>
      <c r="E72" s="21" t="s">
        <v>2435</v>
      </c>
      <c r="F72" s="21" t="s">
        <v>2437</v>
      </c>
    </row>
    <row r="73" spans="4:6" ht="34.799999999999997">
      <c r="D73" s="81" t="s">
        <v>2438</v>
      </c>
      <c r="E73" s="21" t="s">
        <v>2439</v>
      </c>
      <c r="F73" s="21" t="s">
        <v>2441</v>
      </c>
    </row>
    <row r="74" spans="4:6" ht="34.799999999999997">
      <c r="D74" s="81"/>
      <c r="E74" s="21" t="s">
        <v>2440</v>
      </c>
      <c r="F74" s="21" t="s">
        <v>2442</v>
      </c>
    </row>
    <row r="75" spans="4:6">
      <c r="D75" s="81" t="s">
        <v>2443</v>
      </c>
      <c r="E75" s="21" t="s">
        <v>2444</v>
      </c>
      <c r="F75" s="21" t="s">
        <v>2446</v>
      </c>
    </row>
    <row r="76" spans="4:6" ht="34.799999999999997">
      <c r="D76" s="81"/>
      <c r="E76" s="21" t="s">
        <v>2445</v>
      </c>
      <c r="F76" s="21" t="s">
        <v>2447</v>
      </c>
    </row>
    <row r="77" spans="4:6">
      <c r="D77" s="81"/>
      <c r="E77" s="21"/>
      <c r="F77" s="21" t="s">
        <v>2448</v>
      </c>
    </row>
    <row r="78" spans="4:6" ht="34.799999999999997">
      <c r="D78" s="81" t="s">
        <v>2449</v>
      </c>
      <c r="E78" s="21" t="s">
        <v>2450</v>
      </c>
      <c r="F78" s="21" t="s">
        <v>2452</v>
      </c>
    </row>
    <row r="79" spans="4:6" ht="34.799999999999997">
      <c r="D79" s="81"/>
      <c r="E79" s="21" t="s">
        <v>2451</v>
      </c>
      <c r="F79" s="21" t="s">
        <v>2453</v>
      </c>
    </row>
    <row r="80" spans="4:6" ht="34.799999999999997">
      <c r="D80" s="81"/>
      <c r="E80" s="21"/>
      <c r="F80" s="21" t="s">
        <v>2454</v>
      </c>
    </row>
    <row r="83" spans="4:6">
      <c r="D83" s="4" t="s">
        <v>2477</v>
      </c>
      <c r="E83" s="4"/>
      <c r="F83" s="4"/>
    </row>
    <row r="84" spans="4:6">
      <c r="D84" s="4"/>
      <c r="E84" s="4" t="s">
        <v>2478</v>
      </c>
      <c r="F84" s="4" t="s">
        <v>2479</v>
      </c>
    </row>
    <row r="85" spans="4:6" ht="313.2">
      <c r="D85" s="8" t="s">
        <v>1907</v>
      </c>
      <c r="E85" s="5" t="s">
        <v>2468</v>
      </c>
      <c r="F85" s="45" t="s">
        <v>2480</v>
      </c>
    </row>
    <row r="86" spans="4:6" ht="261">
      <c r="D86" s="8" t="s">
        <v>1911</v>
      </c>
      <c r="E86" s="5" t="s">
        <v>2469</v>
      </c>
      <c r="F86" s="45" t="s">
        <v>2481</v>
      </c>
    </row>
    <row r="87" spans="4:6" ht="261">
      <c r="D87" s="8" t="s">
        <v>2467</v>
      </c>
      <c r="E87" s="5" t="s">
        <v>2470</v>
      </c>
      <c r="F87" s="3" t="s">
        <v>2482</v>
      </c>
    </row>
    <row r="88" spans="4:6" ht="226.2">
      <c r="D88" s="8" t="s">
        <v>2472</v>
      </c>
      <c r="E88" s="3" t="s">
        <v>2471</v>
      </c>
      <c r="F88" s="3" t="s">
        <v>2483</v>
      </c>
    </row>
    <row r="89" spans="4:6" ht="156.6">
      <c r="D89" s="8" t="s">
        <v>2474</v>
      </c>
      <c r="E89" s="3" t="s">
        <v>2473</v>
      </c>
      <c r="F89" s="8" t="s">
        <v>2484</v>
      </c>
    </row>
    <row r="90" spans="4:6" ht="174">
      <c r="D90" s="8" t="s">
        <v>2476</v>
      </c>
      <c r="E90" s="3" t="s">
        <v>2475</v>
      </c>
      <c r="F90" s="58" t="s">
        <v>2485</v>
      </c>
    </row>
    <row r="91" spans="4:6">
      <c r="F91" s="30"/>
    </row>
    <row r="92" spans="4:6">
      <c r="F92" s="30"/>
    </row>
    <row r="93" spans="4:6" ht="21">
      <c r="D93" s="12"/>
      <c r="F93" s="30"/>
    </row>
    <row r="94" spans="4:6">
      <c r="D94" s="30"/>
    </row>
    <row r="95" spans="4:6">
      <c r="D95" s="30"/>
      <c r="F95" s="11"/>
    </row>
    <row r="96" spans="4:6">
      <c r="D96" s="30"/>
      <c r="F96" s="30"/>
    </row>
    <row r="97" spans="4:6">
      <c r="D97" s="30"/>
      <c r="F97" s="30"/>
    </row>
    <row r="98" spans="4:6">
      <c r="D98" s="30"/>
    </row>
    <row r="99" spans="4:6">
      <c r="D99" s="31"/>
    </row>
    <row r="100" spans="4:6">
      <c r="D100" s="30"/>
    </row>
    <row r="101" spans="4:6">
      <c r="D101" s="30"/>
    </row>
    <row r="102" spans="4:6">
      <c r="D102" s="30"/>
    </row>
    <row r="103" spans="4:6">
      <c r="D103" s="30"/>
    </row>
  </sheetData>
  <mergeCells count="15">
    <mergeCell ref="D78:D80"/>
    <mergeCell ref="D65:D67"/>
    <mergeCell ref="D68:D70"/>
    <mergeCell ref="D71:D72"/>
    <mergeCell ref="D73:D74"/>
    <mergeCell ref="D75:D77"/>
    <mergeCell ref="D54:D55"/>
    <mergeCell ref="D56:D58"/>
    <mergeCell ref="D59:D60"/>
    <mergeCell ref="D4:D5"/>
    <mergeCell ref="E4:E5"/>
    <mergeCell ref="D6:D7"/>
    <mergeCell ref="E6:E7"/>
    <mergeCell ref="D9:D10"/>
    <mergeCell ref="E9:E10"/>
  </mergeCells>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4:E11"/>
  <sheetViews>
    <sheetView workbookViewId="0">
      <selection activeCell="B23" sqref="B23"/>
    </sheetView>
  </sheetViews>
  <sheetFormatPr defaultRowHeight="17.399999999999999"/>
  <cols>
    <col min="2" max="2" width="30.59765625" customWidth="1"/>
    <col min="3" max="3" width="23.59765625" customWidth="1"/>
    <col min="4" max="4" width="29.3984375" customWidth="1"/>
    <col min="5" max="5" width="32.59765625" customWidth="1"/>
  </cols>
  <sheetData>
    <row r="4" spans="2:5">
      <c r="B4" s="7" t="s">
        <v>83</v>
      </c>
      <c r="C4" s="7" t="s">
        <v>82</v>
      </c>
      <c r="D4" s="7" t="s">
        <v>151</v>
      </c>
      <c r="E4" s="7" t="s">
        <v>2028</v>
      </c>
    </row>
    <row r="5" spans="2:5" ht="34.799999999999997">
      <c r="B5" s="8" t="s">
        <v>2044</v>
      </c>
      <c r="C5" s="3" t="s">
        <v>2029</v>
      </c>
      <c r="D5" s="8" t="s">
        <v>2030</v>
      </c>
      <c r="E5" s="3" t="s">
        <v>2031</v>
      </c>
    </row>
    <row r="6" spans="2:5" ht="34.799999999999997">
      <c r="B6" s="8" t="s">
        <v>2045</v>
      </c>
      <c r="C6" s="3" t="s">
        <v>2032</v>
      </c>
      <c r="D6" s="8" t="s">
        <v>2033</v>
      </c>
      <c r="E6" s="3" t="s">
        <v>2034</v>
      </c>
    </row>
    <row r="7" spans="2:5" ht="34.799999999999997">
      <c r="B7" s="8" t="s">
        <v>2046</v>
      </c>
      <c r="C7" s="3" t="s">
        <v>2035</v>
      </c>
      <c r="D7" s="8" t="s">
        <v>88</v>
      </c>
      <c r="E7" s="3" t="s">
        <v>2036</v>
      </c>
    </row>
    <row r="8" spans="2:5" ht="34.799999999999997">
      <c r="B8" s="8" t="s">
        <v>2047</v>
      </c>
      <c r="C8" s="3" t="s">
        <v>2037</v>
      </c>
      <c r="D8" s="8" t="s">
        <v>2038</v>
      </c>
      <c r="E8" s="8" t="s">
        <v>2039</v>
      </c>
    </row>
    <row r="9" spans="2:5" ht="34.799999999999997">
      <c r="B9" s="103" t="s">
        <v>2048</v>
      </c>
      <c r="C9" s="83" t="s">
        <v>2040</v>
      </c>
      <c r="D9" s="8" t="s">
        <v>88</v>
      </c>
      <c r="E9" s="3" t="s">
        <v>2041</v>
      </c>
    </row>
    <row r="10" spans="2:5">
      <c r="B10" s="103"/>
      <c r="C10" s="83"/>
      <c r="D10" s="78" t="s">
        <v>2042</v>
      </c>
      <c r="E10" s="77" t="s">
        <v>2043</v>
      </c>
    </row>
    <row r="11" spans="2:5">
      <c r="B11" s="103"/>
      <c r="C11" s="83"/>
      <c r="D11" s="78"/>
      <c r="E11" s="77"/>
    </row>
  </sheetData>
  <mergeCells count="4">
    <mergeCell ref="D10:D11"/>
    <mergeCell ref="E10:E11"/>
    <mergeCell ref="C9:C11"/>
    <mergeCell ref="B9:B11"/>
  </mergeCells>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4:E99"/>
  <sheetViews>
    <sheetView topLeftCell="A77" zoomScale="145" zoomScaleNormal="145" workbookViewId="0">
      <selection activeCell="H79" sqref="H79"/>
    </sheetView>
  </sheetViews>
  <sheetFormatPr defaultRowHeight="17.399999999999999"/>
  <cols>
    <col min="4" max="4" width="39.59765625" customWidth="1"/>
  </cols>
  <sheetData>
    <row r="4" spans="2:4">
      <c r="B4" t="s">
        <v>640</v>
      </c>
    </row>
    <row r="5" spans="2:4" ht="34.799999999999997">
      <c r="B5" s="7" t="s">
        <v>302</v>
      </c>
      <c r="C5" s="7" t="s">
        <v>454</v>
      </c>
      <c r="D5" s="7" t="s">
        <v>150</v>
      </c>
    </row>
    <row r="6" spans="2:4">
      <c r="B6" s="78" t="s">
        <v>625</v>
      </c>
      <c r="C6" s="77" t="s">
        <v>626</v>
      </c>
      <c r="D6" s="3" t="s">
        <v>627</v>
      </c>
    </row>
    <row r="7" spans="2:4">
      <c r="B7" s="78"/>
      <c r="C7" s="77"/>
      <c r="D7" s="3" t="s">
        <v>628</v>
      </c>
    </row>
    <row r="8" spans="2:4">
      <c r="B8" s="78" t="s">
        <v>629</v>
      </c>
      <c r="C8" s="77" t="s">
        <v>630</v>
      </c>
      <c r="D8" s="3" t="s">
        <v>631</v>
      </c>
    </row>
    <row r="9" spans="2:4">
      <c r="B9" s="78"/>
      <c r="C9" s="77"/>
      <c r="D9" s="3" t="s">
        <v>632</v>
      </c>
    </row>
    <row r="10" spans="2:4" ht="34.799999999999997">
      <c r="B10" s="78" t="s">
        <v>633</v>
      </c>
      <c r="C10" s="77" t="s">
        <v>634</v>
      </c>
      <c r="D10" s="35" t="s">
        <v>711</v>
      </c>
    </row>
    <row r="11" spans="2:4">
      <c r="B11" s="78"/>
      <c r="C11" s="77"/>
      <c r="D11" s="3" t="s">
        <v>635</v>
      </c>
    </row>
    <row r="12" spans="2:4">
      <c r="B12" s="78" t="s">
        <v>636</v>
      </c>
      <c r="C12" s="77" t="s">
        <v>637</v>
      </c>
      <c r="D12" s="3" t="s">
        <v>638</v>
      </c>
    </row>
    <row r="13" spans="2:4">
      <c r="B13" s="78"/>
      <c r="C13" s="77"/>
      <c r="D13" s="3" t="s">
        <v>639</v>
      </c>
    </row>
    <row r="15" spans="2:4" ht="21">
      <c r="B15" s="12" t="s">
        <v>641</v>
      </c>
    </row>
    <row r="16" spans="2:4">
      <c r="B16" s="31" t="s">
        <v>642</v>
      </c>
    </row>
    <row r="17" spans="2:2">
      <c r="B17" s="31" t="s">
        <v>643</v>
      </c>
    </row>
    <row r="18" spans="2:2">
      <c r="B18" s="31" t="s">
        <v>644</v>
      </c>
    </row>
    <row r="19" spans="2:2">
      <c r="B19" s="31" t="s">
        <v>645</v>
      </c>
    </row>
    <row r="21" spans="2:2">
      <c r="B21" t="s">
        <v>646</v>
      </c>
    </row>
    <row r="22" spans="2:2" ht="27.6">
      <c r="B22" s="33" t="s">
        <v>647</v>
      </c>
    </row>
    <row r="23" spans="2:2">
      <c r="B23" s="30"/>
    </row>
    <row r="24" spans="2:2">
      <c r="B24" s="31" t="s">
        <v>648</v>
      </c>
    </row>
    <row r="25" spans="2:2">
      <c r="B25" s="30" t="s">
        <v>649</v>
      </c>
    </row>
    <row r="26" spans="2:2">
      <c r="B26" s="30" t="s">
        <v>650</v>
      </c>
    </row>
    <row r="27" spans="2:2">
      <c r="B27" s="30" t="s">
        <v>651</v>
      </c>
    </row>
    <row r="28" spans="2:2">
      <c r="B28" s="30"/>
    </row>
    <row r="29" spans="2:2">
      <c r="B29" s="31" t="s">
        <v>652</v>
      </c>
    </row>
    <row r="30" spans="2:2">
      <c r="B30" s="30" t="s">
        <v>653</v>
      </c>
    </row>
    <row r="31" spans="2:2">
      <c r="B31" s="30" t="s">
        <v>654</v>
      </c>
    </row>
    <row r="33" spans="2:4" ht="27.6">
      <c r="B33" s="33" t="s">
        <v>655</v>
      </c>
    </row>
    <row r="34" spans="2:4">
      <c r="B34" s="30"/>
    </row>
    <row r="35" spans="2:4">
      <c r="B35" s="31" t="s">
        <v>656</v>
      </c>
    </row>
    <row r="36" spans="2:4">
      <c r="B36" s="34" t="s">
        <v>657</v>
      </c>
    </row>
    <row r="37" spans="2:4">
      <c r="B37" s="34" t="s">
        <v>658</v>
      </c>
    </row>
    <row r="39" spans="2:4" ht="27.6">
      <c r="B39" s="33" t="s">
        <v>659</v>
      </c>
    </row>
    <row r="41" spans="2:4" ht="52.2">
      <c r="B41" s="2" t="s">
        <v>6</v>
      </c>
      <c r="C41" s="2" t="s">
        <v>660</v>
      </c>
      <c r="D41" s="2" t="s">
        <v>81</v>
      </c>
    </row>
    <row r="42" spans="2:4" ht="69.599999999999994">
      <c r="B42" s="21" t="s">
        <v>661</v>
      </c>
      <c r="C42" s="21" t="s">
        <v>662</v>
      </c>
      <c r="D42" s="21" t="s">
        <v>663</v>
      </c>
    </row>
    <row r="43" spans="2:4" ht="52.2">
      <c r="B43" s="21" t="s">
        <v>664</v>
      </c>
      <c r="C43" s="21" t="s">
        <v>665</v>
      </c>
      <c r="D43" s="21" t="s">
        <v>666</v>
      </c>
    </row>
    <row r="45" spans="2:4">
      <c r="B45" t="s">
        <v>667</v>
      </c>
    </row>
    <row r="47" spans="2:4" ht="27.6">
      <c r="B47" s="33" t="s">
        <v>668</v>
      </c>
    </row>
    <row r="49" spans="2:4" ht="34.799999999999997">
      <c r="B49" s="2" t="s">
        <v>669</v>
      </c>
      <c r="C49" s="2" t="s">
        <v>670</v>
      </c>
      <c r="D49" s="2" t="s">
        <v>671</v>
      </c>
    </row>
    <row r="50" spans="2:4" ht="34.799999999999997">
      <c r="B50" s="21" t="s">
        <v>672</v>
      </c>
      <c r="C50" s="6" t="s">
        <v>95</v>
      </c>
      <c r="D50" s="21" t="s">
        <v>88</v>
      </c>
    </row>
    <row r="57" spans="2:4">
      <c r="B57" t="s">
        <v>707</v>
      </c>
    </row>
    <row r="59" spans="2:4" ht="34.799999999999997">
      <c r="B59" s="7" t="s">
        <v>302</v>
      </c>
      <c r="C59" s="7" t="s">
        <v>454</v>
      </c>
      <c r="D59" s="7" t="s">
        <v>150</v>
      </c>
    </row>
    <row r="60" spans="2:4">
      <c r="B60" s="78" t="s">
        <v>625</v>
      </c>
      <c r="C60" s="77" t="s">
        <v>673</v>
      </c>
      <c r="D60" s="3" t="s">
        <v>674</v>
      </c>
    </row>
    <row r="61" spans="2:4">
      <c r="B61" s="78"/>
      <c r="C61" s="77"/>
      <c r="D61" s="3" t="s">
        <v>675</v>
      </c>
    </row>
    <row r="62" spans="2:4">
      <c r="B62" s="78"/>
      <c r="C62" s="77"/>
      <c r="D62" s="3" t="s">
        <v>676</v>
      </c>
    </row>
    <row r="63" spans="2:4">
      <c r="B63" s="78"/>
      <c r="C63" s="77"/>
      <c r="D63" s="3" t="s">
        <v>677</v>
      </c>
    </row>
    <row r="64" spans="2:4">
      <c r="B64" s="78" t="s">
        <v>629</v>
      </c>
      <c r="C64" s="77" t="s">
        <v>678</v>
      </c>
      <c r="D64" s="3" t="s">
        <v>679</v>
      </c>
    </row>
    <row r="65" spans="2:4" ht="34.799999999999997">
      <c r="B65" s="78"/>
      <c r="C65" s="77"/>
      <c r="D65" s="3" t="s">
        <v>680</v>
      </c>
    </row>
    <row r="66" spans="2:4">
      <c r="B66" s="78"/>
      <c r="C66" s="77"/>
      <c r="D66" s="3" t="s">
        <v>681</v>
      </c>
    </row>
    <row r="67" spans="2:4" ht="16.5" customHeight="1">
      <c r="B67" s="78" t="s">
        <v>633</v>
      </c>
      <c r="C67" s="77" t="s">
        <v>682</v>
      </c>
      <c r="D67" s="3" t="s">
        <v>683</v>
      </c>
    </row>
    <row r="68" spans="2:4">
      <c r="B68" s="78"/>
      <c r="C68" s="77"/>
      <c r="D68" s="3" t="s">
        <v>684</v>
      </c>
    </row>
    <row r="69" spans="2:4" ht="34.799999999999997">
      <c r="B69" s="78"/>
      <c r="C69" s="77"/>
      <c r="D69" s="3" t="s">
        <v>685</v>
      </c>
    </row>
    <row r="70" spans="2:4" ht="16.5" customHeight="1">
      <c r="B70" s="78" t="s">
        <v>636</v>
      </c>
      <c r="C70" s="77" t="s">
        <v>686</v>
      </c>
      <c r="D70" s="3" t="s">
        <v>687</v>
      </c>
    </row>
    <row r="71" spans="2:4">
      <c r="B71" s="78"/>
      <c r="C71" s="77"/>
      <c r="D71" s="3" t="s">
        <v>688</v>
      </c>
    </row>
    <row r="72" spans="2:4" ht="34.799999999999997">
      <c r="B72" s="78"/>
      <c r="C72" s="77"/>
      <c r="D72" s="3" t="s">
        <v>689</v>
      </c>
    </row>
    <row r="76" spans="2:4">
      <c r="B76" t="s">
        <v>710</v>
      </c>
    </row>
    <row r="78" spans="2:4" ht="34.799999999999997">
      <c r="B78" s="7" t="s">
        <v>302</v>
      </c>
      <c r="C78" s="7" t="s">
        <v>510</v>
      </c>
      <c r="D78" s="7" t="s">
        <v>467</v>
      </c>
    </row>
    <row r="79" spans="2:4">
      <c r="B79" s="78" t="s">
        <v>625</v>
      </c>
      <c r="C79" s="77" t="s">
        <v>690</v>
      </c>
      <c r="D79" s="3" t="s">
        <v>691</v>
      </c>
    </row>
    <row r="80" spans="2:4">
      <c r="B80" s="78"/>
      <c r="C80" s="77"/>
      <c r="D80" s="3" t="s">
        <v>692</v>
      </c>
    </row>
    <row r="81" spans="2:5">
      <c r="B81" s="78"/>
      <c r="C81" s="77"/>
      <c r="D81" s="3" t="s">
        <v>693</v>
      </c>
    </row>
    <row r="82" spans="2:5" ht="16.5" customHeight="1">
      <c r="B82" s="78" t="s">
        <v>629</v>
      </c>
      <c r="C82" s="77" t="s">
        <v>694</v>
      </c>
      <c r="D82" s="3" t="s">
        <v>695</v>
      </c>
      <c r="E82" t="s">
        <v>706</v>
      </c>
    </row>
    <row r="83" spans="2:5">
      <c r="B83" s="78"/>
      <c r="C83" s="77"/>
      <c r="D83" s="3" t="s">
        <v>696</v>
      </c>
    </row>
    <row r="84" spans="2:5">
      <c r="B84" s="78"/>
      <c r="C84" s="77"/>
      <c r="D84" s="3" t="s">
        <v>697</v>
      </c>
    </row>
    <row r="85" spans="2:5" ht="34.799999999999997">
      <c r="B85" s="78" t="s">
        <v>633</v>
      </c>
      <c r="C85" s="77" t="s">
        <v>698</v>
      </c>
      <c r="D85" s="3" t="s">
        <v>699</v>
      </c>
    </row>
    <row r="86" spans="2:5">
      <c r="B86" s="78"/>
      <c r="C86" s="77"/>
      <c r="D86" s="3" t="s">
        <v>700</v>
      </c>
    </row>
    <row r="87" spans="2:5">
      <c r="B87" s="78"/>
      <c r="C87" s="77"/>
      <c r="D87" s="3" t="s">
        <v>701</v>
      </c>
    </row>
    <row r="88" spans="2:5">
      <c r="B88" s="78" t="s">
        <v>636</v>
      </c>
      <c r="C88" s="77" t="s">
        <v>702</v>
      </c>
      <c r="D88" s="3" t="s">
        <v>703</v>
      </c>
    </row>
    <row r="89" spans="2:5" ht="34.799999999999997">
      <c r="B89" s="78"/>
      <c r="C89" s="77"/>
      <c r="D89" s="3" t="s">
        <v>704</v>
      </c>
    </row>
    <row r="90" spans="2:5">
      <c r="B90" s="78"/>
      <c r="C90" s="77"/>
      <c r="D90" s="3" t="s">
        <v>705</v>
      </c>
    </row>
    <row r="93" spans="2:5">
      <c r="B93" t="s">
        <v>708</v>
      </c>
    </row>
    <row r="94" spans="2:5">
      <c r="B94" t="s">
        <v>709</v>
      </c>
    </row>
    <row r="95" spans="2:5">
      <c r="B95" s="2"/>
      <c r="C95" s="2"/>
      <c r="D95" s="2"/>
    </row>
    <row r="96" spans="2:5">
      <c r="B96" s="6"/>
      <c r="C96" s="21"/>
      <c r="D96" s="21"/>
    </row>
    <row r="97" spans="2:4">
      <c r="B97" s="6"/>
      <c r="C97" s="6"/>
      <c r="D97" s="21"/>
    </row>
    <row r="98" spans="2:4">
      <c r="B98" s="6"/>
      <c r="C98" s="21"/>
      <c r="D98" s="21"/>
    </row>
    <row r="99" spans="2:4">
      <c r="B99" s="6"/>
      <c r="C99" s="21"/>
      <c r="D99" s="21"/>
    </row>
  </sheetData>
  <mergeCells count="24">
    <mergeCell ref="B82:B84"/>
    <mergeCell ref="C82:C84"/>
    <mergeCell ref="B85:B87"/>
    <mergeCell ref="C85:C87"/>
    <mergeCell ref="B88:B90"/>
    <mergeCell ref="C88:C90"/>
    <mergeCell ref="B67:B69"/>
    <mergeCell ref="C67:C69"/>
    <mergeCell ref="B70:B72"/>
    <mergeCell ref="C70:C72"/>
    <mergeCell ref="B79:B81"/>
    <mergeCell ref="C79:C81"/>
    <mergeCell ref="B12:B13"/>
    <mergeCell ref="C12:C13"/>
    <mergeCell ref="B60:B63"/>
    <mergeCell ref="C60:C63"/>
    <mergeCell ref="B64:B66"/>
    <mergeCell ref="C64:C66"/>
    <mergeCell ref="B6:B7"/>
    <mergeCell ref="C6:C7"/>
    <mergeCell ref="B8:B9"/>
    <mergeCell ref="C8:C9"/>
    <mergeCell ref="B10:B11"/>
    <mergeCell ref="C10:C11"/>
  </mergeCells>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3:C43"/>
  <sheetViews>
    <sheetView topLeftCell="A41" zoomScale="130" zoomScaleNormal="130" workbookViewId="0">
      <selection activeCell="C41" sqref="C41"/>
    </sheetView>
  </sheetViews>
  <sheetFormatPr defaultRowHeight="17.399999999999999"/>
  <cols>
    <col min="2" max="2" width="18.19921875" customWidth="1"/>
    <col min="3" max="3" width="79.69921875" customWidth="1"/>
  </cols>
  <sheetData>
    <row r="3" spans="2:3">
      <c r="B3" s="11" t="s">
        <v>1993</v>
      </c>
    </row>
    <row r="4" spans="2:3" ht="278.39999999999998">
      <c r="B4" s="8" t="s">
        <v>1896</v>
      </c>
      <c r="C4" s="3" t="s">
        <v>1994</v>
      </c>
    </row>
    <row r="5" spans="2:3" ht="365.4">
      <c r="B5" s="8" t="s">
        <v>1902</v>
      </c>
      <c r="C5" s="3" t="s">
        <v>1995</v>
      </c>
    </row>
    <row r="6" spans="2:3" ht="261">
      <c r="B6" s="8" t="s">
        <v>1907</v>
      </c>
      <c r="C6" s="3" t="s">
        <v>1996</v>
      </c>
    </row>
    <row r="7" spans="2:3" ht="261">
      <c r="B7" s="8" t="s">
        <v>1911</v>
      </c>
      <c r="C7" s="3" t="s">
        <v>1997</v>
      </c>
    </row>
    <row r="9" spans="2:3">
      <c r="B9" s="7" t="s">
        <v>302</v>
      </c>
      <c r="C9" s="7" t="s">
        <v>1998</v>
      </c>
    </row>
    <row r="10" spans="2:3">
      <c r="B10" s="78" t="s">
        <v>625</v>
      </c>
      <c r="C10" s="3" t="s">
        <v>1999</v>
      </c>
    </row>
    <row r="11" spans="2:3">
      <c r="B11" s="78"/>
      <c r="C11" s="3" t="s">
        <v>2000</v>
      </c>
    </row>
    <row r="12" spans="2:3">
      <c r="B12" s="78"/>
      <c r="C12" s="3" t="s">
        <v>2001</v>
      </c>
    </row>
    <row r="13" spans="2:3">
      <c r="B13" s="78" t="s">
        <v>629</v>
      </c>
      <c r="C13" s="3" t="s">
        <v>2002</v>
      </c>
    </row>
    <row r="14" spans="2:3">
      <c r="B14" s="78"/>
      <c r="C14" s="3" t="s">
        <v>2003</v>
      </c>
    </row>
    <row r="15" spans="2:3">
      <c r="B15" s="78"/>
      <c r="C15" s="3" t="s">
        <v>2004</v>
      </c>
    </row>
    <row r="16" spans="2:3">
      <c r="B16" s="78"/>
      <c r="C16" s="3" t="s">
        <v>2005</v>
      </c>
    </row>
    <row r="17" spans="2:3">
      <c r="B17" s="78" t="s">
        <v>633</v>
      </c>
      <c r="C17" s="3" t="s">
        <v>2006</v>
      </c>
    </row>
    <row r="18" spans="2:3">
      <c r="B18" s="78"/>
      <c r="C18" s="3" t="s">
        <v>2007</v>
      </c>
    </row>
    <row r="19" spans="2:3">
      <c r="B19" s="78"/>
      <c r="C19" s="3" t="s">
        <v>2008</v>
      </c>
    </row>
    <row r="20" spans="2:3">
      <c r="B20" s="78"/>
      <c r="C20" s="3" t="s">
        <v>2009</v>
      </c>
    </row>
    <row r="21" spans="2:3">
      <c r="B21" s="78" t="s">
        <v>636</v>
      </c>
      <c r="C21" s="3" t="s">
        <v>2010</v>
      </c>
    </row>
    <row r="22" spans="2:3">
      <c r="B22" s="78"/>
      <c r="C22" s="3" t="s">
        <v>2011</v>
      </c>
    </row>
    <row r="23" spans="2:3">
      <c r="B23" s="78"/>
      <c r="C23" s="3" t="s">
        <v>2012</v>
      </c>
    </row>
    <row r="24" spans="2:3">
      <c r="B24" s="6"/>
      <c r="C24" s="21"/>
    </row>
    <row r="25" spans="2:3">
      <c r="B25" s="11" t="s">
        <v>2017</v>
      </c>
    </row>
    <row r="26" spans="2:3" ht="174">
      <c r="B26" s="8" t="s">
        <v>1896</v>
      </c>
      <c r="C26" s="3" t="s">
        <v>2013</v>
      </c>
    </row>
    <row r="27" spans="2:3" ht="156.6">
      <c r="B27" s="8" t="s">
        <v>1902</v>
      </c>
      <c r="C27" s="3" t="s">
        <v>2014</v>
      </c>
    </row>
    <row r="28" spans="2:3" ht="121.8">
      <c r="B28" s="8" t="s">
        <v>1907</v>
      </c>
      <c r="C28" s="3" t="s">
        <v>2015</v>
      </c>
    </row>
    <row r="29" spans="2:3" ht="121.8">
      <c r="B29" s="8" t="s">
        <v>1911</v>
      </c>
      <c r="C29" s="3" t="s">
        <v>2016</v>
      </c>
    </row>
    <row r="32" spans="2:3">
      <c r="B32" s="11" t="s">
        <v>2018</v>
      </c>
    </row>
    <row r="33" spans="2:3" ht="226.2">
      <c r="B33" s="8" t="s">
        <v>1896</v>
      </c>
      <c r="C33" s="3" t="s">
        <v>2019</v>
      </c>
    </row>
    <row r="34" spans="2:3" ht="87">
      <c r="B34" s="8" t="s">
        <v>1902</v>
      </c>
      <c r="C34" s="3" t="s">
        <v>2020</v>
      </c>
    </row>
    <row r="35" spans="2:3" ht="156.6">
      <c r="B35" s="8" t="s">
        <v>1907</v>
      </c>
      <c r="C35" s="3" t="s">
        <v>2021</v>
      </c>
    </row>
    <row r="36" spans="2:3" ht="104.4">
      <c r="B36" s="8" t="s">
        <v>1911</v>
      </c>
      <c r="C36" s="3" t="s">
        <v>2022</v>
      </c>
    </row>
    <row r="39" spans="2:3">
      <c r="B39" s="6" t="s">
        <v>2023</v>
      </c>
    </row>
    <row r="40" spans="2:3" ht="208.8">
      <c r="B40" s="8" t="s">
        <v>1896</v>
      </c>
      <c r="C40" s="3" t="s">
        <v>2027</v>
      </c>
    </row>
    <row r="41" spans="2:3" ht="191.4">
      <c r="B41" s="8" t="s">
        <v>1902</v>
      </c>
      <c r="C41" s="3" t="s">
        <v>2025</v>
      </c>
    </row>
    <row r="42" spans="2:3" ht="208.8">
      <c r="B42" s="8" t="s">
        <v>1907</v>
      </c>
      <c r="C42" s="3" t="s">
        <v>2026</v>
      </c>
    </row>
    <row r="43" spans="2:3" ht="208.8">
      <c r="B43" s="8" t="s">
        <v>1911</v>
      </c>
      <c r="C43" s="3" t="s">
        <v>2024</v>
      </c>
    </row>
  </sheetData>
  <mergeCells count="4">
    <mergeCell ref="B10:B12"/>
    <mergeCell ref="B13:B16"/>
    <mergeCell ref="B17:B20"/>
    <mergeCell ref="B21:B23"/>
  </mergeCells>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C21"/>
  <sheetViews>
    <sheetView topLeftCell="A12" zoomScale="70" zoomScaleNormal="70" workbookViewId="0">
      <selection activeCell="B17" sqref="B17"/>
    </sheetView>
  </sheetViews>
  <sheetFormatPr defaultRowHeight="17.399999999999999"/>
  <cols>
    <col min="2" max="2" width="18.09765625" customWidth="1"/>
    <col min="3" max="3" width="99.09765625" customWidth="1"/>
  </cols>
  <sheetData>
    <row r="1" spans="2:3">
      <c r="B1" s="11" t="s">
        <v>1969</v>
      </c>
    </row>
    <row r="2" spans="2:3">
      <c r="B2" s="44" t="s">
        <v>83</v>
      </c>
      <c r="C2" s="44" t="s">
        <v>454</v>
      </c>
    </row>
    <row r="3" spans="2:3" ht="226.2">
      <c r="B3" s="4" t="s">
        <v>1171</v>
      </c>
      <c r="C3" s="3" t="s">
        <v>1970</v>
      </c>
    </row>
    <row r="4" spans="2:3" ht="121.8">
      <c r="B4" s="4" t="s">
        <v>1172</v>
      </c>
      <c r="C4" s="3" t="s">
        <v>1971</v>
      </c>
    </row>
    <row r="5" spans="2:3" ht="226.2">
      <c r="B5" s="4" t="s">
        <v>1173</v>
      </c>
      <c r="C5" s="3" t="s">
        <v>1972</v>
      </c>
    </row>
    <row r="6" spans="2:3" ht="191.4">
      <c r="B6" s="4" t="s">
        <v>1174</v>
      </c>
      <c r="C6" s="3" t="s">
        <v>1973</v>
      </c>
    </row>
    <row r="9" spans="2:3">
      <c r="B9" s="7" t="s">
        <v>1957</v>
      </c>
      <c r="C9" s="7" t="s">
        <v>82</v>
      </c>
    </row>
    <row r="10" spans="2:3">
      <c r="B10" s="3" t="s">
        <v>1974</v>
      </c>
      <c r="C10" s="3" t="s">
        <v>1975</v>
      </c>
    </row>
    <row r="11" spans="2:3">
      <c r="B11" s="3" t="s">
        <v>152</v>
      </c>
      <c r="C11" s="3" t="s">
        <v>1976</v>
      </c>
    </row>
    <row r="12" spans="2:3">
      <c r="B12" s="3" t="s">
        <v>1977</v>
      </c>
      <c r="C12" s="3" t="s">
        <v>1978</v>
      </c>
    </row>
    <row r="16" spans="2:3">
      <c r="B16" s="11" t="s">
        <v>1985</v>
      </c>
    </row>
    <row r="17" spans="2:3" ht="121.8">
      <c r="B17" s="4" t="s">
        <v>1171</v>
      </c>
      <c r="C17" s="3" t="s">
        <v>1979</v>
      </c>
    </row>
    <row r="18" spans="2:3" ht="156.6">
      <c r="B18" s="4" t="s">
        <v>1172</v>
      </c>
      <c r="C18" s="3" t="s">
        <v>1980</v>
      </c>
    </row>
    <row r="19" spans="2:3" ht="156.6">
      <c r="B19" s="4" t="s">
        <v>1173</v>
      </c>
      <c r="C19" s="3" t="s">
        <v>1981</v>
      </c>
    </row>
    <row r="20" spans="2:3" ht="156.6">
      <c r="B20" s="4" t="s">
        <v>1174</v>
      </c>
      <c r="C20" s="3" t="s">
        <v>1982</v>
      </c>
    </row>
    <row r="21" spans="2:3" ht="156.6">
      <c r="B21" s="4" t="s">
        <v>1983</v>
      </c>
      <c r="C21" s="3" t="s">
        <v>1984</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C6:H31"/>
  <sheetViews>
    <sheetView topLeftCell="A15" workbookViewId="0">
      <selection activeCell="D21" sqref="D21:D24"/>
    </sheetView>
  </sheetViews>
  <sheetFormatPr defaultRowHeight="17.399999999999999"/>
  <cols>
    <col min="3" max="4" width="27.09765625" customWidth="1"/>
    <col min="5" max="5" width="30.3984375" customWidth="1"/>
    <col min="6" max="6" width="35.09765625" customWidth="1"/>
    <col min="7" max="7" width="27.09765625" customWidth="1"/>
  </cols>
  <sheetData>
    <row r="6" spans="3:7">
      <c r="C6" s="7" t="s">
        <v>1355</v>
      </c>
      <c r="D6" s="7" t="s">
        <v>1356</v>
      </c>
      <c r="E6" s="7" t="s">
        <v>1357</v>
      </c>
      <c r="F6" s="7" t="s">
        <v>1358</v>
      </c>
      <c r="G6" s="7" t="s">
        <v>81</v>
      </c>
    </row>
    <row r="7" spans="3:7">
      <c r="C7" s="78" t="s">
        <v>1396</v>
      </c>
      <c r="D7" s="77" t="s">
        <v>1359</v>
      </c>
      <c r="E7" s="3" t="s">
        <v>1360</v>
      </c>
      <c r="F7" s="3" t="s">
        <v>1363</v>
      </c>
      <c r="G7" s="77" t="s">
        <v>1365</v>
      </c>
    </row>
    <row r="8" spans="3:7">
      <c r="C8" s="77"/>
      <c r="D8" s="77"/>
      <c r="E8" s="3" t="s">
        <v>1361</v>
      </c>
      <c r="F8" s="8" t="s">
        <v>1364</v>
      </c>
      <c r="G8" s="77"/>
    </row>
    <row r="9" spans="3:7">
      <c r="C9" s="77"/>
      <c r="D9" s="77"/>
      <c r="E9" s="3" t="s">
        <v>1362</v>
      </c>
      <c r="F9" s="8"/>
      <c r="G9" s="77"/>
    </row>
    <row r="10" spans="3:7">
      <c r="C10" s="78" t="s">
        <v>1397</v>
      </c>
      <c r="D10" s="77" t="s">
        <v>1366</v>
      </c>
      <c r="E10" s="3" t="s">
        <v>1367</v>
      </c>
      <c r="F10" s="3" t="s">
        <v>1370</v>
      </c>
      <c r="G10" s="77" t="s">
        <v>1372</v>
      </c>
    </row>
    <row r="11" spans="3:7">
      <c r="C11" s="77"/>
      <c r="D11" s="77"/>
      <c r="E11" s="3" t="s">
        <v>1368</v>
      </c>
      <c r="F11" s="3" t="s">
        <v>1371</v>
      </c>
      <c r="G11" s="77"/>
    </row>
    <row r="12" spans="3:7">
      <c r="C12" s="77"/>
      <c r="D12" s="77"/>
      <c r="E12" s="3" t="s">
        <v>1369</v>
      </c>
      <c r="F12" s="3"/>
      <c r="G12" s="77"/>
    </row>
    <row r="13" spans="3:7">
      <c r="C13" s="78" t="s">
        <v>1398</v>
      </c>
      <c r="D13" s="77" t="s">
        <v>1373</v>
      </c>
      <c r="E13" s="3" t="s">
        <v>1374</v>
      </c>
      <c r="F13" s="3" t="s">
        <v>1376</v>
      </c>
      <c r="G13" s="77" t="s">
        <v>1378</v>
      </c>
    </row>
    <row r="14" spans="3:7">
      <c r="C14" s="77"/>
      <c r="D14" s="77"/>
      <c r="E14" s="3" t="s">
        <v>1375</v>
      </c>
      <c r="F14" s="8" t="s">
        <v>1377</v>
      </c>
      <c r="G14" s="77"/>
    </row>
    <row r="15" spans="3:7">
      <c r="C15" s="78" t="s">
        <v>1399</v>
      </c>
      <c r="D15" s="77" t="s">
        <v>1379</v>
      </c>
      <c r="E15" s="3" t="s">
        <v>1380</v>
      </c>
      <c r="F15" s="3" t="s">
        <v>1384</v>
      </c>
      <c r="G15" s="77" t="s">
        <v>1387</v>
      </c>
    </row>
    <row r="16" spans="3:7">
      <c r="C16" s="77"/>
      <c r="D16" s="77"/>
      <c r="E16" s="3" t="s">
        <v>1381</v>
      </c>
      <c r="F16" s="3" t="s">
        <v>1385</v>
      </c>
      <c r="G16" s="77"/>
    </row>
    <row r="17" spans="3:8">
      <c r="C17" s="77"/>
      <c r="D17" s="77"/>
      <c r="E17" s="3" t="s">
        <v>1382</v>
      </c>
      <c r="F17" s="3" t="s">
        <v>1386</v>
      </c>
      <c r="G17" s="77"/>
    </row>
    <row r="18" spans="3:8">
      <c r="C18" s="77"/>
      <c r="D18" s="77"/>
      <c r="E18" s="3" t="s">
        <v>1383</v>
      </c>
      <c r="F18" s="3"/>
      <c r="G18" s="77"/>
    </row>
    <row r="19" spans="3:8">
      <c r="C19" s="78" t="s">
        <v>1400</v>
      </c>
      <c r="D19" s="77" t="s">
        <v>1402</v>
      </c>
      <c r="E19" s="3" t="s">
        <v>1388</v>
      </c>
      <c r="F19" s="3" t="s">
        <v>1390</v>
      </c>
      <c r="G19" s="77" t="s">
        <v>1392</v>
      </c>
    </row>
    <row r="20" spans="3:8">
      <c r="C20" s="77"/>
      <c r="D20" s="77"/>
      <c r="E20" s="3" t="s">
        <v>1389</v>
      </c>
      <c r="F20" s="3" t="s">
        <v>1391</v>
      </c>
      <c r="G20" s="77"/>
    </row>
    <row r="21" spans="3:8" ht="34.799999999999997">
      <c r="C21" s="78" t="s">
        <v>1401</v>
      </c>
      <c r="D21" s="77" t="s">
        <v>1408</v>
      </c>
      <c r="E21" s="3" t="s">
        <v>1393</v>
      </c>
      <c r="F21" s="3" t="s">
        <v>1394</v>
      </c>
      <c r="G21" s="77"/>
    </row>
    <row r="22" spans="3:8" ht="52.2">
      <c r="C22" s="77"/>
      <c r="D22" s="77"/>
      <c r="E22" s="3" t="s">
        <v>1405</v>
      </c>
      <c r="F22" s="3" t="s">
        <v>1407</v>
      </c>
      <c r="G22" s="77"/>
    </row>
    <row r="23" spans="3:8" ht="34.799999999999997">
      <c r="C23" s="77"/>
      <c r="D23" s="77"/>
      <c r="E23" s="3" t="s">
        <v>1403</v>
      </c>
      <c r="F23" s="3" t="s">
        <v>1404</v>
      </c>
      <c r="G23" s="77"/>
    </row>
    <row r="24" spans="3:8" ht="52.2">
      <c r="C24" s="77"/>
      <c r="D24" s="77"/>
      <c r="E24" s="3" t="s">
        <v>1406</v>
      </c>
      <c r="F24" s="3" t="s">
        <v>1395</v>
      </c>
      <c r="G24" s="77"/>
    </row>
    <row r="27" spans="3:8">
      <c r="E27" s="2"/>
      <c r="F27" s="2"/>
      <c r="G27" s="2"/>
      <c r="H27" s="2"/>
    </row>
    <row r="28" spans="3:8">
      <c r="E28" s="21"/>
      <c r="F28" s="21"/>
      <c r="G28" s="21"/>
      <c r="H28" s="21"/>
    </row>
    <row r="29" spans="3:8">
      <c r="E29" s="21"/>
      <c r="F29" s="21"/>
      <c r="G29" s="21"/>
      <c r="H29" s="21"/>
    </row>
    <row r="30" spans="3:8">
      <c r="E30" s="21"/>
      <c r="F30" s="21"/>
      <c r="G30" s="21"/>
      <c r="H30" s="21"/>
    </row>
    <row r="31" spans="3:8">
      <c r="E31" s="21"/>
      <c r="F31" s="21"/>
      <c r="G31" s="21"/>
    </row>
  </sheetData>
  <mergeCells count="18">
    <mergeCell ref="C7:C9"/>
    <mergeCell ref="D7:D9"/>
    <mergeCell ref="G7:G9"/>
    <mergeCell ref="C10:C12"/>
    <mergeCell ref="D10:D12"/>
    <mergeCell ref="G10:G12"/>
    <mergeCell ref="C13:C14"/>
    <mergeCell ref="D13:D14"/>
    <mergeCell ref="G13:G14"/>
    <mergeCell ref="C15:C18"/>
    <mergeCell ref="D15:D18"/>
    <mergeCell ref="G15:G18"/>
    <mergeCell ref="C19:C20"/>
    <mergeCell ref="D19:D20"/>
    <mergeCell ref="G19:G20"/>
    <mergeCell ref="C21:C24"/>
    <mergeCell ref="D21:D24"/>
    <mergeCell ref="G21:G24"/>
  </mergeCells>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3:E11"/>
  <sheetViews>
    <sheetView zoomScale="130" zoomScaleNormal="130" workbookViewId="0">
      <selection activeCell="C24" sqref="C24"/>
    </sheetView>
  </sheetViews>
  <sheetFormatPr defaultRowHeight="17.399999999999999"/>
  <cols>
    <col min="1" max="1" width="4.59765625" customWidth="1"/>
    <col min="2" max="2" width="18.59765625" bestFit="1" customWidth="1"/>
    <col min="3" max="3" width="36.19921875" customWidth="1"/>
    <col min="4" max="4" width="36.8984375" bestFit="1" customWidth="1"/>
    <col min="5" max="5" width="45" bestFit="1" customWidth="1"/>
  </cols>
  <sheetData>
    <row r="3" spans="2:5">
      <c r="B3" s="7" t="s">
        <v>83</v>
      </c>
      <c r="C3" s="7" t="s">
        <v>1409</v>
      </c>
      <c r="D3" s="7" t="s">
        <v>1410</v>
      </c>
      <c r="E3" s="7" t="s">
        <v>1411</v>
      </c>
    </row>
    <row r="4" spans="2:5" ht="34.799999999999997">
      <c r="B4" s="3" t="s">
        <v>1431</v>
      </c>
      <c r="C4" s="3" t="s">
        <v>1412</v>
      </c>
      <c r="D4" s="8" t="s">
        <v>1413</v>
      </c>
      <c r="E4" s="3" t="s">
        <v>1414</v>
      </c>
    </row>
    <row r="5" spans="2:5">
      <c r="B5" s="3" t="s">
        <v>1432</v>
      </c>
      <c r="C5" s="3" t="s">
        <v>1436</v>
      </c>
      <c r="D5" s="3" t="s">
        <v>1415</v>
      </c>
      <c r="E5" s="8" t="s">
        <v>1416</v>
      </c>
    </row>
    <row r="6" spans="2:5" ht="34.799999999999997">
      <c r="B6" s="3" t="s">
        <v>1433</v>
      </c>
      <c r="C6" s="3" t="s">
        <v>1420</v>
      </c>
      <c r="D6" s="3" t="s">
        <v>1421</v>
      </c>
      <c r="E6" s="8" t="s">
        <v>1422</v>
      </c>
    </row>
    <row r="7" spans="2:5">
      <c r="B7" s="104" t="s">
        <v>1437</v>
      </c>
      <c r="C7" s="3" t="s">
        <v>1423</v>
      </c>
      <c r="D7" s="8" t="s">
        <v>1424</v>
      </c>
      <c r="E7" s="3" t="s">
        <v>1425</v>
      </c>
    </row>
    <row r="8" spans="2:5">
      <c r="B8" s="105"/>
      <c r="C8" s="3" t="s">
        <v>1417</v>
      </c>
      <c r="D8" s="3" t="s">
        <v>1418</v>
      </c>
      <c r="E8" s="3" t="s">
        <v>1419</v>
      </c>
    </row>
    <row r="9" spans="2:5">
      <c r="B9" s="3" t="s">
        <v>1434</v>
      </c>
      <c r="C9" s="3" t="s">
        <v>1426</v>
      </c>
      <c r="D9" s="8" t="s">
        <v>1427</v>
      </c>
      <c r="E9" s="3" t="s">
        <v>1428</v>
      </c>
    </row>
    <row r="10" spans="2:5">
      <c r="B10" s="3" t="s">
        <v>1435</v>
      </c>
      <c r="C10" s="3"/>
      <c r="D10" s="8" t="s">
        <v>1429</v>
      </c>
      <c r="E10" s="3" t="s">
        <v>1430</v>
      </c>
    </row>
    <row r="11" spans="2:5">
      <c r="D11" s="11"/>
    </row>
  </sheetData>
  <mergeCells count="1">
    <mergeCell ref="B7:B8"/>
  </mergeCells>
  <phoneticPr fontId="1"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4:E49"/>
  <sheetViews>
    <sheetView topLeftCell="A31" workbookViewId="0">
      <selection activeCell="C15" sqref="C15"/>
    </sheetView>
  </sheetViews>
  <sheetFormatPr defaultRowHeight="17.399999999999999"/>
  <cols>
    <col min="2" max="2" width="29.59765625" customWidth="1"/>
    <col min="3" max="3" width="52.3984375" customWidth="1"/>
    <col min="4" max="4" width="48.3984375" customWidth="1"/>
  </cols>
  <sheetData>
    <row r="4" spans="2:4">
      <c r="B4" s="7" t="s">
        <v>83</v>
      </c>
      <c r="C4" s="7" t="s">
        <v>150</v>
      </c>
      <c r="D4" s="7" t="s">
        <v>2224</v>
      </c>
    </row>
    <row r="5" spans="2:4" ht="34.799999999999997">
      <c r="B5" s="8" t="s">
        <v>2225</v>
      </c>
      <c r="C5" s="3" t="s">
        <v>2226</v>
      </c>
      <c r="D5" s="3" t="s">
        <v>2240</v>
      </c>
    </row>
    <row r="6" spans="2:4">
      <c r="B6" s="78" t="s">
        <v>2227</v>
      </c>
      <c r="C6" s="3" t="s">
        <v>2228</v>
      </c>
      <c r="D6" s="77" t="s">
        <v>2231</v>
      </c>
    </row>
    <row r="7" spans="2:4">
      <c r="B7" s="78"/>
      <c r="C7" s="3" t="s">
        <v>2229</v>
      </c>
      <c r="D7" s="77"/>
    </row>
    <row r="8" spans="2:4">
      <c r="B8" s="78"/>
      <c r="C8" s="3" t="s">
        <v>2230</v>
      </c>
      <c r="D8" s="77"/>
    </row>
    <row r="9" spans="2:4">
      <c r="B9" s="78" t="s">
        <v>2232</v>
      </c>
      <c r="C9" s="3" t="s">
        <v>2233</v>
      </c>
      <c r="D9" s="77" t="s">
        <v>2235</v>
      </c>
    </row>
    <row r="10" spans="2:4">
      <c r="B10" s="78"/>
      <c r="C10" s="3" t="s">
        <v>2234</v>
      </c>
      <c r="D10" s="77"/>
    </row>
    <row r="11" spans="2:4" ht="34.799999999999997">
      <c r="B11" s="78" t="s">
        <v>2236</v>
      </c>
      <c r="C11" s="3" t="s">
        <v>2237</v>
      </c>
      <c r="D11" s="77" t="s">
        <v>2239</v>
      </c>
    </row>
    <row r="12" spans="2:4">
      <c r="B12" s="78"/>
      <c r="C12" s="3" t="s">
        <v>2238</v>
      </c>
      <c r="D12" s="77"/>
    </row>
    <row r="17" spans="2:4">
      <c r="B17" s="7" t="s">
        <v>83</v>
      </c>
      <c r="C17" s="7" t="s">
        <v>1616</v>
      </c>
      <c r="D17" s="7" t="s">
        <v>2224</v>
      </c>
    </row>
    <row r="18" spans="2:4" ht="52.2">
      <c r="B18" s="8" t="s">
        <v>2241</v>
      </c>
      <c r="C18" s="3" t="s">
        <v>2242</v>
      </c>
      <c r="D18" s="3" t="s">
        <v>2257</v>
      </c>
    </row>
    <row r="19" spans="2:4" ht="34.799999999999997">
      <c r="B19" s="78" t="s">
        <v>2243</v>
      </c>
      <c r="C19" s="3" t="s">
        <v>2244</v>
      </c>
      <c r="D19" s="77" t="s">
        <v>2246</v>
      </c>
    </row>
    <row r="20" spans="2:4" ht="34.799999999999997">
      <c r="B20" s="78"/>
      <c r="C20" s="3" t="s">
        <v>2245</v>
      </c>
      <c r="D20" s="77"/>
    </row>
    <row r="21" spans="2:4" ht="34.799999999999997">
      <c r="B21" s="8" t="s">
        <v>2247</v>
      </c>
      <c r="C21" s="3" t="s">
        <v>2248</v>
      </c>
      <c r="D21" s="3" t="s">
        <v>2249</v>
      </c>
    </row>
    <row r="22" spans="2:4">
      <c r="B22" s="78" t="s">
        <v>2250</v>
      </c>
      <c r="C22" s="3" t="s">
        <v>2251</v>
      </c>
      <c r="D22" s="77" t="s">
        <v>2253</v>
      </c>
    </row>
    <row r="23" spans="2:4" ht="34.799999999999997">
      <c r="B23" s="78"/>
      <c r="C23" s="3" t="s">
        <v>2252</v>
      </c>
      <c r="D23" s="77"/>
    </row>
    <row r="24" spans="2:4">
      <c r="B24" s="78" t="s">
        <v>2254</v>
      </c>
      <c r="C24" s="3" t="s">
        <v>2255</v>
      </c>
      <c r="D24" s="77"/>
    </row>
    <row r="25" spans="2:4">
      <c r="B25" s="78"/>
      <c r="C25" s="3" t="s">
        <v>2256</v>
      </c>
      <c r="D25" s="77"/>
    </row>
    <row r="30" spans="2:4">
      <c r="B30" s="7" t="s">
        <v>83</v>
      </c>
      <c r="C30" s="7" t="s">
        <v>2258</v>
      </c>
      <c r="D30" s="7" t="s">
        <v>2259</v>
      </c>
    </row>
    <row r="31" spans="2:4" ht="34.799999999999997">
      <c r="B31" s="8" t="s">
        <v>2260</v>
      </c>
      <c r="C31" s="3" t="s">
        <v>2261</v>
      </c>
      <c r="D31" s="3" t="s">
        <v>2271</v>
      </c>
    </row>
    <row r="32" spans="2:4">
      <c r="B32" s="8" t="s">
        <v>2262</v>
      </c>
      <c r="C32" s="3" t="s">
        <v>2263</v>
      </c>
      <c r="D32" s="3" t="s">
        <v>2264</v>
      </c>
    </row>
    <row r="33" spans="2:5" ht="33" customHeight="1">
      <c r="B33" s="78" t="s">
        <v>2265</v>
      </c>
      <c r="C33" s="3" t="s">
        <v>2266</v>
      </c>
      <c r="D33" s="77" t="s">
        <v>2272</v>
      </c>
    </row>
    <row r="34" spans="2:5">
      <c r="B34" s="78"/>
      <c r="C34" s="3" t="s">
        <v>2267</v>
      </c>
      <c r="D34" s="107"/>
    </row>
    <row r="35" spans="2:5">
      <c r="B35" s="8" t="s">
        <v>2268</v>
      </c>
      <c r="C35" s="3" t="s">
        <v>2269</v>
      </c>
      <c r="D35" s="3" t="s">
        <v>2270</v>
      </c>
    </row>
    <row r="40" spans="2:5">
      <c r="B40" s="7" t="s">
        <v>83</v>
      </c>
      <c r="C40" s="7" t="s">
        <v>2273</v>
      </c>
      <c r="D40" s="7" t="s">
        <v>2274</v>
      </c>
      <c r="E40" s="2"/>
    </row>
    <row r="41" spans="2:5">
      <c r="B41" s="78" t="s">
        <v>2275</v>
      </c>
      <c r="C41" s="77" t="s">
        <v>2276</v>
      </c>
      <c r="D41" s="102" t="s">
        <v>2290</v>
      </c>
      <c r="E41" s="106"/>
    </row>
    <row r="42" spans="2:5">
      <c r="B42" s="78"/>
      <c r="C42" s="77"/>
      <c r="D42" s="102"/>
      <c r="E42" s="106"/>
    </row>
    <row r="43" spans="2:5">
      <c r="B43" s="78" t="s">
        <v>2277</v>
      </c>
      <c r="C43" s="77" t="s">
        <v>2278</v>
      </c>
      <c r="D43" s="3" t="s">
        <v>2279</v>
      </c>
      <c r="E43" s="85"/>
    </row>
    <row r="44" spans="2:5">
      <c r="B44" s="78"/>
      <c r="C44" s="77"/>
      <c r="D44" s="3" t="s">
        <v>2280</v>
      </c>
      <c r="E44" s="85"/>
    </row>
    <row r="45" spans="2:5">
      <c r="B45" s="78"/>
      <c r="C45" s="77"/>
      <c r="D45" s="3" t="s">
        <v>2281</v>
      </c>
      <c r="E45" s="85"/>
    </row>
    <row r="46" spans="2:5" ht="16.5" customHeight="1">
      <c r="B46" s="78" t="s">
        <v>2282</v>
      </c>
      <c r="C46" s="77" t="s">
        <v>2283</v>
      </c>
      <c r="D46" s="3" t="s">
        <v>2284</v>
      </c>
      <c r="E46" s="85"/>
    </row>
    <row r="47" spans="2:5">
      <c r="B47" s="78"/>
      <c r="C47" s="77"/>
      <c r="D47" s="3" t="s">
        <v>2285</v>
      </c>
      <c r="E47" s="85"/>
    </row>
    <row r="48" spans="2:5">
      <c r="B48" s="78" t="s">
        <v>2286</v>
      </c>
      <c r="C48" s="77" t="s">
        <v>2287</v>
      </c>
      <c r="D48" s="3" t="s">
        <v>2288</v>
      </c>
    </row>
    <row r="49" spans="2:4">
      <c r="B49" s="78"/>
      <c r="C49" s="77"/>
      <c r="D49" s="3" t="s">
        <v>2289</v>
      </c>
    </row>
  </sheetData>
  <mergeCells count="26">
    <mergeCell ref="B48:B49"/>
    <mergeCell ref="C48:C49"/>
    <mergeCell ref="B43:B45"/>
    <mergeCell ref="C43:C45"/>
    <mergeCell ref="E43:E45"/>
    <mergeCell ref="B46:B47"/>
    <mergeCell ref="C46:C47"/>
    <mergeCell ref="E46:E47"/>
    <mergeCell ref="E41:E42"/>
    <mergeCell ref="B19:B20"/>
    <mergeCell ref="D19:D20"/>
    <mergeCell ref="B22:B23"/>
    <mergeCell ref="D22:D23"/>
    <mergeCell ref="B24:B25"/>
    <mergeCell ref="D24:D25"/>
    <mergeCell ref="B33:B34"/>
    <mergeCell ref="D33:D34"/>
    <mergeCell ref="B41:B42"/>
    <mergeCell ref="C41:C42"/>
    <mergeCell ref="D41:D42"/>
    <mergeCell ref="B6:B8"/>
    <mergeCell ref="D6:D8"/>
    <mergeCell ref="B9:B10"/>
    <mergeCell ref="D9:D10"/>
    <mergeCell ref="B11:B12"/>
    <mergeCell ref="D11:D12"/>
  </mergeCells>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B3:D259"/>
  <sheetViews>
    <sheetView topLeftCell="A230" workbookViewId="0">
      <selection activeCell="B244" sqref="B244:D244"/>
    </sheetView>
  </sheetViews>
  <sheetFormatPr defaultRowHeight="17.399999999999999"/>
  <cols>
    <col min="2" max="2" width="19.5" customWidth="1"/>
    <col min="3" max="3" width="41.69921875" customWidth="1"/>
    <col min="4" max="4" width="64.09765625" customWidth="1"/>
  </cols>
  <sheetData>
    <row r="3" spans="2:4">
      <c r="B3" s="11" t="s">
        <v>1662</v>
      </c>
    </row>
    <row r="4" spans="2:4">
      <c r="B4" s="7" t="s">
        <v>302</v>
      </c>
      <c r="C4" s="7" t="s">
        <v>510</v>
      </c>
      <c r="D4" s="7" t="s">
        <v>1616</v>
      </c>
    </row>
    <row r="5" spans="2:4">
      <c r="B5" s="89" t="s">
        <v>1637</v>
      </c>
      <c r="C5" s="78" t="s">
        <v>1617</v>
      </c>
      <c r="D5" s="3" t="s">
        <v>1618</v>
      </c>
    </row>
    <row r="6" spans="2:4">
      <c r="B6" s="90"/>
      <c r="C6" s="78"/>
      <c r="D6" s="3" t="s">
        <v>1619</v>
      </c>
    </row>
    <row r="7" spans="2:4" ht="16.5" customHeight="1">
      <c r="B7" s="90"/>
      <c r="C7" s="78"/>
      <c r="D7" s="3" t="s">
        <v>1620</v>
      </c>
    </row>
    <row r="8" spans="2:4">
      <c r="B8" s="91"/>
      <c r="C8" s="78"/>
      <c r="D8" s="3" t="s">
        <v>1621</v>
      </c>
    </row>
    <row r="9" spans="2:4">
      <c r="B9" s="89" t="s">
        <v>1638</v>
      </c>
      <c r="C9" s="78" t="s">
        <v>1622</v>
      </c>
      <c r="D9" s="45" t="s">
        <v>1623</v>
      </c>
    </row>
    <row r="10" spans="2:4" ht="16.5" customHeight="1">
      <c r="B10" s="90"/>
      <c r="C10" s="78"/>
      <c r="D10" s="3" t="s">
        <v>1624</v>
      </c>
    </row>
    <row r="11" spans="2:4">
      <c r="B11" s="90"/>
      <c r="C11" s="78"/>
      <c r="D11" s="3" t="s">
        <v>1625</v>
      </c>
    </row>
    <row r="12" spans="2:4">
      <c r="B12" s="91"/>
      <c r="C12" s="78"/>
      <c r="D12" s="3" t="s">
        <v>1626</v>
      </c>
    </row>
    <row r="13" spans="2:4">
      <c r="B13" s="89" t="s">
        <v>1639</v>
      </c>
      <c r="C13" s="78" t="s">
        <v>1627</v>
      </c>
      <c r="D13" s="3" t="s">
        <v>1628</v>
      </c>
    </row>
    <row r="14" spans="2:4">
      <c r="B14" s="90"/>
      <c r="C14" s="78"/>
      <c r="D14" s="3" t="s">
        <v>1629</v>
      </c>
    </row>
    <row r="15" spans="2:4">
      <c r="B15" s="90"/>
      <c r="C15" s="78"/>
      <c r="D15" s="3" t="s">
        <v>1630</v>
      </c>
    </row>
    <row r="16" spans="2:4">
      <c r="B16" s="91"/>
      <c r="C16" s="78"/>
      <c r="D16" s="3" t="s">
        <v>1631</v>
      </c>
    </row>
    <row r="17" spans="2:4">
      <c r="B17" s="89" t="s">
        <v>1640</v>
      </c>
      <c r="C17" s="78" t="s">
        <v>1632</v>
      </c>
      <c r="D17" s="3" t="s">
        <v>1633</v>
      </c>
    </row>
    <row r="18" spans="2:4">
      <c r="B18" s="90"/>
      <c r="C18" s="78"/>
      <c r="D18" s="3" t="s">
        <v>1634</v>
      </c>
    </row>
    <row r="19" spans="2:4">
      <c r="B19" s="90"/>
      <c r="C19" s="78"/>
      <c r="D19" s="3" t="s">
        <v>1635</v>
      </c>
    </row>
    <row r="20" spans="2:4">
      <c r="B20" s="91"/>
      <c r="C20" s="78"/>
      <c r="D20" s="3" t="s">
        <v>1636</v>
      </c>
    </row>
    <row r="22" spans="2:4">
      <c r="B22" s="11" t="s">
        <v>1661</v>
      </c>
    </row>
    <row r="23" spans="2:4">
      <c r="B23" s="7" t="s">
        <v>302</v>
      </c>
      <c r="C23" s="7" t="s">
        <v>510</v>
      </c>
      <c r="D23" s="7" t="s">
        <v>1616</v>
      </c>
    </row>
    <row r="24" spans="2:4">
      <c r="B24" s="113" t="s">
        <v>1637</v>
      </c>
      <c r="C24" s="78" t="s">
        <v>1641</v>
      </c>
      <c r="D24" s="3" t="s">
        <v>1642</v>
      </c>
    </row>
    <row r="25" spans="2:4">
      <c r="B25" s="113"/>
      <c r="C25" s="78"/>
      <c r="D25" s="3" t="s">
        <v>1643</v>
      </c>
    </row>
    <row r="26" spans="2:4">
      <c r="B26" s="113"/>
      <c r="C26" s="78"/>
      <c r="D26" s="3" t="s">
        <v>1644</v>
      </c>
    </row>
    <row r="27" spans="2:4">
      <c r="B27" s="113"/>
      <c r="C27" s="78"/>
      <c r="D27" s="3" t="s">
        <v>1645</v>
      </c>
    </row>
    <row r="28" spans="2:4">
      <c r="B28" s="113" t="s">
        <v>1638</v>
      </c>
      <c r="C28" s="78" t="s">
        <v>1646</v>
      </c>
      <c r="D28" s="3" t="s">
        <v>1647</v>
      </c>
    </row>
    <row r="29" spans="2:4">
      <c r="B29" s="113"/>
      <c r="C29" s="78"/>
      <c r="D29" s="3" t="s">
        <v>1648</v>
      </c>
    </row>
    <row r="30" spans="2:4">
      <c r="B30" s="113"/>
      <c r="C30" s="78"/>
      <c r="D30" s="3" t="s">
        <v>1649</v>
      </c>
    </row>
    <row r="31" spans="2:4">
      <c r="B31" s="113"/>
      <c r="C31" s="78"/>
      <c r="D31" s="3" t="s">
        <v>1650</v>
      </c>
    </row>
    <row r="32" spans="2:4">
      <c r="B32" s="113" t="s">
        <v>1639</v>
      </c>
      <c r="C32" s="78" t="s">
        <v>1651</v>
      </c>
      <c r="D32" s="3" t="s">
        <v>1652</v>
      </c>
    </row>
    <row r="33" spans="2:4">
      <c r="B33" s="113"/>
      <c r="C33" s="78"/>
      <c r="D33" s="3" t="s">
        <v>1653</v>
      </c>
    </row>
    <row r="34" spans="2:4">
      <c r="B34" s="113"/>
      <c r="C34" s="78"/>
      <c r="D34" s="3" t="s">
        <v>1654</v>
      </c>
    </row>
    <row r="35" spans="2:4">
      <c r="B35" s="113"/>
      <c r="C35" s="78"/>
      <c r="D35" s="3" t="s">
        <v>1655</v>
      </c>
    </row>
    <row r="36" spans="2:4">
      <c r="B36" s="113" t="s">
        <v>1640</v>
      </c>
      <c r="C36" s="78" t="s">
        <v>1656</v>
      </c>
      <c r="D36" s="3" t="s">
        <v>1657</v>
      </c>
    </row>
    <row r="37" spans="2:4">
      <c r="B37" s="113"/>
      <c r="C37" s="78"/>
      <c r="D37" s="3" t="s">
        <v>1658</v>
      </c>
    </row>
    <row r="38" spans="2:4">
      <c r="B38" s="113"/>
      <c r="C38" s="78"/>
      <c r="D38" s="3" t="s">
        <v>1659</v>
      </c>
    </row>
    <row r="39" spans="2:4">
      <c r="B39" s="113"/>
      <c r="C39" s="78"/>
      <c r="D39" s="3" t="s">
        <v>1660</v>
      </c>
    </row>
    <row r="41" spans="2:4">
      <c r="B41" s="11" t="s">
        <v>1663</v>
      </c>
    </row>
    <row r="42" spans="2:4">
      <c r="B42" s="7" t="s">
        <v>302</v>
      </c>
      <c r="C42" s="7" t="s">
        <v>510</v>
      </c>
      <c r="D42" s="7" t="s">
        <v>1616</v>
      </c>
    </row>
    <row r="43" spans="2:4">
      <c r="B43" s="113" t="s">
        <v>1637</v>
      </c>
      <c r="C43" s="78" t="s">
        <v>1664</v>
      </c>
      <c r="D43" s="3" t="s">
        <v>1665</v>
      </c>
    </row>
    <row r="44" spans="2:4">
      <c r="B44" s="113"/>
      <c r="C44" s="78"/>
      <c r="D44" s="3" t="s">
        <v>1666</v>
      </c>
    </row>
    <row r="45" spans="2:4">
      <c r="B45" s="113"/>
      <c r="C45" s="78"/>
      <c r="D45" s="3" t="s">
        <v>1667</v>
      </c>
    </row>
    <row r="46" spans="2:4">
      <c r="B46" s="113"/>
      <c r="C46" s="78"/>
      <c r="D46" s="45" t="s">
        <v>1668</v>
      </c>
    </row>
    <row r="47" spans="2:4">
      <c r="B47" s="113" t="s">
        <v>1638</v>
      </c>
      <c r="C47" s="78" t="s">
        <v>1669</v>
      </c>
      <c r="D47" s="3" t="s">
        <v>1670</v>
      </c>
    </row>
    <row r="48" spans="2:4">
      <c r="B48" s="113"/>
      <c r="C48" s="78"/>
      <c r="D48" s="3" t="s">
        <v>1671</v>
      </c>
    </row>
    <row r="49" spans="2:4">
      <c r="B49" s="113"/>
      <c r="C49" s="78"/>
      <c r="D49" s="3" t="s">
        <v>1672</v>
      </c>
    </row>
    <row r="50" spans="2:4">
      <c r="B50" s="113"/>
      <c r="C50" s="78"/>
      <c r="D50" s="3" t="s">
        <v>1673</v>
      </c>
    </row>
    <row r="51" spans="2:4">
      <c r="B51" s="113" t="s">
        <v>1639</v>
      </c>
      <c r="C51" s="78" t="s">
        <v>1674</v>
      </c>
      <c r="D51" s="45" t="s">
        <v>1675</v>
      </c>
    </row>
    <row r="52" spans="2:4">
      <c r="B52" s="113"/>
      <c r="C52" s="78"/>
      <c r="D52" s="3" t="s">
        <v>1676</v>
      </c>
    </row>
    <row r="53" spans="2:4">
      <c r="B53" s="113"/>
      <c r="C53" s="78"/>
      <c r="D53" s="3" t="s">
        <v>1677</v>
      </c>
    </row>
    <row r="54" spans="2:4">
      <c r="B54" s="113"/>
      <c r="C54" s="78"/>
      <c r="D54" s="3" t="s">
        <v>1678</v>
      </c>
    </row>
    <row r="55" spans="2:4">
      <c r="B55" s="113" t="s">
        <v>1640</v>
      </c>
      <c r="C55" s="78" t="s">
        <v>1679</v>
      </c>
      <c r="D55" s="3" t="s">
        <v>1680</v>
      </c>
    </row>
    <row r="56" spans="2:4">
      <c r="B56" s="113"/>
      <c r="C56" s="78"/>
      <c r="D56" s="3" t="s">
        <v>1681</v>
      </c>
    </row>
    <row r="57" spans="2:4">
      <c r="B57" s="113"/>
      <c r="C57" s="78"/>
      <c r="D57" s="3" t="s">
        <v>1682</v>
      </c>
    </row>
    <row r="58" spans="2:4">
      <c r="B58" s="113"/>
      <c r="C58" s="78"/>
      <c r="D58" s="3" t="s">
        <v>1683</v>
      </c>
    </row>
    <row r="60" spans="2:4">
      <c r="B60" s="7" t="s">
        <v>85</v>
      </c>
      <c r="C60" s="7" t="s">
        <v>149</v>
      </c>
    </row>
    <row r="61" spans="2:4" ht="34.799999999999997">
      <c r="B61" s="8" t="s">
        <v>1717</v>
      </c>
      <c r="C61" s="3" t="s">
        <v>1718</v>
      </c>
    </row>
    <row r="62" spans="2:4" ht="34.799999999999997">
      <c r="B62" s="8" t="s">
        <v>1719</v>
      </c>
      <c r="C62" s="3" t="s">
        <v>1720</v>
      </c>
    </row>
    <row r="63" spans="2:4">
      <c r="B63" s="8" t="s">
        <v>1721</v>
      </c>
      <c r="C63" s="3" t="s">
        <v>1722</v>
      </c>
    </row>
    <row r="64" spans="2:4" ht="34.799999999999997">
      <c r="B64" s="8" t="s">
        <v>1723</v>
      </c>
      <c r="C64" s="3" t="s">
        <v>1724</v>
      </c>
    </row>
    <row r="65" spans="2:4" ht="34.799999999999997">
      <c r="B65" s="8" t="s">
        <v>1725</v>
      </c>
      <c r="C65" s="3" t="s">
        <v>1726</v>
      </c>
    </row>
    <row r="66" spans="2:4">
      <c r="B66" s="6"/>
      <c r="C66" s="21"/>
    </row>
    <row r="67" spans="2:4">
      <c r="B67" t="s">
        <v>1727</v>
      </c>
    </row>
    <row r="68" spans="2:4">
      <c r="B68" s="7" t="s">
        <v>302</v>
      </c>
      <c r="C68" s="7" t="s">
        <v>510</v>
      </c>
      <c r="D68" s="7" t="s">
        <v>1616</v>
      </c>
    </row>
    <row r="69" spans="2:4">
      <c r="B69" s="113" t="s">
        <v>1728</v>
      </c>
      <c r="C69" s="78" t="s">
        <v>1684</v>
      </c>
      <c r="D69" s="3" t="s">
        <v>1685</v>
      </c>
    </row>
    <row r="70" spans="2:4">
      <c r="B70" s="113"/>
      <c r="C70" s="78"/>
      <c r="D70" s="3" t="s">
        <v>1686</v>
      </c>
    </row>
    <row r="71" spans="2:4">
      <c r="B71" s="113"/>
      <c r="C71" s="78"/>
      <c r="D71" s="3" t="s">
        <v>1687</v>
      </c>
    </row>
    <row r="72" spans="2:4">
      <c r="B72" s="113"/>
      <c r="C72" s="78"/>
      <c r="D72" s="3" t="s">
        <v>1688</v>
      </c>
    </row>
    <row r="73" spans="2:4">
      <c r="B73" s="113" t="s">
        <v>1729</v>
      </c>
      <c r="C73" s="78" t="s">
        <v>1689</v>
      </c>
      <c r="D73" s="3" t="s">
        <v>1690</v>
      </c>
    </row>
    <row r="74" spans="2:4">
      <c r="B74" s="113"/>
      <c r="C74" s="78"/>
      <c r="D74" s="3" t="s">
        <v>1691</v>
      </c>
    </row>
    <row r="75" spans="2:4">
      <c r="B75" s="113"/>
      <c r="C75" s="78"/>
      <c r="D75" s="3" t="s">
        <v>1692</v>
      </c>
    </row>
    <row r="76" spans="2:4">
      <c r="B76" s="113"/>
      <c r="C76" s="78"/>
      <c r="D76" s="3" t="s">
        <v>1693</v>
      </c>
    </row>
    <row r="77" spans="2:4">
      <c r="B77" s="113"/>
      <c r="C77" s="78"/>
      <c r="D77" s="3" t="s">
        <v>1694</v>
      </c>
    </row>
    <row r="78" spans="2:4">
      <c r="B78" s="113" t="s">
        <v>1730</v>
      </c>
      <c r="C78" s="78" t="s">
        <v>1695</v>
      </c>
      <c r="D78" s="3" t="s">
        <v>1696</v>
      </c>
    </row>
    <row r="79" spans="2:4">
      <c r="B79" s="113"/>
      <c r="C79" s="78"/>
      <c r="D79" s="3" t="s">
        <v>1697</v>
      </c>
    </row>
    <row r="80" spans="2:4">
      <c r="B80" s="113"/>
      <c r="C80" s="78"/>
      <c r="D80" s="3" t="s">
        <v>1698</v>
      </c>
    </row>
    <row r="81" spans="2:4">
      <c r="B81" s="113"/>
      <c r="C81" s="78"/>
      <c r="D81" s="3" t="s">
        <v>1699</v>
      </c>
    </row>
    <row r="82" spans="2:4">
      <c r="B82" s="113" t="s">
        <v>1731</v>
      </c>
      <c r="C82" s="78" t="s">
        <v>1700</v>
      </c>
      <c r="D82" s="3" t="s">
        <v>1701</v>
      </c>
    </row>
    <row r="83" spans="2:4">
      <c r="B83" s="113"/>
      <c r="C83" s="78"/>
      <c r="D83" s="3" t="s">
        <v>1702</v>
      </c>
    </row>
    <row r="84" spans="2:4">
      <c r="B84" s="113"/>
      <c r="C84" s="78"/>
      <c r="D84" s="3" t="s">
        <v>1703</v>
      </c>
    </row>
    <row r="85" spans="2:4">
      <c r="B85" s="113"/>
      <c r="C85" s="78"/>
      <c r="D85" s="3" t="s">
        <v>1704</v>
      </c>
    </row>
    <row r="87" spans="2:4">
      <c r="B87" s="7" t="s">
        <v>85</v>
      </c>
      <c r="C87" s="7" t="s">
        <v>149</v>
      </c>
    </row>
    <row r="88" spans="2:4" ht="34.799999999999997">
      <c r="B88" s="8" t="s">
        <v>1705</v>
      </c>
      <c r="C88" s="3" t="s">
        <v>1706</v>
      </c>
    </row>
    <row r="89" spans="2:4" ht="34.799999999999997">
      <c r="B89" s="8" t="s">
        <v>1707</v>
      </c>
      <c r="C89" s="3" t="s">
        <v>1708</v>
      </c>
    </row>
    <row r="90" spans="2:4" ht="34.799999999999997">
      <c r="B90" s="8" t="s">
        <v>1709</v>
      </c>
      <c r="C90" s="3" t="s">
        <v>1710</v>
      </c>
    </row>
    <row r="91" spans="2:4" ht="34.799999999999997">
      <c r="B91" s="8" t="s">
        <v>1711</v>
      </c>
      <c r="C91" s="3" t="s">
        <v>1712</v>
      </c>
    </row>
    <row r="92" spans="2:4" ht="34.799999999999997">
      <c r="B92" s="8" t="s">
        <v>1713</v>
      </c>
      <c r="C92" s="3" t="s">
        <v>1714</v>
      </c>
    </row>
    <row r="93" spans="2:4" ht="34.799999999999997">
      <c r="B93" s="8" t="s">
        <v>1715</v>
      </c>
      <c r="C93" s="3" t="s">
        <v>1716</v>
      </c>
    </row>
    <row r="95" spans="2:4">
      <c r="B95" s="11" t="s">
        <v>1732</v>
      </c>
    </row>
    <row r="96" spans="2:4">
      <c r="B96" s="7" t="s">
        <v>302</v>
      </c>
      <c r="C96" s="7" t="s">
        <v>510</v>
      </c>
      <c r="D96" s="7" t="s">
        <v>1616</v>
      </c>
    </row>
    <row r="97" spans="2:4">
      <c r="B97" s="113" t="s">
        <v>1637</v>
      </c>
      <c r="C97" s="78" t="s">
        <v>1733</v>
      </c>
      <c r="D97" s="3" t="s">
        <v>1734</v>
      </c>
    </row>
    <row r="98" spans="2:4">
      <c r="B98" s="113"/>
      <c r="C98" s="78"/>
      <c r="D98" s="3" t="s">
        <v>1735</v>
      </c>
    </row>
    <row r="99" spans="2:4">
      <c r="B99" s="113"/>
      <c r="C99" s="78"/>
      <c r="D99" s="3" t="s">
        <v>1736</v>
      </c>
    </row>
    <row r="100" spans="2:4">
      <c r="B100" s="113"/>
      <c r="C100" s="78"/>
      <c r="D100" s="3" t="s">
        <v>1737</v>
      </c>
    </row>
    <row r="101" spans="2:4">
      <c r="B101" s="113"/>
      <c r="C101" s="78"/>
      <c r="D101" s="3" t="s">
        <v>1738</v>
      </c>
    </row>
    <row r="102" spans="2:4">
      <c r="B102" s="113" t="s">
        <v>1638</v>
      </c>
      <c r="C102" s="78" t="s">
        <v>1739</v>
      </c>
      <c r="D102" s="3" t="s">
        <v>1740</v>
      </c>
    </row>
    <row r="103" spans="2:4">
      <c r="B103" s="113"/>
      <c r="C103" s="78"/>
      <c r="D103" s="3" t="s">
        <v>1741</v>
      </c>
    </row>
    <row r="104" spans="2:4">
      <c r="B104" s="113"/>
      <c r="C104" s="78"/>
      <c r="D104" s="3" t="s">
        <v>1742</v>
      </c>
    </row>
    <row r="105" spans="2:4">
      <c r="B105" s="113"/>
      <c r="C105" s="78"/>
      <c r="D105" s="3" t="s">
        <v>1743</v>
      </c>
    </row>
    <row r="106" spans="2:4">
      <c r="B106" s="113" t="s">
        <v>1639</v>
      </c>
      <c r="C106" s="78" t="s">
        <v>1744</v>
      </c>
      <c r="D106" s="3" t="s">
        <v>1745</v>
      </c>
    </row>
    <row r="107" spans="2:4">
      <c r="B107" s="113"/>
      <c r="C107" s="78"/>
      <c r="D107" s="3" t="s">
        <v>1746</v>
      </c>
    </row>
    <row r="108" spans="2:4">
      <c r="B108" s="113"/>
      <c r="C108" s="78"/>
      <c r="D108" s="3" t="s">
        <v>1747</v>
      </c>
    </row>
    <row r="109" spans="2:4">
      <c r="B109" s="113"/>
      <c r="C109" s="78"/>
      <c r="D109" s="3" t="s">
        <v>1748</v>
      </c>
    </row>
    <row r="110" spans="2:4">
      <c r="B110" s="113" t="s">
        <v>1640</v>
      </c>
      <c r="C110" s="78" t="s">
        <v>1749</v>
      </c>
      <c r="D110" s="3" t="s">
        <v>1750</v>
      </c>
    </row>
    <row r="111" spans="2:4">
      <c r="B111" s="113"/>
      <c r="C111" s="78"/>
      <c r="D111" s="3" t="s">
        <v>1751</v>
      </c>
    </row>
    <row r="112" spans="2:4">
      <c r="B112" s="113"/>
      <c r="C112" s="78"/>
      <c r="D112" s="3" t="s">
        <v>1752</v>
      </c>
    </row>
    <row r="113" spans="2:4">
      <c r="B113" s="113"/>
      <c r="C113" s="78"/>
      <c r="D113" s="3" t="s">
        <v>1753</v>
      </c>
    </row>
    <row r="114" spans="2:4">
      <c r="B114" s="2"/>
      <c r="C114" s="6"/>
      <c r="D114" s="21"/>
    </row>
    <row r="115" spans="2:4">
      <c r="B115" s="11" t="s">
        <v>1775</v>
      </c>
    </row>
    <row r="116" spans="2:4">
      <c r="B116" s="7" t="s">
        <v>302</v>
      </c>
      <c r="C116" s="7" t="s">
        <v>510</v>
      </c>
      <c r="D116" s="7" t="s">
        <v>1616</v>
      </c>
    </row>
    <row r="117" spans="2:4">
      <c r="B117" s="113" t="s">
        <v>304</v>
      </c>
      <c r="C117" s="78" t="s">
        <v>1754</v>
      </c>
      <c r="D117" s="3" t="s">
        <v>1755</v>
      </c>
    </row>
    <row r="118" spans="2:4">
      <c r="B118" s="113"/>
      <c r="C118" s="78"/>
      <c r="D118" s="3" t="s">
        <v>1756</v>
      </c>
    </row>
    <row r="119" spans="2:4">
      <c r="B119" s="113"/>
      <c r="C119" s="78"/>
      <c r="D119" s="3" t="s">
        <v>1757</v>
      </c>
    </row>
    <row r="120" spans="2:4">
      <c r="B120" s="113"/>
      <c r="C120" s="78"/>
      <c r="D120" s="3" t="s">
        <v>1758</v>
      </c>
    </row>
    <row r="121" spans="2:4">
      <c r="B121" s="113" t="s">
        <v>310</v>
      </c>
      <c r="C121" s="78" t="s">
        <v>1759</v>
      </c>
      <c r="D121" s="3" t="s">
        <v>1760</v>
      </c>
    </row>
    <row r="122" spans="2:4">
      <c r="B122" s="113"/>
      <c r="C122" s="78"/>
      <c r="D122" s="3" t="s">
        <v>1761</v>
      </c>
    </row>
    <row r="123" spans="2:4">
      <c r="B123" s="113"/>
      <c r="C123" s="78"/>
      <c r="D123" s="45" t="s">
        <v>1762</v>
      </c>
    </row>
    <row r="124" spans="2:4">
      <c r="B124" s="113"/>
      <c r="C124" s="78"/>
      <c r="D124" s="3" t="s">
        <v>1763</v>
      </c>
    </row>
    <row r="125" spans="2:4">
      <c r="B125" s="113" t="s">
        <v>1773</v>
      </c>
      <c r="C125" s="78" t="s">
        <v>1764</v>
      </c>
      <c r="D125" s="3" t="s">
        <v>1765</v>
      </c>
    </row>
    <row r="126" spans="2:4">
      <c r="B126" s="113"/>
      <c r="C126" s="78"/>
      <c r="D126" s="3" t="s">
        <v>1766</v>
      </c>
    </row>
    <row r="127" spans="2:4">
      <c r="B127" s="113"/>
      <c r="C127" s="78"/>
      <c r="D127" s="3" t="s">
        <v>1767</v>
      </c>
    </row>
    <row r="128" spans="2:4">
      <c r="B128" s="113" t="s">
        <v>1731</v>
      </c>
      <c r="C128" s="78" t="s">
        <v>1768</v>
      </c>
      <c r="D128" s="3" t="s">
        <v>1769</v>
      </c>
    </row>
    <row r="129" spans="2:4">
      <c r="B129" s="113"/>
      <c r="C129" s="78"/>
      <c r="D129" s="3" t="s">
        <v>1770</v>
      </c>
    </row>
    <row r="130" spans="2:4">
      <c r="B130" s="113"/>
      <c r="C130" s="78"/>
      <c r="D130" s="3" t="s">
        <v>1771</v>
      </c>
    </row>
    <row r="131" spans="2:4">
      <c r="B131" s="113"/>
      <c r="C131" s="78"/>
      <c r="D131" s="3" t="s">
        <v>1772</v>
      </c>
    </row>
    <row r="133" spans="2:4" ht="21">
      <c r="B133" s="12" t="s">
        <v>1783</v>
      </c>
    </row>
    <row r="134" spans="2:4">
      <c r="B134" s="30" t="s">
        <v>1776</v>
      </c>
    </row>
    <row r="135" spans="2:4">
      <c r="B135" s="30" t="s">
        <v>1777</v>
      </c>
    </row>
    <row r="136" spans="2:4">
      <c r="B136" s="30" t="s">
        <v>1778</v>
      </c>
    </row>
    <row r="138" spans="2:4" ht="21">
      <c r="B138" s="12" t="s">
        <v>1784</v>
      </c>
    </row>
    <row r="139" spans="2:4">
      <c r="B139" s="30" t="s">
        <v>1779</v>
      </c>
    </row>
    <row r="140" spans="2:4">
      <c r="B140" s="30" t="s">
        <v>1780</v>
      </c>
    </row>
    <row r="142" spans="2:4" ht="21">
      <c r="B142" s="12" t="s">
        <v>1785</v>
      </c>
    </row>
    <row r="143" spans="2:4">
      <c r="B143" s="30" t="s">
        <v>1781</v>
      </c>
    </row>
    <row r="144" spans="2:4">
      <c r="B144" s="30" t="s">
        <v>1782</v>
      </c>
    </row>
    <row r="146" spans="2:4">
      <c r="B146" s="11" t="s">
        <v>1816</v>
      </c>
    </row>
    <row r="147" spans="2:4">
      <c r="B147" s="7" t="s">
        <v>302</v>
      </c>
      <c r="C147" s="7" t="s">
        <v>510</v>
      </c>
      <c r="D147" s="7" t="s">
        <v>1616</v>
      </c>
    </row>
    <row r="148" spans="2:4">
      <c r="B148" s="78" t="s">
        <v>304</v>
      </c>
      <c r="C148" s="78" t="s">
        <v>1786</v>
      </c>
      <c r="D148" s="3" t="s">
        <v>1787</v>
      </c>
    </row>
    <row r="149" spans="2:4">
      <c r="B149" s="78"/>
      <c r="C149" s="78"/>
      <c r="D149" s="3" t="s">
        <v>1788</v>
      </c>
    </row>
    <row r="150" spans="2:4">
      <c r="B150" s="78"/>
      <c r="C150" s="78"/>
      <c r="D150" s="3" t="s">
        <v>1789</v>
      </c>
    </row>
    <row r="151" spans="2:4">
      <c r="B151" s="78"/>
      <c r="C151" s="78"/>
      <c r="D151" s="3" t="s">
        <v>1790</v>
      </c>
    </row>
    <row r="152" spans="2:4">
      <c r="B152" s="78" t="s">
        <v>1729</v>
      </c>
      <c r="C152" s="78" t="s">
        <v>1791</v>
      </c>
      <c r="D152" s="3" t="s">
        <v>1792</v>
      </c>
    </row>
    <row r="153" spans="2:4">
      <c r="B153" s="78"/>
      <c r="C153" s="78"/>
      <c r="D153" s="3" t="s">
        <v>1793</v>
      </c>
    </row>
    <row r="154" spans="2:4">
      <c r="B154" s="78"/>
      <c r="C154" s="78"/>
      <c r="D154" s="3" t="s">
        <v>1794</v>
      </c>
    </row>
    <row r="155" spans="2:4">
      <c r="B155" s="78"/>
      <c r="C155" s="78"/>
      <c r="D155" s="3" t="s">
        <v>1795</v>
      </c>
    </row>
    <row r="156" spans="2:4" ht="16.5" customHeight="1">
      <c r="B156" s="78" t="s">
        <v>1806</v>
      </c>
      <c r="C156" s="78" t="s">
        <v>1796</v>
      </c>
      <c r="D156" s="3" t="s">
        <v>1797</v>
      </c>
    </row>
    <row r="157" spans="2:4">
      <c r="B157" s="78"/>
      <c r="C157" s="78"/>
      <c r="D157" s="3" t="s">
        <v>1798</v>
      </c>
    </row>
    <row r="158" spans="2:4">
      <c r="B158" s="78"/>
      <c r="C158" s="78"/>
      <c r="D158" s="3" t="s">
        <v>1799</v>
      </c>
    </row>
    <row r="159" spans="2:4">
      <c r="B159" s="78"/>
      <c r="C159" s="78"/>
      <c r="D159" s="3" t="s">
        <v>1800</v>
      </c>
    </row>
    <row r="160" spans="2:4" ht="16.5" customHeight="1">
      <c r="B160" s="78" t="s">
        <v>1807</v>
      </c>
      <c r="C160" s="78" t="s">
        <v>1801</v>
      </c>
      <c r="D160" s="3" t="s">
        <v>1802</v>
      </c>
    </row>
    <row r="161" spans="2:4">
      <c r="B161" s="78"/>
      <c r="C161" s="78"/>
      <c r="D161" s="3" t="s">
        <v>1803</v>
      </c>
    </row>
    <row r="162" spans="2:4">
      <c r="B162" s="78"/>
      <c r="C162" s="78"/>
      <c r="D162" s="3" t="s">
        <v>1804</v>
      </c>
    </row>
    <row r="163" spans="2:4">
      <c r="B163" s="78"/>
      <c r="C163" s="78"/>
      <c r="D163" s="3" t="s">
        <v>1805</v>
      </c>
    </row>
    <row r="165" spans="2:4" s="56" customFormat="1" ht="15.6">
      <c r="B165" s="57" t="s">
        <v>1808</v>
      </c>
    </row>
    <row r="166" spans="2:4">
      <c r="B166" s="30" t="s">
        <v>1809</v>
      </c>
    </row>
    <row r="167" spans="2:4">
      <c r="B167" s="30" t="s">
        <v>1810</v>
      </c>
    </row>
    <row r="168" spans="2:4">
      <c r="B168" s="55" t="s">
        <v>1811</v>
      </c>
    </row>
    <row r="169" spans="2:4">
      <c r="B169" s="55" t="s">
        <v>1812</v>
      </c>
    </row>
    <row r="170" spans="2:4">
      <c r="B170" s="55" t="s">
        <v>1813</v>
      </c>
    </row>
    <row r="171" spans="2:4">
      <c r="B171" s="11" t="s">
        <v>1814</v>
      </c>
    </row>
    <row r="173" spans="2:4">
      <c r="B173" s="7" t="s">
        <v>83</v>
      </c>
      <c r="C173" s="7" t="s">
        <v>1774</v>
      </c>
      <c r="D173" s="7" t="s">
        <v>1815</v>
      </c>
    </row>
    <row r="174" spans="2:4">
      <c r="B174" s="78" t="s">
        <v>1817</v>
      </c>
      <c r="C174" s="3" t="s">
        <v>1818</v>
      </c>
      <c r="D174" s="3" t="s">
        <v>1820</v>
      </c>
    </row>
    <row r="175" spans="2:4">
      <c r="B175" s="78"/>
      <c r="C175" s="3" t="s">
        <v>1819</v>
      </c>
      <c r="D175" s="3" t="s">
        <v>1821</v>
      </c>
    </row>
    <row r="176" spans="2:4">
      <c r="B176" s="78" t="s">
        <v>1822</v>
      </c>
      <c r="C176" s="3" t="s">
        <v>1823</v>
      </c>
      <c r="D176" s="3" t="s">
        <v>1826</v>
      </c>
    </row>
    <row r="177" spans="2:4">
      <c r="B177" s="78"/>
      <c r="C177" s="3" t="s">
        <v>1824</v>
      </c>
      <c r="D177" s="3" t="s">
        <v>1827</v>
      </c>
    </row>
    <row r="178" spans="2:4">
      <c r="B178" s="78"/>
      <c r="C178" s="3" t="s">
        <v>1825</v>
      </c>
      <c r="D178" s="3" t="s">
        <v>1828</v>
      </c>
    </row>
    <row r="179" spans="2:4">
      <c r="B179" s="78" t="s">
        <v>1829</v>
      </c>
      <c r="C179" s="3" t="s">
        <v>1830</v>
      </c>
      <c r="D179" s="3" t="s">
        <v>1832</v>
      </c>
    </row>
    <row r="180" spans="2:4">
      <c r="B180" s="78"/>
      <c r="C180" s="3" t="s">
        <v>1831</v>
      </c>
      <c r="D180" s="3" t="s">
        <v>1833</v>
      </c>
    </row>
    <row r="181" spans="2:4">
      <c r="B181" s="78" t="s">
        <v>1719</v>
      </c>
      <c r="C181" s="3" t="s">
        <v>1834</v>
      </c>
      <c r="D181" s="77" t="s">
        <v>1836</v>
      </c>
    </row>
    <row r="182" spans="2:4">
      <c r="B182" s="78"/>
      <c r="C182" s="3" t="s">
        <v>1835</v>
      </c>
      <c r="D182" s="77"/>
    </row>
    <row r="185" spans="2:4">
      <c r="B185" t="s">
        <v>1853</v>
      </c>
    </row>
    <row r="186" spans="2:4">
      <c r="B186" s="7" t="s">
        <v>302</v>
      </c>
      <c r="C186" s="7" t="s">
        <v>1837</v>
      </c>
      <c r="D186" s="2"/>
    </row>
    <row r="187" spans="2:4">
      <c r="B187" s="78" t="s">
        <v>304</v>
      </c>
      <c r="C187" s="3" t="s">
        <v>1838</v>
      </c>
      <c r="D187" s="21"/>
    </row>
    <row r="188" spans="2:4">
      <c r="B188" s="78"/>
      <c r="C188" s="3" t="s">
        <v>1839</v>
      </c>
      <c r="D188" s="21"/>
    </row>
    <row r="189" spans="2:4" ht="34.799999999999997">
      <c r="B189" s="78"/>
      <c r="C189" s="3" t="s">
        <v>1840</v>
      </c>
      <c r="D189" s="21"/>
    </row>
    <row r="190" spans="2:4">
      <c r="B190" s="78"/>
      <c r="C190" s="3" t="s">
        <v>1841</v>
      </c>
      <c r="D190" s="21"/>
    </row>
    <row r="191" spans="2:4">
      <c r="B191" s="78" t="s">
        <v>1851</v>
      </c>
      <c r="C191" s="3" t="s">
        <v>1842</v>
      </c>
      <c r="D191" s="21"/>
    </row>
    <row r="192" spans="2:4">
      <c r="B192" s="78"/>
      <c r="C192" s="3" t="s">
        <v>1843</v>
      </c>
      <c r="D192" s="21"/>
    </row>
    <row r="193" spans="2:4">
      <c r="B193" s="78"/>
      <c r="C193" s="3" t="s">
        <v>1844</v>
      </c>
      <c r="D193" s="21"/>
    </row>
    <row r="194" spans="2:4" ht="33" customHeight="1">
      <c r="B194" s="78" t="s">
        <v>1852</v>
      </c>
      <c r="C194" s="3" t="s">
        <v>1845</v>
      </c>
      <c r="D194" s="85"/>
    </row>
    <row r="195" spans="2:4">
      <c r="B195" s="78"/>
      <c r="C195" s="3" t="s">
        <v>1846</v>
      </c>
      <c r="D195" s="85"/>
    </row>
    <row r="196" spans="2:4">
      <c r="B196" s="78"/>
      <c r="C196" s="3" t="s">
        <v>1847</v>
      </c>
      <c r="D196" s="85"/>
    </row>
    <row r="197" spans="2:4" ht="49.5" customHeight="1">
      <c r="B197" s="78" t="s">
        <v>1731</v>
      </c>
      <c r="C197" s="3" t="s">
        <v>1848</v>
      </c>
      <c r="D197" s="85"/>
    </row>
    <row r="198" spans="2:4">
      <c r="B198" s="78"/>
      <c r="C198" s="3" t="s">
        <v>1849</v>
      </c>
      <c r="D198" s="85"/>
    </row>
    <row r="199" spans="2:4">
      <c r="B199" s="78"/>
      <c r="C199" s="3" t="s">
        <v>1850</v>
      </c>
      <c r="D199" s="85"/>
    </row>
    <row r="202" spans="2:4">
      <c r="B202" t="s">
        <v>1862</v>
      </c>
    </row>
    <row r="203" spans="2:4">
      <c r="B203" s="7" t="s">
        <v>302</v>
      </c>
      <c r="C203" s="7" t="s">
        <v>454</v>
      </c>
      <c r="D203" s="7" t="s">
        <v>467</v>
      </c>
    </row>
    <row r="204" spans="2:4" ht="16.5" customHeight="1">
      <c r="B204" s="78" t="s">
        <v>304</v>
      </c>
      <c r="C204" s="77" t="s">
        <v>1854</v>
      </c>
      <c r="D204" s="102" t="s">
        <v>1859</v>
      </c>
    </row>
    <row r="205" spans="2:4">
      <c r="B205" s="78"/>
      <c r="C205" s="77"/>
      <c r="D205" s="102"/>
    </row>
    <row r="206" spans="2:4" ht="16.5" customHeight="1">
      <c r="B206" s="78" t="s">
        <v>310</v>
      </c>
      <c r="C206" s="77" t="s">
        <v>1855</v>
      </c>
      <c r="D206" s="102" t="s">
        <v>1860</v>
      </c>
    </row>
    <row r="207" spans="2:4">
      <c r="B207" s="78"/>
      <c r="C207" s="77"/>
      <c r="D207" s="102"/>
    </row>
    <row r="208" spans="2:4">
      <c r="B208" s="78" t="s">
        <v>314</v>
      </c>
      <c r="C208" s="88" t="s">
        <v>1856</v>
      </c>
      <c r="D208" s="110" t="s">
        <v>1857</v>
      </c>
    </row>
    <row r="209" spans="2:4">
      <c r="B209" s="78"/>
      <c r="C209" s="88"/>
      <c r="D209" s="110"/>
    </row>
    <row r="210" spans="2:4">
      <c r="B210" s="78" t="s">
        <v>317</v>
      </c>
      <c r="C210" s="77" t="s">
        <v>1858</v>
      </c>
      <c r="D210" s="102" t="s">
        <v>1861</v>
      </c>
    </row>
    <row r="211" spans="2:4">
      <c r="B211" s="78"/>
      <c r="C211" s="77"/>
      <c r="D211" s="102"/>
    </row>
    <row r="217" spans="2:4">
      <c r="B217" t="s">
        <v>2384</v>
      </c>
    </row>
    <row r="218" spans="2:4">
      <c r="B218" s="7" t="s">
        <v>85</v>
      </c>
      <c r="C218" s="7" t="s">
        <v>149</v>
      </c>
      <c r="D218" s="7" t="s">
        <v>2356</v>
      </c>
    </row>
    <row r="219" spans="2:4" ht="34.799999999999997">
      <c r="B219" s="8" t="s">
        <v>2364</v>
      </c>
      <c r="C219" t="s">
        <v>2385</v>
      </c>
      <c r="D219" s="3" t="s">
        <v>2357</v>
      </c>
    </row>
    <row r="220" spans="2:4" ht="34.799999999999997">
      <c r="B220" s="8" t="s">
        <v>2365</v>
      </c>
      <c r="C220" s="3" t="s">
        <v>2358</v>
      </c>
      <c r="D220" s="3" t="s">
        <v>2359</v>
      </c>
    </row>
    <row r="221" spans="2:4">
      <c r="B221" s="8" t="s">
        <v>2366</v>
      </c>
      <c r="C221" s="3" t="s">
        <v>2360</v>
      </c>
      <c r="D221" s="3" t="s">
        <v>2361</v>
      </c>
    </row>
    <row r="222" spans="2:4" ht="34.799999999999997">
      <c r="B222" s="8" t="s">
        <v>2367</v>
      </c>
      <c r="C222" s="3" t="s">
        <v>2362</v>
      </c>
      <c r="D222" s="3" t="s">
        <v>2363</v>
      </c>
    </row>
    <row r="225" spans="2:4">
      <c r="B225" s="7" t="s">
        <v>83</v>
      </c>
      <c r="C225" s="7" t="s">
        <v>82</v>
      </c>
      <c r="D225" s="7" t="s">
        <v>2368</v>
      </c>
    </row>
    <row r="226" spans="2:4">
      <c r="B226" s="3" t="s">
        <v>2379</v>
      </c>
      <c r="C226" s="3" t="s">
        <v>2369</v>
      </c>
      <c r="D226" s="3" t="s">
        <v>2370</v>
      </c>
    </row>
    <row r="227" spans="2:4" ht="34.799999999999997">
      <c r="B227" s="3" t="s">
        <v>2380</v>
      </c>
      <c r="C227" s="3" t="s">
        <v>2371</v>
      </c>
      <c r="D227" s="3" t="s">
        <v>2372</v>
      </c>
    </row>
    <row r="228" spans="2:4" ht="34.799999999999997">
      <c r="B228" s="3" t="s">
        <v>2381</v>
      </c>
      <c r="C228" s="3" t="s">
        <v>2373</v>
      </c>
      <c r="D228" s="3" t="s">
        <v>2374</v>
      </c>
    </row>
    <row r="229" spans="2:4" ht="34.799999999999997">
      <c r="B229" s="3" t="s">
        <v>2382</v>
      </c>
      <c r="C229" s="3" t="s">
        <v>2375</v>
      </c>
      <c r="D229" s="3" t="s">
        <v>2376</v>
      </c>
    </row>
    <row r="230" spans="2:4" ht="34.799999999999997">
      <c r="B230" s="3" t="s">
        <v>2383</v>
      </c>
      <c r="C230" s="3" t="s">
        <v>2377</v>
      </c>
      <c r="D230" s="3" t="s">
        <v>2378</v>
      </c>
    </row>
    <row r="233" spans="2:4">
      <c r="B233" t="s">
        <v>2393</v>
      </c>
    </row>
    <row r="234" spans="2:4">
      <c r="B234" s="7" t="s">
        <v>302</v>
      </c>
      <c r="C234" s="7" t="s">
        <v>454</v>
      </c>
      <c r="D234" s="7" t="s">
        <v>467</v>
      </c>
    </row>
    <row r="235" spans="2:4">
      <c r="B235" s="78" t="s">
        <v>304</v>
      </c>
      <c r="C235" s="77" t="s">
        <v>2395</v>
      </c>
      <c r="D235" s="112" t="s">
        <v>2394</v>
      </c>
    </row>
    <row r="236" spans="2:4" ht="58.5" customHeight="1">
      <c r="B236" s="78"/>
      <c r="C236" s="77"/>
      <c r="D236" s="102"/>
    </row>
    <row r="237" spans="2:4" ht="48" customHeight="1">
      <c r="B237" s="78" t="s">
        <v>2417</v>
      </c>
      <c r="C237" s="88" t="s">
        <v>2398</v>
      </c>
      <c r="D237" s="109" t="s">
        <v>2399</v>
      </c>
    </row>
    <row r="238" spans="2:4" ht="57.75" customHeight="1">
      <c r="B238" s="78"/>
      <c r="C238" s="88"/>
      <c r="D238" s="110"/>
    </row>
    <row r="239" spans="2:4" ht="41.25" customHeight="1">
      <c r="B239" s="78" t="s">
        <v>2416</v>
      </c>
      <c r="C239" s="77" t="s">
        <v>2396</v>
      </c>
      <c r="D239" s="112" t="s">
        <v>2397</v>
      </c>
    </row>
    <row r="240" spans="2:4" ht="45" customHeight="1">
      <c r="B240" s="78"/>
      <c r="C240" s="77"/>
      <c r="D240" s="102"/>
    </row>
    <row r="241" spans="2:4" ht="41.25" customHeight="1">
      <c r="B241" s="78" t="s">
        <v>317</v>
      </c>
      <c r="C241" s="77" t="s">
        <v>2401</v>
      </c>
      <c r="D241" s="111" t="s">
        <v>2400</v>
      </c>
    </row>
    <row r="242" spans="2:4" ht="45.75" customHeight="1">
      <c r="B242" s="78"/>
      <c r="C242" s="77"/>
      <c r="D242" s="102"/>
    </row>
    <row r="244" spans="2:4" ht="79.5" customHeight="1">
      <c r="B244" s="108" t="s">
        <v>2415</v>
      </c>
      <c r="C244" s="108"/>
      <c r="D244" s="108"/>
    </row>
    <row r="245" spans="2:4" ht="23.25" customHeight="1">
      <c r="B245" s="12" t="s">
        <v>2410</v>
      </c>
      <c r="C245" s="69"/>
      <c r="D245" s="69"/>
    </row>
    <row r="246" spans="2:4">
      <c r="B246" s="11" t="s">
        <v>2402</v>
      </c>
    </row>
    <row r="247" spans="2:4">
      <c r="B247" s="11" t="s">
        <v>2403</v>
      </c>
    </row>
    <row r="248" spans="2:4">
      <c r="B248" s="31" t="s">
        <v>2405</v>
      </c>
    </row>
    <row r="249" spans="2:4">
      <c r="B249" s="31" t="s">
        <v>2404</v>
      </c>
    </row>
    <row r="251" spans="2:4" ht="21">
      <c r="B251" s="12" t="s">
        <v>2406</v>
      </c>
    </row>
    <row r="252" spans="2:4">
      <c r="B252" s="30" t="s">
        <v>2407</v>
      </c>
    </row>
    <row r="253" spans="2:4">
      <c r="B253" s="30" t="s">
        <v>2408</v>
      </c>
    </row>
    <row r="254" spans="2:4">
      <c r="B254" s="30" t="s">
        <v>2409</v>
      </c>
    </row>
    <row r="256" spans="2:4" ht="21">
      <c r="B256" s="12" t="s">
        <v>2414</v>
      </c>
    </row>
    <row r="257" spans="2:2">
      <c r="B257" s="30" t="s">
        <v>2411</v>
      </c>
    </row>
    <row r="258" spans="2:2">
      <c r="B258" s="30" t="s">
        <v>2412</v>
      </c>
    </row>
    <row r="259" spans="2:2">
      <c r="B259" s="30" t="s">
        <v>2413</v>
      </c>
    </row>
  </sheetData>
  <mergeCells count="92">
    <mergeCell ref="C17:C20"/>
    <mergeCell ref="B5:B8"/>
    <mergeCell ref="B9:B12"/>
    <mergeCell ref="B13:B16"/>
    <mergeCell ref="B17:B20"/>
    <mergeCell ref="C5:C8"/>
    <mergeCell ref="C9:C12"/>
    <mergeCell ref="C13:C16"/>
    <mergeCell ref="C24:C27"/>
    <mergeCell ref="C28:C31"/>
    <mergeCell ref="C32:C35"/>
    <mergeCell ref="C36:C39"/>
    <mergeCell ref="B24:B27"/>
    <mergeCell ref="B28:B31"/>
    <mergeCell ref="B32:B35"/>
    <mergeCell ref="B36:B39"/>
    <mergeCell ref="C43:C46"/>
    <mergeCell ref="C47:C50"/>
    <mergeCell ref="C51:C54"/>
    <mergeCell ref="C55:C58"/>
    <mergeCell ref="B43:B46"/>
    <mergeCell ref="B47:B50"/>
    <mergeCell ref="B51:B54"/>
    <mergeCell ref="B55:B58"/>
    <mergeCell ref="C69:C72"/>
    <mergeCell ref="C73:C77"/>
    <mergeCell ref="C78:C81"/>
    <mergeCell ref="C82:C85"/>
    <mergeCell ref="B69:B72"/>
    <mergeCell ref="B73:B77"/>
    <mergeCell ref="B78:B81"/>
    <mergeCell ref="B82:B85"/>
    <mergeCell ref="C97:C101"/>
    <mergeCell ref="C102:C105"/>
    <mergeCell ref="C106:C109"/>
    <mergeCell ref="C110:C113"/>
    <mergeCell ref="B102:B105"/>
    <mergeCell ref="B106:B109"/>
    <mergeCell ref="B110:B113"/>
    <mergeCell ref="B97:B101"/>
    <mergeCell ref="B117:B120"/>
    <mergeCell ref="C117:C120"/>
    <mergeCell ref="B121:B124"/>
    <mergeCell ref="C121:C124"/>
    <mergeCell ref="B125:B127"/>
    <mergeCell ref="C125:C127"/>
    <mergeCell ref="B128:B131"/>
    <mergeCell ref="C128:C131"/>
    <mergeCell ref="B148:B151"/>
    <mergeCell ref="C148:C151"/>
    <mergeCell ref="B152:B155"/>
    <mergeCell ref="C152:C155"/>
    <mergeCell ref="B156:B159"/>
    <mergeCell ref="C156:C159"/>
    <mergeCell ref="B160:B163"/>
    <mergeCell ref="C160:C163"/>
    <mergeCell ref="B174:B175"/>
    <mergeCell ref="B176:B178"/>
    <mergeCell ref="B179:B180"/>
    <mergeCell ref="B181:B182"/>
    <mergeCell ref="D181:D182"/>
    <mergeCell ref="B187:B190"/>
    <mergeCell ref="B191:B193"/>
    <mergeCell ref="B194:B196"/>
    <mergeCell ref="D194:D196"/>
    <mergeCell ref="B197:B199"/>
    <mergeCell ref="D197:D199"/>
    <mergeCell ref="B204:B205"/>
    <mergeCell ref="C204:C205"/>
    <mergeCell ref="D204:D205"/>
    <mergeCell ref="B206:B207"/>
    <mergeCell ref="C206:C207"/>
    <mergeCell ref="D206:D207"/>
    <mergeCell ref="B208:B209"/>
    <mergeCell ref="C208:C209"/>
    <mergeCell ref="D208:D209"/>
    <mergeCell ref="B210:B211"/>
    <mergeCell ref="C210:C211"/>
    <mergeCell ref="D210:D211"/>
    <mergeCell ref="B235:B236"/>
    <mergeCell ref="C235:C236"/>
    <mergeCell ref="D235:D236"/>
    <mergeCell ref="B239:B240"/>
    <mergeCell ref="C239:C240"/>
    <mergeCell ref="D239:D240"/>
    <mergeCell ref="B244:D244"/>
    <mergeCell ref="B237:B238"/>
    <mergeCell ref="C237:C238"/>
    <mergeCell ref="D237:D238"/>
    <mergeCell ref="B241:B242"/>
    <mergeCell ref="C241:C242"/>
    <mergeCell ref="D241:D24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38</vt:i4>
      </vt:variant>
    </vt:vector>
  </HeadingPairs>
  <TitlesOfParts>
    <vt:vector size="38" baseType="lpstr">
      <vt:lpstr>정기변경</vt:lpstr>
      <vt:lpstr>반도체소부장</vt:lpstr>
      <vt:lpstr>바이오</vt:lpstr>
      <vt:lpstr>원전</vt:lpstr>
      <vt:lpstr>로봇</vt:lpstr>
      <vt:lpstr>인바운드</vt:lpstr>
      <vt:lpstr>고배당(지주, 금융 등)</vt:lpstr>
      <vt:lpstr>전력기기</vt:lpstr>
      <vt:lpstr>중소바이오</vt:lpstr>
      <vt:lpstr>방산</vt:lpstr>
      <vt:lpstr>화장품</vt:lpstr>
      <vt:lpstr>조선</vt:lpstr>
      <vt:lpstr>클래시스, 원텍, 바이오다인, 동방메디컬, 휴메딕스</vt:lpstr>
      <vt:lpstr>메디톡스, 휴젤, 파마리서치</vt:lpstr>
      <vt:lpstr>한국전력</vt:lpstr>
      <vt:lpstr>삼양식품</vt:lpstr>
      <vt:lpstr>두산, 파미셀</vt:lpstr>
      <vt:lpstr>리노공업, 이오테크닉스</vt:lpstr>
      <vt:lpstr>sbs, 롯데관광개발, 감성코퍼레이션, 호텔신라, gkl</vt:lpstr>
      <vt:lpstr>동성화인텍, 한국카본, 현대엘리베이터, 한화시스템</vt:lpstr>
      <vt:lpstr>신재생</vt:lpstr>
      <vt:lpstr>비에이치아이, 삼양식품, 에스피지</vt:lpstr>
      <vt:lpstr>한미약품, 리가켐바이오</vt:lpstr>
      <vt:lpstr>지아이이노베이션, 제이브이엠</vt:lpstr>
      <vt:lpstr>KB금융, 삼성증권</vt:lpstr>
      <vt:lpstr>와이지, 하이브, 에스엠, samg엔터, 디어유</vt:lpstr>
      <vt:lpstr>SNT에너지</vt:lpstr>
      <vt:lpstr>로보티즈, 고영, 현대오토에버</vt:lpstr>
      <vt:lpstr>Sheet1</vt:lpstr>
      <vt:lpstr>삼성물산, 삼성E&amp;A</vt:lpstr>
      <vt:lpstr>손해보험</vt:lpstr>
      <vt:lpstr>LS마린솔루션, LS</vt:lpstr>
      <vt:lpstr>DL, 한화, HD현대, CJ</vt:lpstr>
      <vt:lpstr>바이넥스, 에스티팜</vt:lpstr>
      <vt:lpstr>정책</vt:lpstr>
      <vt:lpstr>증권</vt:lpstr>
      <vt:lpstr>삼성sds, 카카오페이</vt:lpstr>
      <vt:lpstr>해외주식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병조 김</cp:lastModifiedBy>
  <dcterms:created xsi:type="dcterms:W3CDTF">2025-05-04T10:10:39Z</dcterms:created>
  <dcterms:modified xsi:type="dcterms:W3CDTF">2026-03-18T02:37:46Z</dcterms:modified>
</cp:coreProperties>
</file>