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파일제공\눈꽃빙수 관리용 파일 포함\다양한 코드\"/>
    </mc:Choice>
  </mc:AlternateContent>
  <bookViews>
    <workbookView xWindow="0" yWindow="0" windowWidth="16590" windowHeight="11895" activeTab="1"/>
  </bookViews>
  <sheets>
    <sheet name="코스피" sheetId="1" r:id="rId1"/>
    <sheet name="코스닥" sheetId="2" r:id="rId2"/>
    <sheet name="코스닥 (2)" sheetId="3" r:id="rId3"/>
  </sheets>
  <externalReferences>
    <externalReference r:id="rId4"/>
    <externalReference r:id="rId5"/>
  </externalReferences>
  <definedNames>
    <definedName name="_xlnm._FilterDatabase" localSheetId="0" hidden="1">코스피!$A$1:$E$1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17" i="3"/>
  <c r="D17" i="3" l="1"/>
  <c r="C17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15" i="3"/>
  <c r="D13" i="3"/>
  <c r="D10" i="3"/>
  <c r="C9" i="3"/>
  <c r="D6" i="3"/>
  <c r="C5" i="3"/>
  <c r="D2" i="3"/>
  <c r="C2" i="3"/>
  <c r="D11" i="3"/>
  <c r="C10" i="3"/>
  <c r="D7" i="3"/>
  <c r="C6" i="3"/>
  <c r="D3" i="3"/>
  <c r="D14" i="3"/>
  <c r="D12" i="3"/>
  <c r="C11" i="3"/>
  <c r="D8" i="3"/>
  <c r="C7" i="3"/>
  <c r="D4" i="3"/>
  <c r="C3" i="3"/>
  <c r="D16" i="3"/>
  <c r="C12" i="3"/>
  <c r="D9" i="3"/>
  <c r="C8" i="3"/>
  <c r="D5" i="3"/>
  <c r="C4" i="3"/>
  <c r="D17" i="2" l="1"/>
  <c r="D17" i="1"/>
  <c r="C17" i="1"/>
  <c r="E17" i="1"/>
  <c r="C17" i="2" l="1"/>
  <c r="E14" i="2"/>
  <c r="E13" i="2"/>
  <c r="E12" i="2"/>
  <c r="E11" i="2"/>
  <c r="E10" i="2"/>
  <c r="E9" i="2"/>
  <c r="E8" i="2"/>
  <c r="E7" i="2"/>
  <c r="E6" i="2"/>
  <c r="E5" i="2"/>
  <c r="E4" i="2"/>
  <c r="E3" i="2"/>
  <c r="E2" i="2"/>
  <c r="C10" i="2"/>
  <c r="D12" i="2"/>
  <c r="C2" i="2"/>
  <c r="D14" i="2"/>
  <c r="D15" i="2"/>
  <c r="D5" i="2"/>
  <c r="C6" i="2"/>
  <c r="D10" i="2"/>
  <c r="D4" i="2"/>
  <c r="D9" i="2"/>
  <c r="C4" i="2"/>
  <c r="D2" i="2"/>
  <c r="D8" i="2"/>
  <c r="D11" i="2"/>
  <c r="C9" i="2"/>
  <c r="C12" i="2"/>
  <c r="C5" i="2"/>
  <c r="D16" i="2"/>
  <c r="D7" i="2"/>
  <c r="D13" i="2"/>
  <c r="D3" i="2"/>
  <c r="C7" i="2"/>
  <c r="C3" i="2"/>
  <c r="C8" i="2"/>
  <c r="C11" i="2"/>
  <c r="D6" i="2"/>
  <c r="E14" i="1" l="1"/>
  <c r="E13" i="1"/>
  <c r="E12" i="1"/>
  <c r="E11" i="1"/>
  <c r="E10" i="1"/>
  <c r="E9" i="1"/>
  <c r="E8" i="1"/>
  <c r="E7" i="1"/>
  <c r="E6" i="1"/>
  <c r="E5" i="1"/>
  <c r="E4" i="1"/>
  <c r="E3" i="1"/>
  <c r="E2" i="1"/>
  <c r="D10" i="1"/>
  <c r="C4" i="1"/>
  <c r="C10" i="1"/>
  <c r="C6" i="1"/>
  <c r="C5" i="1"/>
  <c r="C3" i="1"/>
  <c r="D15" i="1"/>
  <c r="D14" i="1"/>
  <c r="C12" i="1"/>
  <c r="D6" i="1"/>
  <c r="D9" i="1"/>
  <c r="D8" i="1"/>
  <c r="D3" i="1"/>
  <c r="D13" i="1"/>
  <c r="C11" i="1"/>
  <c r="D12" i="1"/>
  <c r="D16" i="1"/>
  <c r="C9" i="1"/>
  <c r="D2" i="1"/>
  <c r="D5" i="1"/>
  <c r="C8" i="1"/>
  <c r="D11" i="1"/>
  <c r="C7" i="1"/>
  <c r="D7" i="1"/>
  <c r="C2" i="1"/>
  <c r="D4" i="1"/>
</calcChain>
</file>

<file path=xl/sharedStrings.xml><?xml version="1.0" encoding="utf-8"?>
<sst xmlns="http://schemas.openxmlformats.org/spreadsheetml/2006/main" count="18" uniqueCount="8">
  <si>
    <t>일자</t>
  </si>
  <si>
    <t>종가</t>
  </si>
  <si>
    <t>① 판단일(T)의 종가가 5일 전날(T-5)의
 종가보다 45% 이상 상승 조건①_기준가</t>
    <phoneticPr fontId="2" type="noConversion"/>
  </si>
  <si>
    <t xml:space="preserve">② 판단일(T)의 종가가 
15일 전날(T-15)의 종가보다  75% 이상 상승 </t>
    <phoneticPr fontId="2" type="noConversion"/>
  </si>
  <si>
    <t xml:space="preserve">판단일(T)의 종가가 최근 
15일 종가중 최고가   </t>
    <phoneticPr fontId="2" type="noConversion"/>
  </si>
  <si>
    <t>&lt;3가지 다 1 이어야 다음날 해제가능 이번에 안되면 다음날로 이연</t>
    <phoneticPr fontId="1" type="noConversion"/>
  </si>
  <si>
    <t>① 판단일(T)의 종가가 5일 전날(T-5)의
 종가보다 60% 이상 상승 조건①_기준가</t>
    <phoneticPr fontId="2" type="noConversion"/>
  </si>
  <si>
    <t xml:space="preserve">② 판단일(T)의 종가가 
15일 전날(T-15)의 종가보다  100% 이상 상승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</si>
</sst>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/>
    <xf numFmtId="0" fontId="0" fillId="0" borderId="1" xfId="0" applyBorder="1" applyAlignment="1"/>
    <xf numFmtId="0" fontId="0" fillId="3" borderId="1" xfId="0" applyFill="1" applyBorder="1" applyAlignment="1"/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3" borderId="0" xfId="0" applyNumberFormat="1" applyFill="1">
      <alignment vertical="center"/>
    </xf>
    <xf numFmtId="3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48796804959069"/>
          <c:y val="0.20967957610105245"/>
          <c:w val="0.87967972247767723"/>
          <c:h val="0.71448156813512897"/>
        </c:manualLayout>
      </c:layout>
      <c:lineChart>
        <c:grouping val="standard"/>
        <c:varyColors val="0"/>
        <c:ser>
          <c:idx val="2"/>
          <c:order val="0"/>
          <c:tx>
            <c:strRef>
              <c:f>[1]수급오실레이터!$C$7</c:f>
              <c:strCache>
                <c:ptCount val="1"/>
                <c:pt idx="0">
                  <c:v>로보티즈 시가총액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[1]수급오실레이터!$B$8:$B$84</c:f>
              <c:numCache>
                <c:formatCode>General</c:formatCode>
                <c:ptCount val="77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45705</c:v>
                </c:pt>
                <c:pt idx="5">
                  <c:v>45706</c:v>
                </c:pt>
                <c:pt idx="6">
                  <c:v>45707</c:v>
                </c:pt>
                <c:pt idx="7">
                  <c:v>45708</c:v>
                </c:pt>
                <c:pt idx="8">
                  <c:v>45709</c:v>
                </c:pt>
                <c:pt idx="9">
                  <c:v>45712</c:v>
                </c:pt>
                <c:pt idx="10">
                  <c:v>45713</c:v>
                </c:pt>
                <c:pt idx="11">
                  <c:v>45714</c:v>
                </c:pt>
                <c:pt idx="12">
                  <c:v>45715</c:v>
                </c:pt>
                <c:pt idx="13">
                  <c:v>45716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45765</c:v>
                </c:pt>
                <c:pt idx="48">
                  <c:v>45768</c:v>
                </c:pt>
                <c:pt idx="49">
                  <c:v>45769</c:v>
                </c:pt>
                <c:pt idx="50">
                  <c:v>45770</c:v>
                </c:pt>
                <c:pt idx="51">
                  <c:v>45771</c:v>
                </c:pt>
                <c:pt idx="52">
                  <c:v>45772</c:v>
                </c:pt>
                <c:pt idx="53">
                  <c:v>45775</c:v>
                </c:pt>
                <c:pt idx="54">
                  <c:v>45776</c:v>
                </c:pt>
                <c:pt idx="55">
                  <c:v>45777</c:v>
                </c:pt>
                <c:pt idx="56">
                  <c:v>45779</c:v>
                </c:pt>
                <c:pt idx="57">
                  <c:v>45784</c:v>
                </c:pt>
                <c:pt idx="58">
                  <c:v>45785</c:v>
                </c:pt>
                <c:pt idx="59">
                  <c:v>45786</c:v>
                </c:pt>
                <c:pt idx="60">
                  <c:v>45789</c:v>
                </c:pt>
                <c:pt idx="61">
                  <c:v>45790</c:v>
                </c:pt>
                <c:pt idx="62">
                  <c:v>45791</c:v>
                </c:pt>
                <c:pt idx="63">
                  <c:v>45792</c:v>
                </c:pt>
                <c:pt idx="64">
                  <c:v>45793</c:v>
                </c:pt>
                <c:pt idx="65">
                  <c:v>45796</c:v>
                </c:pt>
                <c:pt idx="66">
                  <c:v>45797</c:v>
                </c:pt>
                <c:pt idx="67">
                  <c:v>45798</c:v>
                </c:pt>
                <c:pt idx="68">
                  <c:v>45799</c:v>
                </c:pt>
                <c:pt idx="69">
                  <c:v>45800</c:v>
                </c:pt>
                <c:pt idx="70">
                  <c:v>45803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45812</c:v>
                </c:pt>
              </c:numCache>
            </c:numRef>
          </c:cat>
          <c:val>
            <c:numRef>
              <c:f>[1]수급오실레이터!$C$8:$C$84</c:f>
              <c:numCache>
                <c:formatCode>General</c:formatCode>
                <c:ptCount val="77"/>
                <c:pt idx="0">
                  <c:v>4.4712000000000002E-2</c:v>
                </c:pt>
                <c:pt idx="1">
                  <c:v>4.5170999999999996E-2</c:v>
                </c:pt>
                <c:pt idx="2">
                  <c:v>4.4974E-2</c:v>
                </c:pt>
                <c:pt idx="3">
                  <c:v>4.4660000000000005E-2</c:v>
                </c:pt>
                <c:pt idx="4">
                  <c:v>4.6242999999999999E-2</c:v>
                </c:pt>
                <c:pt idx="5">
                  <c:v>5.0134999999999999E-2</c:v>
                </c:pt>
                <c:pt idx="6">
                  <c:v>4.8683999999999998E-2</c:v>
                </c:pt>
                <c:pt idx="7">
                  <c:v>4.4462000000000002E-2</c:v>
                </c:pt>
                <c:pt idx="8">
                  <c:v>4.4377E-2</c:v>
                </c:pt>
                <c:pt idx="9">
                  <c:v>4.3123000000000002E-2</c:v>
                </c:pt>
                <c:pt idx="10">
                  <c:v>4.5499999999999999E-2</c:v>
                </c:pt>
                <c:pt idx="11">
                  <c:v>4.4047000000000003E-2</c:v>
                </c:pt>
                <c:pt idx="12">
                  <c:v>4.3188999999999998E-2</c:v>
                </c:pt>
                <c:pt idx="13">
                  <c:v>4.0217000000000003E-2</c:v>
                </c:pt>
                <c:pt idx="14">
                  <c:v>4.2462E-2</c:v>
                </c:pt>
                <c:pt idx="15">
                  <c:v>4.3123000000000002E-2</c:v>
                </c:pt>
                <c:pt idx="16">
                  <c:v>4.2726E-2</c:v>
                </c:pt>
                <c:pt idx="17">
                  <c:v>4.1933999999999999E-2</c:v>
                </c:pt>
                <c:pt idx="18">
                  <c:v>4.4509E-2</c:v>
                </c:pt>
                <c:pt idx="19">
                  <c:v>4.7018999999999998E-2</c:v>
                </c:pt>
                <c:pt idx="20">
                  <c:v>4.8339E-2</c:v>
                </c:pt>
                <c:pt idx="21">
                  <c:v>4.8339E-2</c:v>
                </c:pt>
                <c:pt idx="22">
                  <c:v>4.9197999999999999E-2</c:v>
                </c:pt>
                <c:pt idx="23">
                  <c:v>5.3489999999999996E-2</c:v>
                </c:pt>
                <c:pt idx="24">
                  <c:v>5.1442999999999996E-2</c:v>
                </c:pt>
                <c:pt idx="25">
                  <c:v>4.5763999999999999E-2</c:v>
                </c:pt>
                <c:pt idx="26">
                  <c:v>4.3980999999999999E-2</c:v>
                </c:pt>
                <c:pt idx="27">
                  <c:v>4.2395999999999996E-2</c:v>
                </c:pt>
                <c:pt idx="28">
                  <c:v>4.3123000000000002E-2</c:v>
                </c:pt>
                <c:pt idx="29">
                  <c:v>4.3519000000000002E-2</c:v>
                </c:pt>
                <c:pt idx="30">
                  <c:v>4.3519000000000002E-2</c:v>
                </c:pt>
                <c:pt idx="31">
                  <c:v>4.2000000000000003E-2</c:v>
                </c:pt>
                <c:pt idx="32">
                  <c:v>4.0943E-2</c:v>
                </c:pt>
                <c:pt idx="33">
                  <c:v>4.1736000000000002E-2</c:v>
                </c:pt>
                <c:pt idx="34">
                  <c:v>4.2792000000000004E-2</c:v>
                </c:pt>
                <c:pt idx="35">
                  <c:v>4.3188999999999998E-2</c:v>
                </c:pt>
                <c:pt idx="36">
                  <c:v>4.4574999999999997E-2</c:v>
                </c:pt>
                <c:pt idx="37">
                  <c:v>4.3716999999999999E-2</c:v>
                </c:pt>
                <c:pt idx="38">
                  <c:v>3.9886999999999999E-2</c:v>
                </c:pt>
                <c:pt idx="39">
                  <c:v>4.0415E-2</c:v>
                </c:pt>
                <c:pt idx="40">
                  <c:v>3.8830000000000003E-2</c:v>
                </c:pt>
                <c:pt idx="41">
                  <c:v>4.1537999999999999E-2</c:v>
                </c:pt>
                <c:pt idx="42">
                  <c:v>4.4641E-2</c:v>
                </c:pt>
                <c:pt idx="43">
                  <c:v>4.5104000000000005E-2</c:v>
                </c:pt>
                <c:pt idx="44">
                  <c:v>4.5698000000000003E-2</c:v>
                </c:pt>
                <c:pt idx="45">
                  <c:v>4.4773E-2</c:v>
                </c:pt>
                <c:pt idx="46">
                  <c:v>4.5962000000000003E-2</c:v>
                </c:pt>
                <c:pt idx="47">
                  <c:v>4.6177999999999997E-2</c:v>
                </c:pt>
                <c:pt idx="48">
                  <c:v>4.7432999999999996E-2</c:v>
                </c:pt>
                <c:pt idx="49">
                  <c:v>4.7500000000000001E-2</c:v>
                </c:pt>
                <c:pt idx="50">
                  <c:v>4.7764000000000001E-2</c:v>
                </c:pt>
                <c:pt idx="51">
                  <c:v>4.7102999999999999E-2</c:v>
                </c:pt>
                <c:pt idx="52">
                  <c:v>4.6112E-2</c:v>
                </c:pt>
                <c:pt idx="53">
                  <c:v>4.5385000000000002E-2</c:v>
                </c:pt>
                <c:pt idx="54">
                  <c:v>4.5913999999999996E-2</c:v>
                </c:pt>
                <c:pt idx="55">
                  <c:v>4.5252999999999995E-2</c:v>
                </c:pt>
                <c:pt idx="56">
                  <c:v>4.5054999999999998E-2</c:v>
                </c:pt>
                <c:pt idx="57">
                  <c:v>4.8688999999999996E-2</c:v>
                </c:pt>
                <c:pt idx="58">
                  <c:v>4.9349000000000004E-2</c:v>
                </c:pt>
                <c:pt idx="59">
                  <c:v>4.7764000000000001E-2</c:v>
                </c:pt>
                <c:pt idx="60">
                  <c:v>4.8027999999999994E-2</c:v>
                </c:pt>
                <c:pt idx="61">
                  <c:v>4.9812000000000002E-2</c:v>
                </c:pt>
                <c:pt idx="62">
                  <c:v>6.4741999999999994E-2</c:v>
                </c:pt>
                <c:pt idx="63">
                  <c:v>7.2669999999999998E-2</c:v>
                </c:pt>
                <c:pt idx="64">
                  <c:v>7.7954999999999997E-2</c:v>
                </c:pt>
                <c:pt idx="65">
                  <c:v>7.7954999999999997E-2</c:v>
                </c:pt>
                <c:pt idx="66">
                  <c:v>8.1521999999999997E-2</c:v>
                </c:pt>
                <c:pt idx="67">
                  <c:v>7.3329999999999992E-2</c:v>
                </c:pt>
                <c:pt idx="68">
                  <c:v>6.9499000000000005E-2</c:v>
                </c:pt>
                <c:pt idx="69">
                  <c:v>6.9365999999999997E-2</c:v>
                </c:pt>
                <c:pt idx="70">
                  <c:v>7.5444000000000011E-2</c:v>
                </c:pt>
                <c:pt idx="71">
                  <c:v>7.5708999999999999E-2</c:v>
                </c:pt>
                <c:pt idx="72">
                  <c:v>7.3329999999999992E-2</c:v>
                </c:pt>
                <c:pt idx="73">
                  <c:v>7.5179999999999997E-2</c:v>
                </c:pt>
                <c:pt idx="74">
                  <c:v>7.9011999999999999E-2</c:v>
                </c:pt>
                <c:pt idx="75">
                  <c:v>8.2711000000000007E-2</c:v>
                </c:pt>
                <c:pt idx="76">
                  <c:v>8.9978000000000002E-2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5-4FA6-B2EF-24A98C20EA77}"/>
            </c:ext>
          </c:extLst>
        </c:ser>
        <c:ser>
          <c:idx val="0"/>
          <c:order val="1"/>
          <c:tx>
            <c:strRef>
              <c:f>[1]수급오실레이터!$C$7</c:f>
              <c:strCache>
                <c:ptCount val="1"/>
                <c:pt idx="0">
                  <c:v>로보티즈 시가총액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[1]수급오실레이터!$B$8:$B$84</c:f>
              <c:numCache>
                <c:formatCode>General</c:formatCode>
                <c:ptCount val="77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45705</c:v>
                </c:pt>
                <c:pt idx="5">
                  <c:v>45706</c:v>
                </c:pt>
                <c:pt idx="6">
                  <c:v>45707</c:v>
                </c:pt>
                <c:pt idx="7">
                  <c:v>45708</c:v>
                </c:pt>
                <c:pt idx="8">
                  <c:v>45709</c:v>
                </c:pt>
                <c:pt idx="9">
                  <c:v>45712</c:v>
                </c:pt>
                <c:pt idx="10">
                  <c:v>45713</c:v>
                </c:pt>
                <c:pt idx="11">
                  <c:v>45714</c:v>
                </c:pt>
                <c:pt idx="12">
                  <c:v>45715</c:v>
                </c:pt>
                <c:pt idx="13">
                  <c:v>45716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45765</c:v>
                </c:pt>
                <c:pt idx="48">
                  <c:v>45768</c:v>
                </c:pt>
                <c:pt idx="49">
                  <c:v>45769</c:v>
                </c:pt>
                <c:pt idx="50">
                  <c:v>45770</c:v>
                </c:pt>
                <c:pt idx="51">
                  <c:v>45771</c:v>
                </c:pt>
                <c:pt idx="52">
                  <c:v>45772</c:v>
                </c:pt>
                <c:pt idx="53">
                  <c:v>45775</c:v>
                </c:pt>
                <c:pt idx="54">
                  <c:v>45776</c:v>
                </c:pt>
                <c:pt idx="55">
                  <c:v>45777</c:v>
                </c:pt>
                <c:pt idx="56">
                  <c:v>45779</c:v>
                </c:pt>
                <c:pt idx="57">
                  <c:v>45784</c:v>
                </c:pt>
                <c:pt idx="58">
                  <c:v>45785</c:v>
                </c:pt>
                <c:pt idx="59">
                  <c:v>45786</c:v>
                </c:pt>
                <c:pt idx="60">
                  <c:v>45789</c:v>
                </c:pt>
                <c:pt idx="61">
                  <c:v>45790</c:v>
                </c:pt>
                <c:pt idx="62">
                  <c:v>45791</c:v>
                </c:pt>
                <c:pt idx="63">
                  <c:v>45792</c:v>
                </c:pt>
                <c:pt idx="64">
                  <c:v>45793</c:v>
                </c:pt>
                <c:pt idx="65">
                  <c:v>45796</c:v>
                </c:pt>
                <c:pt idx="66">
                  <c:v>45797</c:v>
                </c:pt>
                <c:pt idx="67">
                  <c:v>45798</c:v>
                </c:pt>
                <c:pt idx="68">
                  <c:v>45799</c:v>
                </c:pt>
                <c:pt idx="69">
                  <c:v>45800</c:v>
                </c:pt>
                <c:pt idx="70">
                  <c:v>45803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45812</c:v>
                </c:pt>
              </c:numCache>
            </c:numRef>
          </c:cat>
          <c:val>
            <c:numRef>
              <c:f>[1]수급오실레이터!$C$8:$C$84</c:f>
              <c:numCache>
                <c:formatCode>General</c:formatCode>
                <c:ptCount val="77"/>
                <c:pt idx="0">
                  <c:v>4.4712000000000002E-2</c:v>
                </c:pt>
                <c:pt idx="1">
                  <c:v>4.5170999999999996E-2</c:v>
                </c:pt>
                <c:pt idx="2">
                  <c:v>4.4974E-2</c:v>
                </c:pt>
                <c:pt idx="3">
                  <c:v>4.4660000000000005E-2</c:v>
                </c:pt>
                <c:pt idx="4">
                  <c:v>4.6242999999999999E-2</c:v>
                </c:pt>
                <c:pt idx="5">
                  <c:v>5.0134999999999999E-2</c:v>
                </c:pt>
                <c:pt idx="6">
                  <c:v>4.8683999999999998E-2</c:v>
                </c:pt>
                <c:pt idx="7">
                  <c:v>4.4462000000000002E-2</c:v>
                </c:pt>
                <c:pt idx="8">
                  <c:v>4.4377E-2</c:v>
                </c:pt>
                <c:pt idx="9">
                  <c:v>4.3123000000000002E-2</c:v>
                </c:pt>
                <c:pt idx="10">
                  <c:v>4.5499999999999999E-2</c:v>
                </c:pt>
                <c:pt idx="11">
                  <c:v>4.4047000000000003E-2</c:v>
                </c:pt>
                <c:pt idx="12">
                  <c:v>4.3188999999999998E-2</c:v>
                </c:pt>
                <c:pt idx="13">
                  <c:v>4.0217000000000003E-2</c:v>
                </c:pt>
                <c:pt idx="14">
                  <c:v>4.2462E-2</c:v>
                </c:pt>
                <c:pt idx="15">
                  <c:v>4.3123000000000002E-2</c:v>
                </c:pt>
                <c:pt idx="16">
                  <c:v>4.2726E-2</c:v>
                </c:pt>
                <c:pt idx="17">
                  <c:v>4.1933999999999999E-2</c:v>
                </c:pt>
                <c:pt idx="18">
                  <c:v>4.4509E-2</c:v>
                </c:pt>
                <c:pt idx="19">
                  <c:v>4.7018999999999998E-2</c:v>
                </c:pt>
                <c:pt idx="20">
                  <c:v>4.8339E-2</c:v>
                </c:pt>
                <c:pt idx="21">
                  <c:v>4.8339E-2</c:v>
                </c:pt>
                <c:pt idx="22">
                  <c:v>4.9197999999999999E-2</c:v>
                </c:pt>
                <c:pt idx="23">
                  <c:v>5.3489999999999996E-2</c:v>
                </c:pt>
                <c:pt idx="24">
                  <c:v>5.1442999999999996E-2</c:v>
                </c:pt>
                <c:pt idx="25">
                  <c:v>4.5763999999999999E-2</c:v>
                </c:pt>
                <c:pt idx="26">
                  <c:v>4.3980999999999999E-2</c:v>
                </c:pt>
                <c:pt idx="27">
                  <c:v>4.2395999999999996E-2</c:v>
                </c:pt>
                <c:pt idx="28">
                  <c:v>4.3123000000000002E-2</c:v>
                </c:pt>
                <c:pt idx="29">
                  <c:v>4.3519000000000002E-2</c:v>
                </c:pt>
                <c:pt idx="30">
                  <c:v>4.3519000000000002E-2</c:v>
                </c:pt>
                <c:pt idx="31">
                  <c:v>4.2000000000000003E-2</c:v>
                </c:pt>
                <c:pt idx="32">
                  <c:v>4.0943E-2</c:v>
                </c:pt>
                <c:pt idx="33">
                  <c:v>4.1736000000000002E-2</c:v>
                </c:pt>
                <c:pt idx="34">
                  <c:v>4.2792000000000004E-2</c:v>
                </c:pt>
                <c:pt idx="35">
                  <c:v>4.3188999999999998E-2</c:v>
                </c:pt>
                <c:pt idx="36">
                  <c:v>4.4574999999999997E-2</c:v>
                </c:pt>
                <c:pt idx="37">
                  <c:v>4.3716999999999999E-2</c:v>
                </c:pt>
                <c:pt idx="38">
                  <c:v>3.9886999999999999E-2</c:v>
                </c:pt>
                <c:pt idx="39">
                  <c:v>4.0415E-2</c:v>
                </c:pt>
                <c:pt idx="40">
                  <c:v>3.8830000000000003E-2</c:v>
                </c:pt>
                <c:pt idx="41">
                  <c:v>4.1537999999999999E-2</c:v>
                </c:pt>
                <c:pt idx="42">
                  <c:v>4.4641E-2</c:v>
                </c:pt>
                <c:pt idx="43">
                  <c:v>4.5104000000000005E-2</c:v>
                </c:pt>
                <c:pt idx="44">
                  <c:v>4.5698000000000003E-2</c:v>
                </c:pt>
                <c:pt idx="45">
                  <c:v>4.4773E-2</c:v>
                </c:pt>
                <c:pt idx="46">
                  <c:v>4.5962000000000003E-2</c:v>
                </c:pt>
                <c:pt idx="47">
                  <c:v>4.6177999999999997E-2</c:v>
                </c:pt>
                <c:pt idx="48">
                  <c:v>4.7432999999999996E-2</c:v>
                </c:pt>
                <c:pt idx="49">
                  <c:v>4.7500000000000001E-2</c:v>
                </c:pt>
                <c:pt idx="50">
                  <c:v>4.7764000000000001E-2</c:v>
                </c:pt>
                <c:pt idx="51">
                  <c:v>4.7102999999999999E-2</c:v>
                </c:pt>
                <c:pt idx="52">
                  <c:v>4.6112E-2</c:v>
                </c:pt>
                <c:pt idx="53">
                  <c:v>4.5385000000000002E-2</c:v>
                </c:pt>
                <c:pt idx="54">
                  <c:v>4.5913999999999996E-2</c:v>
                </c:pt>
                <c:pt idx="55">
                  <c:v>4.5252999999999995E-2</c:v>
                </c:pt>
                <c:pt idx="56">
                  <c:v>4.5054999999999998E-2</c:v>
                </c:pt>
                <c:pt idx="57">
                  <c:v>4.8688999999999996E-2</c:v>
                </c:pt>
                <c:pt idx="58">
                  <c:v>4.9349000000000004E-2</c:v>
                </c:pt>
                <c:pt idx="59">
                  <c:v>4.7764000000000001E-2</c:v>
                </c:pt>
                <c:pt idx="60">
                  <c:v>4.8027999999999994E-2</c:v>
                </c:pt>
                <c:pt idx="61">
                  <c:v>4.9812000000000002E-2</c:v>
                </c:pt>
                <c:pt idx="62">
                  <c:v>6.4741999999999994E-2</c:v>
                </c:pt>
                <c:pt idx="63">
                  <c:v>7.2669999999999998E-2</c:v>
                </c:pt>
                <c:pt idx="64">
                  <c:v>7.7954999999999997E-2</c:v>
                </c:pt>
                <c:pt idx="65">
                  <c:v>7.7954999999999997E-2</c:v>
                </c:pt>
                <c:pt idx="66">
                  <c:v>8.1521999999999997E-2</c:v>
                </c:pt>
                <c:pt idx="67">
                  <c:v>7.3329999999999992E-2</c:v>
                </c:pt>
                <c:pt idx="68">
                  <c:v>6.9499000000000005E-2</c:v>
                </c:pt>
                <c:pt idx="69">
                  <c:v>6.9365999999999997E-2</c:v>
                </c:pt>
                <c:pt idx="70">
                  <c:v>7.5444000000000011E-2</c:v>
                </c:pt>
                <c:pt idx="71">
                  <c:v>7.5708999999999999E-2</c:v>
                </c:pt>
                <c:pt idx="72">
                  <c:v>7.3329999999999992E-2</c:v>
                </c:pt>
                <c:pt idx="73">
                  <c:v>7.5179999999999997E-2</c:v>
                </c:pt>
                <c:pt idx="74">
                  <c:v>7.9011999999999999E-2</c:v>
                </c:pt>
                <c:pt idx="75">
                  <c:v>8.2711000000000007E-2</c:v>
                </c:pt>
                <c:pt idx="76">
                  <c:v>8.9978000000000002E-2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5-4FA6-B2EF-24A98C20E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52924944"/>
        <c:axId val="-1452904272"/>
      </c:lineChart>
      <c:lineChart>
        <c:grouping val="standard"/>
        <c:varyColors val="0"/>
        <c:ser>
          <c:idx val="1"/>
          <c:order val="2"/>
          <c:tx>
            <c:strRef>
              <c:f>[1]수급오실레이터!$D$7</c:f>
              <c:strCache>
                <c:ptCount val="1"/>
                <c:pt idx="0">
                  <c:v>로보티즈 수급오실레이터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[1]수급오실레이터!$B$8:$B$84</c:f>
              <c:numCache>
                <c:formatCode>General</c:formatCode>
                <c:ptCount val="77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45705</c:v>
                </c:pt>
                <c:pt idx="5">
                  <c:v>45706</c:v>
                </c:pt>
                <c:pt idx="6">
                  <c:v>45707</c:v>
                </c:pt>
                <c:pt idx="7">
                  <c:v>45708</c:v>
                </c:pt>
                <c:pt idx="8">
                  <c:v>45709</c:v>
                </c:pt>
                <c:pt idx="9">
                  <c:v>45712</c:v>
                </c:pt>
                <c:pt idx="10">
                  <c:v>45713</c:v>
                </c:pt>
                <c:pt idx="11">
                  <c:v>45714</c:v>
                </c:pt>
                <c:pt idx="12">
                  <c:v>45715</c:v>
                </c:pt>
                <c:pt idx="13">
                  <c:v>45716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45765</c:v>
                </c:pt>
                <c:pt idx="48">
                  <c:v>45768</c:v>
                </c:pt>
                <c:pt idx="49">
                  <c:v>45769</c:v>
                </c:pt>
                <c:pt idx="50">
                  <c:v>45770</c:v>
                </c:pt>
                <c:pt idx="51">
                  <c:v>45771</c:v>
                </c:pt>
                <c:pt idx="52">
                  <c:v>45772</c:v>
                </c:pt>
                <c:pt idx="53">
                  <c:v>45775</c:v>
                </c:pt>
                <c:pt idx="54">
                  <c:v>45776</c:v>
                </c:pt>
                <c:pt idx="55">
                  <c:v>45777</c:v>
                </c:pt>
                <c:pt idx="56">
                  <c:v>45779</c:v>
                </c:pt>
                <c:pt idx="57">
                  <c:v>45784</c:v>
                </c:pt>
                <c:pt idx="58">
                  <c:v>45785</c:v>
                </c:pt>
                <c:pt idx="59">
                  <c:v>45786</c:v>
                </c:pt>
                <c:pt idx="60">
                  <c:v>45789</c:v>
                </c:pt>
                <c:pt idx="61">
                  <c:v>45790</c:v>
                </c:pt>
                <c:pt idx="62">
                  <c:v>45791</c:v>
                </c:pt>
                <c:pt idx="63">
                  <c:v>45792</c:v>
                </c:pt>
                <c:pt idx="64">
                  <c:v>45793</c:v>
                </c:pt>
                <c:pt idx="65">
                  <c:v>45796</c:v>
                </c:pt>
                <c:pt idx="66">
                  <c:v>45797</c:v>
                </c:pt>
                <c:pt idx="67">
                  <c:v>45798</c:v>
                </c:pt>
                <c:pt idx="68">
                  <c:v>45799</c:v>
                </c:pt>
                <c:pt idx="69">
                  <c:v>45800</c:v>
                </c:pt>
                <c:pt idx="70">
                  <c:v>45803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45812</c:v>
                </c:pt>
              </c:numCache>
            </c:numRef>
          </c:cat>
          <c:val>
            <c:numRef>
              <c:f>[1]수급오실레이터!$D$8:$D$84</c:f>
              <c:numCache>
                <c:formatCode>General</c:formatCode>
                <c:ptCount val="77"/>
                <c:pt idx="0">
                  <c:v>0</c:v>
                </c:pt>
                <c:pt idx="1">
                  <c:v>-4.9561781834754344E-4</c:v>
                </c:pt>
                <c:pt idx="2">
                  <c:v>-1.9865597707100277E-4</c:v>
                </c:pt>
                <c:pt idx="3">
                  <c:v>3.5050245759306884E-4</c:v>
                </c:pt>
                <c:pt idx="4">
                  <c:v>9.2481855218854337E-4</c:v>
                </c:pt>
                <c:pt idx="5">
                  <c:v>3.4079934783647937E-3</c:v>
                </c:pt>
                <c:pt idx="6">
                  <c:v>4.4470964494846971E-3</c:v>
                </c:pt>
                <c:pt idx="7">
                  <c:v>4.0150053832982866E-3</c:v>
                </c:pt>
                <c:pt idx="8">
                  <c:v>3.5226915884003359E-3</c:v>
                </c:pt>
                <c:pt idx="9">
                  <c:v>3.2870877589910715E-3</c:v>
                </c:pt>
                <c:pt idx="10">
                  <c:v>2.0736223406301315E-3</c:v>
                </c:pt>
                <c:pt idx="11">
                  <c:v>1.7018336770749922E-3</c:v>
                </c:pt>
                <c:pt idx="12">
                  <c:v>1.6163586040564204E-3</c:v>
                </c:pt>
                <c:pt idx="13">
                  <c:v>1.6368622734729537E-3</c:v>
                </c:pt>
                <c:pt idx="14">
                  <c:v>1.3317801653149703E-3</c:v>
                </c:pt>
                <c:pt idx="15">
                  <c:v>1.1893365272736562E-3</c:v>
                </c:pt>
                <c:pt idx="16">
                  <c:v>7.523615173788533E-4</c:v>
                </c:pt>
                <c:pt idx="17">
                  <c:v>8.1470493928872088E-4</c:v>
                </c:pt>
                <c:pt idx="18">
                  <c:v>-7.2609369016620601E-5</c:v>
                </c:pt>
                <c:pt idx="19">
                  <c:v>8.7841757764818736E-5</c:v>
                </c:pt>
                <c:pt idx="20">
                  <c:v>7.0946596985369936E-4</c:v>
                </c:pt>
                <c:pt idx="21">
                  <c:v>9.5932270451880471E-4</c:v>
                </c:pt>
                <c:pt idx="22">
                  <c:v>1.3261683538379164E-3</c:v>
                </c:pt>
                <c:pt idx="23">
                  <c:v>3.2770460229986833E-3</c:v>
                </c:pt>
                <c:pt idx="24">
                  <c:v>2.8987192694846023E-3</c:v>
                </c:pt>
                <c:pt idx="25">
                  <c:v>1.6967313838903847E-3</c:v>
                </c:pt>
                <c:pt idx="26">
                  <c:v>8.6325311610679391E-4</c:v>
                </c:pt>
                <c:pt idx="27">
                  <c:v>-6.2191540658513081E-4</c:v>
                </c:pt>
                <c:pt idx="28">
                  <c:v>-3.1537723920910506E-3</c:v>
                </c:pt>
                <c:pt idx="29">
                  <c:v>-4.0650694264211008E-3</c:v>
                </c:pt>
                <c:pt idx="30">
                  <c:v>-4.1581477660319324E-3</c:v>
                </c:pt>
                <c:pt idx="31">
                  <c:v>-4.2470465478308093E-3</c:v>
                </c:pt>
                <c:pt idx="32">
                  <c:v>-3.6044557278385467E-3</c:v>
                </c:pt>
                <c:pt idx="33">
                  <c:v>-2.9364412203616219E-3</c:v>
                </c:pt>
                <c:pt idx="34">
                  <c:v>-2.290029885391624E-3</c:v>
                </c:pt>
                <c:pt idx="35">
                  <c:v>-1.8065919838025006E-3</c:v>
                </c:pt>
                <c:pt idx="36">
                  <c:v>-9.5804029021848451E-4</c:v>
                </c:pt>
                <c:pt idx="37">
                  <c:v>-8.1371006647648928E-4</c:v>
                </c:pt>
                <c:pt idx="38">
                  <c:v>-8.8667515197749566E-4</c:v>
                </c:pt>
                <c:pt idx="39">
                  <c:v>-9.0221262204819627E-4</c:v>
                </c:pt>
                <c:pt idx="40">
                  <c:v>-8.8673232388828435E-4</c:v>
                </c:pt>
                <c:pt idx="41">
                  <c:v>-1.1460922262948176E-3</c:v>
                </c:pt>
                <c:pt idx="42">
                  <c:v>-7.0115805967804908E-4</c:v>
                </c:pt>
                <c:pt idx="43">
                  <c:v>-3.9374707827759346E-4</c:v>
                </c:pt>
                <c:pt idx="44">
                  <c:v>-2.2353281771827788E-4</c:v>
                </c:pt>
                <c:pt idx="45">
                  <c:v>1.3624733720395913E-5</c:v>
                </c:pt>
                <c:pt idx="46">
                  <c:v>1.7871527799827921E-4</c:v>
                </c:pt>
                <c:pt idx="47">
                  <c:v>-1.5733061350722962E-4</c:v>
                </c:pt>
                <c:pt idx="48">
                  <c:v>-1.2033265677121501E-4</c:v>
                </c:pt>
                <c:pt idx="49">
                  <c:v>-8.8412628859401137E-5</c:v>
                </c:pt>
                <c:pt idx="50">
                  <c:v>-1.9983821651354378E-4</c:v>
                </c:pt>
                <c:pt idx="51">
                  <c:v>-1.8641200835830402E-4</c:v>
                </c:pt>
                <c:pt idx="52">
                  <c:v>1.5877759521865488E-4</c:v>
                </c:pt>
                <c:pt idx="53">
                  <c:v>2.3931935454755667E-4</c:v>
                </c:pt>
                <c:pt idx="54">
                  <c:v>3.3982918386061883E-4</c:v>
                </c:pt>
                <c:pt idx="55">
                  <c:v>4.9723802737806303E-4</c:v>
                </c:pt>
                <c:pt idx="56">
                  <c:v>1.1872002393358699E-4</c:v>
                </c:pt>
                <c:pt idx="57">
                  <c:v>8.764786038932674E-4</c:v>
                </c:pt>
                <c:pt idx="58">
                  <c:v>1.3139913964771727E-3</c:v>
                </c:pt>
                <c:pt idx="59">
                  <c:v>1.2871329218536566E-3</c:v>
                </c:pt>
                <c:pt idx="60">
                  <c:v>9.4503699318127443E-4</c:v>
                </c:pt>
                <c:pt idx="61">
                  <c:v>8.4329126447180592E-4</c:v>
                </c:pt>
                <c:pt idx="62">
                  <c:v>1.6226249515098991E-4</c:v>
                </c:pt>
                <c:pt idx="63">
                  <c:v>8.5876282214492755E-4</c:v>
                </c:pt>
                <c:pt idx="64">
                  <c:v>1.8564034377863206E-3</c:v>
                </c:pt>
                <c:pt idx="65">
                  <c:v>2.7830140974283374E-3</c:v>
                </c:pt>
                <c:pt idx="66">
                  <c:v>3.4653011414196308E-3</c:v>
                </c:pt>
                <c:pt idx="67">
                  <c:v>3.3174903814699071E-3</c:v>
                </c:pt>
                <c:pt idx="68">
                  <c:v>1.2745469930498824E-3</c:v>
                </c:pt>
                <c:pt idx="69">
                  <c:v>-1.0678414697671322E-3</c:v>
                </c:pt>
                <c:pt idx="70">
                  <c:v>-2.6520458721704041E-3</c:v>
                </c:pt>
                <c:pt idx="71">
                  <c:v>-3.9212257439583164E-3</c:v>
                </c:pt>
                <c:pt idx="72">
                  <c:v>-4.7198134101378436E-3</c:v>
                </c:pt>
                <c:pt idx="73">
                  <c:v>-4.5255967428343442E-3</c:v>
                </c:pt>
                <c:pt idx="74">
                  <c:v>-3.9493007122583671E-3</c:v>
                </c:pt>
                <c:pt idx="75">
                  <c:v>-3.4212286971641273E-3</c:v>
                </c:pt>
                <c:pt idx="76">
                  <c:v>-2.8893220099348799E-3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5-4FA6-B2EF-24A98C20E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52922224"/>
        <c:axId val="-1452924400"/>
      </c:lineChart>
      <c:catAx>
        <c:axId val="-145292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52904272"/>
        <c:crosses val="autoZero"/>
        <c:auto val="1"/>
        <c:lblAlgn val="ctr"/>
        <c:lblOffset val="100"/>
        <c:noMultiLvlLbl val="0"/>
      </c:catAx>
      <c:valAx>
        <c:axId val="-145290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52924944"/>
        <c:crosses val="autoZero"/>
        <c:crossBetween val="between"/>
      </c:valAx>
      <c:valAx>
        <c:axId val="-1452924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52922224"/>
        <c:crosses val="max"/>
        <c:crossBetween val="between"/>
      </c:valAx>
      <c:catAx>
        <c:axId val="-1452922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52924400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2.8278310975808213E-2"/>
          <c:y val="8.3624858629446797E-2"/>
          <c:w val="0.96435365162166775"/>
          <c:h val="0.23946786467506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193040131252403E-2"/>
          <c:y val="2.8642603106828281E-2"/>
          <c:w val="0.87967972247767723"/>
          <c:h val="0.84100073527628683"/>
        </c:manualLayout>
      </c:layout>
      <c:lineChart>
        <c:grouping val="standard"/>
        <c:varyColors val="0"/>
        <c:ser>
          <c:idx val="0"/>
          <c:order val="0"/>
          <c:tx>
            <c:strRef>
              <c:f>[2]수급오실레이터!$C$7</c:f>
              <c:strCache>
                <c:ptCount val="1"/>
                <c:pt idx="0">
                  <c:v>SAMG엔터 시가총액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[2]수급오실레이터!$B$8:$B$84</c:f>
              <c:numCache>
                <c:formatCode>General</c:formatCode>
                <c:ptCount val="77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45705</c:v>
                </c:pt>
                <c:pt idx="5">
                  <c:v>45706</c:v>
                </c:pt>
                <c:pt idx="6">
                  <c:v>45707</c:v>
                </c:pt>
                <c:pt idx="7">
                  <c:v>45708</c:v>
                </c:pt>
                <c:pt idx="8">
                  <c:v>45709</c:v>
                </c:pt>
                <c:pt idx="9">
                  <c:v>45712</c:v>
                </c:pt>
                <c:pt idx="10">
                  <c:v>45713</c:v>
                </c:pt>
                <c:pt idx="11">
                  <c:v>45714</c:v>
                </c:pt>
                <c:pt idx="12">
                  <c:v>45715</c:v>
                </c:pt>
                <c:pt idx="13">
                  <c:v>45716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45765</c:v>
                </c:pt>
                <c:pt idx="48">
                  <c:v>45768</c:v>
                </c:pt>
                <c:pt idx="49">
                  <c:v>45769</c:v>
                </c:pt>
                <c:pt idx="50">
                  <c:v>45770</c:v>
                </c:pt>
                <c:pt idx="51">
                  <c:v>45771</c:v>
                </c:pt>
                <c:pt idx="52">
                  <c:v>45772</c:v>
                </c:pt>
                <c:pt idx="53">
                  <c:v>45775</c:v>
                </c:pt>
                <c:pt idx="54">
                  <c:v>45776</c:v>
                </c:pt>
                <c:pt idx="55">
                  <c:v>45777</c:v>
                </c:pt>
                <c:pt idx="56">
                  <c:v>45779</c:v>
                </c:pt>
                <c:pt idx="57">
                  <c:v>45784</c:v>
                </c:pt>
                <c:pt idx="58">
                  <c:v>45785</c:v>
                </c:pt>
                <c:pt idx="59">
                  <c:v>45786</c:v>
                </c:pt>
                <c:pt idx="60">
                  <c:v>45789</c:v>
                </c:pt>
                <c:pt idx="61">
                  <c:v>45790</c:v>
                </c:pt>
                <c:pt idx="62">
                  <c:v>45791</c:v>
                </c:pt>
                <c:pt idx="63">
                  <c:v>45792</c:v>
                </c:pt>
                <c:pt idx="64">
                  <c:v>45793</c:v>
                </c:pt>
                <c:pt idx="65">
                  <c:v>45796</c:v>
                </c:pt>
                <c:pt idx="66">
                  <c:v>45797</c:v>
                </c:pt>
                <c:pt idx="67">
                  <c:v>45798</c:v>
                </c:pt>
                <c:pt idx="68">
                  <c:v>45799</c:v>
                </c:pt>
                <c:pt idx="69">
                  <c:v>45800</c:v>
                </c:pt>
                <c:pt idx="70">
                  <c:v>45803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45812</c:v>
                </c:pt>
              </c:numCache>
            </c:numRef>
          </c:cat>
          <c:val>
            <c:numRef>
              <c:f>[2]수급오실레이터!$C$8:$C$84</c:f>
              <c:numCache>
                <c:formatCode>General</c:formatCode>
                <c:ptCount val="77"/>
                <c:pt idx="0">
                  <c:v>1.8083999999999999E-2</c:v>
                </c:pt>
                <c:pt idx="1">
                  <c:v>1.8770999999999999E-2</c:v>
                </c:pt>
                <c:pt idx="2">
                  <c:v>1.8040999999999998E-2</c:v>
                </c:pt>
                <c:pt idx="3">
                  <c:v>1.9200999999999999E-2</c:v>
                </c:pt>
                <c:pt idx="4">
                  <c:v>2.0489E-2</c:v>
                </c:pt>
                <c:pt idx="5">
                  <c:v>2.0575E-2</c:v>
                </c:pt>
                <c:pt idx="6">
                  <c:v>1.9587E-2</c:v>
                </c:pt>
                <c:pt idx="7">
                  <c:v>2.1134E-2</c:v>
                </c:pt>
                <c:pt idx="8">
                  <c:v>2.0962000000000001E-2</c:v>
                </c:pt>
                <c:pt idx="9">
                  <c:v>2.0833000000000001E-2</c:v>
                </c:pt>
                <c:pt idx="10">
                  <c:v>2.4312E-2</c:v>
                </c:pt>
                <c:pt idx="11">
                  <c:v>2.4312E-2</c:v>
                </c:pt>
                <c:pt idx="12">
                  <c:v>2.3496E-2</c:v>
                </c:pt>
                <c:pt idx="13">
                  <c:v>2.3196000000000001E-2</c:v>
                </c:pt>
                <c:pt idx="14">
                  <c:v>2.1993000000000002E-2</c:v>
                </c:pt>
                <c:pt idx="15">
                  <c:v>2.2765999999999998E-2</c:v>
                </c:pt>
                <c:pt idx="16">
                  <c:v>2.341E-2</c:v>
                </c:pt>
                <c:pt idx="17">
                  <c:v>2.4699000000000002E-2</c:v>
                </c:pt>
                <c:pt idx="18">
                  <c:v>2.384E-2</c:v>
                </c:pt>
                <c:pt idx="19">
                  <c:v>2.3023999999999999E-2</c:v>
                </c:pt>
                <c:pt idx="20">
                  <c:v>2.5086000000000001E-2</c:v>
                </c:pt>
                <c:pt idx="21">
                  <c:v>2.6545999999999997E-2</c:v>
                </c:pt>
                <c:pt idx="22">
                  <c:v>2.4784999999999998E-2</c:v>
                </c:pt>
                <c:pt idx="23">
                  <c:v>2.4398E-2</c:v>
                </c:pt>
                <c:pt idx="24">
                  <c:v>2.6202E-2</c:v>
                </c:pt>
                <c:pt idx="25">
                  <c:v>2.5256999999999998E-2</c:v>
                </c:pt>
                <c:pt idx="26">
                  <c:v>2.5858999999999997E-2</c:v>
                </c:pt>
                <c:pt idx="27">
                  <c:v>2.7232999999999997E-2</c:v>
                </c:pt>
                <c:pt idx="28">
                  <c:v>2.7497000000000004E-2</c:v>
                </c:pt>
                <c:pt idx="29">
                  <c:v>2.8067000000000002E-2</c:v>
                </c:pt>
                <c:pt idx="30">
                  <c:v>2.6269000000000001E-2</c:v>
                </c:pt>
                <c:pt idx="31">
                  <c:v>2.4822E-2</c:v>
                </c:pt>
                <c:pt idx="32">
                  <c:v>2.5480000000000003E-2</c:v>
                </c:pt>
                <c:pt idx="33">
                  <c:v>2.5874000000000001E-2</c:v>
                </c:pt>
                <c:pt idx="34">
                  <c:v>2.5699E-2</c:v>
                </c:pt>
                <c:pt idx="35">
                  <c:v>2.4646000000000001E-2</c:v>
                </c:pt>
                <c:pt idx="36">
                  <c:v>2.4733999999999999E-2</c:v>
                </c:pt>
                <c:pt idx="37">
                  <c:v>2.6488000000000001E-2</c:v>
                </c:pt>
                <c:pt idx="38">
                  <c:v>2.5041000000000001E-2</c:v>
                </c:pt>
                <c:pt idx="39">
                  <c:v>2.5787000000000001E-2</c:v>
                </c:pt>
                <c:pt idx="40">
                  <c:v>2.4076E-2</c:v>
                </c:pt>
                <c:pt idx="41">
                  <c:v>3.0083999999999996E-2</c:v>
                </c:pt>
                <c:pt idx="42">
                  <c:v>3.1092999999999999E-2</c:v>
                </c:pt>
                <c:pt idx="43">
                  <c:v>3.083E-2</c:v>
                </c:pt>
                <c:pt idx="44">
                  <c:v>2.9250999999999999E-2</c:v>
                </c:pt>
                <c:pt idx="45">
                  <c:v>3.0347000000000002E-2</c:v>
                </c:pt>
                <c:pt idx="46">
                  <c:v>3.2101999999999999E-2</c:v>
                </c:pt>
                <c:pt idx="47">
                  <c:v>3.1619000000000001E-2</c:v>
                </c:pt>
                <c:pt idx="48">
                  <c:v>3.1662999999999997E-2</c:v>
                </c:pt>
                <c:pt idx="49">
                  <c:v>3.1224999999999999E-2</c:v>
                </c:pt>
                <c:pt idx="50">
                  <c:v>3.1925999999999996E-2</c:v>
                </c:pt>
                <c:pt idx="51">
                  <c:v>3.2758999999999996E-2</c:v>
                </c:pt>
                <c:pt idx="52">
                  <c:v>3.2979000000000001E-2</c:v>
                </c:pt>
                <c:pt idx="53">
                  <c:v>3.2847000000000001E-2</c:v>
                </c:pt>
                <c:pt idx="54">
                  <c:v>3.3154000000000003E-2</c:v>
                </c:pt>
                <c:pt idx="55">
                  <c:v>3.3987000000000003E-2</c:v>
                </c:pt>
                <c:pt idx="56">
                  <c:v>3.3637E-2</c:v>
                </c:pt>
                <c:pt idx="57">
                  <c:v>3.2277E-2</c:v>
                </c:pt>
                <c:pt idx="58">
                  <c:v>3.5171000000000001E-2</c:v>
                </c:pt>
                <c:pt idx="59">
                  <c:v>3.4250000000000003E-2</c:v>
                </c:pt>
                <c:pt idx="60">
                  <c:v>3.3198000000000005E-2</c:v>
                </c:pt>
                <c:pt idx="61">
                  <c:v>3.4293999999999998E-2</c:v>
                </c:pt>
                <c:pt idx="62">
                  <c:v>4.4555999999999998E-2</c:v>
                </c:pt>
                <c:pt idx="63">
                  <c:v>5.4379999999999998E-2</c:v>
                </c:pt>
                <c:pt idx="64">
                  <c:v>5.4817999999999992E-2</c:v>
                </c:pt>
                <c:pt idx="65">
                  <c:v>5.9641999999999994E-2</c:v>
                </c:pt>
                <c:pt idx="66">
                  <c:v>5.8764999999999998E-2</c:v>
                </c:pt>
                <c:pt idx="67">
                  <c:v>5.7450000000000001E-2</c:v>
                </c:pt>
                <c:pt idx="68">
                  <c:v>5.6836000000000005E-2</c:v>
                </c:pt>
                <c:pt idx="69">
                  <c:v>5.8852999999999996E-2</c:v>
                </c:pt>
                <c:pt idx="70">
                  <c:v>6.1835000000000001E-2</c:v>
                </c:pt>
                <c:pt idx="71">
                  <c:v>6.0695000000000006E-2</c:v>
                </c:pt>
                <c:pt idx="72">
                  <c:v>5.9992999999999998E-2</c:v>
                </c:pt>
                <c:pt idx="73">
                  <c:v>6.1397E-2</c:v>
                </c:pt>
                <c:pt idx="74">
                  <c:v>6.5957000000000002E-2</c:v>
                </c:pt>
                <c:pt idx="75">
                  <c:v>6.8413000000000002E-2</c:v>
                </c:pt>
                <c:pt idx="76">
                  <c:v>6.9114999999999996E-2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E-4CE7-9788-10BCDE3A3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39920"/>
        <c:axId val="-14046448"/>
      </c:lineChart>
      <c:lineChart>
        <c:grouping val="standard"/>
        <c:varyColors val="0"/>
        <c:ser>
          <c:idx val="1"/>
          <c:order val="1"/>
          <c:tx>
            <c:strRef>
              <c:f>[2]수급오실레이터!$D$7</c:f>
              <c:strCache>
                <c:ptCount val="1"/>
                <c:pt idx="0">
                  <c:v>SAMG엔터 수급오실레이터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[2]수급오실레이터!$B$8:$B$84</c:f>
              <c:numCache>
                <c:formatCode>General</c:formatCode>
                <c:ptCount val="77"/>
                <c:pt idx="0">
                  <c:v>45699</c:v>
                </c:pt>
                <c:pt idx="1">
                  <c:v>45700</c:v>
                </c:pt>
                <c:pt idx="2">
                  <c:v>45701</c:v>
                </c:pt>
                <c:pt idx="3">
                  <c:v>45702</c:v>
                </c:pt>
                <c:pt idx="4">
                  <c:v>45705</c:v>
                </c:pt>
                <c:pt idx="5">
                  <c:v>45706</c:v>
                </c:pt>
                <c:pt idx="6">
                  <c:v>45707</c:v>
                </c:pt>
                <c:pt idx="7">
                  <c:v>45708</c:v>
                </c:pt>
                <c:pt idx="8">
                  <c:v>45709</c:v>
                </c:pt>
                <c:pt idx="9">
                  <c:v>45712</c:v>
                </c:pt>
                <c:pt idx="10">
                  <c:v>45713</c:v>
                </c:pt>
                <c:pt idx="11">
                  <c:v>45714</c:v>
                </c:pt>
                <c:pt idx="12">
                  <c:v>45715</c:v>
                </c:pt>
                <c:pt idx="13">
                  <c:v>45716</c:v>
                </c:pt>
                <c:pt idx="14">
                  <c:v>45720</c:v>
                </c:pt>
                <c:pt idx="15">
                  <c:v>45721</c:v>
                </c:pt>
                <c:pt idx="16">
                  <c:v>45722</c:v>
                </c:pt>
                <c:pt idx="17">
                  <c:v>45723</c:v>
                </c:pt>
                <c:pt idx="18">
                  <c:v>45726</c:v>
                </c:pt>
                <c:pt idx="19">
                  <c:v>45727</c:v>
                </c:pt>
                <c:pt idx="20">
                  <c:v>45728</c:v>
                </c:pt>
                <c:pt idx="21">
                  <c:v>45729</c:v>
                </c:pt>
                <c:pt idx="22">
                  <c:v>45730</c:v>
                </c:pt>
                <c:pt idx="23">
                  <c:v>45733</c:v>
                </c:pt>
                <c:pt idx="24">
                  <c:v>45734</c:v>
                </c:pt>
                <c:pt idx="25">
                  <c:v>45735</c:v>
                </c:pt>
                <c:pt idx="26">
                  <c:v>45736</c:v>
                </c:pt>
                <c:pt idx="27">
                  <c:v>45737</c:v>
                </c:pt>
                <c:pt idx="28">
                  <c:v>45740</c:v>
                </c:pt>
                <c:pt idx="29">
                  <c:v>45741</c:v>
                </c:pt>
                <c:pt idx="30">
                  <c:v>45742</c:v>
                </c:pt>
                <c:pt idx="31">
                  <c:v>45743</c:v>
                </c:pt>
                <c:pt idx="32">
                  <c:v>45744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45754</c:v>
                </c:pt>
                <c:pt idx="39">
                  <c:v>45755</c:v>
                </c:pt>
                <c:pt idx="40">
                  <c:v>45756</c:v>
                </c:pt>
                <c:pt idx="41">
                  <c:v>45757</c:v>
                </c:pt>
                <c:pt idx="42">
                  <c:v>45758</c:v>
                </c:pt>
                <c:pt idx="43">
                  <c:v>45761</c:v>
                </c:pt>
                <c:pt idx="44">
                  <c:v>45762</c:v>
                </c:pt>
                <c:pt idx="45">
                  <c:v>45763</c:v>
                </c:pt>
                <c:pt idx="46">
                  <c:v>45764</c:v>
                </c:pt>
                <c:pt idx="47">
                  <c:v>45765</c:v>
                </c:pt>
                <c:pt idx="48">
                  <c:v>45768</c:v>
                </c:pt>
                <c:pt idx="49">
                  <c:v>45769</c:v>
                </c:pt>
                <c:pt idx="50">
                  <c:v>45770</c:v>
                </c:pt>
                <c:pt idx="51">
                  <c:v>45771</c:v>
                </c:pt>
                <c:pt idx="52">
                  <c:v>45772</c:v>
                </c:pt>
                <c:pt idx="53">
                  <c:v>45775</c:v>
                </c:pt>
                <c:pt idx="54">
                  <c:v>45776</c:v>
                </c:pt>
                <c:pt idx="55">
                  <c:v>45777</c:v>
                </c:pt>
                <c:pt idx="56">
                  <c:v>45779</c:v>
                </c:pt>
                <c:pt idx="57">
                  <c:v>45784</c:v>
                </c:pt>
                <c:pt idx="58">
                  <c:v>45785</c:v>
                </c:pt>
                <c:pt idx="59">
                  <c:v>45786</c:v>
                </c:pt>
                <c:pt idx="60">
                  <c:v>45789</c:v>
                </c:pt>
                <c:pt idx="61">
                  <c:v>45790</c:v>
                </c:pt>
                <c:pt idx="62">
                  <c:v>45791</c:v>
                </c:pt>
                <c:pt idx="63">
                  <c:v>45792</c:v>
                </c:pt>
                <c:pt idx="64">
                  <c:v>45793</c:v>
                </c:pt>
                <c:pt idx="65">
                  <c:v>45796</c:v>
                </c:pt>
                <c:pt idx="66">
                  <c:v>45797</c:v>
                </c:pt>
                <c:pt idx="67">
                  <c:v>45798</c:v>
                </c:pt>
                <c:pt idx="68">
                  <c:v>45799</c:v>
                </c:pt>
                <c:pt idx="69">
                  <c:v>45800</c:v>
                </c:pt>
                <c:pt idx="70">
                  <c:v>45803</c:v>
                </c:pt>
                <c:pt idx="71">
                  <c:v>45804</c:v>
                </c:pt>
                <c:pt idx="72">
                  <c:v>45805</c:v>
                </c:pt>
                <c:pt idx="73">
                  <c:v>45806</c:v>
                </c:pt>
                <c:pt idx="74">
                  <c:v>45807</c:v>
                </c:pt>
                <c:pt idx="75">
                  <c:v>45810</c:v>
                </c:pt>
                <c:pt idx="76">
                  <c:v>45812</c:v>
                </c:pt>
              </c:numCache>
            </c:numRef>
          </c:cat>
          <c:val>
            <c:numRef>
              <c:f>[2]수급오실레이터!$D$8:$D$84</c:f>
              <c:numCache>
                <c:formatCode>General</c:formatCode>
                <c:ptCount val="77"/>
                <c:pt idx="0">
                  <c:v>0</c:v>
                </c:pt>
                <c:pt idx="1">
                  <c:v>1.3935410765510913E-3</c:v>
                </c:pt>
                <c:pt idx="2">
                  <c:v>2.4724143154276745E-3</c:v>
                </c:pt>
                <c:pt idx="3">
                  <c:v>3.0240062877766078E-3</c:v>
                </c:pt>
                <c:pt idx="4">
                  <c:v>3.7276059981716323E-3</c:v>
                </c:pt>
                <c:pt idx="5">
                  <c:v>1.6657203775853903E-3</c:v>
                </c:pt>
                <c:pt idx="6">
                  <c:v>-4.256705195023352E-4</c:v>
                </c:pt>
                <c:pt idx="7">
                  <c:v>-1.5856029353552145E-3</c:v>
                </c:pt>
                <c:pt idx="8">
                  <c:v>-2.6374439850473715E-3</c:v>
                </c:pt>
                <c:pt idx="9">
                  <c:v>-3.5564900673041621E-3</c:v>
                </c:pt>
                <c:pt idx="10">
                  <c:v>-2.9402464490340262E-3</c:v>
                </c:pt>
                <c:pt idx="11">
                  <c:v>-2.9379464526157477E-3</c:v>
                </c:pt>
                <c:pt idx="12">
                  <c:v>-3.1107659885875553E-3</c:v>
                </c:pt>
                <c:pt idx="13">
                  <c:v>-2.719388861609477E-3</c:v>
                </c:pt>
                <c:pt idx="14">
                  <c:v>-2.1042493328518258E-3</c:v>
                </c:pt>
                <c:pt idx="15">
                  <c:v>-2.7778495149142855E-3</c:v>
                </c:pt>
                <c:pt idx="16">
                  <c:v>-3.0442417533630981E-3</c:v>
                </c:pt>
                <c:pt idx="17">
                  <c:v>-2.8536102125510639E-3</c:v>
                </c:pt>
                <c:pt idx="18">
                  <c:v>-2.731986164021297E-3</c:v>
                </c:pt>
                <c:pt idx="19">
                  <c:v>-2.6517025728892817E-3</c:v>
                </c:pt>
                <c:pt idx="20">
                  <c:v>-2.0662687950113758E-3</c:v>
                </c:pt>
                <c:pt idx="21">
                  <c:v>-9.7724715378024601E-4</c:v>
                </c:pt>
                <c:pt idx="22">
                  <c:v>-5.6014469262690401E-4</c:v>
                </c:pt>
                <c:pt idx="23">
                  <c:v>-2.6033019954178893E-4</c:v>
                </c:pt>
                <c:pt idx="24">
                  <c:v>1.2650076531857662E-4</c:v>
                </c:pt>
                <c:pt idx="25">
                  <c:v>-9.2422031778519043E-5</c:v>
                </c:pt>
                <c:pt idx="26">
                  <c:v>-6.6746859963207842E-4</c:v>
                </c:pt>
                <c:pt idx="27">
                  <c:v>1.6674837894137262E-5</c:v>
                </c:pt>
                <c:pt idx="28">
                  <c:v>6.3186758257192163E-4</c:v>
                </c:pt>
                <c:pt idx="29">
                  <c:v>9.3875975951130709E-4</c:v>
                </c:pt>
                <c:pt idx="30">
                  <c:v>1.2044639886531093E-3</c:v>
                </c:pt>
                <c:pt idx="31">
                  <c:v>1.321292448100901E-3</c:v>
                </c:pt>
                <c:pt idx="32">
                  <c:v>8.9695562490459992E-4</c:v>
                </c:pt>
                <c:pt idx="33">
                  <c:v>9.8280998941124766E-4</c:v>
                </c:pt>
                <c:pt idx="34">
                  <c:v>9.6577589693952991E-4</c:v>
                </c:pt>
                <c:pt idx="35">
                  <c:v>1.3140079757668838E-3</c:v>
                </c:pt>
                <c:pt idx="36">
                  <c:v>1.5108702378786752E-3</c:v>
                </c:pt>
                <c:pt idx="37">
                  <c:v>2.0029669828623923E-3</c:v>
                </c:pt>
                <c:pt idx="38">
                  <c:v>1.8905900059189591E-3</c:v>
                </c:pt>
                <c:pt idx="39">
                  <c:v>1.6318542176019233E-3</c:v>
                </c:pt>
                <c:pt idx="40">
                  <c:v>1.0322705744945874E-3</c:v>
                </c:pt>
                <c:pt idx="41">
                  <c:v>2.2308250986230798E-3</c:v>
                </c:pt>
                <c:pt idx="42">
                  <c:v>2.6616929006892131E-3</c:v>
                </c:pt>
                <c:pt idx="43">
                  <c:v>2.7371965703839865E-3</c:v>
                </c:pt>
                <c:pt idx="44">
                  <c:v>2.1275892914204226E-3</c:v>
                </c:pt>
                <c:pt idx="45">
                  <c:v>2.0224203142064361E-3</c:v>
                </c:pt>
                <c:pt idx="46">
                  <c:v>9.3065706148024336E-5</c:v>
                </c:pt>
                <c:pt idx="47">
                  <c:v>-1.7806262000066597E-3</c:v>
                </c:pt>
                <c:pt idx="48">
                  <c:v>-2.8866006475994814E-3</c:v>
                </c:pt>
                <c:pt idx="49">
                  <c:v>-2.8260010830719693E-3</c:v>
                </c:pt>
                <c:pt idx="50">
                  <c:v>-2.7679170868276093E-3</c:v>
                </c:pt>
                <c:pt idx="51">
                  <c:v>-2.4037979764686703E-3</c:v>
                </c:pt>
                <c:pt idx="52">
                  <c:v>-1.7599059188994175E-3</c:v>
                </c:pt>
                <c:pt idx="53">
                  <c:v>-1.1802448473297988E-3</c:v>
                </c:pt>
                <c:pt idx="54">
                  <c:v>-6.6455046148798224E-4</c:v>
                </c:pt>
                <c:pt idx="55">
                  <c:v>-1.3067412854997004E-4</c:v>
                </c:pt>
                <c:pt idx="56">
                  <c:v>2.0095488840988877E-5</c:v>
                </c:pt>
                <c:pt idx="57">
                  <c:v>1.8999852041714452E-4</c:v>
                </c:pt>
                <c:pt idx="58">
                  <c:v>1.2065784427889763E-3</c:v>
                </c:pt>
                <c:pt idx="59">
                  <c:v>1.4933257020578517E-3</c:v>
                </c:pt>
                <c:pt idx="60">
                  <c:v>1.2224096947765356E-3</c:v>
                </c:pt>
                <c:pt idx="61">
                  <c:v>1.0878332673072309E-3</c:v>
                </c:pt>
                <c:pt idx="62">
                  <c:v>1.3746536349770505E-3</c:v>
                </c:pt>
                <c:pt idx="63">
                  <c:v>2.1555828715572323E-3</c:v>
                </c:pt>
                <c:pt idx="64">
                  <c:v>3.1892439227683643E-3</c:v>
                </c:pt>
                <c:pt idx="65">
                  <c:v>3.7848582366797026E-3</c:v>
                </c:pt>
                <c:pt idx="66">
                  <c:v>4.0021907290879637E-3</c:v>
                </c:pt>
                <c:pt idx="67">
                  <c:v>3.524684860366065E-3</c:v>
                </c:pt>
                <c:pt idx="68">
                  <c:v>1.8251145191671538E-3</c:v>
                </c:pt>
                <c:pt idx="69">
                  <c:v>2.947351242893379E-4</c:v>
                </c:pt>
                <c:pt idx="70">
                  <c:v>-9.1197513964801514E-4</c:v>
                </c:pt>
                <c:pt idx="71">
                  <c:v>-1.7580440985706554E-3</c:v>
                </c:pt>
                <c:pt idx="72">
                  <c:v>-2.1061280285039953E-3</c:v>
                </c:pt>
                <c:pt idx="73">
                  <c:v>-2.3399858644902504E-3</c:v>
                </c:pt>
                <c:pt idx="74">
                  <c:v>-2.5852376515502966E-3</c:v>
                </c:pt>
                <c:pt idx="75">
                  <c:v>-2.7439781109854884E-3</c:v>
                </c:pt>
                <c:pt idx="76">
                  <c:v>-2.5677129403480869E-3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FE-4CE7-9788-10BCDE3A3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39376"/>
        <c:axId val="-14043728"/>
      </c:lineChart>
      <c:catAx>
        <c:axId val="-1403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046448"/>
        <c:crosses val="autoZero"/>
        <c:auto val="1"/>
        <c:lblAlgn val="ctr"/>
        <c:lblOffset val="100"/>
        <c:noMultiLvlLbl val="0"/>
      </c:catAx>
      <c:valAx>
        <c:axId val="-140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039920"/>
        <c:crosses val="autoZero"/>
        <c:crossBetween val="between"/>
      </c:valAx>
      <c:valAx>
        <c:axId val="-1404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4039376"/>
        <c:crosses val="max"/>
        <c:crossBetween val="between"/>
      </c:valAx>
      <c:catAx>
        <c:axId val="-1403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043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814379403034285E-2"/>
          <c:y val="2.7048284362956532E-2"/>
          <c:w val="0.79512581735215371"/>
          <c:h val="0.162340493774401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0</xdr:row>
      <xdr:rowOff>552450</xdr:rowOff>
    </xdr:from>
    <xdr:to>
      <xdr:col>12</xdr:col>
      <xdr:colOff>628175</xdr:colOff>
      <xdr:row>10</xdr:row>
      <xdr:rowOff>81139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0</xdr:row>
      <xdr:rowOff>323850</xdr:rowOff>
    </xdr:from>
    <xdr:to>
      <xdr:col>12</xdr:col>
      <xdr:colOff>631133</xdr:colOff>
      <xdr:row>14</xdr:row>
      <xdr:rowOff>84896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54028;&#51068;&#51228;&#44277;/&#45576;&#44867;&#48729;&#49688;%20&#44288;&#47532;&#50857;%20&#54028;&#51068;%20&#54252;&#54632;/&#50808;&#44397;&#51064;&#44592;&#44288;&#49688;&#44553;&#50724;&#49892;&#47112;&#51060;&#53552;%20(700)(&#53468;&#47536;&#51060;&#50500;&#48736;)(&#47588;&#51068;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54028;&#51068;&#51228;&#44277;/&#45576;&#44867;&#48729;&#49688;%20&#44288;&#47532;&#50857;%20&#54028;&#51068;%20&#54252;&#54632;/&#50808;&#44397;&#51064;&#44592;&#44288;&#49688;&#44553;&#50724;&#49892;&#47112;&#51060;&#53552;%20(700-1400)(&#53468;&#47536;&#51060;&#50500;&#48736;)(&#47588;&#51068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급오실레이터"/>
      <sheetName val="유니버스"/>
      <sheetName val="외인"/>
      <sheetName val="기관"/>
      <sheetName val="시가총액"/>
      <sheetName val="외국인매수데이터"/>
      <sheetName val="기관매수데이터"/>
      <sheetName val="오실"/>
      <sheetName val="MACD"/>
      <sheetName val="기외"/>
      <sheetName val="시기외"/>
      <sheetName val="시기외12"/>
      <sheetName val="시기외26"/>
      <sheetName val="시그널"/>
    </sheetNames>
    <sheetDataSet>
      <sheetData sheetId="0">
        <row r="7">
          <cell r="C7" t="str">
            <v>로보티즈 시가총액</v>
          </cell>
          <cell r="D7" t="str">
            <v>로보티즈 수급오실레이터</v>
          </cell>
        </row>
        <row r="8">
          <cell r="B8">
            <v>45699</v>
          </cell>
          <cell r="C8">
            <v>4.4712000000000002E-2</v>
          </cell>
          <cell r="D8">
            <v>0</v>
          </cell>
        </row>
        <row r="9">
          <cell r="B9">
            <v>45700</v>
          </cell>
          <cell r="C9">
            <v>4.5170999999999996E-2</v>
          </cell>
          <cell r="D9">
            <v>-4.9561781834754344E-4</v>
          </cell>
        </row>
        <row r="10">
          <cell r="B10">
            <v>45701</v>
          </cell>
          <cell r="C10">
            <v>4.4974E-2</v>
          </cell>
          <cell r="D10">
            <v>-1.9865597707100277E-4</v>
          </cell>
        </row>
        <row r="11">
          <cell r="B11">
            <v>45702</v>
          </cell>
          <cell r="C11">
            <v>4.4660000000000005E-2</v>
          </cell>
          <cell r="D11">
            <v>3.5050245759306884E-4</v>
          </cell>
        </row>
        <row r="12">
          <cell r="B12">
            <v>45705</v>
          </cell>
          <cell r="C12">
            <v>4.6242999999999999E-2</v>
          </cell>
          <cell r="D12">
            <v>9.2481855218854337E-4</v>
          </cell>
        </row>
        <row r="13">
          <cell r="B13">
            <v>45706</v>
          </cell>
          <cell r="C13">
            <v>5.0134999999999999E-2</v>
          </cell>
          <cell r="D13">
            <v>3.4079934783647937E-3</v>
          </cell>
        </row>
        <row r="14">
          <cell r="B14">
            <v>45707</v>
          </cell>
          <cell r="C14">
            <v>4.8683999999999998E-2</v>
          </cell>
          <cell r="D14">
            <v>4.4470964494846971E-3</v>
          </cell>
        </row>
        <row r="15">
          <cell r="B15">
            <v>45708</v>
          </cell>
          <cell r="C15">
            <v>4.4462000000000002E-2</v>
          </cell>
          <cell r="D15">
            <v>4.0150053832982866E-3</v>
          </cell>
        </row>
        <row r="16">
          <cell r="B16">
            <v>45709</v>
          </cell>
          <cell r="C16">
            <v>4.4377E-2</v>
          </cell>
          <cell r="D16">
            <v>3.5226915884003359E-3</v>
          </cell>
        </row>
        <row r="17">
          <cell r="B17">
            <v>45712</v>
          </cell>
          <cell r="C17">
            <v>4.3123000000000002E-2</v>
          </cell>
          <cell r="D17">
            <v>3.2870877589910715E-3</v>
          </cell>
        </row>
        <row r="18">
          <cell r="B18">
            <v>45713</v>
          </cell>
          <cell r="C18">
            <v>4.5499999999999999E-2</v>
          </cell>
          <cell r="D18">
            <v>2.0736223406301315E-3</v>
          </cell>
        </row>
        <row r="19">
          <cell r="B19">
            <v>45714</v>
          </cell>
          <cell r="C19">
            <v>4.4047000000000003E-2</v>
          </cell>
          <cell r="D19">
            <v>1.7018336770749922E-3</v>
          </cell>
        </row>
        <row r="20">
          <cell r="B20">
            <v>45715</v>
          </cell>
          <cell r="C20">
            <v>4.3188999999999998E-2</v>
          </cell>
          <cell r="D20">
            <v>1.6163586040564204E-3</v>
          </cell>
        </row>
        <row r="21">
          <cell r="B21">
            <v>45716</v>
          </cell>
          <cell r="C21">
            <v>4.0217000000000003E-2</v>
          </cell>
          <cell r="D21">
            <v>1.6368622734729537E-3</v>
          </cell>
        </row>
        <row r="22">
          <cell r="B22">
            <v>45720</v>
          </cell>
          <cell r="C22">
            <v>4.2462E-2</v>
          </cell>
          <cell r="D22">
            <v>1.3317801653149703E-3</v>
          </cell>
        </row>
        <row r="23">
          <cell r="B23">
            <v>45721</v>
          </cell>
          <cell r="C23">
            <v>4.3123000000000002E-2</v>
          </cell>
          <cell r="D23">
            <v>1.1893365272736562E-3</v>
          </cell>
        </row>
        <row r="24">
          <cell r="B24">
            <v>45722</v>
          </cell>
          <cell r="C24">
            <v>4.2726E-2</v>
          </cell>
          <cell r="D24">
            <v>7.523615173788533E-4</v>
          </cell>
        </row>
        <row r="25">
          <cell r="B25">
            <v>45723</v>
          </cell>
          <cell r="C25">
            <v>4.1933999999999999E-2</v>
          </cell>
          <cell r="D25">
            <v>8.1470493928872088E-4</v>
          </cell>
        </row>
        <row r="26">
          <cell r="B26">
            <v>45726</v>
          </cell>
          <cell r="C26">
            <v>4.4509E-2</v>
          </cell>
          <cell r="D26">
            <v>-7.2609369016620601E-5</v>
          </cell>
        </row>
        <row r="27">
          <cell r="B27">
            <v>45727</v>
          </cell>
          <cell r="C27">
            <v>4.7018999999999998E-2</v>
          </cell>
          <cell r="D27">
            <v>8.7841757764818736E-5</v>
          </cell>
        </row>
        <row r="28">
          <cell r="B28">
            <v>45728</v>
          </cell>
          <cell r="C28">
            <v>4.8339E-2</v>
          </cell>
          <cell r="D28">
            <v>7.0946596985369936E-4</v>
          </cell>
        </row>
        <row r="29">
          <cell r="B29">
            <v>45729</v>
          </cell>
          <cell r="C29">
            <v>4.8339E-2</v>
          </cell>
          <cell r="D29">
            <v>9.5932270451880471E-4</v>
          </cell>
        </row>
        <row r="30">
          <cell r="B30">
            <v>45730</v>
          </cell>
          <cell r="C30">
            <v>4.9197999999999999E-2</v>
          </cell>
          <cell r="D30">
            <v>1.3261683538379164E-3</v>
          </cell>
        </row>
        <row r="31">
          <cell r="B31">
            <v>45733</v>
          </cell>
          <cell r="C31">
            <v>5.3489999999999996E-2</v>
          </cell>
          <cell r="D31">
            <v>3.2770460229986833E-3</v>
          </cell>
        </row>
        <row r="32">
          <cell r="B32">
            <v>45734</v>
          </cell>
          <cell r="C32">
            <v>5.1442999999999996E-2</v>
          </cell>
          <cell r="D32">
            <v>2.8987192694846023E-3</v>
          </cell>
        </row>
        <row r="33">
          <cell r="B33">
            <v>45735</v>
          </cell>
          <cell r="C33">
            <v>4.5763999999999999E-2</v>
          </cell>
          <cell r="D33">
            <v>1.6967313838903847E-3</v>
          </cell>
        </row>
        <row r="34">
          <cell r="B34">
            <v>45736</v>
          </cell>
          <cell r="C34">
            <v>4.3980999999999999E-2</v>
          </cell>
          <cell r="D34">
            <v>8.6325311610679391E-4</v>
          </cell>
        </row>
        <row r="35">
          <cell r="B35">
            <v>45737</v>
          </cell>
          <cell r="C35">
            <v>4.2395999999999996E-2</v>
          </cell>
          <cell r="D35">
            <v>-6.2191540658513081E-4</v>
          </cell>
        </row>
        <row r="36">
          <cell r="B36">
            <v>45740</v>
          </cell>
          <cell r="C36">
            <v>4.3123000000000002E-2</v>
          </cell>
          <cell r="D36">
            <v>-3.1537723920910506E-3</v>
          </cell>
        </row>
        <row r="37">
          <cell r="B37">
            <v>45741</v>
          </cell>
          <cell r="C37">
            <v>4.3519000000000002E-2</v>
          </cell>
          <cell r="D37">
            <v>-4.0650694264211008E-3</v>
          </cell>
        </row>
        <row r="38">
          <cell r="B38">
            <v>45742</v>
          </cell>
          <cell r="C38">
            <v>4.3519000000000002E-2</v>
          </cell>
          <cell r="D38">
            <v>-4.1581477660319324E-3</v>
          </cell>
        </row>
        <row r="39">
          <cell r="B39">
            <v>45743</v>
          </cell>
          <cell r="C39">
            <v>4.2000000000000003E-2</v>
          </cell>
          <cell r="D39">
            <v>-4.2470465478308093E-3</v>
          </cell>
        </row>
        <row r="40">
          <cell r="B40">
            <v>45744</v>
          </cell>
          <cell r="C40">
            <v>4.0943E-2</v>
          </cell>
          <cell r="D40">
            <v>-3.6044557278385467E-3</v>
          </cell>
        </row>
        <row r="41">
          <cell r="B41">
            <v>45747</v>
          </cell>
          <cell r="C41">
            <v>4.1736000000000002E-2</v>
          </cell>
          <cell r="D41">
            <v>-2.9364412203616219E-3</v>
          </cell>
        </row>
        <row r="42">
          <cell r="B42">
            <v>45748</v>
          </cell>
          <cell r="C42">
            <v>4.2792000000000004E-2</v>
          </cell>
          <cell r="D42">
            <v>-2.290029885391624E-3</v>
          </cell>
        </row>
        <row r="43">
          <cell r="B43">
            <v>45749</v>
          </cell>
          <cell r="C43">
            <v>4.3188999999999998E-2</v>
          </cell>
          <cell r="D43">
            <v>-1.8065919838025006E-3</v>
          </cell>
        </row>
        <row r="44">
          <cell r="B44">
            <v>45750</v>
          </cell>
          <cell r="C44">
            <v>4.4574999999999997E-2</v>
          </cell>
          <cell r="D44">
            <v>-9.5804029021848451E-4</v>
          </cell>
        </row>
        <row r="45">
          <cell r="B45">
            <v>45751</v>
          </cell>
          <cell r="C45">
            <v>4.3716999999999999E-2</v>
          </cell>
          <cell r="D45">
            <v>-8.1371006647648928E-4</v>
          </cell>
        </row>
        <row r="46">
          <cell r="B46">
            <v>45754</v>
          </cell>
          <cell r="C46">
            <v>3.9886999999999999E-2</v>
          </cell>
          <cell r="D46">
            <v>-8.8667515197749566E-4</v>
          </cell>
        </row>
        <row r="47">
          <cell r="B47">
            <v>45755</v>
          </cell>
          <cell r="C47">
            <v>4.0415E-2</v>
          </cell>
          <cell r="D47">
            <v>-9.0221262204819627E-4</v>
          </cell>
        </row>
        <row r="48">
          <cell r="B48">
            <v>45756</v>
          </cell>
          <cell r="C48">
            <v>3.8830000000000003E-2</v>
          </cell>
          <cell r="D48">
            <v>-8.8673232388828435E-4</v>
          </cell>
        </row>
        <row r="49">
          <cell r="B49">
            <v>45757</v>
          </cell>
          <cell r="C49">
            <v>4.1537999999999999E-2</v>
          </cell>
          <cell r="D49">
            <v>-1.1460922262948176E-3</v>
          </cell>
        </row>
        <row r="50">
          <cell r="B50">
            <v>45758</v>
          </cell>
          <cell r="C50">
            <v>4.4641E-2</v>
          </cell>
          <cell r="D50">
            <v>-7.0115805967804908E-4</v>
          </cell>
        </row>
        <row r="51">
          <cell r="B51">
            <v>45761</v>
          </cell>
          <cell r="C51">
            <v>4.5104000000000005E-2</v>
          </cell>
          <cell r="D51">
            <v>-3.9374707827759346E-4</v>
          </cell>
        </row>
        <row r="52">
          <cell r="B52">
            <v>45762</v>
          </cell>
          <cell r="C52">
            <v>4.5698000000000003E-2</v>
          </cell>
          <cell r="D52">
            <v>-2.2353281771827788E-4</v>
          </cell>
        </row>
        <row r="53">
          <cell r="B53">
            <v>45763</v>
          </cell>
          <cell r="C53">
            <v>4.4773E-2</v>
          </cell>
          <cell r="D53">
            <v>1.3624733720395913E-5</v>
          </cell>
        </row>
        <row r="54">
          <cell r="B54">
            <v>45764</v>
          </cell>
          <cell r="C54">
            <v>4.5962000000000003E-2</v>
          </cell>
          <cell r="D54">
            <v>1.7871527799827921E-4</v>
          </cell>
        </row>
        <row r="55">
          <cell r="B55">
            <v>45765</v>
          </cell>
          <cell r="C55">
            <v>4.6177999999999997E-2</v>
          </cell>
          <cell r="D55">
            <v>-1.5733061350722962E-4</v>
          </cell>
        </row>
        <row r="56">
          <cell r="B56">
            <v>45768</v>
          </cell>
          <cell r="C56">
            <v>4.7432999999999996E-2</v>
          </cell>
          <cell r="D56">
            <v>-1.2033265677121501E-4</v>
          </cell>
        </row>
        <row r="57">
          <cell r="B57">
            <v>45769</v>
          </cell>
          <cell r="C57">
            <v>4.7500000000000001E-2</v>
          </cell>
          <cell r="D57">
            <v>-8.8412628859401137E-5</v>
          </cell>
        </row>
        <row r="58">
          <cell r="B58">
            <v>45770</v>
          </cell>
          <cell r="C58">
            <v>4.7764000000000001E-2</v>
          </cell>
          <cell r="D58">
            <v>-1.9983821651354378E-4</v>
          </cell>
        </row>
        <row r="59">
          <cell r="B59">
            <v>45771</v>
          </cell>
          <cell r="C59">
            <v>4.7102999999999999E-2</v>
          </cell>
          <cell r="D59">
            <v>-1.8641200835830402E-4</v>
          </cell>
        </row>
        <row r="60">
          <cell r="B60">
            <v>45772</v>
          </cell>
          <cell r="C60">
            <v>4.6112E-2</v>
          </cell>
          <cell r="D60">
            <v>1.5877759521865488E-4</v>
          </cell>
        </row>
        <row r="61">
          <cell r="B61">
            <v>45775</v>
          </cell>
          <cell r="C61">
            <v>4.5385000000000002E-2</v>
          </cell>
          <cell r="D61">
            <v>2.3931935454755667E-4</v>
          </cell>
        </row>
        <row r="62">
          <cell r="B62">
            <v>45776</v>
          </cell>
          <cell r="C62">
            <v>4.5913999999999996E-2</v>
          </cell>
          <cell r="D62">
            <v>3.3982918386061883E-4</v>
          </cell>
        </row>
        <row r="63">
          <cell r="B63">
            <v>45777</v>
          </cell>
          <cell r="C63">
            <v>4.5252999999999995E-2</v>
          </cell>
          <cell r="D63">
            <v>4.9723802737806303E-4</v>
          </cell>
        </row>
        <row r="64">
          <cell r="B64">
            <v>45779</v>
          </cell>
          <cell r="C64">
            <v>4.5054999999999998E-2</v>
          </cell>
          <cell r="D64">
            <v>1.1872002393358699E-4</v>
          </cell>
        </row>
        <row r="65">
          <cell r="B65">
            <v>45784</v>
          </cell>
          <cell r="C65">
            <v>4.8688999999999996E-2</v>
          </cell>
          <cell r="D65">
            <v>8.764786038932674E-4</v>
          </cell>
        </row>
        <row r="66">
          <cell r="B66">
            <v>45785</v>
          </cell>
          <cell r="C66">
            <v>4.9349000000000004E-2</v>
          </cell>
          <cell r="D66">
            <v>1.3139913964771727E-3</v>
          </cell>
        </row>
        <row r="67">
          <cell r="B67">
            <v>45786</v>
          </cell>
          <cell r="C67">
            <v>4.7764000000000001E-2</v>
          </cell>
          <cell r="D67">
            <v>1.2871329218536566E-3</v>
          </cell>
        </row>
        <row r="68">
          <cell r="B68">
            <v>45789</v>
          </cell>
          <cell r="C68">
            <v>4.8027999999999994E-2</v>
          </cell>
          <cell r="D68">
            <v>9.4503699318127443E-4</v>
          </cell>
        </row>
        <row r="69">
          <cell r="B69">
            <v>45790</v>
          </cell>
          <cell r="C69">
            <v>4.9812000000000002E-2</v>
          </cell>
          <cell r="D69">
            <v>8.4329126447180592E-4</v>
          </cell>
        </row>
        <row r="70">
          <cell r="B70">
            <v>45791</v>
          </cell>
          <cell r="C70">
            <v>6.4741999999999994E-2</v>
          </cell>
          <cell r="D70">
            <v>1.6226249515098991E-4</v>
          </cell>
        </row>
        <row r="71">
          <cell r="B71">
            <v>45792</v>
          </cell>
          <cell r="C71">
            <v>7.2669999999999998E-2</v>
          </cell>
          <cell r="D71">
            <v>8.5876282214492755E-4</v>
          </cell>
        </row>
        <row r="72">
          <cell r="B72">
            <v>45793</v>
          </cell>
          <cell r="C72">
            <v>7.7954999999999997E-2</v>
          </cell>
          <cell r="D72">
            <v>1.8564034377863206E-3</v>
          </cell>
        </row>
        <row r="73">
          <cell r="B73">
            <v>45796</v>
          </cell>
          <cell r="C73">
            <v>7.7954999999999997E-2</v>
          </cell>
          <cell r="D73">
            <v>2.7830140974283374E-3</v>
          </cell>
        </row>
        <row r="74">
          <cell r="B74">
            <v>45797</v>
          </cell>
          <cell r="C74">
            <v>8.1521999999999997E-2</v>
          </cell>
          <cell r="D74">
            <v>3.4653011414196308E-3</v>
          </cell>
        </row>
        <row r="75">
          <cell r="B75">
            <v>45798</v>
          </cell>
          <cell r="C75">
            <v>7.3329999999999992E-2</v>
          </cell>
          <cell r="D75">
            <v>3.3174903814699071E-3</v>
          </cell>
        </row>
        <row r="76">
          <cell r="B76">
            <v>45799</v>
          </cell>
          <cell r="C76">
            <v>6.9499000000000005E-2</v>
          </cell>
          <cell r="D76">
            <v>1.2745469930498824E-3</v>
          </cell>
        </row>
        <row r="77">
          <cell r="B77">
            <v>45800</v>
          </cell>
          <cell r="C77">
            <v>6.9365999999999997E-2</v>
          </cell>
          <cell r="D77">
            <v>-1.0678414697671322E-3</v>
          </cell>
        </row>
        <row r="78">
          <cell r="B78">
            <v>45803</v>
          </cell>
          <cell r="C78">
            <v>7.5444000000000011E-2</v>
          </cell>
          <cell r="D78">
            <v>-2.6520458721704041E-3</v>
          </cell>
        </row>
        <row r="79">
          <cell r="B79">
            <v>45804</v>
          </cell>
          <cell r="C79">
            <v>7.5708999999999999E-2</v>
          </cell>
          <cell r="D79">
            <v>-3.9212257439583164E-3</v>
          </cell>
        </row>
        <row r="80">
          <cell r="B80">
            <v>45805</v>
          </cell>
          <cell r="C80">
            <v>7.3329999999999992E-2</v>
          </cell>
          <cell r="D80">
            <v>-4.7198134101378436E-3</v>
          </cell>
        </row>
        <row r="81">
          <cell r="B81">
            <v>45806</v>
          </cell>
          <cell r="C81">
            <v>7.5179999999999997E-2</v>
          </cell>
          <cell r="D81">
            <v>-4.5255967428343442E-3</v>
          </cell>
        </row>
        <row r="82">
          <cell r="B82">
            <v>45807</v>
          </cell>
          <cell r="C82">
            <v>7.9011999999999999E-2</v>
          </cell>
          <cell r="D82">
            <v>-3.9493007122583671E-3</v>
          </cell>
        </row>
        <row r="83">
          <cell r="B83">
            <v>45810</v>
          </cell>
          <cell r="C83">
            <v>8.2711000000000007E-2</v>
          </cell>
          <cell r="D83">
            <v>-3.4212286971641273E-3</v>
          </cell>
        </row>
        <row r="84">
          <cell r="B84">
            <v>45812</v>
          </cell>
          <cell r="C84">
            <v>8.9978000000000002E-2</v>
          </cell>
          <cell r="D84">
            <v>-2.8893220099348799E-3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급오실레이터"/>
      <sheetName val="유니버스"/>
      <sheetName val="외인"/>
      <sheetName val="기관"/>
      <sheetName val="시가총액"/>
      <sheetName val="외국인매수데이터"/>
      <sheetName val="기관매수데이터"/>
      <sheetName val="오실"/>
      <sheetName val="MACD"/>
      <sheetName val="기외"/>
      <sheetName val="시기외"/>
      <sheetName val="시기외12"/>
      <sheetName val="시기외26"/>
      <sheetName val="시그널"/>
    </sheetNames>
    <sheetDataSet>
      <sheetData sheetId="0">
        <row r="7">
          <cell r="C7" t="str">
            <v>SAMG엔터 시가총액</v>
          </cell>
          <cell r="D7" t="str">
            <v>SAMG엔터 수급오실레이터</v>
          </cell>
        </row>
        <row r="8">
          <cell r="B8">
            <v>45699</v>
          </cell>
          <cell r="C8">
            <v>1.8083999999999999E-2</v>
          </cell>
          <cell r="D8">
            <v>0</v>
          </cell>
        </row>
        <row r="9">
          <cell r="B9">
            <v>45700</v>
          </cell>
          <cell r="C9">
            <v>1.8770999999999999E-2</v>
          </cell>
          <cell r="D9">
            <v>1.3935410765510913E-3</v>
          </cell>
        </row>
        <row r="10">
          <cell r="B10">
            <v>45701</v>
          </cell>
          <cell r="C10">
            <v>1.8040999999999998E-2</v>
          </cell>
          <cell r="D10">
            <v>2.4724143154276745E-3</v>
          </cell>
        </row>
        <row r="11">
          <cell r="B11">
            <v>45702</v>
          </cell>
          <cell r="C11">
            <v>1.9200999999999999E-2</v>
          </cell>
          <cell r="D11">
            <v>3.0240062877766078E-3</v>
          </cell>
        </row>
        <row r="12">
          <cell r="B12">
            <v>45705</v>
          </cell>
          <cell r="C12">
            <v>2.0489E-2</v>
          </cell>
          <cell r="D12">
            <v>3.7276059981716323E-3</v>
          </cell>
        </row>
        <row r="13">
          <cell r="B13">
            <v>45706</v>
          </cell>
          <cell r="C13">
            <v>2.0575E-2</v>
          </cell>
          <cell r="D13">
            <v>1.6657203775853903E-3</v>
          </cell>
        </row>
        <row r="14">
          <cell r="B14">
            <v>45707</v>
          </cell>
          <cell r="C14">
            <v>1.9587E-2</v>
          </cell>
          <cell r="D14">
            <v>-4.256705195023352E-4</v>
          </cell>
        </row>
        <row r="15">
          <cell r="B15">
            <v>45708</v>
          </cell>
          <cell r="C15">
            <v>2.1134E-2</v>
          </cell>
          <cell r="D15">
            <v>-1.5856029353552145E-3</v>
          </cell>
        </row>
        <row r="16">
          <cell r="B16">
            <v>45709</v>
          </cell>
          <cell r="C16">
            <v>2.0962000000000001E-2</v>
          </cell>
          <cell r="D16">
            <v>-2.6374439850473715E-3</v>
          </cell>
        </row>
        <row r="17">
          <cell r="B17">
            <v>45712</v>
          </cell>
          <cell r="C17">
            <v>2.0833000000000001E-2</v>
          </cell>
          <cell r="D17">
            <v>-3.5564900673041621E-3</v>
          </cell>
        </row>
        <row r="18">
          <cell r="B18">
            <v>45713</v>
          </cell>
          <cell r="C18">
            <v>2.4312E-2</v>
          </cell>
          <cell r="D18">
            <v>-2.9402464490340262E-3</v>
          </cell>
        </row>
        <row r="19">
          <cell r="B19">
            <v>45714</v>
          </cell>
          <cell r="C19">
            <v>2.4312E-2</v>
          </cell>
          <cell r="D19">
            <v>-2.9379464526157477E-3</v>
          </cell>
        </row>
        <row r="20">
          <cell r="B20">
            <v>45715</v>
          </cell>
          <cell r="C20">
            <v>2.3496E-2</v>
          </cell>
          <cell r="D20">
            <v>-3.1107659885875553E-3</v>
          </cell>
        </row>
        <row r="21">
          <cell r="B21">
            <v>45716</v>
          </cell>
          <cell r="C21">
            <v>2.3196000000000001E-2</v>
          </cell>
          <cell r="D21">
            <v>-2.719388861609477E-3</v>
          </cell>
        </row>
        <row r="22">
          <cell r="B22">
            <v>45720</v>
          </cell>
          <cell r="C22">
            <v>2.1993000000000002E-2</v>
          </cell>
          <cell r="D22">
            <v>-2.1042493328518258E-3</v>
          </cell>
        </row>
        <row r="23">
          <cell r="B23">
            <v>45721</v>
          </cell>
          <cell r="C23">
            <v>2.2765999999999998E-2</v>
          </cell>
          <cell r="D23">
            <v>-2.7778495149142855E-3</v>
          </cell>
        </row>
        <row r="24">
          <cell r="B24">
            <v>45722</v>
          </cell>
          <cell r="C24">
            <v>2.341E-2</v>
          </cell>
          <cell r="D24">
            <v>-3.0442417533630981E-3</v>
          </cell>
        </row>
        <row r="25">
          <cell r="B25">
            <v>45723</v>
          </cell>
          <cell r="C25">
            <v>2.4699000000000002E-2</v>
          </cell>
          <cell r="D25">
            <v>-2.8536102125510639E-3</v>
          </cell>
        </row>
        <row r="26">
          <cell r="B26">
            <v>45726</v>
          </cell>
          <cell r="C26">
            <v>2.384E-2</v>
          </cell>
          <cell r="D26">
            <v>-2.731986164021297E-3</v>
          </cell>
        </row>
        <row r="27">
          <cell r="B27">
            <v>45727</v>
          </cell>
          <cell r="C27">
            <v>2.3023999999999999E-2</v>
          </cell>
          <cell r="D27">
            <v>-2.6517025728892817E-3</v>
          </cell>
        </row>
        <row r="28">
          <cell r="B28">
            <v>45728</v>
          </cell>
          <cell r="C28">
            <v>2.5086000000000001E-2</v>
          </cell>
          <cell r="D28">
            <v>-2.0662687950113758E-3</v>
          </cell>
        </row>
        <row r="29">
          <cell r="B29">
            <v>45729</v>
          </cell>
          <cell r="C29">
            <v>2.6545999999999997E-2</v>
          </cell>
          <cell r="D29">
            <v>-9.7724715378024601E-4</v>
          </cell>
        </row>
        <row r="30">
          <cell r="B30">
            <v>45730</v>
          </cell>
          <cell r="C30">
            <v>2.4784999999999998E-2</v>
          </cell>
          <cell r="D30">
            <v>-5.6014469262690401E-4</v>
          </cell>
        </row>
        <row r="31">
          <cell r="B31">
            <v>45733</v>
          </cell>
          <cell r="C31">
            <v>2.4398E-2</v>
          </cell>
          <cell r="D31">
            <v>-2.6033019954178893E-4</v>
          </cell>
        </row>
        <row r="32">
          <cell r="B32">
            <v>45734</v>
          </cell>
          <cell r="C32">
            <v>2.6202E-2</v>
          </cell>
          <cell r="D32">
            <v>1.2650076531857662E-4</v>
          </cell>
        </row>
        <row r="33">
          <cell r="B33">
            <v>45735</v>
          </cell>
          <cell r="C33">
            <v>2.5256999999999998E-2</v>
          </cell>
          <cell r="D33">
            <v>-9.2422031778519043E-5</v>
          </cell>
        </row>
        <row r="34">
          <cell r="B34">
            <v>45736</v>
          </cell>
          <cell r="C34">
            <v>2.5858999999999997E-2</v>
          </cell>
          <cell r="D34">
            <v>-6.6746859963207842E-4</v>
          </cell>
        </row>
        <row r="35">
          <cell r="B35">
            <v>45737</v>
          </cell>
          <cell r="C35">
            <v>2.7232999999999997E-2</v>
          </cell>
          <cell r="D35">
            <v>1.6674837894137262E-5</v>
          </cell>
        </row>
        <row r="36">
          <cell r="B36">
            <v>45740</v>
          </cell>
          <cell r="C36">
            <v>2.7497000000000004E-2</v>
          </cell>
          <cell r="D36">
            <v>6.3186758257192163E-4</v>
          </cell>
        </row>
        <row r="37">
          <cell r="B37">
            <v>45741</v>
          </cell>
          <cell r="C37">
            <v>2.8067000000000002E-2</v>
          </cell>
          <cell r="D37">
            <v>9.3875975951130709E-4</v>
          </cell>
        </row>
        <row r="38">
          <cell r="B38">
            <v>45742</v>
          </cell>
          <cell r="C38">
            <v>2.6269000000000001E-2</v>
          </cell>
          <cell r="D38">
            <v>1.2044639886531093E-3</v>
          </cell>
        </row>
        <row r="39">
          <cell r="B39">
            <v>45743</v>
          </cell>
          <cell r="C39">
            <v>2.4822E-2</v>
          </cell>
          <cell r="D39">
            <v>1.321292448100901E-3</v>
          </cell>
        </row>
        <row r="40">
          <cell r="B40">
            <v>45744</v>
          </cell>
          <cell r="C40">
            <v>2.5480000000000003E-2</v>
          </cell>
          <cell r="D40">
            <v>8.9695562490459992E-4</v>
          </cell>
        </row>
        <row r="41">
          <cell r="B41">
            <v>45747</v>
          </cell>
          <cell r="C41">
            <v>2.5874000000000001E-2</v>
          </cell>
          <cell r="D41">
            <v>9.8280998941124766E-4</v>
          </cell>
        </row>
        <row r="42">
          <cell r="B42">
            <v>45748</v>
          </cell>
          <cell r="C42">
            <v>2.5699E-2</v>
          </cell>
          <cell r="D42">
            <v>9.6577589693952991E-4</v>
          </cell>
        </row>
        <row r="43">
          <cell r="B43">
            <v>45749</v>
          </cell>
          <cell r="C43">
            <v>2.4646000000000001E-2</v>
          </cell>
          <cell r="D43">
            <v>1.3140079757668838E-3</v>
          </cell>
        </row>
        <row r="44">
          <cell r="B44">
            <v>45750</v>
          </cell>
          <cell r="C44">
            <v>2.4733999999999999E-2</v>
          </cell>
          <cell r="D44">
            <v>1.5108702378786752E-3</v>
          </cell>
        </row>
        <row r="45">
          <cell r="B45">
            <v>45751</v>
          </cell>
          <cell r="C45">
            <v>2.6488000000000001E-2</v>
          </cell>
          <cell r="D45">
            <v>2.0029669828623923E-3</v>
          </cell>
        </row>
        <row r="46">
          <cell r="B46">
            <v>45754</v>
          </cell>
          <cell r="C46">
            <v>2.5041000000000001E-2</v>
          </cell>
          <cell r="D46">
            <v>1.8905900059189591E-3</v>
          </cell>
        </row>
        <row r="47">
          <cell r="B47">
            <v>45755</v>
          </cell>
          <cell r="C47">
            <v>2.5787000000000001E-2</v>
          </cell>
          <cell r="D47">
            <v>1.6318542176019233E-3</v>
          </cell>
        </row>
        <row r="48">
          <cell r="B48">
            <v>45756</v>
          </cell>
          <cell r="C48">
            <v>2.4076E-2</v>
          </cell>
          <cell r="D48">
            <v>1.0322705744945874E-3</v>
          </cell>
        </row>
        <row r="49">
          <cell r="B49">
            <v>45757</v>
          </cell>
          <cell r="C49">
            <v>3.0083999999999996E-2</v>
          </cell>
          <cell r="D49">
            <v>2.2308250986230798E-3</v>
          </cell>
        </row>
        <row r="50">
          <cell r="B50">
            <v>45758</v>
          </cell>
          <cell r="C50">
            <v>3.1092999999999999E-2</v>
          </cell>
          <cell r="D50">
            <v>2.6616929006892131E-3</v>
          </cell>
        </row>
        <row r="51">
          <cell r="B51">
            <v>45761</v>
          </cell>
          <cell r="C51">
            <v>3.083E-2</v>
          </cell>
          <cell r="D51">
            <v>2.7371965703839865E-3</v>
          </cell>
        </row>
        <row r="52">
          <cell r="B52">
            <v>45762</v>
          </cell>
          <cell r="C52">
            <v>2.9250999999999999E-2</v>
          </cell>
          <cell r="D52">
            <v>2.1275892914204226E-3</v>
          </cell>
        </row>
        <row r="53">
          <cell r="B53">
            <v>45763</v>
          </cell>
          <cell r="C53">
            <v>3.0347000000000002E-2</v>
          </cell>
          <cell r="D53">
            <v>2.0224203142064361E-3</v>
          </cell>
        </row>
        <row r="54">
          <cell r="B54">
            <v>45764</v>
          </cell>
          <cell r="C54">
            <v>3.2101999999999999E-2</v>
          </cell>
          <cell r="D54">
            <v>9.3065706148024336E-5</v>
          </cell>
        </row>
        <row r="55">
          <cell r="B55">
            <v>45765</v>
          </cell>
          <cell r="C55">
            <v>3.1619000000000001E-2</v>
          </cell>
          <cell r="D55">
            <v>-1.7806262000066597E-3</v>
          </cell>
        </row>
        <row r="56">
          <cell r="B56">
            <v>45768</v>
          </cell>
          <cell r="C56">
            <v>3.1662999999999997E-2</v>
          </cell>
          <cell r="D56">
            <v>-2.8866006475994814E-3</v>
          </cell>
        </row>
        <row r="57">
          <cell r="B57">
            <v>45769</v>
          </cell>
          <cell r="C57">
            <v>3.1224999999999999E-2</v>
          </cell>
          <cell r="D57">
            <v>-2.8260010830719693E-3</v>
          </cell>
        </row>
        <row r="58">
          <cell r="B58">
            <v>45770</v>
          </cell>
          <cell r="C58">
            <v>3.1925999999999996E-2</v>
          </cell>
          <cell r="D58">
            <v>-2.7679170868276093E-3</v>
          </cell>
        </row>
        <row r="59">
          <cell r="B59">
            <v>45771</v>
          </cell>
          <cell r="C59">
            <v>3.2758999999999996E-2</v>
          </cell>
          <cell r="D59">
            <v>-2.4037979764686703E-3</v>
          </cell>
        </row>
        <row r="60">
          <cell r="B60">
            <v>45772</v>
          </cell>
          <cell r="C60">
            <v>3.2979000000000001E-2</v>
          </cell>
          <cell r="D60">
            <v>-1.7599059188994175E-3</v>
          </cell>
        </row>
        <row r="61">
          <cell r="B61">
            <v>45775</v>
          </cell>
          <cell r="C61">
            <v>3.2847000000000001E-2</v>
          </cell>
          <cell r="D61">
            <v>-1.1802448473297988E-3</v>
          </cell>
        </row>
        <row r="62">
          <cell r="B62">
            <v>45776</v>
          </cell>
          <cell r="C62">
            <v>3.3154000000000003E-2</v>
          </cell>
          <cell r="D62">
            <v>-6.6455046148798224E-4</v>
          </cell>
        </row>
        <row r="63">
          <cell r="B63">
            <v>45777</v>
          </cell>
          <cell r="C63">
            <v>3.3987000000000003E-2</v>
          </cell>
          <cell r="D63">
            <v>-1.3067412854997004E-4</v>
          </cell>
        </row>
        <row r="64">
          <cell r="B64">
            <v>45779</v>
          </cell>
          <cell r="C64">
            <v>3.3637E-2</v>
          </cell>
          <cell r="D64">
            <v>2.0095488840988877E-5</v>
          </cell>
        </row>
        <row r="65">
          <cell r="B65">
            <v>45784</v>
          </cell>
          <cell r="C65">
            <v>3.2277E-2</v>
          </cell>
          <cell r="D65">
            <v>1.8999852041714452E-4</v>
          </cell>
        </row>
        <row r="66">
          <cell r="B66">
            <v>45785</v>
          </cell>
          <cell r="C66">
            <v>3.5171000000000001E-2</v>
          </cell>
          <cell r="D66">
            <v>1.2065784427889763E-3</v>
          </cell>
        </row>
        <row r="67">
          <cell r="B67">
            <v>45786</v>
          </cell>
          <cell r="C67">
            <v>3.4250000000000003E-2</v>
          </cell>
          <cell r="D67">
            <v>1.4933257020578517E-3</v>
          </cell>
        </row>
        <row r="68">
          <cell r="B68">
            <v>45789</v>
          </cell>
          <cell r="C68">
            <v>3.3198000000000005E-2</v>
          </cell>
          <cell r="D68">
            <v>1.2224096947765356E-3</v>
          </cell>
        </row>
        <row r="69">
          <cell r="B69">
            <v>45790</v>
          </cell>
          <cell r="C69">
            <v>3.4293999999999998E-2</v>
          </cell>
          <cell r="D69">
            <v>1.0878332673072309E-3</v>
          </cell>
        </row>
        <row r="70">
          <cell r="B70">
            <v>45791</v>
          </cell>
          <cell r="C70">
            <v>4.4555999999999998E-2</v>
          </cell>
          <cell r="D70">
            <v>1.3746536349770505E-3</v>
          </cell>
        </row>
        <row r="71">
          <cell r="B71">
            <v>45792</v>
          </cell>
          <cell r="C71">
            <v>5.4379999999999998E-2</v>
          </cell>
          <cell r="D71">
            <v>2.1555828715572323E-3</v>
          </cell>
        </row>
        <row r="72">
          <cell r="B72">
            <v>45793</v>
          </cell>
          <cell r="C72">
            <v>5.4817999999999992E-2</v>
          </cell>
          <cell r="D72">
            <v>3.1892439227683643E-3</v>
          </cell>
        </row>
        <row r="73">
          <cell r="B73">
            <v>45796</v>
          </cell>
          <cell r="C73">
            <v>5.9641999999999994E-2</v>
          </cell>
          <cell r="D73">
            <v>3.7848582366797026E-3</v>
          </cell>
        </row>
        <row r="74">
          <cell r="B74">
            <v>45797</v>
          </cell>
          <cell r="C74">
            <v>5.8764999999999998E-2</v>
          </cell>
          <cell r="D74">
            <v>4.0021907290879637E-3</v>
          </cell>
        </row>
        <row r="75">
          <cell r="B75">
            <v>45798</v>
          </cell>
          <cell r="C75">
            <v>5.7450000000000001E-2</v>
          </cell>
          <cell r="D75">
            <v>3.524684860366065E-3</v>
          </cell>
        </row>
        <row r="76">
          <cell r="B76">
            <v>45799</v>
          </cell>
          <cell r="C76">
            <v>5.6836000000000005E-2</v>
          </cell>
          <cell r="D76">
            <v>1.8251145191671538E-3</v>
          </cell>
        </row>
        <row r="77">
          <cell r="B77">
            <v>45800</v>
          </cell>
          <cell r="C77">
            <v>5.8852999999999996E-2</v>
          </cell>
          <cell r="D77">
            <v>2.947351242893379E-4</v>
          </cell>
        </row>
        <row r="78">
          <cell r="B78">
            <v>45803</v>
          </cell>
          <cell r="C78">
            <v>6.1835000000000001E-2</v>
          </cell>
          <cell r="D78">
            <v>-9.1197513964801514E-4</v>
          </cell>
        </row>
        <row r="79">
          <cell r="B79">
            <v>45804</v>
          </cell>
          <cell r="C79">
            <v>6.0695000000000006E-2</v>
          </cell>
          <cell r="D79">
            <v>-1.7580440985706554E-3</v>
          </cell>
        </row>
        <row r="80">
          <cell r="B80">
            <v>45805</v>
          </cell>
          <cell r="C80">
            <v>5.9992999999999998E-2</v>
          </cell>
          <cell r="D80">
            <v>-2.1061280285039953E-3</v>
          </cell>
        </row>
        <row r="81">
          <cell r="B81">
            <v>45806</v>
          </cell>
          <cell r="C81">
            <v>6.1397E-2</v>
          </cell>
          <cell r="D81">
            <v>-2.3399858644902504E-3</v>
          </cell>
        </row>
        <row r="82">
          <cell r="B82">
            <v>45807</v>
          </cell>
          <cell r="C82">
            <v>6.5957000000000002E-2</v>
          </cell>
          <cell r="D82">
            <v>-2.5852376515502966E-3</v>
          </cell>
        </row>
        <row r="83">
          <cell r="B83">
            <v>45810</v>
          </cell>
          <cell r="C83">
            <v>6.8413000000000002E-2</v>
          </cell>
          <cell r="D83">
            <v>-2.7439781109854884E-3</v>
          </cell>
        </row>
        <row r="84">
          <cell r="B84">
            <v>45812</v>
          </cell>
          <cell r="C84">
            <v>6.9114999999999996E-2</v>
          </cell>
          <cell r="D84">
            <v>-2.5677129403480869E-3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sqref="A1:M17"/>
    </sheetView>
  </sheetViews>
  <sheetFormatPr defaultRowHeight="16.5" x14ac:dyDescent="0.3"/>
  <cols>
    <col min="1" max="1" width="11.125" bestFit="1" customWidth="1"/>
  </cols>
  <sheetData>
    <row r="1" spans="1:5" ht="148.5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9">
        <v>45790</v>
      </c>
      <c r="B2" s="10">
        <v>409000</v>
      </c>
      <c r="C2" s="5" t="str">
        <f t="shared" ref="C2:C12" ca="1" si="0">IFERROR(INDIRECT("B"&amp;ROW()-11)*1.45,"")</f>
        <v/>
      </c>
      <c r="D2" s="5" t="str">
        <f t="shared" ref="D2:D16" ca="1" si="1">IFERROR(INDIRECT("B"&amp;ROW()-15)*1.75,"")</f>
        <v/>
      </c>
      <c r="E2" s="5" t="str">
        <f ca="1">IFERROR(MAX(OFFSET(B2,ROW()-2,0,-15,1)),"")</f>
        <v/>
      </c>
    </row>
    <row r="3" spans="1:5" x14ac:dyDescent="0.3">
      <c r="A3" s="9">
        <v>45791</v>
      </c>
      <c r="B3" s="10">
        <v>414000</v>
      </c>
      <c r="C3" s="5" t="str">
        <f t="shared" ca="1" si="0"/>
        <v/>
      </c>
      <c r="D3" s="5" t="str">
        <f t="shared" ca="1" si="1"/>
        <v/>
      </c>
      <c r="E3" s="5" t="str">
        <f ca="1">IFERROR(MAX(OFFSET(B2,ROW()-2,0,-15,1)),"")</f>
        <v/>
      </c>
    </row>
    <row r="4" spans="1:5" x14ac:dyDescent="0.3">
      <c r="A4" s="9">
        <v>45792</v>
      </c>
      <c r="B4" s="10">
        <v>415500</v>
      </c>
      <c r="C4" s="5" t="str">
        <f t="shared" ca="1" si="0"/>
        <v/>
      </c>
      <c r="D4" s="5" t="str">
        <f t="shared" ca="1" si="1"/>
        <v/>
      </c>
      <c r="E4" s="5" t="str">
        <f ca="1">IFERROR(MAX(OFFSET(B2,ROW()-2,0,-15,1)),"")</f>
        <v/>
      </c>
    </row>
    <row r="5" spans="1:5" x14ac:dyDescent="0.3">
      <c r="A5" s="9">
        <v>45793</v>
      </c>
      <c r="B5" s="10">
        <v>421500</v>
      </c>
      <c r="C5" s="5" t="str">
        <f t="shared" ca="1" si="0"/>
        <v/>
      </c>
      <c r="D5" s="5" t="str">
        <f t="shared" ca="1" si="1"/>
        <v/>
      </c>
      <c r="E5" s="5" t="str">
        <f ca="1">IFERROR(MAX(OFFSET(B2,ROW()-2,0,-15,1)),"")</f>
        <v/>
      </c>
    </row>
    <row r="6" spans="1:5" x14ac:dyDescent="0.3">
      <c r="A6" s="9">
        <v>45796</v>
      </c>
      <c r="B6" s="10">
        <v>422500</v>
      </c>
      <c r="C6" s="5" t="str">
        <f t="shared" ca="1" si="0"/>
        <v/>
      </c>
      <c r="D6" s="5" t="str">
        <f t="shared" ca="1" si="1"/>
        <v/>
      </c>
      <c r="E6" s="5" t="str">
        <f ca="1">IFERROR(MAX(OFFSET(B2,ROW()-2,0,-15,1)),"")</f>
        <v/>
      </c>
    </row>
    <row r="7" spans="1:5" x14ac:dyDescent="0.3">
      <c r="A7" s="9">
        <v>45797</v>
      </c>
      <c r="B7" s="10">
        <v>397000</v>
      </c>
      <c r="C7" s="5" t="str">
        <f t="shared" ca="1" si="0"/>
        <v/>
      </c>
      <c r="D7" s="5" t="str">
        <f t="shared" ca="1" si="1"/>
        <v/>
      </c>
      <c r="E7" s="5" t="str">
        <f ca="1">IFERROR(MAX(OFFSET(B2,ROW()-2,0,-15,1)),"")</f>
        <v/>
      </c>
    </row>
    <row r="8" spans="1:5" x14ac:dyDescent="0.3">
      <c r="A8" s="9">
        <v>45798</v>
      </c>
      <c r="B8" s="10">
        <v>399000</v>
      </c>
      <c r="C8" s="5" t="str">
        <f t="shared" ca="1" si="0"/>
        <v/>
      </c>
      <c r="D8" s="5" t="str">
        <f t="shared" ca="1" si="1"/>
        <v/>
      </c>
      <c r="E8" s="5" t="str">
        <f ca="1">IFERROR(MAX(OFFSET(B2,ROW()-2,0,-15,1)),"")</f>
        <v/>
      </c>
    </row>
    <row r="9" spans="1:5" x14ac:dyDescent="0.3">
      <c r="A9" s="9">
        <v>45799</v>
      </c>
      <c r="B9" s="10">
        <v>394000</v>
      </c>
      <c r="C9" s="5" t="str">
        <f t="shared" ca="1" si="0"/>
        <v/>
      </c>
      <c r="D9" s="5" t="str">
        <f t="shared" ca="1" si="1"/>
        <v/>
      </c>
      <c r="E9" s="5" t="str">
        <f ca="1">IFERROR(MAX(OFFSET(B2,ROW()-2,0,-15,1)),"")</f>
        <v/>
      </c>
    </row>
    <row r="10" spans="1:5" x14ac:dyDescent="0.3">
      <c r="A10" s="9">
        <v>45800</v>
      </c>
      <c r="B10" s="10">
        <v>389000</v>
      </c>
      <c r="C10" s="5" t="str">
        <f t="shared" ca="1" si="0"/>
        <v/>
      </c>
      <c r="D10" s="5" t="str">
        <f t="shared" ca="1" si="1"/>
        <v/>
      </c>
      <c r="E10" s="5" t="str">
        <f ca="1">IFERROR(MAX(OFFSET(B2,ROW()-2,0,-15,1)),"")</f>
        <v/>
      </c>
    </row>
    <row r="11" spans="1:5" x14ac:dyDescent="0.3">
      <c r="A11" s="9">
        <v>45803</v>
      </c>
      <c r="B11" s="10">
        <v>412500</v>
      </c>
      <c r="C11" s="5" t="str">
        <f t="shared" ca="1" si="0"/>
        <v/>
      </c>
      <c r="D11" s="5" t="str">
        <f t="shared" ca="1" si="1"/>
        <v/>
      </c>
      <c r="E11" s="5" t="str">
        <f ca="1">IFERROR(MAX(OFFSET(B2,ROW()-2,0,-15,1)),"")</f>
        <v/>
      </c>
    </row>
    <row r="12" spans="1:5" x14ac:dyDescent="0.3">
      <c r="A12" s="9">
        <v>45804</v>
      </c>
      <c r="B12" s="10">
        <v>412000</v>
      </c>
      <c r="C12" s="5" t="str">
        <f t="shared" ca="1" si="0"/>
        <v/>
      </c>
      <c r="D12" s="5" t="str">
        <f t="shared" ca="1" si="1"/>
        <v/>
      </c>
      <c r="E12" s="5" t="str">
        <f ca="1">IFERROR(MAX(OFFSET(B2,ROW()-2,0,-15,1)),"")</f>
        <v/>
      </c>
    </row>
    <row r="13" spans="1:5" x14ac:dyDescent="0.3">
      <c r="A13" s="9">
        <v>45805</v>
      </c>
      <c r="B13" s="10">
        <v>397500</v>
      </c>
      <c r="C13" s="5"/>
      <c r="D13" s="5" t="str">
        <f t="shared" ca="1" si="1"/>
        <v/>
      </c>
      <c r="E13" s="5" t="str">
        <f ca="1">IFERROR(MAX(OFFSET(B2,ROW()-2,0,-15,1)),"")</f>
        <v/>
      </c>
    </row>
    <row r="14" spans="1:5" x14ac:dyDescent="0.3">
      <c r="A14" s="9">
        <v>45806</v>
      </c>
      <c r="B14" s="10">
        <v>405500</v>
      </c>
      <c r="C14" s="5"/>
      <c r="D14" s="5" t="str">
        <f t="shared" ca="1" si="1"/>
        <v/>
      </c>
      <c r="E14" s="5" t="str">
        <f ca="1">IFERROR(MAX(OFFSET(B2,ROW()-2,0,-15,1)),"")</f>
        <v/>
      </c>
    </row>
    <row r="15" spans="1:5" x14ac:dyDescent="0.3">
      <c r="A15" s="9">
        <v>45807</v>
      </c>
      <c r="B15" s="10">
        <v>405500</v>
      </c>
      <c r="C15" s="5"/>
      <c r="D15" s="5" t="str">
        <f t="shared" ca="1" si="1"/>
        <v/>
      </c>
      <c r="E15" s="5"/>
    </row>
    <row r="16" spans="1:5" x14ac:dyDescent="0.3">
      <c r="A16" s="9">
        <v>45810</v>
      </c>
      <c r="B16" s="10">
        <v>428000</v>
      </c>
      <c r="C16" s="5"/>
      <c r="D16" s="5" t="str">
        <f t="shared" ca="1" si="1"/>
        <v/>
      </c>
      <c r="E16" s="5"/>
    </row>
    <row r="17" spans="1:7" x14ac:dyDescent="0.3">
      <c r="A17" s="9">
        <v>45812</v>
      </c>
      <c r="B17" s="10">
        <v>416500</v>
      </c>
      <c r="C17" s="4">
        <f>IF((B17&lt;B12*1.45),1,0)</f>
        <v>1</v>
      </c>
      <c r="D17" s="4">
        <f>IF((B17&lt;B2*1.75),1,0)</f>
        <v>1</v>
      </c>
      <c r="E17" s="4">
        <f>IF(B17&lt;MAX(B2:B16),1,0)</f>
        <v>1</v>
      </c>
      <c r="G17" t="s">
        <v>5</v>
      </c>
    </row>
    <row r="18" spans="1:7" x14ac:dyDescent="0.3">
      <c r="A18" s="1"/>
      <c r="B18" s="1"/>
      <c r="C18" s="1"/>
      <c r="D18" s="1"/>
      <c r="E18" s="1"/>
      <c r="F18" s="1"/>
    </row>
    <row r="19" spans="1:7" x14ac:dyDescent="0.3">
      <c r="A19" s="1"/>
      <c r="B19" s="1"/>
      <c r="C19" s="1"/>
      <c r="D19" s="1"/>
      <c r="E19" s="1"/>
    </row>
    <row r="20" spans="1:7" x14ac:dyDescent="0.3">
      <c r="A20" s="1"/>
      <c r="B20" s="1"/>
      <c r="C20" s="1"/>
      <c r="D20" s="1"/>
      <c r="E20" s="1"/>
    </row>
    <row r="21" spans="1:7" x14ac:dyDescent="0.3">
      <c r="B21" s="1"/>
      <c r="C21" s="1"/>
      <c r="D21" s="1"/>
      <c r="E21" s="1"/>
    </row>
    <row r="22" spans="1:7" x14ac:dyDescent="0.3">
      <c r="B22" s="1"/>
      <c r="C22" s="1"/>
      <c r="D22" s="1"/>
      <c r="E22" s="1"/>
    </row>
    <row r="23" spans="1:7" x14ac:dyDescent="0.3">
      <c r="B23" s="1"/>
      <c r="C23" s="1"/>
      <c r="D23" s="1"/>
      <c r="E23" s="1"/>
    </row>
    <row r="24" spans="1:7" x14ac:dyDescent="0.3">
      <c r="B24" s="1"/>
      <c r="C24" s="1"/>
      <c r="D24" s="1"/>
      <c r="E24" s="1"/>
    </row>
    <row r="25" spans="1:7" x14ac:dyDescent="0.3">
      <c r="B25" s="1"/>
      <c r="C25" s="1"/>
      <c r="D25" s="1"/>
      <c r="E25" s="1"/>
    </row>
  </sheetData>
  <autoFilter ref="A1:E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activeCell="Q1" sqref="Q1"/>
    </sheetView>
  </sheetViews>
  <sheetFormatPr defaultRowHeight="16.5" x14ac:dyDescent="0.3"/>
  <cols>
    <col min="1" max="1" width="11.125" bestFit="1" customWidth="1"/>
  </cols>
  <sheetData>
    <row r="1" spans="1:5" ht="148.5" x14ac:dyDescent="0.3">
      <c r="A1" s="2" t="s">
        <v>0</v>
      </c>
      <c r="B1" s="2" t="s">
        <v>1</v>
      </c>
      <c r="C1" s="3" t="s">
        <v>6</v>
      </c>
      <c r="D1" s="3" t="s">
        <v>7</v>
      </c>
      <c r="E1" s="3" t="s">
        <v>4</v>
      </c>
    </row>
    <row r="2" spans="1:5" x14ac:dyDescent="0.3">
      <c r="A2" s="7">
        <v>45790</v>
      </c>
      <c r="B2" s="8">
        <v>37800</v>
      </c>
      <c r="C2" s="5" t="str">
        <f t="shared" ref="C2:C12" ca="1" si="0">IFERROR(INDIRECT("B"&amp;ROW()-11)*1.45,"")</f>
        <v/>
      </c>
      <c r="D2" s="5" t="str">
        <f t="shared" ref="D2:D16" ca="1" si="1">IFERROR(INDIRECT("B"&amp;ROW()-15)*1.75,"")</f>
        <v/>
      </c>
      <c r="E2" s="5" t="str">
        <f ca="1">IFERROR(MAX(OFFSET(B2,ROW()-2,0,-15,1)),"")</f>
        <v/>
      </c>
    </row>
    <row r="3" spans="1:5" x14ac:dyDescent="0.3">
      <c r="A3" s="7">
        <v>45791</v>
      </c>
      <c r="B3" s="8">
        <v>49000</v>
      </c>
      <c r="C3" s="5" t="str">
        <f t="shared" ca="1" si="0"/>
        <v/>
      </c>
      <c r="D3" s="5" t="str">
        <f t="shared" ca="1" si="1"/>
        <v/>
      </c>
      <c r="E3" s="5" t="str">
        <f ca="1">IFERROR(MAX(OFFSET(B2,ROW()-2,0,-15,1)),"")</f>
        <v/>
      </c>
    </row>
    <row r="4" spans="1:5" x14ac:dyDescent="0.3">
      <c r="A4" s="7">
        <v>45792</v>
      </c>
      <c r="B4" s="8">
        <v>54400</v>
      </c>
      <c r="C4" s="5" t="str">
        <f t="shared" ca="1" si="0"/>
        <v/>
      </c>
      <c r="D4" s="5" t="str">
        <f t="shared" ca="1" si="1"/>
        <v/>
      </c>
      <c r="E4" s="5" t="str">
        <f ca="1">IFERROR(MAX(OFFSET(B2,ROW()-2,0,-15,1)),"")</f>
        <v/>
      </c>
    </row>
    <row r="5" spans="1:5" x14ac:dyDescent="0.3">
      <c r="A5" s="7">
        <v>45793</v>
      </c>
      <c r="B5" s="8">
        <v>58800</v>
      </c>
      <c r="C5" s="5" t="str">
        <f t="shared" ca="1" si="0"/>
        <v/>
      </c>
      <c r="D5" s="5" t="str">
        <f t="shared" ca="1" si="1"/>
        <v/>
      </c>
      <c r="E5" s="5" t="str">
        <f ca="1">IFERROR(MAX(OFFSET(B2,ROW()-2,0,-15,1)),"")</f>
        <v/>
      </c>
    </row>
    <row r="6" spans="1:5" x14ac:dyDescent="0.3">
      <c r="A6" s="7">
        <v>45796</v>
      </c>
      <c r="B6" s="8">
        <v>58800</v>
      </c>
      <c r="C6" s="5" t="str">
        <f t="shared" ca="1" si="0"/>
        <v/>
      </c>
      <c r="D6" s="5" t="str">
        <f t="shared" ca="1" si="1"/>
        <v/>
      </c>
      <c r="E6" s="5" t="str">
        <f ca="1">IFERROR(MAX(OFFSET(B2,ROW()-2,0,-15,1)),"")</f>
        <v/>
      </c>
    </row>
    <row r="7" spans="1:5" x14ac:dyDescent="0.3">
      <c r="A7" s="7">
        <v>45797</v>
      </c>
      <c r="B7" s="8">
        <v>62100</v>
      </c>
      <c r="C7" s="5" t="str">
        <f t="shared" ca="1" si="0"/>
        <v/>
      </c>
      <c r="D7" s="5" t="str">
        <f t="shared" ca="1" si="1"/>
        <v/>
      </c>
      <c r="E7" s="5" t="str">
        <f ca="1">IFERROR(MAX(OFFSET(B2,ROW()-2,0,-15,1)),"")</f>
        <v/>
      </c>
    </row>
    <row r="8" spans="1:5" x14ac:dyDescent="0.3">
      <c r="A8" s="7">
        <v>45798</v>
      </c>
      <c r="B8" s="8">
        <v>55500</v>
      </c>
      <c r="C8" s="5" t="str">
        <f t="shared" ca="1" si="0"/>
        <v/>
      </c>
      <c r="D8" s="5" t="str">
        <f t="shared" ca="1" si="1"/>
        <v/>
      </c>
      <c r="E8" s="5" t="str">
        <f ca="1">IFERROR(MAX(OFFSET(B2,ROW()-2,0,-15,1)),"")</f>
        <v/>
      </c>
    </row>
    <row r="9" spans="1:5" x14ac:dyDescent="0.3">
      <c r="A9" s="7">
        <v>45799</v>
      </c>
      <c r="B9" s="8">
        <v>52600</v>
      </c>
      <c r="C9" s="5" t="str">
        <f t="shared" ca="1" si="0"/>
        <v/>
      </c>
      <c r="D9" s="5" t="str">
        <f t="shared" ca="1" si="1"/>
        <v/>
      </c>
      <c r="E9" s="5" t="str">
        <f ca="1">IFERROR(MAX(OFFSET(B2,ROW()-2,0,-15,1)),"")</f>
        <v/>
      </c>
    </row>
    <row r="10" spans="1:5" x14ac:dyDescent="0.3">
      <c r="A10" s="7">
        <v>45800</v>
      </c>
      <c r="B10" s="8">
        <v>52500</v>
      </c>
      <c r="C10" s="5" t="str">
        <f t="shared" ca="1" si="0"/>
        <v/>
      </c>
      <c r="D10" s="5" t="str">
        <f t="shared" ca="1" si="1"/>
        <v/>
      </c>
      <c r="E10" s="5" t="str">
        <f ca="1">IFERROR(MAX(OFFSET(B2,ROW()-2,0,-15,1)),"")</f>
        <v/>
      </c>
    </row>
    <row r="11" spans="1:5" x14ac:dyDescent="0.3">
      <c r="A11" s="7">
        <v>45803</v>
      </c>
      <c r="B11" s="8">
        <v>57100</v>
      </c>
      <c r="C11" s="5" t="str">
        <f t="shared" ca="1" si="0"/>
        <v/>
      </c>
      <c r="D11" s="5" t="str">
        <f t="shared" ca="1" si="1"/>
        <v/>
      </c>
      <c r="E11" s="5" t="str">
        <f ca="1">IFERROR(MAX(OFFSET(B2,ROW()-2,0,-15,1)),"")</f>
        <v/>
      </c>
    </row>
    <row r="12" spans="1:5" x14ac:dyDescent="0.3">
      <c r="A12" s="7">
        <v>45804</v>
      </c>
      <c r="B12" s="8">
        <v>57300</v>
      </c>
      <c r="C12" s="5" t="str">
        <f t="shared" ca="1" si="0"/>
        <v/>
      </c>
      <c r="D12" s="5" t="str">
        <f t="shared" ca="1" si="1"/>
        <v/>
      </c>
      <c r="E12" s="5" t="str">
        <f ca="1">IFERROR(MAX(OFFSET(B2,ROW()-2,0,-15,1)),"")</f>
        <v/>
      </c>
    </row>
    <row r="13" spans="1:5" x14ac:dyDescent="0.3">
      <c r="A13" s="7">
        <v>45805</v>
      </c>
      <c r="B13" s="8">
        <v>55500</v>
      </c>
      <c r="C13" s="5"/>
      <c r="D13" s="5" t="str">
        <f t="shared" ca="1" si="1"/>
        <v/>
      </c>
      <c r="E13" s="5" t="str">
        <f ca="1">IFERROR(MAX(OFFSET(B2,ROW()-2,0,-15,1)),"")</f>
        <v/>
      </c>
    </row>
    <row r="14" spans="1:5" x14ac:dyDescent="0.3">
      <c r="A14" s="7">
        <v>45806</v>
      </c>
      <c r="B14" s="8">
        <v>56900</v>
      </c>
      <c r="C14" s="5"/>
      <c r="D14" s="5" t="str">
        <f t="shared" ca="1" si="1"/>
        <v/>
      </c>
      <c r="E14" s="5" t="str">
        <f ca="1">IFERROR(MAX(OFFSET(B2,ROW()-2,0,-15,1)),"")</f>
        <v/>
      </c>
    </row>
    <row r="15" spans="1:5" x14ac:dyDescent="0.3">
      <c r="A15" s="7">
        <v>45807</v>
      </c>
      <c r="B15" s="8">
        <v>59800</v>
      </c>
      <c r="C15" s="5"/>
      <c r="D15" s="5" t="str">
        <f t="shared" ca="1" si="1"/>
        <v/>
      </c>
      <c r="E15" s="5"/>
    </row>
    <row r="16" spans="1:5" x14ac:dyDescent="0.3">
      <c r="A16" s="7">
        <v>45810</v>
      </c>
      <c r="B16" s="8">
        <v>62600</v>
      </c>
      <c r="C16" s="5"/>
      <c r="D16" s="5" t="str">
        <f t="shared" ca="1" si="1"/>
        <v/>
      </c>
      <c r="E16" s="5"/>
    </row>
    <row r="17" spans="1:7" x14ac:dyDescent="0.3">
      <c r="A17" s="7">
        <v>45812</v>
      </c>
      <c r="B17" s="8">
        <v>68100</v>
      </c>
      <c r="C17" s="6">
        <f>IF((B17&lt;B12*1.6),1,0)</f>
        <v>1</v>
      </c>
      <c r="D17" s="6">
        <f>IF((B17&lt;B2*2),1,0)</f>
        <v>1</v>
      </c>
      <c r="E17" s="6">
        <f>IF(B17&lt;=MAX(B2:B16),1,0)</f>
        <v>0</v>
      </c>
      <c r="G17" t="s">
        <v>5</v>
      </c>
    </row>
    <row r="20" spans="1:7" x14ac:dyDescent="0.3">
      <c r="B20" s="1"/>
      <c r="C20" s="1"/>
      <c r="D20" s="1"/>
      <c r="E20" s="1"/>
    </row>
    <row r="21" spans="1:7" x14ac:dyDescent="0.3">
      <c r="B21" s="1"/>
      <c r="C21" s="1"/>
      <c r="D21" s="1"/>
      <c r="E21" s="1"/>
    </row>
    <row r="22" spans="1:7" x14ac:dyDescent="0.3">
      <c r="B22" s="1"/>
      <c r="C22" s="1"/>
      <c r="D22" s="1"/>
      <c r="E22" s="1"/>
    </row>
    <row r="23" spans="1:7" x14ac:dyDescent="0.3">
      <c r="B23" s="1"/>
      <c r="C23" s="1"/>
      <c r="D23" s="1"/>
      <c r="E23" s="1"/>
    </row>
    <row r="24" spans="1:7" x14ac:dyDescent="0.3">
      <c r="B24" s="1"/>
      <c r="C24" s="1"/>
      <c r="D24" s="1"/>
      <c r="E24" s="1"/>
    </row>
    <row r="25" spans="1:7" x14ac:dyDescent="0.3">
      <c r="B25" s="1"/>
      <c r="C25" s="1"/>
      <c r="D25" s="1"/>
      <c r="E25" s="1"/>
    </row>
    <row r="26" spans="1:7" x14ac:dyDescent="0.3">
      <c r="B26" s="1"/>
      <c r="C26" s="1"/>
      <c r="D26" s="1"/>
      <c r="E26" s="1"/>
    </row>
    <row r="27" spans="1:7" x14ac:dyDescent="0.3">
      <c r="B27" s="1"/>
      <c r="C27" s="1"/>
      <c r="D27" s="1"/>
      <c r="E27" s="1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Normal="100" workbookViewId="0">
      <selection activeCell="A18" sqref="A18:E18"/>
    </sheetView>
  </sheetViews>
  <sheetFormatPr defaultRowHeight="16.5" x14ac:dyDescent="0.3"/>
  <cols>
    <col min="1" max="1" width="11.125" bestFit="1" customWidth="1"/>
  </cols>
  <sheetData>
    <row r="1" spans="1:5" ht="148.5" x14ac:dyDescent="0.3">
      <c r="A1" s="2" t="s">
        <v>0</v>
      </c>
      <c r="B1" s="2" t="s">
        <v>1</v>
      </c>
      <c r="C1" s="3" t="s">
        <v>6</v>
      </c>
      <c r="D1" s="3" t="s">
        <v>7</v>
      </c>
      <c r="E1" s="3" t="s">
        <v>4</v>
      </c>
    </row>
    <row r="2" spans="1:5" x14ac:dyDescent="0.3">
      <c r="A2" s="7">
        <v>45790</v>
      </c>
      <c r="B2" s="8">
        <v>39100</v>
      </c>
      <c r="C2" s="5" t="str">
        <f t="shared" ref="C2:C12" ca="1" si="0">IFERROR(INDIRECT("B"&amp;ROW()-11)*1.45,"")</f>
        <v/>
      </c>
      <c r="D2" s="5" t="str">
        <f t="shared" ref="D2:D16" ca="1" si="1">IFERROR(INDIRECT("B"&amp;ROW()-15)*1.75,"")</f>
        <v/>
      </c>
      <c r="E2" s="5" t="str">
        <f ca="1">IFERROR(MAX(OFFSET(B2,ROW()-2,0,-15,1)),"")</f>
        <v/>
      </c>
    </row>
    <row r="3" spans="1:5" x14ac:dyDescent="0.3">
      <c r="A3" s="7">
        <v>45791</v>
      </c>
      <c r="B3" s="8">
        <v>50800</v>
      </c>
      <c r="C3" s="5" t="str">
        <f t="shared" ca="1" si="0"/>
        <v/>
      </c>
      <c r="D3" s="5" t="str">
        <f t="shared" ca="1" si="1"/>
        <v/>
      </c>
      <c r="E3" s="5" t="str">
        <f ca="1">IFERROR(MAX(OFFSET(B2,ROW()-2,0,-15,1)),"")</f>
        <v/>
      </c>
    </row>
    <row r="4" spans="1:5" x14ac:dyDescent="0.3">
      <c r="A4" s="7">
        <v>45792</v>
      </c>
      <c r="B4" s="8">
        <v>62000</v>
      </c>
      <c r="C4" s="5" t="str">
        <f t="shared" ca="1" si="0"/>
        <v/>
      </c>
      <c r="D4" s="5" t="str">
        <f t="shared" ca="1" si="1"/>
        <v/>
      </c>
      <c r="E4" s="5" t="str">
        <f ca="1">IFERROR(MAX(OFFSET(B2,ROW()-2,0,-15,1)),"")</f>
        <v/>
      </c>
    </row>
    <row r="5" spans="1:5" x14ac:dyDescent="0.3">
      <c r="A5" s="7">
        <v>45793</v>
      </c>
      <c r="B5" s="8">
        <v>62500</v>
      </c>
      <c r="C5" s="5" t="str">
        <f t="shared" ca="1" si="0"/>
        <v/>
      </c>
      <c r="D5" s="5" t="str">
        <f t="shared" ca="1" si="1"/>
        <v/>
      </c>
      <c r="E5" s="5" t="str">
        <f ca="1">IFERROR(MAX(OFFSET(B2,ROW()-2,0,-15,1)),"")</f>
        <v/>
      </c>
    </row>
    <row r="6" spans="1:5" x14ac:dyDescent="0.3">
      <c r="A6" s="7">
        <v>45796</v>
      </c>
      <c r="B6" s="8">
        <v>68000</v>
      </c>
      <c r="C6" s="5" t="str">
        <f t="shared" ca="1" si="0"/>
        <v/>
      </c>
      <c r="D6" s="5" t="str">
        <f t="shared" ca="1" si="1"/>
        <v/>
      </c>
      <c r="E6" s="5" t="str">
        <f ca="1">IFERROR(MAX(OFFSET(B2,ROW()-2,0,-15,1)),"")</f>
        <v/>
      </c>
    </row>
    <row r="7" spans="1:5" x14ac:dyDescent="0.3">
      <c r="A7" s="7">
        <v>45797</v>
      </c>
      <c r="B7" s="8">
        <v>67000</v>
      </c>
      <c r="C7" s="5" t="str">
        <f t="shared" ca="1" si="0"/>
        <v/>
      </c>
      <c r="D7" s="5" t="str">
        <f t="shared" ca="1" si="1"/>
        <v/>
      </c>
      <c r="E7" s="5" t="str">
        <f ca="1">IFERROR(MAX(OFFSET(B2,ROW()-2,0,-15,1)),"")</f>
        <v/>
      </c>
    </row>
    <row r="8" spans="1:5" x14ac:dyDescent="0.3">
      <c r="A8" s="7">
        <v>45798</v>
      </c>
      <c r="B8" s="8">
        <v>65500</v>
      </c>
      <c r="C8" s="5" t="str">
        <f t="shared" ca="1" si="0"/>
        <v/>
      </c>
      <c r="D8" s="5" t="str">
        <f t="shared" ca="1" si="1"/>
        <v/>
      </c>
      <c r="E8" s="5" t="str">
        <f ca="1">IFERROR(MAX(OFFSET(B2,ROW()-2,0,-15,1)),"")</f>
        <v/>
      </c>
    </row>
    <row r="9" spans="1:5" x14ac:dyDescent="0.3">
      <c r="A9" s="7">
        <v>45799</v>
      </c>
      <c r="B9" s="8">
        <v>64800</v>
      </c>
      <c r="C9" s="5" t="str">
        <f t="shared" ca="1" si="0"/>
        <v/>
      </c>
      <c r="D9" s="5" t="str">
        <f t="shared" ca="1" si="1"/>
        <v/>
      </c>
      <c r="E9" s="5" t="str">
        <f ca="1">IFERROR(MAX(OFFSET(B2,ROW()-2,0,-15,1)),"")</f>
        <v/>
      </c>
    </row>
    <row r="10" spans="1:5" x14ac:dyDescent="0.3">
      <c r="A10" s="7">
        <v>45800</v>
      </c>
      <c r="B10" s="8">
        <v>67100</v>
      </c>
      <c r="C10" s="5" t="str">
        <f t="shared" ca="1" si="0"/>
        <v/>
      </c>
      <c r="D10" s="5" t="str">
        <f t="shared" ca="1" si="1"/>
        <v/>
      </c>
      <c r="E10" s="5" t="str">
        <f ca="1">IFERROR(MAX(OFFSET(B2,ROW()-2,0,-15,1)),"")</f>
        <v/>
      </c>
    </row>
    <row r="11" spans="1:5" x14ac:dyDescent="0.3">
      <c r="A11" s="7">
        <v>45803</v>
      </c>
      <c r="B11" s="8">
        <v>70500</v>
      </c>
      <c r="C11" s="5" t="str">
        <f t="shared" ca="1" si="0"/>
        <v/>
      </c>
      <c r="D11" s="5" t="str">
        <f t="shared" ca="1" si="1"/>
        <v/>
      </c>
      <c r="E11" s="5" t="str">
        <f ca="1">IFERROR(MAX(OFFSET(B2,ROW()-2,0,-15,1)),"")</f>
        <v/>
      </c>
    </row>
    <row r="12" spans="1:5" x14ac:dyDescent="0.3">
      <c r="A12" s="7">
        <v>45804</v>
      </c>
      <c r="B12" s="8">
        <v>69200</v>
      </c>
      <c r="C12" s="5" t="str">
        <f t="shared" ca="1" si="0"/>
        <v/>
      </c>
      <c r="D12" s="5" t="str">
        <f t="shared" ca="1" si="1"/>
        <v/>
      </c>
      <c r="E12" s="5" t="str">
        <f ca="1">IFERROR(MAX(OFFSET(B2,ROW()-2,0,-15,1)),"")</f>
        <v/>
      </c>
    </row>
    <row r="13" spans="1:5" x14ac:dyDescent="0.3">
      <c r="A13" s="7">
        <v>45805</v>
      </c>
      <c r="B13" s="8">
        <v>68400</v>
      </c>
      <c r="C13" s="5"/>
      <c r="D13" s="5" t="str">
        <f t="shared" ca="1" si="1"/>
        <v/>
      </c>
      <c r="E13" s="5" t="str">
        <f ca="1">IFERROR(MAX(OFFSET(B2,ROW()-2,0,-15,1)),"")</f>
        <v/>
      </c>
    </row>
    <row r="14" spans="1:5" x14ac:dyDescent="0.3">
      <c r="A14" s="7">
        <v>45806</v>
      </c>
      <c r="B14" s="8">
        <v>70000</v>
      </c>
      <c r="C14" s="5"/>
      <c r="D14" s="5" t="str">
        <f t="shared" ca="1" si="1"/>
        <v/>
      </c>
      <c r="E14" s="5" t="str">
        <f ca="1">IFERROR(MAX(OFFSET(B2,ROW()-2,0,-15,1)),"")</f>
        <v/>
      </c>
    </row>
    <row r="15" spans="1:5" x14ac:dyDescent="0.3">
      <c r="A15" s="7">
        <v>45807</v>
      </c>
      <c r="B15" s="8">
        <v>75200</v>
      </c>
      <c r="C15" s="5"/>
      <c r="D15" s="5" t="str">
        <f t="shared" ca="1" si="1"/>
        <v/>
      </c>
      <c r="E15" s="5"/>
    </row>
    <row r="16" spans="1:5" x14ac:dyDescent="0.3">
      <c r="A16" s="7">
        <v>45810</v>
      </c>
      <c r="B16" s="8">
        <v>78000</v>
      </c>
      <c r="C16" s="5"/>
      <c r="D16" s="5" t="str">
        <f t="shared" ca="1" si="1"/>
        <v/>
      </c>
      <c r="E16" s="5"/>
    </row>
    <row r="17" spans="1:7" x14ac:dyDescent="0.3">
      <c r="A17" s="7">
        <v>45812</v>
      </c>
      <c r="B17" s="8">
        <v>78800</v>
      </c>
      <c r="C17" s="6">
        <f>IF((B17&lt;B12*1.6),1,0)</f>
        <v>1</v>
      </c>
      <c r="D17" s="6">
        <f>IF((B17&lt;B2*2),1,0)</f>
        <v>0</v>
      </c>
      <c r="E17" s="6">
        <f>IF(B17&lt;=MAX(B2:B16),1,0)</f>
        <v>0</v>
      </c>
      <c r="G17" t="s">
        <v>5</v>
      </c>
    </row>
    <row r="20" spans="1:7" x14ac:dyDescent="0.3">
      <c r="B20" s="1"/>
      <c r="C20" s="1"/>
      <c r="D20" s="1"/>
      <c r="E20" s="1"/>
    </row>
    <row r="21" spans="1:7" x14ac:dyDescent="0.3">
      <c r="B21" s="1"/>
      <c r="C21" s="1"/>
      <c r="D21" s="1"/>
      <c r="E21" s="1"/>
    </row>
    <row r="22" spans="1:7" x14ac:dyDescent="0.3">
      <c r="B22" s="1"/>
      <c r="C22" s="1"/>
      <c r="D22" s="1"/>
      <c r="E22" s="1"/>
    </row>
    <row r="23" spans="1:7" x14ac:dyDescent="0.3">
      <c r="B23" s="1"/>
      <c r="C23" s="1"/>
      <c r="D23" s="1"/>
      <c r="E23" s="1"/>
    </row>
    <row r="24" spans="1:7" x14ac:dyDescent="0.3">
      <c r="B24" s="1"/>
      <c r="C24" s="1"/>
      <c r="D24" s="1"/>
      <c r="E24" s="1"/>
    </row>
    <row r="25" spans="1:7" x14ac:dyDescent="0.3">
      <c r="B25" s="1"/>
      <c r="C25" s="1"/>
      <c r="D25" s="1"/>
      <c r="E25" s="1"/>
    </row>
    <row r="26" spans="1:7" x14ac:dyDescent="0.3">
      <c r="B26" s="1"/>
      <c r="C26" s="1"/>
      <c r="D26" s="1"/>
      <c r="E26" s="1"/>
    </row>
    <row r="27" spans="1:7" x14ac:dyDescent="0.3">
      <c r="B27" s="1"/>
      <c r="C27" s="1"/>
      <c r="D27" s="1"/>
      <c r="E27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코스피</vt:lpstr>
      <vt:lpstr>코스닥</vt:lpstr>
      <vt:lpstr>코스닥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2025-06-02T05:34:37Z</dcterms:created>
  <dcterms:modified xsi:type="dcterms:W3CDTF">2025-06-04T13:37:12Z</dcterms:modified>
</cp:coreProperties>
</file>