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8a35d1b71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매 후보" sheetId="1" r:id="R712d04d8d8964391"/>
    <x:sheet xmlns:r="http://schemas.openxmlformats.org/officeDocument/2006/relationships" name="구매 전 확인" sheetId="2" r:id="R97506988c6d6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#,##0"/>
    <x:numFmt numFmtId="202" formatCode="$#,##0.00"/>
    <x:numFmt numFmtId="203" formatCode="yyyy-mm-dd"/>
  </x:numFmts>
  <x:fonts count="8">
    <x:font>
      <x:sz val="11"/>
      <x:name val="Carlito"/>
    </x:font>
    <x:font>
      <x:sz val="10"/>
      <x:name val="Arial"/>
    </x:font>
    <x:font>
      <x:b/>
      <x:sz val="18"/>
      <x:color rgb="FFFFFFFF"/>
      <x:name val="Arial"/>
    </x:font>
    <x:font>
      <x:sz val="10"/>
      <x:color rgb="FF1E3A8A"/>
      <x:name val="Arial"/>
    </x:font>
    <x:font>
      <x:b/>
      <x:sz val="11"/>
      <x:color rgb="FF0F172A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b/>
      <x:sz val="10"/>
      <x:color rgb="FF1E3A8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0E7FF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horizontal="center" vertical="top"/>
    </x:xf>
    <x:xf numFmtId="0" fontId="1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horizontal="center" vertical="top"/>
    </x:xf>
    <x:xf numFmtId="0" fontId="1" fillId="8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6" fillId="8" borderId="7" xfId="0" applyNumberFormat="1" applyFont="1" applyFill="1" applyBorder="1" applyAlignment="1">
      <x:alignment horizontal="center" vertical="top"/>
    </x:xf>
    <x:xf numFmtId="200" fontId="1" fillId="0" borderId="7" xfId="0" applyNumberFormat="1" applyFont="1" applyFill="1" applyBorder="1" applyAlignment="1">
      <x:alignment vertical="top"/>
    </x:xf>
    <x:xf numFmtId="201" fontId="1" fillId="0" borderId="7" xfId="0" applyNumberFormat="1" applyFont="1" applyFill="1" applyBorder="1" applyAlignment="1">
      <x:alignment vertical="top"/>
    </x:xf>
    <x:xf numFmtId="202" fontId="1" fillId="0" borderId="7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dec1026c140de" /><Relationship Type="http://schemas.openxmlformats.org/officeDocument/2006/relationships/theme" Target="/xl/theme/theme1.xml" Id="R8dcb6f8519b94a72" /><Relationship Type="http://schemas.openxmlformats.org/officeDocument/2006/relationships/sharedStrings" Target="/xl/sharedStrings.xml" Id="Rb447a6505e754406" /><Relationship Type="http://schemas.openxmlformats.org/officeDocument/2006/relationships/worksheet" Target="/xl/worksheets/sheet1.xml" Id="R712d04d8d8964391" /><Relationship Type="http://schemas.openxmlformats.org/officeDocument/2006/relationships/worksheet" Target="/xl/worksheets/sheet2.xml" Id="R97506988c6d64f01" /></Relationships>
</file>

<file path=xl/tables/table1.xml><?xml version="1.0" encoding="utf-8"?>
<x:table xmlns:x="http://schemas.openxmlformats.org/spreadsheetml/2006/main" id="1" name="ChannelReviewTable" displayName="ChannelReviewTable" ref="A6:R39" headerRowCount="1" totalsRowCount="0" totalsRowShown="0">
  <x:tableColumns count="18">
    <x:tableColumn id="1" name="우선순위"/>
    <x:tableColumn id="2" name="가격구간"/>
    <x:tableColumn id="3" name="판정"/>
    <x:tableColumn id="4" name="채널명"/>
    <x:tableColumn id="5" name="가격(USD)"/>
    <x:tableColumn id="6" name="구독자"/>
    <x:tableColumn id="7" name="누적조회수"/>
    <x:tableColumn id="8" name="영상수"/>
    <x:tableColumn id="9" name="영상당 평균조회수"/>
    <x:tableColumn id="10" name="사이트 월수익(USD)"/>
    <x:tableColumn id="11" name="공개 조회수 실사"/>
    <x:tableColumn id="12" name="수익화 표시"/>
    <x:tableColumn id="13" name="AdSense 변경"/>
    <x:tableColumn id="14" name="검증상태"/>
    <x:tableColumn id="15" name="주요 위험"/>
    <x:tableColumn id="16" name="매물 URL"/>
    <x:tableColumn id="17" name="YouTube URL"/>
    <x:tableColumn id="18" name="판매자 채팅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f6ab0bcdb74f0c" /></Relationships>
</file>

<file path=xl/worksheets/sheet1.xml><?xml version="1.0" encoding="utf-8"?>
<x:worksheet xmlns:x="http://schemas.openxmlformats.org/spreadsheetml/2006/main">
  <x:sheetViews>
    <x:sheetView workbookViewId="0">
      <x:pane xSplit="4" ySplit="6" topLeftCell="E7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1" hidden="0" customWidth="1"/>
    <x:col min="4" max="4" width="19" hidden="0" customWidth="1"/>
    <x:col min="5" max="5" width="11" hidden="0" customWidth="1"/>
    <x:col min="6" max="6" width="12" hidden="0" customWidth="1"/>
    <x:col min="7" max="7" width="15" hidden="0" customWidth="1"/>
    <x:col min="8" max="8" width="9" hidden="0" customWidth="1"/>
    <x:col min="9" max="9" width="16" hidden="0" customWidth="1"/>
    <x:col min="10" max="10" width="16" hidden="0" customWidth="1"/>
    <x:col min="11" max="11" width="31" hidden="0" customWidth="1"/>
    <x:col min="12" max="12" width="11" hidden="0" customWidth="1"/>
    <x:col min="13" max="13" width="13" hidden="0" customWidth="1"/>
    <x:col min="14" max="14" width="24" hidden="0" customWidth="1"/>
    <x:col min="15" max="15" width="34" hidden="0" customWidth="1"/>
    <x:col min="16" max="16" width="42" hidden="0" customWidth="1"/>
    <x:col min="17" max="17" width="35" hidden="0" customWidth="1"/>
    <x:col min="18" max="18" width="25" hidden="0" customWidth="1"/>
  </x:cols>
  <x:sheetData>
    <x:row r="1" ht="32" customHeight="1">
      <x:c r="A1" s="5" t="str">
        <x:v>OmniFluxs 유튜브 채널 구매 검토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8" customHeight="1">
      <x:c r="A2" s="9" t="str">
        <x:v>2026-09-12 기준. 가격 $200 미만, 사이트 수익화 필터 7페이지를 조사한 결과입니다. 사이트 표시는 판매자 답변과 YouTube Studio 실시간 증빙 전까지 확정 사실로 보지 않습니다.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2" t="str">
        <x:v>검증우선</x:v>
      </x:c>
      <x:c r="B4" s="12" t="n">
        <x:v>3</x:v>
      </x:c>
      <x:c r="C4" s="12" t="str">
        <x:v>추가확인</x:v>
      </x:c>
      <x:c r="D4" s="12" t="n">
        <x:v>14</x:v>
      </x:c>
      <x:c r="E4" s="12" t="str">
        <x:v>제외</x:v>
      </x:c>
      <x:c r="F4" s="12" t="n">
        <x:v>16</x:v>
      </x:c>
      <x:c r="G4" s="12" t="str">
        <x:v>판매자 문의</x:v>
      </x:c>
      <x:c r="H4" s="12" t="n">
        <x:v>5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4" customHeight="1">
      <x:c r="A6" s="32" t="str">
        <x:v>우선순위</x:v>
      </x:c>
      <x:c r="B6" s="33" t="str">
        <x:v>가격구간</x:v>
      </x:c>
      <x:c r="C6" s="33" t="str">
        <x:v>판정</x:v>
      </x:c>
      <x:c r="D6" s="33" t="str">
        <x:v>채널명</x:v>
      </x:c>
      <x:c r="E6" s="33" t="str">
        <x:v>가격(USD)</x:v>
      </x:c>
      <x:c r="F6" s="33" t="str">
        <x:v>구독자</x:v>
      </x:c>
      <x:c r="G6" s="33" t="str">
        <x:v>누적조회수</x:v>
      </x:c>
      <x:c r="H6" s="33" t="str">
        <x:v>영상수</x:v>
      </x:c>
      <x:c r="I6" s="33" t="str">
        <x:v>영상당 평균조회수</x:v>
      </x:c>
      <x:c r="J6" s="33" t="str">
        <x:v>사이트 월수익(USD)</x:v>
      </x:c>
      <x:c r="K6" s="33" t="str">
        <x:v>공개 조회수 실사</x:v>
      </x:c>
      <x:c r="L6" s="33" t="str">
        <x:v>수익화 표시</x:v>
      </x:c>
      <x:c r="M6" s="33" t="str">
        <x:v>AdSense 변경</x:v>
      </x:c>
      <x:c r="N6" s="33" t="str">
        <x:v>검증상태</x:v>
      </x:c>
      <x:c r="O6" s="33" t="str">
        <x:v>주요 위험</x:v>
      </x:c>
      <x:c r="P6" s="33" t="str">
        <x:v>매물 URL</x:v>
      </x:c>
      <x:c r="Q6" s="33" t="str">
        <x:v>YouTube URL</x:v>
      </x:c>
      <x:c r="R6" s="34" t="str">
        <x:v>판매자 채팅상태</x:v>
      </x:c>
    </x:row>
    <x:row r="7">
      <x:c r="A7" s="35" t="n">
        <x:v>1</x:v>
      </x:c>
      <x:c r="B7" s="18" t="str">
        <x:v>$100~$200</x:v>
      </x:c>
      <x:c r="C7" s="25" t="str">
        <x:v>검증우선</x:v>
      </x:c>
      <x:c r="D7" s="18" t="str">
        <x:v>Serkan SEKOMY</x:v>
      </x:c>
      <x:c r="E7" s="20" t="n">
        <x:v>120</x:v>
      </x:c>
      <x:c r="F7" s="21" t="n">
        <x:v>137000</x:v>
      </x:c>
      <x:c r="G7" s="21" t="n">
        <x:v>78300000</x:v>
      </x:c>
      <x:c r="H7" s="21" t="n">
        <x:v>233</x:v>
      </x:c>
      <x:c r="I7" s="21" t="n">
        <x:f>IF(H7&gt;0,G7/H7,"")</x:f>
        <x:v>336051.50214592274</x:v>
      </x:c>
      <x:c r="J7" s="22" t="n">
        <x:v>1950</x:v>
      </x:c>
      <x:c r="K7" s="19" t="str">
        <x:v>공개 표본 강함: 6.24M, 2.21M, 600K 등</x:v>
      </x:c>
      <x:c r="L7" s="19" t="str">
        <x:v>예</x:v>
      </x:c>
      <x:c r="M7" s="19" t="str">
        <x:v>OFF</x:v>
      </x:c>
      <x:c r="N7" s="19" t="str">
        <x:v>판매자 문의 전송·답변 대기</x:v>
      </x:c>
      <x:c r="O7" s="19" t="str">
        <x:v>AdSense 변경 OFF, 재사용/IP 및 월수익 진위 확인</x:v>
      </x:c>
      <x:c r="P7" s="19" t="str">
        <x:v>https://omnifluxs.com/channel/f19d1240-1dd8-4b57-a1ac-0eec87477d26</x:v>
      </x:c>
      <x:c r="Q7" s="19" t="str">
        <x:v>https://www.youtube.com/@Serkan%C3%87elemo%C4%9Fluu</x:v>
      </x:c>
      <x:c r="R7" s="36" t="str">
        <x:v>2026-09-12 상세 질문 전송</x:v>
      </x:c>
    </x:row>
    <x:row r="8">
      <x:c r="A8" s="35" t="n">
        <x:v>2</x:v>
      </x:c>
      <x:c r="B8" s="18" t="str">
        <x:v>$100~$200</x:v>
      </x:c>
      <x:c r="C8" s="28" t="str">
        <x:v>추가확인</x:v>
      </x:c>
      <x:c r="D8" s="18" t="str">
        <x:v>Zach_rhymaxxx</x:v>
      </x:c>
      <x:c r="E8" s="20" t="n">
        <x:v>137</x:v>
      </x:c>
      <x:c r="F8" s="21" t="n">
        <x:v>34000</x:v>
      </x:c>
      <x:c r="G8" s="21" t="n">
        <x:v>14700000</x:v>
      </x:c>
      <x:c r="H8" s="21" t="n">
        <x:v>37</x:v>
      </x:c>
      <x:c r="I8" s="21" t="n">
        <x:f>IF(H8&gt;0,G8/H8,"")</x:f>
        <x:v>397297.2972972973</x:v>
      </x:c>
      <x:c r="J8" s="22" t="n">
        <x:v>0</x:v>
      </x:c>
      <x:c r="K8" s="19" t="str">
        <x:v>공개 표본: 400K, 76K, 67K, 38K 등</x:v>
      </x:c>
      <x:c r="L8" s="19" t="str">
        <x:v>1차 수익화</x:v>
      </x:c>
      <x:c r="M8" s="19" t="str">
        <x:v>미확인</x:v>
      </x:c>
      <x:c r="N8" s="19" t="str">
        <x:v>쇼츠 테스트 조건 문의·답변 대기</x:v>
      </x:c>
      <x:c r="O8" s="19" t="str">
        <x:v>1차 수익화. 72시간 200회 테스트와 취소 합의 필요</x:v>
      </x:c>
      <x:c r="P8" s="19" t="str">
        <x:v>https://omnifluxs.com/channel/08676fb6-51e4-4069-9a29-acc4ce0c49d6</x:v>
      </x:c>
      <x:c r="Q8" s="19" t="str">
        <x:v>https://youtube.com/@zach_rhymaxxx</x:v>
      </x:c>
      <x:c r="R8" s="36" t="str">
        <x:v>2026-09-12 테스트 조건 문의</x:v>
      </x:c>
    </x:row>
    <x:row r="9">
      <x:c r="A9" s="35" t="n">
        <x:v>3</x:v>
      </x:c>
      <x:c r="B9" s="18" t="str">
        <x:v>$100~$200</x:v>
      </x:c>
      <x:c r="C9" s="28" t="str">
        <x:v>추가확인</x:v>
      </x:c>
      <x:c r="D9" s="18" t="str">
        <x:v>ATULxRBLX</x:v>
      </x:c>
      <x:c r="E9" s="20" t="n">
        <x:v>147</x:v>
      </x:c>
      <x:c r="F9" s="21" t="n">
        <x:v>11000</x:v>
      </x:c>
      <x:c r="G9" s="21" t="n">
        <x:v>13900000</x:v>
      </x:c>
      <x:c r="H9" s="21" t="n">
        <x:v>254</x:v>
      </x:c>
      <x:c r="I9" s="21" t="n">
        <x:f>IF(H9&gt;0,G9/H9,"")</x:f>
        <x:v>54724.4094488189</x:v>
      </x:c>
      <x:c r="J9" s="22" t="n">
        <x:v>73.68</x:v>
      </x:c>
      <x:c r="K9" s="19" t="str">
        <x:v>공개 표본: 820K, 150K, 79K, 43K 등</x:v>
      </x:c>
      <x:c r="L9" s="19" t="str">
        <x:v>1차 수익화</x:v>
      </x:c>
      <x:c r="M9" s="19" t="str">
        <x:v>미확인</x:v>
      </x:c>
      <x:c r="N9" s="19" t="str">
        <x:v>쇼츠 테스트 조건 문의·답변 대기</x:v>
      </x:c>
      <x:c r="O9" s="19" t="str">
        <x:v>1차 수익화. 실제 화면 증빙과 200회 테스트 합의 필요</x:v>
      </x:c>
      <x:c r="P9" s="19" t="str">
        <x:v>https://omnifluxs.com/channel/90841c40-cfbe-4f6f-a40a-4a4953ae6df9</x:v>
      </x:c>
      <x:c r="Q9" s="19" t="str">
        <x:v>https://youtube.com/@atulxrblx</x:v>
      </x:c>
      <x:c r="R9" s="36" t="str">
        <x:v>2026-09-12 테스트 조건 문의</x:v>
      </x:c>
    </x:row>
    <x:row r="10">
      <x:c r="A10" s="35" t="n">
        <x:v>4</x:v>
      </x:c>
      <x:c r="B10" s="18" t="str">
        <x:v>$100 미만</x:v>
      </x:c>
      <x:c r="C10" s="25" t="str">
        <x:v>검증우선</x:v>
      </x:c>
      <x:c r="D10" s="18" t="str">
        <x:v>fart.pranks09</x:v>
      </x:c>
      <x:c r="E10" s="20" t="n">
        <x:v>76</x:v>
      </x:c>
      <x:c r="F10" s="21" t="n">
        <x:v>21000</x:v>
      </x:c>
      <x:c r="G10" s="21" t="n">
        <x:v>23700000</x:v>
      </x:c>
      <x:c r="H10" s="21" t="n">
        <x:v>148</x:v>
      </x:c>
      <x:c r="I10" s="21" t="n">
        <x:f>IF(H10&gt;0,G10/H10,"")</x:f>
        <x:v>160135.13513513515</x:v>
      </x:c>
      <x:c r="J10" s="22" t="n">
        <x:v>0</x:v>
      </x:c>
      <x:c r="K10" s="19" t="str">
        <x:v>공개 표본: 330K, 180K, 3.4K 등</x:v>
      </x:c>
      <x:c r="L10" s="19" t="str">
        <x:v>예</x:v>
      </x:c>
      <x:c r="M10" s="19" t="str">
        <x:v>ON</x:v>
      </x:c>
      <x:c r="N10" s="19" t="str">
        <x:v>판매자 문의 전송·답변 대기</x:v>
      </x:c>
      <x:c r="O10" s="19" t="str">
        <x:v>재사용 프랭크 콘텐츠 위험, 최근 성과 편차</x:v>
      </x:c>
      <x:c r="P10" s="19" t="str">
        <x:v>https://omnifluxs.com/channel/6baf2fa7-8268-4377-871b-594fca5e0e4f</x:v>
      </x:c>
      <x:c r="Q10" s="19" t="str">
        <x:v>https://youtube.com/@fart.pranks09</x:v>
      </x:c>
      <x:c r="R10" s="36" t="str">
        <x:v>2026-09-12 상세 질문 전송</x:v>
      </x:c>
    </x:row>
    <x:row r="11">
      <x:c r="A11" s="35" t="n">
        <x:v>5</x:v>
      </x:c>
      <x:c r="B11" s="18" t="str">
        <x:v>$100~$200</x:v>
      </x:c>
      <x:c r="C11" s="25" t="str">
        <x:v>검증우선</x:v>
      </x:c>
      <x:c r="D11" s="18" t="str">
        <x:v>Kashmiri Youtuber</x:v>
      </x:c>
      <x:c r="E11" s="20" t="n">
        <x:v>158</x:v>
      </x:c>
      <x:c r="F11" s="21" t="n">
        <x:v>11000</x:v>
      </x:c>
      <x:c r="G11" s="21" t="n">
        <x:v>7500000</x:v>
      </x:c>
      <x:c r="H11" s="21" t="n">
        <x:v>429</x:v>
      </x:c>
      <x:c r="I11" s="21" t="n">
        <x:f>IF(H11&gt;0,G11/H11,"")</x:f>
        <x:v>17482.517482517484</x:v>
      </x:c>
      <x:c r="J11" s="22" t="n">
        <x:v>31.58</x:v>
      </x:c>
      <x:c r="K11" s="19" t="str">
        <x:v>공개 표본: 460K, 120K, 110K, 85K 등</x:v>
      </x:c>
      <x:c r="L11" s="19" t="str">
        <x:v>예</x:v>
      </x:c>
      <x:c r="M11" s="19" t="str">
        <x:v>미확인</x:v>
      </x:c>
      <x:c r="N11" s="19" t="str">
        <x:v>판매자 문의 전송·답변 대기</x:v>
      </x:c>
      <x:c r="O11" s="19" t="str">
        <x:v>언어·지역 시청자 전환 위험, 제재 이력 확인</x:v>
      </x:c>
      <x:c r="P11" s="19" t="str">
        <x:v>https://omnifluxs.com/channel/1cf2751d-2f01-4227-910e-a203744b3b84</x:v>
      </x:c>
      <x:c r="Q11" s="19" t="str">
        <x:v>https://youtube.com/@kashmiriyoutuberex</x:v>
      </x:c>
      <x:c r="R11" s="36" t="str">
        <x:v>2026-09-12 상세 질문 전송</x:v>
      </x:c>
    </x:row>
    <x:row r="12">
      <x:c r="A12" s="35" t="n">
        <x:v>6</x:v>
      </x:c>
      <x:c r="B12" s="18" t="str">
        <x:v>$100~$200</x:v>
      </x:c>
      <x:c r="C12" s="28" t="str">
        <x:v>추가확인</x:v>
      </x:c>
      <x:c r="D12" s="18" t="str">
        <x:v>VoxelSpire</x:v>
      </x:c>
      <x:c r="E12" s="20" t="n">
        <x:v>157</x:v>
      </x:c>
      <x:c r="F12" s="21" t="n">
        <x:v>8300</x:v>
      </x:c>
      <x:c r="G12" s="21" t="n">
        <x:v>13500000</x:v>
      </x:c>
      <x:c r="H12" s="21" t="n">
        <x:v>487</x:v>
      </x:c>
      <x:c r="I12" s="21" t="n">
        <x:f>IF(H12&gt;0,G12/H12,"")</x:f>
        <x:v>27720.739219712526</x:v>
      </x:c>
      <x:c r="J12" s="22" t="n">
        <x:v>0</x:v>
      </x:c>
      <x:c r="K12" s="19" t="str">
        <x:v>공개 최근 표본 약함: 310, 7K</x:v>
      </x:c>
      <x:c r="L12" s="19" t="str">
        <x:v>예</x:v>
      </x:c>
      <x:c r="M12" s="19" t="str">
        <x:v>미확인</x:v>
      </x:c>
      <x:c r="N12" s="19" t="str">
        <x:v>미문의</x:v>
      </x:c>
      <x:c r="O12" s="19" t="str">
        <x:v>최근 조회수 약함, 수익 0</x:v>
      </x:c>
      <x:c r="P12" s="19" t="str">
        <x:v>https://omnifluxs.com/buy-youtube-channel</x:v>
      </x:c>
      <x:c r="Q12" s="19" t="str"/>
      <x:c r="R12" s="36" t="str">
        <x:v>미문의</x:v>
      </x:c>
    </x:row>
    <x:row r="13">
      <x:c r="A13" s="35" t="n">
        <x:v>7</x:v>
      </x:c>
      <x:c r="B13" s="18" t="str">
        <x:v>$100~$200</x:v>
      </x:c>
      <x:c r="C13" s="28" t="str">
        <x:v>추가확인</x:v>
      </x:c>
      <x:c r="D13" s="18" t="str">
        <x:v>The Magical Earth</x:v>
      </x:c>
      <x:c r="E13" s="20" t="n">
        <x:v>156</x:v>
      </x:c>
      <x:c r="F13" s="21" t="n">
        <x:v>3500</x:v>
      </x:c>
      <x:c r="G13" s="21" t="n">
        <x:v>989000</x:v>
      </x:c>
      <x:c r="H13" s="21" t="n">
        <x:v>295</x:v>
      </x:c>
      <x:c r="I13" s="21" t="n">
        <x:f>IF(H13&gt;0,G13/H13,"")</x:f>
        <x:v>3352.5423728813557</x:v>
      </x:c>
      <x:c r="J13" s="22" t="n">
        <x:v>20</x:v>
      </x:c>
      <x:c r="K13" s="19" t="str">
        <x:v>공개 표본: 44K, 27K, 16K, 12K 등</x:v>
      </x:c>
      <x:c r="L13" s="19" t="str">
        <x:v>예</x:v>
      </x:c>
      <x:c r="M13" s="19" t="str">
        <x:v>미확인</x:v>
      </x:c>
      <x:c r="N13" s="19" t="str">
        <x:v>미문의</x:v>
      </x:c>
      <x:c r="O13" s="19" t="str">
        <x:v>규모 작음, 최근 성과 편차</x:v>
      </x:c>
      <x:c r="P13" s="19" t="str">
        <x:v>https://omnifluxs.com/channel/4ac4adb4-aafb-49e4-b55b-871c23e9a791</x:v>
      </x:c>
      <x:c r="Q13" s="19" t="str">
        <x:v>https://youtube.com/@themagicalearth8152</x:v>
      </x:c>
      <x:c r="R13" s="36" t="str">
        <x:v>미문의</x:v>
      </x:c>
    </x:row>
    <x:row r="14">
      <x:c r="A14" s="35" t="n">
        <x:v>8</x:v>
      </x:c>
      <x:c r="B14" s="18" t="str">
        <x:v>$100 미만</x:v>
      </x:c>
      <x:c r="C14" s="28" t="str">
        <x:v>추가확인</x:v>
      </x:c>
      <x:c r="D14" s="18" t="str">
        <x:v>Kishan vlog</x:v>
      </x:c>
      <x:c r="E14" s="20" t="n">
        <x:v>79.37</x:v>
      </x:c>
      <x:c r="F14" s="21" t="n">
        <x:v>49000</x:v>
      </x:c>
      <x:c r="G14" s="21" t="n">
        <x:v>1300000</x:v>
      </x:c>
      <x:c r="H14" s="21" t="n">
        <x:v>153</x:v>
      </x:c>
      <x:c r="I14" s="21" t="n">
        <x:f>IF(H14&gt;0,G14/H14,"")</x:f>
        <x:v>8496.73202614379</x:v>
      </x:c>
      <x:c r="J14" s="22" t="n">
        <x:v>0</x:v>
      </x:c>
      <x:c r="K14" s="19" t="str">
        <x:v>공개 최근 표본: 14K, 6.4K, 1.2K, 다수 두 자릿수</x:v>
      </x:c>
      <x:c r="L14" s="19" t="str">
        <x:v>예</x:v>
      </x:c>
      <x:c r="M14" s="19" t="str">
        <x:v>ON</x:v>
      </x:c>
      <x:c r="N14" s="19" t="str">
        <x:v>미문의</x:v>
      </x:c>
      <x:c r="O14" s="19" t="str">
        <x:v>구독자 대비 최근 조회수 매우 약함</x:v>
      </x:c>
      <x:c r="P14" s="19" t="str">
        <x:v>https://omnifluxs.com/channel/a3023b64-0a55-43bd-8909-ada83680adae</x:v>
      </x:c>
      <x:c r="Q14" s="19" t="str">
        <x:v>https://youtube.com/@kishanvlog652kviews</x:v>
      </x:c>
      <x:c r="R14" s="36" t="str">
        <x:v>미문의</x:v>
      </x:c>
    </x:row>
    <x:row r="15">
      <x:c r="A15" s="35" t="n">
        <x:v>9</x:v>
      </x:c>
      <x:c r="B15" s="18" t="str">
        <x:v>$100~$200</x:v>
      </x:c>
      <x:c r="C15" s="28" t="str">
        <x:v>추가확인</x:v>
      </x:c>
      <x:c r="D15" s="18" t="str">
        <x:v>Score ticker</x:v>
      </x:c>
      <x:c r="E15" s="20" t="n">
        <x:v>158</x:v>
      </x:c>
      <x:c r="F15" s="21" t="n">
        <x:v>5300</x:v>
      </x:c>
      <x:c r="G15" s="21" t="n">
        <x:v>653000</x:v>
      </x:c>
      <x:c r="H15" s="21" t="n">
        <x:v>466</x:v>
      </x:c>
      <x:c r="I15" s="21" t="n">
        <x:f>IF(H15&gt;0,G15/H15,"")</x:f>
        <x:v>1401.2875536480688</x:v>
      </x:c>
      <x:c r="J15" s="22" t="n">
        <x:v>0</x:v>
      </x:c>
      <x:c r="K15" s="19" t="str">
        <x:v>공개 실사 미완료</x:v>
      </x:c>
      <x:c r="L15" s="19" t="str">
        <x:v>예</x:v>
      </x:c>
      <x:c r="M15" s="19" t="str">
        <x:v>미확인</x:v>
      </x:c>
      <x:c r="N15" s="19" t="str">
        <x:v>미문의</x:v>
      </x:c>
      <x:c r="O15" s="19" t="str">
        <x:v>영상 수 대비 누적조회수 낮음</x:v>
      </x:c>
      <x:c r="P15" s="19" t="str">
        <x:v>https://omnifluxs.com/buy-youtube-channel</x:v>
      </x:c>
      <x:c r="Q15" s="19" t="str"/>
      <x:c r="R15" s="36" t="str">
        <x:v>미문의</x:v>
      </x:c>
    </x:row>
    <x:row r="16">
      <x:c r="A16" s="35" t="n">
        <x:v>10</x:v>
      </x:c>
      <x:c r="B16" s="18" t="str">
        <x:v>$100~$200</x:v>
      </x:c>
      <x:c r="C16" s="28" t="str">
        <x:v>추가확인</x:v>
      </x:c>
      <x:c r="D16" s="18" t="str">
        <x:v>Shades of Chenab</x:v>
      </x:c>
      <x:c r="E16" s="20" t="n">
        <x:v>158</x:v>
      </x:c>
      <x:c r="F16" s="21" t="n">
        <x:v>1600</x:v>
      </x:c>
      <x:c r="G16" s="21" t="n">
        <x:v>675000</x:v>
      </x:c>
      <x:c r="H16" s="21" t="n">
        <x:v>268</x:v>
      </x:c>
      <x:c r="I16" s="21" t="n">
        <x:f>IF(H16&gt;0,G16/H16,"")</x:f>
        <x:v>2518.6567164179105</x:v>
      </x:c>
      <x:c r="J16" s="22" t="n">
        <x:v>0</x:v>
      </x:c>
      <x:c r="K16" s="19" t="str">
        <x:v>공개 실사 미완료</x:v>
      </x:c>
      <x:c r="L16" s="19" t="str">
        <x:v>예</x:v>
      </x:c>
      <x:c r="M16" s="19" t="str">
        <x:v>미확인</x:v>
      </x:c>
      <x:c r="N16" s="19" t="str">
        <x:v>미문의</x:v>
      </x:c>
      <x:c r="O16" s="19" t="str">
        <x:v>규모 작고 수익 0</x:v>
      </x:c>
      <x:c r="P16" s="19" t="str">
        <x:v>https://omnifluxs.com/buy-youtube-channel</x:v>
      </x:c>
      <x:c r="Q16" s="19" t="str"/>
      <x:c r="R16" s="36" t="str">
        <x:v>미문의</x:v>
      </x:c>
    </x:row>
    <x:row r="17">
      <x:c r="A17" s="35" t="n">
        <x:v>11</x:v>
      </x:c>
      <x:c r="B17" s="18" t="str">
        <x:v>$100~$200</x:v>
      </x:c>
      <x:c r="C17" s="28" t="str">
        <x:v>추가확인</x:v>
      </x:c>
      <x:c r="D17" s="18" t="str">
        <x:v>Rajugamer3d</x:v>
      </x:c>
      <x:c r="E17" s="20" t="n">
        <x:v>130</x:v>
      </x:c>
      <x:c r="F17" s="21" t="n">
        <x:v>3300</x:v>
      </x:c>
      <x:c r="G17" s="21" t="n">
        <x:v>668000</x:v>
      </x:c>
      <x:c r="H17" s="21" t="n">
        <x:v>94</x:v>
      </x:c>
      <x:c r="I17" s="21" t="n">
        <x:f>IF(H17&gt;0,G17/H17,"")</x:f>
        <x:v>7106.382978723404</x:v>
      </x:c>
      <x:c r="J17" s="22" t="n">
        <x:v>0</x:v>
      </x:c>
      <x:c r="K17" s="19" t="str">
        <x:v>공개 표본: 10K, 5.4K, 4.6K, 1.3K 등</x:v>
      </x:c>
      <x:c r="L17" s="19" t="str">
        <x:v>예</x:v>
      </x:c>
      <x:c r="M17" s="19" t="str">
        <x:v>미확인</x:v>
      </x:c>
      <x:c r="N17" s="19" t="str">
        <x:v>미문의</x:v>
      </x:c>
      <x:c r="O17" s="19" t="str">
        <x:v>최근 성과 약함, 영상수 표기 불일치</x:v>
      </x:c>
      <x:c r="P17" s="19" t="str">
        <x:v>https://omnifluxs.com/buy-youtube-channel</x:v>
      </x:c>
      <x:c r="Q17" s="19" t="str"/>
      <x:c r="R17" s="36" t="str">
        <x:v>미문의</x:v>
      </x:c>
    </x:row>
    <x:row r="18">
      <x:c r="A18" s="35" t="n">
        <x:v>12</x:v>
      </x:c>
      <x:c r="B18" s="18" t="str">
        <x:v>$100~$200</x:v>
      </x:c>
      <x:c r="C18" s="28" t="str">
        <x:v>추가확인</x:v>
      </x:c>
      <x:c r="D18" s="18" t="str">
        <x:v>Raw &amp; Real</x:v>
      </x:c>
      <x:c r="E18" s="20" t="n">
        <x:v>150</x:v>
      </x:c>
      <x:c r="F18" s="21" t="n">
        <x:v>1300</x:v>
      </x:c>
      <x:c r="G18" s="21" t="n">
        <x:v>467000</x:v>
      </x:c>
      <x:c r="H18" s="21" t="n">
        <x:v>79</x:v>
      </x:c>
      <x:c r="I18" s="21" t="n">
        <x:f>IF(H18&gt;0,G18/H18,"")</x:f>
        <x:v>5911.392405063291</x:v>
      </x:c>
      <x:c r="J18" s="22" t="n">
        <x:v>2.6</x:v>
      </x:c>
      <x:c r="K18" s="19" t="str">
        <x:v>공개 실사 미완료</x:v>
      </x:c>
      <x:c r="L18" s="19" t="str">
        <x:v>예</x:v>
      </x:c>
      <x:c r="M18" s="19" t="str">
        <x:v>미확인</x:v>
      </x:c>
      <x:c r="N18" s="19" t="str">
        <x:v>미문의</x:v>
      </x:c>
      <x:c r="O18" s="19" t="str">
        <x:v>규모·수익 작음</x:v>
      </x:c>
      <x:c r="P18" s="19" t="str">
        <x:v>https://omnifluxs.com/buy-youtube-channel</x:v>
      </x:c>
      <x:c r="Q18" s="19" t="str"/>
      <x:c r="R18" s="36" t="str">
        <x:v>미문의</x:v>
      </x:c>
    </x:row>
    <x:row r="19">
      <x:c r="A19" s="35" t="n">
        <x:v>13</x:v>
      </x:c>
      <x:c r="B19" s="18" t="str">
        <x:v>$100~$200</x:v>
      </x:c>
      <x:c r="C19" s="28" t="str">
        <x:v>추가확인</x:v>
      </x:c>
      <x:c r="D19" s="18" t="str">
        <x:v>ANKIT</x:v>
      </x:c>
      <x:c r="E19" s="20" t="n">
        <x:v>150</x:v>
      </x:c>
      <x:c r="F19" s="21" t="n">
        <x:v>1600</x:v>
      </x:c>
      <x:c r="G19" s="21" t="n">
        <x:v>900000</x:v>
      </x:c>
      <x:c r="H19" s="21" t="n">
        <x:v>58</x:v>
      </x:c>
      <x:c r="I19" s="21" t="n">
        <x:f>IF(H19&gt;0,G19/H19,"")</x:f>
        <x:v>15517.241379310344</x:v>
      </x:c>
      <x:c r="J19" s="22" t="n">
        <x:v>0.73</x:v>
      </x:c>
      <x:c r="K19" s="19" t="str">
        <x:v>공개 표본: 1.2K, 456, 261 등</x:v>
      </x:c>
      <x:c r="L19" s="19" t="str">
        <x:v>예</x:v>
      </x:c>
      <x:c r="M19" s="19" t="str">
        <x:v>미확인</x:v>
      </x:c>
      <x:c r="N19" s="19" t="str">
        <x:v>미문의</x:v>
      </x:c>
      <x:c r="O19" s="19" t="str">
        <x:v>최근 성과 약함</x:v>
      </x:c>
      <x:c r="P19" s="19" t="str">
        <x:v>https://omnifluxs.com/buy-youtube-channel</x:v>
      </x:c>
      <x:c r="Q19" s="19" t="str"/>
      <x:c r="R19" s="36" t="str">
        <x:v>미문의</x:v>
      </x:c>
    </x:row>
    <x:row r="20">
      <x:c r="A20" s="35" t="n">
        <x:v>14</x:v>
      </x:c>
      <x:c r="B20" s="18" t="str">
        <x:v>$100~$200</x:v>
      </x:c>
      <x:c r="C20" s="28" t="str">
        <x:v>추가확인</x:v>
      </x:c>
      <x:c r="D20" s="18" t="str">
        <x:v>Monir Husen</x:v>
      </x:c>
      <x:c r="E20" s="20" t="n">
        <x:v>110</x:v>
      </x:c>
      <x:c r="F20" s="21" t="n">
        <x:v>1500</x:v>
      </x:c>
      <x:c r="G20" s="21" t="n">
        <x:v>315000</x:v>
      </x:c>
      <x:c r="H20" s="21" t="n">
        <x:v>9</x:v>
      </x:c>
      <x:c r="I20" s="21" t="n">
        <x:f>IF(H20&gt;0,G20/H20,"")</x:f>
        <x:v>35000</x:v>
      </x:c>
      <x:c r="J20" s="22" t="n">
        <x:v>0</x:v>
      </x:c>
      <x:c r="K20" s="19" t="str">
        <x:v>공개 실사 미완료</x:v>
      </x:c>
      <x:c r="L20" s="19" t="str">
        <x:v>예</x:v>
      </x:c>
      <x:c r="M20" s="19" t="str">
        <x:v>미확인</x:v>
      </x:c>
      <x:c r="N20" s="19" t="str">
        <x:v>미문의</x:v>
      </x:c>
      <x:c r="O20" s="19" t="str">
        <x:v>영상 수 적음, 수익 0</x:v>
      </x:c>
      <x:c r="P20" s="19" t="str">
        <x:v>https://omnifluxs.com/buy-youtube-channel</x:v>
      </x:c>
      <x:c r="Q20" s="19" t="str"/>
      <x:c r="R20" s="36" t="str">
        <x:v>미문의</x:v>
      </x:c>
    </x:row>
    <x:row r="21">
      <x:c r="A21" s="35" t="n">
        <x:v>15</x:v>
      </x:c>
      <x:c r="B21" s="18" t="str">
        <x:v>$100~$200</x:v>
      </x:c>
      <x:c r="C21" s="28" t="str">
        <x:v>추가확인</x:v>
      </x:c>
      <x:c r="D21" s="18" t="str">
        <x:v>Earn with gopal</x:v>
      </x:c>
      <x:c r="E21" s="20" t="n">
        <x:v>168</x:v>
      </x:c>
      <x:c r="F21" s="21" t="n">
        <x:v>2400</x:v>
      </x:c>
      <x:c r="G21" s="21" t="n">
        <x:v>87000</x:v>
      </x:c>
      <x:c r="H21" s="21" t="n">
        <x:v>41</x:v>
      </x:c>
      <x:c r="I21" s="21" t="n">
        <x:f>IF(H21&gt;0,G21/H21,"")</x:f>
        <x:v>2121.951219512195</x:v>
      </x:c>
      <x:c r="J21" s="22" t="n">
        <x:v>0</x:v>
      </x:c>
      <x:c r="K21" s="19" t="str">
        <x:v>공개 실사 미완료</x:v>
      </x:c>
      <x:c r="L21" s="19" t="str">
        <x:v>예</x:v>
      </x:c>
      <x:c r="M21" s="19" t="str">
        <x:v>미확인</x:v>
      </x:c>
      <x:c r="N21" s="19" t="str">
        <x:v>미문의</x:v>
      </x:c>
      <x:c r="O21" s="19" t="str">
        <x:v>누적조회수·수익 낮음</x:v>
      </x:c>
      <x:c r="P21" s="19" t="str">
        <x:v>https://omnifluxs.com/buy-youtube-channel</x:v>
      </x:c>
      <x:c r="Q21" s="19" t="str"/>
      <x:c r="R21" s="36" t="str">
        <x:v>미문의</x:v>
      </x:c>
    </x:row>
    <x:row r="22">
      <x:c r="A22" s="35" t="n">
        <x:v>16</x:v>
      </x:c>
      <x:c r="B22" s="18" t="str">
        <x:v>$100~$200</x:v>
      </x:c>
      <x:c r="C22" s="28" t="str">
        <x:v>추가확인</x:v>
      </x:c>
      <x:c r="D22" s="18" t="str">
        <x:v>Aman ckt vlogs</x:v>
      </x:c>
      <x:c r="E22" s="20" t="n">
        <x:v>158</x:v>
      </x:c>
      <x:c r="F22" s="21" t="n">
        <x:v>11000</x:v>
      </x:c>
      <x:c r="G22" s="21" t="n">
        <x:v>67000</x:v>
      </x:c>
      <x:c r="H22" s="21" t="n">
        <x:v>23</x:v>
      </x:c>
      <x:c r="I22" s="21" t="n">
        <x:f>IF(H22&gt;0,G22/H22,"")</x:f>
        <x:v>2913.0434782608695</x:v>
      </x:c>
      <x:c r="J22" s="22" t="n">
        <x:v>0</x:v>
      </x:c>
      <x:c r="K22" s="19" t="str">
        <x:v>공개 실사 미완료</x:v>
      </x:c>
      <x:c r="L22" s="19" t="str">
        <x:v>예</x:v>
      </x:c>
      <x:c r="M22" s="19" t="str">
        <x:v>미확인</x:v>
      </x:c>
      <x:c r="N22" s="19" t="str">
        <x:v>미문의</x:v>
      </x:c>
      <x:c r="O22" s="19" t="str">
        <x:v>구독자 대비 누적조회수 불균형</x:v>
      </x:c>
      <x:c r="P22" s="19" t="str">
        <x:v>https://omnifluxs.com/buy-youtube-channel</x:v>
      </x:c>
      <x:c r="Q22" s="19" t="str"/>
      <x:c r="R22" s="36" t="str">
        <x:v>미문의</x:v>
      </x:c>
    </x:row>
    <x:row r="23">
      <x:c r="A23" s="35" t="n">
        <x:v>17</x:v>
      </x:c>
      <x:c r="B23" s="18" t="str">
        <x:v>$100~$200</x:v>
      </x:c>
      <x:c r="C23" s="28" t="str">
        <x:v>추가확인</x:v>
      </x:c>
      <x:c r="D23" s="18" t="str">
        <x:v>AK_ANXARI_845</x:v>
      </x:c>
      <x:c r="E23" s="20" t="n">
        <x:v>120</x:v>
      </x:c>
      <x:c r="F23" s="21" t="n">
        <x:v>1000</x:v>
      </x:c>
      <x:c r="G23" s="21" t="n">
        <x:v>68000</x:v>
      </x:c>
      <x:c r="H23" s="21" t="n">
        <x:v>47</x:v>
      </x:c>
      <x:c r="I23" s="21" t="n">
        <x:f>IF(H23&gt;0,G23/H23,"")</x:f>
        <x:v>1446.8085106382978</x:v>
      </x:c>
      <x:c r="J23" s="22" t="n">
        <x:v>0</x:v>
      </x:c>
      <x:c r="K23" s="19" t="str">
        <x:v>공개 실사 미완료</x:v>
      </x:c>
      <x:c r="L23" s="19" t="str">
        <x:v>예</x:v>
      </x:c>
      <x:c r="M23" s="19" t="str">
        <x:v>미확인</x:v>
      </x:c>
      <x:c r="N23" s="19" t="str">
        <x:v>미문의</x:v>
      </x:c>
      <x:c r="O23" s="19" t="str">
        <x:v>규모 작고 수익 0</x:v>
      </x:c>
      <x:c r="P23" s="19" t="str">
        <x:v>https://omnifluxs.com/buy-youtube-channel</x:v>
      </x:c>
      <x:c r="Q23" s="19" t="str"/>
      <x:c r="R23" s="36" t="str">
        <x:v>미문의</x:v>
      </x:c>
    </x:row>
    <x:row r="24">
      <x:c r="A24" s="35" t="n">
        <x:v>18</x:v>
      </x:c>
      <x:c r="B24" s="18" t="str">
        <x:v>$100~$200</x:v>
      </x:c>
      <x:c r="C24" s="31" t="str">
        <x:v>제외</x:v>
      </x:c>
      <x:c r="D24" s="18" t="str">
        <x:v>Notun Khobor 2.0</x:v>
      </x:c>
      <x:c r="E24" s="20" t="n">
        <x:v>140</x:v>
      </x:c>
      <x:c r="F24" s="21" t="n">
        <x:v>1100</x:v>
      </x:c>
      <x:c r="G24" s="21" t="n">
        <x:v>490000</x:v>
      </x:c>
      <x:c r="H24" s="21" t="n">
        <x:v>122</x:v>
      </x:c>
      <x:c r="I24" s="21" t="n">
        <x:f>IF(H24&gt;0,G24/H24,"")</x:f>
        <x:v>4016.3934426229507</x:v>
      </x:c>
      <x:c r="J24" s="22" t="n">
        <x:v>1900</x:v>
      </x:c>
      <x:c r="K24" s="19" t="str">
        <x:v>공개 표본: 13K, 7.4K, 6.7K 등</x:v>
      </x:c>
      <x:c r="L24" s="19" t="str">
        <x:v>예</x:v>
      </x:c>
      <x:c r="M24" s="19" t="str">
        <x:v>미확인</x:v>
      </x:c>
      <x:c r="N24" s="19" t="str">
        <x:v>미문의</x:v>
      </x:c>
      <x:c r="O24" s="19" t="str">
        <x:v>규모 대비 월수익 $1,900 비정상</x:v>
      </x:c>
      <x:c r="P24" s="19" t="str">
        <x:v>https://omnifluxs.com/buy-youtube-channel</x:v>
      </x:c>
      <x:c r="Q24" s="19" t="str"/>
      <x:c r="R24" s="36" t="str">
        <x:v>미문의</x:v>
      </x:c>
    </x:row>
    <x:row r="25">
      <x:c r="A25" s="35" t="n">
        <x:v>19</x:v>
      </x:c>
      <x:c r="B25" s="18" t="str">
        <x:v>$100~$200</x:v>
      </x:c>
      <x:c r="C25" s="31" t="str">
        <x:v>제외</x:v>
      </x:c>
      <x:c r="D25" s="18" t="str">
        <x:v>Abhay Kushwaha</x:v>
      </x:c>
      <x:c r="E25" s="20" t="n">
        <x:v>119</x:v>
      </x:c>
      <x:c r="F25" s="21" t="n">
        <x:v>78000</x:v>
      </x:c>
      <x:c r="G25" s="21" t="n">
        <x:v>34400000</x:v>
      </x:c>
      <x:c r="H25" s="21" t="n">
        <x:v>189</x:v>
      </x:c>
      <x:c r="I25" s="21" t="n">
        <x:f>IF(H25&gt;0,G25/H25,"")</x:f>
        <x:v>182010.582010582</x:v>
      </x:c>
      <x:c r="J25" s="22" t="n">
        <x:v>10</x:v>
      </x:c>
      <x:c r="K25" s="19" t="str">
        <x:v>YouTube 링크 404</x:v>
      </x:c>
      <x:c r="L25" s="19" t="str">
        <x:v>예</x:v>
      </x:c>
      <x:c r="M25" s="19" t="str">
        <x:v>미확인</x:v>
      </x:c>
      <x:c r="N25" s="19" t="str">
        <x:v>미문의</x:v>
      </x:c>
      <x:c r="O25" s="19" t="str">
        <x:v>공개 채널 확인 불가</x:v>
      </x:c>
      <x:c r="P25" s="19" t="str">
        <x:v>https://omnifluxs.com/buy-youtube-channel</x:v>
      </x:c>
      <x:c r="Q25" s="19" t="str"/>
      <x:c r="R25" s="36" t="str">
        <x:v>미문의</x:v>
      </x:c>
    </x:row>
    <x:row r="26">
      <x:c r="A26" s="35" t="n">
        <x:v>20</x:v>
      </x:c>
      <x:c r="B26" s="18" t="str">
        <x:v>$100~$200</x:v>
      </x:c>
      <x:c r="C26" s="31" t="str">
        <x:v>제외</x:v>
      </x:c>
      <x:c r="D26" s="18" t="str">
        <x:v>ScreenBlast</x:v>
      </x:c>
      <x:c r="E26" s="20" t="n">
        <x:v>149</x:v>
      </x:c>
      <x:c r="F26" s="21" t="n">
        <x:v>2800</x:v>
      </x:c>
      <x:c r="G26" s="21" t="n">
        <x:v>3700000</x:v>
      </x:c>
      <x:c r="H26" s="21" t="n">
        <x:v>177</x:v>
      </x:c>
      <x:c r="I26" s="21" t="n">
        <x:f>IF(H26&gt;0,G26/H26,"")</x:f>
        <x:v>20903.954802259886</x:v>
      </x:c>
      <x:c r="J26" s="22" t="n">
        <x:v>0</x:v>
      </x:c>
      <x:c r="K26" s="19" t="str">
        <x:v>YouTube 링크가 OmniFluxs로 연결</x:v>
      </x:c>
      <x:c r="L26" s="19" t="str">
        <x:v>예</x:v>
      </x:c>
      <x:c r="M26" s="19" t="str">
        <x:v>미확인</x:v>
      </x:c>
      <x:c r="N26" s="19" t="str">
        <x:v>미문의</x:v>
      </x:c>
      <x:c r="O26" s="19" t="str">
        <x:v>대상 채널 검증 불가</x:v>
      </x:c>
      <x:c r="P26" s="19" t="str">
        <x:v>https://omnifluxs.com/buy-youtube-channel</x:v>
      </x:c>
      <x:c r="Q26" s="19" t="str"/>
      <x:c r="R26" s="36" t="str">
        <x:v>미문의</x:v>
      </x:c>
    </x:row>
    <x:row r="27">
      <x:c r="A27" s="35" t="n">
        <x:v>21</x:v>
      </x:c>
      <x:c r="B27" s="18" t="str">
        <x:v>$100~$200</x:v>
      </x:c>
      <x:c r="C27" s="31" t="str">
        <x:v>제외</x:v>
      </x:c>
      <x:c r="D27" s="18" t="str">
        <x:v>Deej Vishnu</x:v>
      </x:c>
      <x:c r="E27" s="20" t="n">
        <x:v>130</x:v>
      </x:c>
      <x:c r="F27" s="21" t="n">
        <x:v>5200</x:v>
      </x:c>
      <x:c r="G27" s="21" t="n">
        <x:v>3300000</x:v>
      </x:c>
      <x:c r="H27" s="21" t="n">
        <x:v>41</x:v>
      </x:c>
      <x:c r="I27" s="21" t="n">
        <x:f>IF(H27&gt;0,G27/H27,"")</x:f>
        <x:v>80487.80487804877</x:v>
      </x:c>
      <x:c r="J27" s="22" t="n">
        <x:v>3325</x:v>
      </x:c>
      <x:c r="K27" s="19" t="str">
        <x:v>YouTube 링크 오류</x:v>
      </x:c>
      <x:c r="L27" s="19" t="str">
        <x:v>예</x:v>
      </x:c>
      <x:c r="M27" s="19" t="str">
        <x:v>미확인</x:v>
      </x:c>
      <x:c r="N27" s="19" t="str">
        <x:v>미문의</x:v>
      </x:c>
      <x:c r="O27" s="19" t="str">
        <x:v>링크 오류 및 월수익 비정상</x:v>
      </x:c>
      <x:c r="P27" s="19" t="str">
        <x:v>https://omnifluxs.com/buy-youtube-channel</x:v>
      </x:c>
      <x:c r="Q27" s="19" t="str"/>
      <x:c r="R27" s="36" t="str">
        <x:v>미문의</x:v>
      </x:c>
    </x:row>
    <x:row r="28">
      <x:c r="A28" s="35" t="n">
        <x:v>22</x:v>
      </x:c>
      <x:c r="B28" s="18" t="str">
        <x:v>$100~$200</x:v>
      </x:c>
      <x:c r="C28" s="31" t="str">
        <x:v>제외</x:v>
      </x:c>
      <x:c r="D28" s="18" t="str">
        <x:v>Auto Recenzje</x:v>
      </x:c>
      <x:c r="E28" s="20" t="n">
        <x:v>120</x:v>
      </x:c>
      <x:c r="F28" s="21" t="n">
        <x:v>1000</x:v>
      </x:c>
      <x:c r="G28" s="21" t="n">
        <x:v>214000</x:v>
      </x:c>
      <x:c r="H28" s="21" t="n">
        <x:v>126</x:v>
      </x:c>
      <x:c r="I28" s="21" t="n">
        <x:f>IF(H28&gt;0,G28/H28,"")</x:f>
        <x:v>1698.4126984126983</x:v>
      </x:c>
      <x:c r="J28" s="22" t="n">
        <x:v>1805000</x:v>
      </x:c>
      <x:c r="K28" s="19" t="str">
        <x:v>공개 실사 미완료</x:v>
      </x:c>
      <x:c r="L28" s="19" t="str">
        <x:v>예</x:v>
      </x:c>
      <x:c r="M28" s="19" t="str">
        <x:v>미확인</x:v>
      </x:c>
      <x:c r="N28" s="19" t="str">
        <x:v>미문의</x:v>
      </x:c>
      <x:c r="O28" s="19" t="str">
        <x:v>월수익 $1,805,000 표기 오류 의심</x:v>
      </x:c>
      <x:c r="P28" s="19" t="str">
        <x:v>https://omnifluxs.com/buy-youtube-channel</x:v>
      </x:c>
      <x:c r="Q28" s="19" t="str"/>
      <x:c r="R28" s="36" t="str">
        <x:v>미문의</x:v>
      </x:c>
    </x:row>
    <x:row r="29">
      <x:c r="A29" s="35" t="n">
        <x:v>23</x:v>
      </x:c>
      <x:c r="B29" s="18" t="str">
        <x:v>$100~$200</x:v>
      </x:c>
      <x:c r="C29" s="31" t="str">
        <x:v>제외</x:v>
      </x:c>
      <x:c r="D29" s="18" t="str">
        <x:v>DIVYANSHU YADAV</x:v>
      </x:c>
      <x:c r="E29" s="20" t="n">
        <x:v>126</x:v>
      </x:c>
      <x:c r="F29" s="21" t="n">
        <x:v>1800</x:v>
      </x:c>
      <x:c r="G29" s="21" t="n">
        <x:v>107000</x:v>
      </x:c>
      <x:c r="H29" s="21" t="n">
        <x:v>1</x:v>
      </x:c>
      <x:c r="I29" s="21" t="n">
        <x:f>IF(H29&gt;0,G29/H29,"")</x:f>
        <x:v>107000</x:v>
      </x:c>
      <x:c r="J29" s="22" t="n">
        <x:v>211</x:v>
      </x:c>
      <x:c r="K29" s="19" t="str">
        <x:v>공개 실사 미완료</x:v>
      </x:c>
      <x:c r="L29" s="19" t="str">
        <x:v>예</x:v>
      </x:c>
      <x:c r="M29" s="19" t="str">
        <x:v>미확인</x:v>
      </x:c>
      <x:c r="N29" s="19" t="str">
        <x:v>미문의</x:v>
      </x:c>
      <x:c r="O29" s="19" t="str">
        <x:v>영상 1개·월수익 $211 불균형</x:v>
      </x:c>
      <x:c r="P29" s="19" t="str">
        <x:v>https://omnifluxs.com/buy-youtube-channel</x:v>
      </x:c>
      <x:c r="Q29" s="19" t="str"/>
      <x:c r="R29" s="36" t="str">
        <x:v>미문의</x:v>
      </x:c>
    </x:row>
    <x:row r="30">
      <x:c r="A30" s="35" t="n">
        <x:v>24</x:v>
      </x:c>
      <x:c r="B30" s="18" t="str">
        <x:v>$100~$200</x:v>
      </x:c>
      <x:c r="C30" s="31" t="str">
        <x:v>제외</x:v>
      </x:c>
      <x:c r="D30" s="18" t="str">
        <x:v>FAIMG YT</x:v>
      </x:c>
      <x:c r="E30" s="20" t="n">
        <x:v>165</x:v>
      </x:c>
      <x:c r="F30" s="21" t="n">
        <x:v>691</x:v>
      </x:c>
      <x:c r="G30" s="21" t="n">
        <x:v>106000</x:v>
      </x:c>
      <x:c r="H30" s="21" t="n">
        <x:v>59</x:v>
      </x:c>
      <x:c r="I30" s="21" t="n">
        <x:f>IF(H30&gt;0,G30/H30,"")</x:f>
        <x:v>1796.6101694915253</x:v>
      </x:c>
      <x:c r="J30" s="22" t="n">
        <x:v>180</x:v>
      </x:c>
      <x:c r="K30" s="19" t="str">
        <x:v>공개 실사 미완료</x:v>
      </x:c>
      <x:c r="L30" s="19" t="str">
        <x:v>예</x:v>
      </x:c>
      <x:c r="M30" s="19" t="str">
        <x:v>미확인</x:v>
      </x:c>
      <x:c r="N30" s="19" t="str">
        <x:v>미문의</x:v>
      </x:c>
      <x:c r="O30" s="19" t="str">
        <x:v>구독자 691명인데 수익화 표시·수익 비정상</x:v>
      </x:c>
      <x:c r="P30" s="19" t="str">
        <x:v>https://omnifluxs.com/buy-youtube-channel</x:v>
      </x:c>
      <x:c r="Q30" s="19" t="str"/>
      <x:c r="R30" s="36" t="str">
        <x:v>미문의</x:v>
      </x:c>
    </x:row>
    <x:row r="31">
      <x:c r="A31" s="35" t="n">
        <x:v>25</x:v>
      </x:c>
      <x:c r="B31" s="18" t="str">
        <x:v>$100~$200</x:v>
      </x:c>
      <x:c r="C31" s="31" t="str">
        <x:v>제외</x:v>
      </x:c>
      <x:c r="D31" s="18" t="str">
        <x:v>newviral</x:v>
      </x:c>
      <x:c r="E31" s="20" t="n">
        <x:v>105</x:v>
      </x:c>
      <x:c r="F31" s="21" t="n">
        <x:v>1000</x:v>
      </x:c>
      <x:c r="G31" s="21" t="n">
        <x:v>3000</x:v>
      </x:c>
      <x:c r="H31" s="21" t="n">
        <x:v>133</x:v>
      </x:c>
      <x:c r="I31" s="21" t="n">
        <x:f>IF(H31&gt;0,G31/H31,"")</x:f>
        <x:v>22.55639097744361</x:v>
      </x:c>
      <x:c r="J31" s="22" t="n">
        <x:v>211</x:v>
      </x:c>
      <x:c r="K31" s="19" t="str">
        <x:v>공개 실사 미완료</x:v>
      </x:c>
      <x:c r="L31" s="19" t="str">
        <x:v>예</x:v>
      </x:c>
      <x:c r="M31" s="19" t="str">
        <x:v>미확인</x:v>
      </x:c>
      <x:c r="N31" s="19" t="str">
        <x:v>미문의</x:v>
      </x:c>
      <x:c r="O31" s="19" t="str">
        <x:v>누적 3천 조회에 월수익 $211 비정상</x:v>
      </x:c>
      <x:c r="P31" s="19" t="str">
        <x:v>https://omnifluxs.com/buy-youtube-channel</x:v>
      </x:c>
      <x:c r="Q31" s="19" t="str"/>
      <x:c r="R31" s="36" t="str">
        <x:v>미문의</x:v>
      </x:c>
    </x:row>
    <x:row r="32">
      <x:c r="A32" s="35" t="n">
        <x:v>26</x:v>
      </x:c>
      <x:c r="B32" s="18" t="str">
        <x:v>$100 미만</x:v>
      </x:c>
      <x:c r="C32" s="31" t="str">
        <x:v>제외</x:v>
      </x:c>
      <x:c r="D32" s="18" t="str">
        <x:v>Abixx.555</x:v>
      </x:c>
      <x:c r="E32" s="20" t="n">
        <x:v>42.11</x:v>
      </x:c>
      <x:c r="F32" s="21" t="n">
        <x:v>14000</x:v>
      </x:c>
      <x:c r="G32" s="21" t="n">
        <x:v>0</x:v>
      </x:c>
      <x:c r="H32" s="21" t="n">
        <x:v>0</x:v>
      </x:c>
      <x:c r="I32" s="21" t="str">
        <x:f>IF(H32&gt;0,G32/H32,"")</x:f>
      </x:c>
      <x:c r="J32" s="22" t="n">
        <x:v>10.53</x:v>
      </x:c>
      <x:c r="K32" s="19" t="str">
        <x:v>판매글: old videos removed, unmonetized clean slate</x:v>
      </x:c>
      <x:c r="L32" s="19" t="str">
        <x:v>예</x:v>
      </x:c>
      <x:c r="M32" s="19" t="str">
        <x:v>미확인</x:v>
      </x:c>
      <x:c r="N32" s="19" t="str">
        <x:v>미문의</x:v>
      </x:c>
      <x:c r="O32" s="19" t="str">
        <x:v>수익화 배지와 판매자 설명 정면 충돌</x:v>
      </x:c>
      <x:c r="P32" s="19" t="str">
        <x:v>https://omnifluxs.com/channel/62beecc5-fd22-4e8d-a290-dd5f5c4d19a9</x:v>
      </x:c>
      <x:c r="Q32" s="19" t="str"/>
      <x:c r="R32" s="36" t="str">
        <x:v>미문의</x:v>
      </x:c>
    </x:row>
    <x:row r="33">
      <x:c r="A33" s="35" t="n">
        <x:v>27</x:v>
      </x:c>
      <x:c r="B33" s="18" t="str">
        <x:v>$100 미만</x:v>
      </x:c>
      <x:c r="C33" s="31" t="str">
        <x:v>제외</x:v>
      </x:c>
      <x:c r="D33" s="18" t="str">
        <x:v>Tilawat</x:v>
      </x:c>
      <x:c r="E33" s="20" t="n">
        <x:v>19</x:v>
      </x:c>
      <x:c r="F33" s="21" t="n">
        <x:v>5300</x:v>
      </x:c>
      <x:c r="G33" s="21" t="n">
        <x:v>1300000</x:v>
      </x:c>
      <x:c r="H33" s="21" t="n">
        <x:v>26</x:v>
      </x:c>
      <x:c r="I33" s="21" t="n">
        <x:f>IF(H33&gt;0,G33/H33,"")</x:f>
        <x:v>50000</x:v>
      </x:c>
      <x:c r="J33" s="22" t="n">
        <x:v>0</x:v>
      </x:c>
      <x:c r="K33" s="19" t="str">
        <x:v>Studio 증빙: 유효 시청시간 0, Shorts 18K, Get notified</x:v>
      </x:c>
      <x:c r="L33" s="19" t="str">
        <x:v>예</x:v>
      </x:c>
      <x:c r="M33" s="19" t="str">
        <x:v>OFF</x:v>
      </x:c>
      <x:c r="N33" s="19" t="str">
        <x:v>미문의</x:v>
      </x:c>
      <x:c r="O33" s="19" t="str">
        <x:v>수익화 조건 미달 증빙 확인</x:v>
      </x:c>
      <x:c r="P33" s="19" t="str">
        <x:v>https://omnifluxs.com/channel/d39d1aaa-e2e6-466e-8dc1-be19571be70e</x:v>
      </x:c>
      <x:c r="Q33" s="19" t="str"/>
      <x:c r="R33" s="36" t="str">
        <x:v>미문의</x:v>
      </x:c>
    </x:row>
    <x:row r="34">
      <x:c r="A34" s="35" t="n">
        <x:v>28</x:v>
      </x:c>
      <x:c r="B34" s="18" t="str">
        <x:v>$100 미만</x:v>
      </x:c>
      <x:c r="C34" s="31" t="str">
        <x:v>제외</x:v>
      </x:c>
      <x:c r="D34" s="18" t="str">
        <x:v>Khairul786</x:v>
      </x:c>
      <x:c r="E34" s="20" t="n">
        <x:v>52.63</x:v>
      </x:c>
      <x:c r="F34" s="21" t="n">
        <x:v>116</x:v>
      </x:c>
      <x:c r="G34" s="21" t="n">
        <x:v>101000</x:v>
      </x:c>
      <x:c r="H34" s="21" t="n">
        <x:v>141</x:v>
      </x:c>
      <x:c r="I34" s="21" t="n">
        <x:f>IF(H34&gt;0,G34/H34,"")</x:f>
        <x:v>716.3120567375887</x:v>
      </x:c>
      <x:c r="J34" s="22" t="n">
        <x:v>526</x:v>
      </x:c>
      <x:c r="K34" s="19" t="str">
        <x:v>공개 실사 미완료</x:v>
      </x:c>
      <x:c r="L34" s="19" t="str">
        <x:v>예</x:v>
      </x:c>
      <x:c r="M34" s="19" t="str">
        <x:v>미확인</x:v>
      </x:c>
      <x:c r="N34" s="19" t="str">
        <x:v>미문의</x:v>
      </x:c>
      <x:c r="O34" s="19" t="str">
        <x:v>구독자 116명·월수익 $526 비정상</x:v>
      </x:c>
      <x:c r="P34" s="19" t="str">
        <x:v>https://omnifluxs.com/channel/50cbc066-b140-4ec3-bc26-71dd545e7406</x:v>
      </x:c>
      <x:c r="Q34" s="19" t="str"/>
      <x:c r="R34" s="36" t="str">
        <x:v>미문의</x:v>
      </x:c>
    </x:row>
    <x:row r="35">
      <x:c r="A35" s="35" t="n">
        <x:v>29</x:v>
      </x:c>
      <x:c r="B35" s="18" t="str">
        <x:v>$100 미만</x:v>
      </x:c>
      <x:c r="C35" s="31" t="str">
        <x:v>제외</x:v>
      </x:c>
      <x:c r="D35" s="18" t="str">
        <x:v>GreenHandXD</x:v>
      </x:c>
      <x:c r="E35" s="20" t="n">
        <x:v>11</x:v>
      </x:c>
      <x:c r="F35" s="21" t="n">
        <x:v>129</x:v>
      </x:c>
      <x:c r="G35" s="21" t="n">
        <x:v>226000</x:v>
      </x:c>
      <x:c r="H35" s="21" t="n">
        <x:v>86</x:v>
      </x:c>
      <x:c r="I35" s="21" t="n">
        <x:f>IF(H35&gt;0,G35/H35,"")</x:f>
        <x:v>2627.906976744186</x:v>
      </x:c>
      <x:c r="J35" s="22" t="n">
        <x:v>0</x:v>
      </x:c>
      <x:c r="K35" s="19" t="str">
        <x:v>판매자 설명: could monetize</x:v>
      </x:c>
      <x:c r="L35" s="19" t="str">
        <x:v>예</x:v>
      </x:c>
      <x:c r="M35" s="19" t="str">
        <x:v>미확인</x:v>
      </x:c>
      <x:c r="N35" s="19" t="str">
        <x:v>미문의</x:v>
      </x:c>
      <x:c r="O35" s="19" t="str">
        <x:v>수익화 배지와 설명 충돌</x:v>
      </x:c>
      <x:c r="P35" s="19" t="str">
        <x:v>https://omnifluxs.com/channel/8d79149f-64ac-4b67-b77a-0fd0a7bd1f10</x:v>
      </x:c>
      <x:c r="Q35" s="19" t="str"/>
      <x:c r="R35" s="36" t="str">
        <x:v>미문의</x:v>
      </x:c>
    </x:row>
    <x:row r="36">
      <x:c r="A36" s="35" t="n">
        <x:v>30</x:v>
      </x:c>
      <x:c r="B36" s="18" t="str">
        <x:v>$100 미만</x:v>
      </x:c>
      <x:c r="C36" s="31" t="str">
        <x:v>제외</x:v>
      </x:c>
      <x:c r="D36" s="18" t="str">
        <x:v>Xezox</x:v>
      </x:c>
      <x:c r="E36" s="20" t="n">
        <x:v>10.53</x:v>
      </x:c>
      <x:c r="F36" s="21" t="n">
        <x:v>182</x:v>
      </x:c>
      <x:c r="G36" s="21" t="n">
        <x:v>32000</x:v>
      </x:c>
      <x:c r="H36" s="21" t="n">
        <x:v>35</x:v>
      </x:c>
      <x:c r="I36" s="21" t="n">
        <x:f>IF(H36&gt;0,G36/H36,"")</x:f>
        <x:v>914.2857142857143</x:v>
      </x:c>
      <x:c r="J36" s="22" t="n">
        <x:v>3.16</x:v>
      </x:c>
      <x:c r="K36" s="19" t="str">
        <x:v>공개 실사 미완료</x:v>
      </x:c>
      <x:c r="L36" s="19" t="str">
        <x:v>예</x:v>
      </x:c>
      <x:c r="M36" s="19" t="str">
        <x:v>미확인</x:v>
      </x:c>
      <x:c r="N36" s="19" t="str">
        <x:v>미문의</x:v>
      </x:c>
      <x:c r="O36" s="19" t="str">
        <x:v>YPP 일반 기준과 불일치 가능성</x:v>
      </x:c>
      <x:c r="P36" s="19" t="str">
        <x:v>https://omnifluxs.com/channel/1fb53434-956d-4c75-aef5-a6fbe16a1e5f</x:v>
      </x:c>
      <x:c r="Q36" s="19" t="str"/>
      <x:c r="R36" s="36" t="str">
        <x:v>미문의</x:v>
      </x:c>
    </x:row>
    <x:row r="37">
      <x:c r="A37" s="35" t="n">
        <x:v>31</x:v>
      </x:c>
      <x:c r="B37" s="18" t="str">
        <x:v>$100 미만</x:v>
      </x:c>
      <x:c r="C37" s="31" t="str">
        <x:v>제외</x:v>
      </x:c>
      <x:c r="D37" s="18" t="str">
        <x:v>Tha God 90</x:v>
      </x:c>
      <x:c r="E37" s="20" t="n">
        <x:v>1.05</x:v>
      </x:c>
      <x:c r="F37" s="21" t="n">
        <x:v>9</x:v>
      </x:c>
      <x:c r="G37" s="21" t="n">
        <x:v>1900</x:v>
      </x:c>
      <x:c r="H37" s="21" t="n">
        <x:v>12</x:v>
      </x:c>
      <x:c r="I37" s="21" t="n">
        <x:f>IF(H37&gt;0,G37/H37,"")</x:f>
        <x:v>158.33333333333334</x:v>
      </x:c>
      <x:c r="J37" s="22" t="n">
        <x:v>21.05</x:v>
      </x:c>
      <x:c r="K37" s="19" t="str">
        <x:v>공개 실사 미완료</x:v>
      </x:c>
      <x:c r="L37" s="19" t="str">
        <x:v>예</x:v>
      </x:c>
      <x:c r="M37" s="19" t="str">
        <x:v>미확인</x:v>
      </x:c>
      <x:c r="N37" s="19" t="str">
        <x:v>미문의</x:v>
      </x:c>
      <x:c r="O37" s="19" t="str">
        <x:v>구독자 9명·월수익 $21.05 비정상</x:v>
      </x:c>
      <x:c r="P37" s="19" t="str">
        <x:v>https://omnifluxs.com/channel/43a52cdc-b951-402c-800f-57a69046ba8f</x:v>
      </x:c>
      <x:c r="Q37" s="19" t="str"/>
      <x:c r="R37" s="36" t="str">
        <x:v>미문의</x:v>
      </x:c>
    </x:row>
    <x:row r="38">
      <x:c r="A38" s="35" t="n">
        <x:v>32</x:v>
      </x:c>
      <x:c r="B38" s="18" t="str">
        <x:v>$100 미만</x:v>
      </x:c>
      <x:c r="C38" s="31" t="str">
        <x:v>제외</x:v>
      </x:c>
      <x:c r="D38" s="18" t="str">
        <x:v>Mr Hasnain</x:v>
      </x:c>
      <x:c r="E38" s="20" t="n">
        <x:v>1.05</x:v>
      </x:c>
      <x:c r="F38" s="21" t="n">
        <x:v>9</x:v>
      </x:c>
      <x:c r="G38" s="21" t="n">
        <x:v>6700</x:v>
      </x:c>
      <x:c r="H38" s="21" t="n">
        <x:v>14</x:v>
      </x:c>
      <x:c r="I38" s="21" t="n">
        <x:f>IF(H38&gt;0,G38/H38,"")</x:f>
        <x:v>478.57142857142856</x:v>
      </x:c>
      <x:c r="J38" s="22" t="n">
        <x:v>0</x:v>
      </x:c>
      <x:c r="K38" s="19" t="str">
        <x:v>공개 실사 미완료</x:v>
      </x:c>
      <x:c r="L38" s="19" t="str">
        <x:v>예</x:v>
      </x:c>
      <x:c r="M38" s="19" t="str">
        <x:v>미확인</x:v>
      </x:c>
      <x:c r="N38" s="19" t="str">
        <x:v>미문의</x:v>
      </x:c>
      <x:c r="O38" s="19" t="str">
        <x:v>YPP 일반 기준과 불일치</x:v>
      </x:c>
      <x:c r="P38" s="19" t="str">
        <x:v>https://omnifluxs.com/channel/1b22a348-7a40-44ae-9d06-07e2a1e0e251</x:v>
      </x:c>
      <x:c r="Q38" s="19" t="str"/>
      <x:c r="R38" s="36" t="str">
        <x:v>미문의</x:v>
      </x:c>
    </x:row>
    <x:row r="39">
      <x:c r="A39" s="37" t="n">
        <x:v>33</x:v>
      </x:c>
      <x:c r="B39" s="38" t="str">
        <x:v>$100 미만</x:v>
      </x:c>
      <x:c r="C39" s="39" t="str">
        <x:v>제외</x:v>
      </x:c>
      <x:c r="D39" s="38" t="str">
        <x:v>Daddy Dustin</x:v>
      </x:c>
      <x:c r="E39" s="40" t="n">
        <x:v>4.75</x:v>
      </x:c>
      <x:c r="F39" s="41" t="n">
        <x:v>11</x:v>
      </x:c>
      <x:c r="G39" s="41" t="n">
        <x:v>754</x:v>
      </x:c>
      <x:c r="H39" s="41" t="n">
        <x:v>4</x:v>
      </x:c>
      <x:c r="I39" s="41" t="n">
        <x:f>IF(H39&gt;0,G39/H39,"")</x:f>
        <x:v>188.5</x:v>
      </x:c>
      <x:c r="J39" s="42" t="n">
        <x:v>0</x:v>
      </x:c>
      <x:c r="K39" s="43" t="str">
        <x:v>공개 실사 미완료</x:v>
      </x:c>
      <x:c r="L39" s="43" t="str">
        <x:v>예</x:v>
      </x:c>
      <x:c r="M39" s="43" t="str">
        <x:v>미확인</x:v>
      </x:c>
      <x:c r="N39" s="43" t="str">
        <x:v>미문의</x:v>
      </x:c>
      <x:c r="O39" s="43" t="str">
        <x:v>YPP 일반 기준과 불일치</x:v>
      </x:c>
      <x:c r="P39" s="43" t="str">
        <x:v>https://omnifluxs.com/channel/5415d118-4ae5-4faa-add4-974446b3b323</x:v>
      </x:c>
      <x:c r="Q39" s="43" t="str"/>
      <x:c r="R39" s="44" t="str">
        <x:v>미문의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af6ab0bcdb74f0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2" hidden="0" customWidth="1"/>
    <x:col min="5" max="5" width="24" hidden="0" customWidth="1"/>
    <x:col min="6" max="6" width="48" hidden="0" customWidth="1"/>
  </x:cols>
  <x:sheetData>
    <x:row r="1" ht="32" customHeight="1">
      <x:c r="A1" s="3" t="str">
        <x:v>구매 전 확인 및 에스크로 조건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46" t="str">
        <x:v>핵심 결론</x:v>
      </x:c>
      <x:c r="B3" s="48" t="str">
        <x:v>7일은 환불 보증기간이 아니라 YouTube 소유권 이전 대기기간입니다.</x:v>
      </x:c>
      <x:c r="C3" s="1"/>
      <x:c r="D3" s="1"/>
      <x:c r="E3" s="1"/>
      <x:c r="F3" s="1"/>
    </x:row>
    <x:row r="4">
      <x:c r="A4" s="46" t="str">
        <x:v>환불 제한</x:v>
      </x:c>
      <x:c r="B4" s="48" t="str">
        <x:v>채널 접근권 수령 후 수익화 해제·정지·저작권 경고·조회수·수익 하락은 환불 불가라고 명시되어 있습니다.</x:v>
      </x:c>
      <x:c r="C4" s="1"/>
      <x:c r="D4" s="1"/>
      <x:c r="E4" s="1"/>
      <x:c r="F4" s="1"/>
    </x:row>
    <x:row r="5">
      <x:c r="A5" s="46" t="str">
        <x:v>보장 범위</x:v>
      </x:c>
      <x:c r="B5" s="48" t="str">
        <x:v>판매자 또는 제3자가 계정을 회수한 경우에만 100% 환불 보증을 명시합니다.</x:v>
      </x:c>
      <x:c r="C5" s="1"/>
      <x:c r="D5" s="1"/>
      <x:c r="E5" s="1"/>
      <x:c r="F5" s="1"/>
    </x:row>
    <x:row r="6">
      <x:c r="A6" s="46" t="str">
        <x:v>필수 조치</x:v>
      </x:c>
      <x:c r="B6" s="48" t="str">
        <x:v>결제 전에 에스크로 담당자에게 수익화·제재·소유권·AdSense 검증 항목을 서면으로 알립니다.</x:v>
      </x:c>
      <x:c r="C6" s="1"/>
      <x:c r="D6" s="1"/>
      <x:c r="E6" s="1"/>
      <x:c r="F6" s="1"/>
    </x:row>
    <x:row r="7">
      <x:c r="A7" s="46" t="str">
        <x:v>권장 방식</x:v>
      </x:c>
      <x:c r="B7" s="48" t="str">
        <x:v>Safest Deal을 선택하고 에스크로 담당자가 검증을 마치기 전 판매자에게 채널 금액을 보내지 않습니다.</x:v>
      </x:c>
      <x:c r="C7" s="1"/>
      <x:c r="D7" s="1"/>
      <x:c r="E7" s="1"/>
      <x:c r="F7" s="1"/>
    </x:row>
    <x:row r="8">
      <x:c r="A8" s="46" t="str">
        <x:v>에스크로 수수료</x:v>
      </x:c>
      <x:c r="B8" s="48" t="str">
        <x:v>채널 가격의 3% 또는 최소 $1 중 큰 금액입니다.</x:v>
      </x:c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6" t="str">
        <x:v>번호</x:v>
      </x:c>
      <x:c r="B10" s="16" t="str">
        <x:v>구매 전 확인 항목</x:v>
      </x:c>
      <x:c r="C10" s="16" t="str">
        <x:v>판매자에게 요구할 증빙</x:v>
      </x:c>
      <x:c r="D10" s="16" t="str">
        <x:v>통과 기준</x:v>
      </x:c>
      <x:c r="E10" s="16" t="str">
        <x:v>상태</x:v>
      </x:c>
      <x:c r="F10" s="16" t="str">
        <x:v>메모</x:v>
      </x:c>
    </x:row>
    <x:row r="11">
      <x:c r="A11" s="49" t="n">
        <x:v>1</x:v>
      </x:c>
      <x:c r="B11" s="49" t="str">
        <x:v>완전한 YPP 광고 수익화</x:v>
      </x:c>
      <x:c r="C11" s="49" t="str">
        <x:v>현재 날짜가 보이는 Studio &gt; Earn 화면</x:v>
      </x:c>
      <x:c r="D11" s="49" t="str">
        <x:v>Watch Page Ads와 Shorts Feed Ads 활성</x:v>
      </x:c>
      <x:c r="E11" s="49" t="str">
        <x:v>미확인</x:v>
      </x:c>
      <x:c r="F11" s="49" t="str">
        <x:v>팬펀딩만 활성인 경우 불통과</x:v>
      </x:c>
    </x:row>
    <x:row r="12">
      <x:c r="A12" s="49" t="n">
        <x:v>2</x:v>
      </x:c>
      <x:c r="B12" s="49" t="str">
        <x:v>28일·90일 성과</x:v>
      </x:c>
      <x:c r="C12" s="49" t="str">
        <x:v>Analytics 화면 녹화 또는 채팅 내 캡처</x:v>
      </x:c>
      <x:c r="D12" s="49" t="str">
        <x:v>조회수·수익·트래픽 소스가 매물 설명과 일치</x:v>
      </x:c>
      <x:c r="E12" s="49" t="str">
        <x:v>미확인</x:v>
      </x:c>
      <x:c r="F12" s="49" t="str">
        <x:v>단일 스크린샷보다 화면 녹화 권장</x:v>
      </x:c>
    </x:row>
    <x:row r="13">
      <x:c r="A13" s="49" t="n">
        <x:v>3</x:v>
      </x:c>
      <x:c r="B13" s="49" t="str">
        <x:v>저작권·정책 상태</x:v>
      </x:c>
      <x:c r="C13" s="49" t="str">
        <x:v>Copyright 및 Channel violations 화면</x:v>
      </x:c>
      <x:c r="D13" s="49" t="str">
        <x:v>활성 경고·스트라이크·재사용 콘텐츠 이력 없음</x:v>
      </x:c>
      <x:c r="E13" s="49" t="str">
        <x:v>미확인</x:v>
      </x:c>
      <x:c r="F13" s="49" t="str">
        <x:v>과거 수익화 중지 이력도 질문</x:v>
      </x:c>
    </x:row>
    <x:row r="14">
      <x:c r="A14" s="49" t="n">
        <x:v>4</x:v>
      </x:c>
      <x:c r="B14" s="49" t="str">
        <x:v>무효 트래픽</x:v>
      </x:c>
      <x:c r="C14" s="49" t="str">
        <x:v>수익 분석과 관련 알림 화면</x:v>
      </x:c>
      <x:c r="D14" s="49" t="str">
        <x:v>무효 트래픽 경고·수익 조정 문제 없음</x:v>
      </x:c>
      <x:c r="E14" s="49" t="str">
        <x:v>미확인</x:v>
      </x:c>
      <x:c r="F14" s="49" t="str">
        <x:v>월수익 과장 후보는 특히 확인</x:v>
      </x:c>
    </x:row>
    <x:row r="15">
      <x:c r="A15" s="49" t="n">
        <x:v>5</x:v>
      </x:c>
      <x:c r="B15" s="49" t="str">
        <x:v>Brand Account</x:v>
      </x:c>
      <x:c r="C15" s="49" t="str">
        <x:v>권한 관리 화면</x:v>
      </x:c>
      <x:c r="D15" s="49" t="str">
        <x:v>Owner 초대 및 Primary Owner 변경 가능</x:v>
      </x:c>
      <x:c r="E15" s="49" t="str">
        <x:v>미확인</x:v>
      </x:c>
      <x:c r="F15" s="49" t="str">
        <x:v>개인 채널이면 안전 이전 불가</x:v>
      </x:c>
    </x:row>
    <x:row r="16">
      <x:c r="A16" s="49" t="n">
        <x:v>6</x:v>
      </x:c>
      <x:c r="B16" s="49" t="str">
        <x:v>AdSense 변경</x:v>
      </x:c>
      <x:c r="C16" s="49" t="str">
        <x:v>Earn 화면의 연결 변경 옵션</x:v>
      </x:c>
      <x:c r="D16" s="49" t="str">
        <x:v>현재 변경 가능, 32일 제한에 걸리지 않음</x:v>
      </x:c>
      <x:c r="E16" s="49" t="str">
        <x:v>미확인</x:v>
      </x:c>
      <x:c r="F16" s="49" t="str">
        <x:v>사이트 OFF 표시는 진행 중단 사유</x:v>
      </x:c>
    </x:row>
    <x:row r="17">
      <x:c r="A17" s="49" t="n">
        <x:v>7</x:v>
      </x:c>
      <x:c r="B17" s="49" t="str">
        <x:v>에스크로 검증 범위</x:v>
      </x:c>
      <x:c r="C17" s="49" t="str">
        <x:v>에스크로 담당자와의 플랫폼 내 채팅</x:v>
      </x:c>
      <x:c r="D17" s="49" t="str">
        <x:v>위 1~6을 결제 전 검증한다고 서면 확인</x:v>
      </x:c>
      <x:c r="E17" s="49" t="str">
        <x:v>미확인</x:v>
      </x:c>
      <x:c r="F17" s="49" t="str">
        <x:v>접근권 수령 뒤 환불 제한</x:v>
      </x:c>
    </x:row>
    <x:row r="18">
      <x:c r="A18" s="49" t="n">
        <x:v>8</x:v>
      </x:c>
      <x:c r="B18" s="49" t="str">
        <x:v>판매자 접근 제거</x:v>
      </x:c>
      <x:c r="C18" s="49" t="str">
        <x:v>권한 관리 화면</x:v>
      </x:c>
      <x:c r="D18" s="49" t="str">
        <x:v>구매자 Primary Owner 지정 후 판매자 완전 제거</x:v>
      </x:c>
      <x:c r="E18" s="49" t="str">
        <x:v>미확인</x:v>
      </x:c>
      <x:c r="F18" s="49" t="str">
        <x:v>복구 보증과 별개로 즉시 확인</x:v>
      </x:c>
    </x:row>
    <x:row r="19">
      <x:c r="A19" s="1"/>
      <x:c r="B19" s="1"/>
      <x:c r="C19" s="1"/>
      <x:c r="D19" s="1"/>
      <x:c r="E19" s="1"/>
      <x:c r="F19" s="1"/>
    </x:row>
    <x:row r="20">
      <x:c r="A20" s="16" t="str">
        <x:v>문의 대상</x:v>
      </x:c>
      <x:c r="B20" s="16" t="str">
        <x:v>가격</x:v>
      </x:c>
      <x:c r="C20" s="16" t="str">
        <x:v>문의일</x:v>
      </x:c>
      <x:c r="D20" s="16" t="str">
        <x:v>상태</x:v>
      </x:c>
      <x:c r="E20" s="16" t="str">
        <x:v>다음 행동</x:v>
      </x:c>
      <x:c r="F20" s="16" t="str">
        <x:v>매물 URL</x:v>
      </x:c>
    </x:row>
    <x:row r="21">
      <x:c r="A21" s="49" t="str">
        <x:v>Serkan SEKOMY</x:v>
      </x:c>
      <x:c r="B21" s="50" t="n">
        <x:v>120</x:v>
      </x:c>
      <x:c r="C21" s="51" t="n">
        <x:v>46277</x:v>
      </x:c>
      <x:c r="D21" s="49" t="str">
        <x:v>답변 대기</x:v>
      </x:c>
      <x:c r="E21" s="49" t="str">
        <x:v>AdSense OFF 사유와 실시간 증빙 확인</x:v>
      </x:c>
      <x:c r="F21" s="49" t="str">
        <x:v>https://omnifluxs.com/channel/f19d1240-1dd8-4b57-a1ac-0eec87477d26</x:v>
      </x:c>
    </x:row>
    <x:row r="22">
      <x:c r="A22" s="49" t="str">
        <x:v>Zach_rhymaxxx</x:v>
      </x:c>
      <x:c r="B22" s="50" t="n">
        <x:v>137</x:v>
      </x:c>
      <x:c r="C22" s="51" t="n">
        <x:v>46277</x:v>
      </x:c>
      <x:c r="D22" s="49" t="str">
        <x:v>테스트 답변 대기</x:v>
      </x:c>
      <x:c r="E22" s="49" t="str">
        <x:v>1차 수익화 허용 기준으로 72시간·200회 조건 문의</x:v>
      </x:c>
      <x:c r="F22" s="49" t="str">
        <x:v>https://omnifluxs.com/channel/08676fb6-51e4-4069-9a29-acc4ce0c49d6</x:v>
      </x:c>
    </x:row>
    <x:row r="23">
      <x:c r="A23" s="49" t="str">
        <x:v>ATULxRBLX</x:v>
      </x:c>
      <x:c r="B23" s="50" t="n">
        <x:v>147</x:v>
      </x:c>
      <x:c r="C23" s="51" t="n">
        <x:v>46277</x:v>
      </x:c>
      <x:c r="D23" s="49" t="str">
        <x:v>테스트 답변 대기</x:v>
      </x:c>
      <x:c r="E23" s="49" t="str">
        <x:v>1차 수익화 허용 기준으로 72시간·200회 조건 문의</x:v>
      </x:c>
      <x:c r="F23" s="49" t="str">
        <x:v>https://omnifluxs.com/channel/90841c40-cfbe-4f6f-a40a-4a4953ae6df9</x:v>
      </x:c>
    </x:row>
    <x:row r="24">
      <x:c r="A24" s="49" t="str">
        <x:v>fart.pranks09</x:v>
      </x:c>
      <x:c r="B24" s="50" t="n">
        <x:v>76</x:v>
      </x:c>
      <x:c r="C24" s="51" t="n">
        <x:v>46277</x:v>
      </x:c>
      <x:c r="D24" s="49" t="str">
        <x:v>답변 대기</x:v>
      </x:c>
      <x:c r="E24" s="49" t="str">
        <x:v>재사용 콘텐츠·저작권·수익 0 사유 확인</x:v>
      </x:c>
      <x:c r="F24" s="49" t="str">
        <x:v>https://omnifluxs.com/channel/6baf2fa7-8268-4377-871b-594fca5e0e4f</x:v>
      </x:c>
    </x:row>
    <x:row r="25">
      <x:c r="A25" s="49" t="str">
        <x:v>Kashmiri Youtuber</x:v>
      </x:c>
      <x:c r="B25" s="50" t="n">
        <x:v>158</x:v>
      </x:c>
      <x:c r="C25" s="51" t="n">
        <x:v>46277</x:v>
      </x:c>
      <x:c r="D25" s="49" t="str">
        <x:v>답변 대기</x:v>
      </x:c>
      <x:c r="E25" s="49" t="str">
        <x:v>시청자 국가·언어·정책 이력 확인</x:v>
      </x:c>
      <x:c r="F25" s="49" t="str">
        <x:v>https://omnifluxs.com/channel/1cf2751d-2f01-4227-910e-a203744b3b84</x:v>
      </x:c>
    </x:row>
    <x:row r="26">
      <x:c r="A26" s="1"/>
      <x:c r="B26" s="1"/>
      <x:c r="C26" s="1"/>
      <x:c r="D26" s="1"/>
      <x:c r="E26" s="1"/>
      <x:c r="F26" s="1"/>
    </x:row>
    <x:row r="27">
      <x:c r="A27" s="16" t="str">
        <x:v>출처</x:v>
      </x:c>
      <x:c r="B27" s="16" t="str">
        <x:v>URL</x:v>
      </x:c>
      <x:c r="C27" s="1"/>
      <x:c r="D27" s="1"/>
      <x:c r="E27" s="1"/>
      <x:c r="F27" s="1"/>
    </x:row>
    <x:row r="28">
      <x:c r="A28" s="49" t="str">
        <x:v>OmniFluxs Escrow Services</x:v>
      </x:c>
      <x:c r="B28" s="49" t="str">
        <x:v>https://omnifluxs.com/escrow-services</x:v>
      </x:c>
      <x:c r="C28" s="1"/>
      <x:c r="D28" s="1"/>
      <x:c r="E28" s="1"/>
      <x:c r="F28" s="1"/>
    </x:row>
    <x:row r="29">
      <x:c r="A29" s="49" t="str">
        <x:v>YouTube YPP 개요</x:v>
      </x:c>
      <x:c r="B29" s="49" t="str">
        <x:v>https://support.google.com/youtube/answer/72851</x:v>
      </x:c>
      <x:c r="C29" s="1"/>
      <x:c r="D29" s="1"/>
      <x:c r="E29" s="1"/>
      <x:c r="F29" s="1"/>
    </x:row>
    <x:row r="30">
      <x:c r="A30" s="49" t="str">
        <x:v>YouTube AdSense 연결 변경</x:v>
      </x:c>
      <x:c r="B30" s="49" t="str">
        <x:v>https://support.google.com/youtube/answer/7367146</x:v>
      </x:c>
      <x:c r="C30" s="1"/>
      <x:c r="D30" s="1"/>
      <x:c r="E30" s="1"/>
      <x:c r="F30" s="1"/>
    </x:row>
  </x:sheetData>
  <x:mergeCells>
    <x:mergeCell ref="A1:F1"/>
  </x:mergeCells>
  <x:pageMargins left="0.7" right="0.7" top="0.75" bottom="0.75" header="0.3" footer="0.3"/>
</x:worksheet>
</file>