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미국피어앤그리드오실레이터\"/>
    </mc:Choice>
  </mc:AlternateContent>
  <xr:revisionPtr revIDLastSave="0" documentId="13_ncr:1_{B81B042F-94D5-49EE-85F5-D2B5C150D545}" xr6:coauthVersionLast="47" xr6:coauthVersionMax="47" xr10:uidLastSave="{00000000-0000-0000-0000-000000000000}"/>
  <workbookProtection workbookAlgorithmName="SHA-512" workbookHashValue="LKgoODYYZxUn1YITf2KyMyQ/Mmv5F2Oebb4C1oTvgC/0vSowtidnrFG5l62b4csX6iwqx8QpbAr9Mhf4wQcC/A==" workbookSaltValue="BvjYYbiFJZDs/LWn0+Wu4w==" workbookSpinCount="100000" lockStructure="1"/>
  <bookViews>
    <workbookView xWindow="11424" yWindow="0" windowWidth="11712" windowHeight="12336" firstSheet="3" activeTab="6" xr2:uid="{00000000-000D-0000-FFFF-FFFF00000000}"/>
  </bookViews>
  <sheets>
    <sheet name="최종정리" sheetId="2" r:id="rId1"/>
    <sheet name="S&amp;P500" sheetId="4" r:id="rId2"/>
    <sheet name="나스닥" sheetId="5" r:id="rId3"/>
    <sheet name="VIX" sheetId="6" r:id="rId4"/>
    <sheet name="10년" sheetId="7" r:id="rId5"/>
    <sheet name="5년" sheetId="8" r:id="rId6"/>
    <sheet name="HYG" sheetId="3" r:id="rId7"/>
    <sheet name="IEF" sheetId="9" r:id="rId8"/>
  </sheets>
  <definedNames>
    <definedName name="_xlnm._FilterDatabase" localSheetId="4" hidden="1">'10년'!$A$1:$F$1</definedName>
    <definedName name="_xlnm._FilterDatabase" localSheetId="5" hidden="1">'5년'!$A$1:$F$1</definedName>
    <definedName name="_xlnm._FilterDatabase" localSheetId="6" hidden="1">HYG!$A$1:$G$1</definedName>
    <definedName name="_xlnm._FilterDatabase" localSheetId="7" hidden="1">IEF!$A$1:$G$1</definedName>
    <definedName name="_xlnm._FilterDatabase" localSheetId="1" hidden="1">'S&amp;P500'!$A$1:$G$1</definedName>
    <definedName name="_xlnm._FilterDatabase" localSheetId="3" hidden="1">VIX!$A$1:$G$1</definedName>
    <definedName name="_xlnm._FilterDatabase" localSheetId="2" hidden="1">나스닥!$A$1:$G$1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2" i="2" l="1"/>
  <c r="C492" i="2"/>
  <c r="D492" i="2"/>
  <c r="E492" i="2"/>
  <c r="F492" i="2"/>
  <c r="G492" i="2"/>
  <c r="H492" i="2"/>
  <c r="H491" i="2"/>
  <c r="G491" i="2"/>
  <c r="F491" i="2"/>
  <c r="E491" i="2"/>
  <c r="D491" i="2"/>
  <c r="C491" i="2"/>
  <c r="B491" i="2"/>
  <c r="B482" i="2"/>
  <c r="C482" i="2"/>
  <c r="D482" i="2"/>
  <c r="E482" i="2"/>
  <c r="F482" i="2"/>
  <c r="G482" i="2"/>
  <c r="H482" i="2"/>
  <c r="B483" i="2"/>
  <c r="C483" i="2"/>
  <c r="D483" i="2"/>
  <c r="E483" i="2"/>
  <c r="F483" i="2"/>
  <c r="G483" i="2"/>
  <c r="H483" i="2"/>
  <c r="B484" i="2"/>
  <c r="C484" i="2"/>
  <c r="D484" i="2"/>
  <c r="E484" i="2"/>
  <c r="F484" i="2"/>
  <c r="G484" i="2"/>
  <c r="H484" i="2"/>
  <c r="B485" i="2"/>
  <c r="C485" i="2"/>
  <c r="D485" i="2"/>
  <c r="E485" i="2"/>
  <c r="F485" i="2"/>
  <c r="G485" i="2"/>
  <c r="H485" i="2"/>
  <c r="B486" i="2"/>
  <c r="C486" i="2"/>
  <c r="D486" i="2"/>
  <c r="E486" i="2"/>
  <c r="F486" i="2"/>
  <c r="G486" i="2"/>
  <c r="H486" i="2"/>
  <c r="B487" i="2"/>
  <c r="C487" i="2"/>
  <c r="D487" i="2"/>
  <c r="E487" i="2"/>
  <c r="F487" i="2"/>
  <c r="G487" i="2"/>
  <c r="H487" i="2"/>
  <c r="B488" i="2"/>
  <c r="C488" i="2"/>
  <c r="D488" i="2"/>
  <c r="E488" i="2"/>
  <c r="F488" i="2"/>
  <c r="G488" i="2"/>
  <c r="H488" i="2"/>
  <c r="B489" i="2"/>
  <c r="C489" i="2"/>
  <c r="D489" i="2"/>
  <c r="E489" i="2"/>
  <c r="F489" i="2"/>
  <c r="G489" i="2"/>
  <c r="H489" i="2"/>
  <c r="B490" i="2"/>
  <c r="C490" i="2"/>
  <c r="D490" i="2"/>
  <c r="E490" i="2"/>
  <c r="F490" i="2"/>
  <c r="G490" i="2"/>
  <c r="H490" i="2"/>
  <c r="H481" i="2"/>
  <c r="G481" i="2"/>
  <c r="F481" i="2"/>
  <c r="E481" i="2"/>
  <c r="D481" i="2"/>
  <c r="C481" i="2"/>
  <c r="B481" i="2"/>
  <c r="H480" i="2"/>
  <c r="G480" i="2"/>
  <c r="F480" i="2"/>
  <c r="E480" i="2"/>
  <c r="D480" i="2"/>
  <c r="C480" i="2"/>
  <c r="B480" i="2"/>
  <c r="H479" i="2"/>
  <c r="G479" i="2"/>
  <c r="F479" i="2"/>
  <c r="E479" i="2"/>
  <c r="D479" i="2"/>
  <c r="C479" i="2"/>
  <c r="B479" i="2"/>
  <c r="H478" i="2"/>
  <c r="G478" i="2"/>
  <c r="F478" i="2"/>
  <c r="E478" i="2"/>
  <c r="D478" i="2"/>
  <c r="C478" i="2"/>
  <c r="B478" i="2"/>
  <c r="H477" i="2"/>
  <c r="G477" i="2"/>
  <c r="F477" i="2"/>
  <c r="E477" i="2"/>
  <c r="D477" i="2"/>
  <c r="C477" i="2"/>
  <c r="B477" i="2"/>
  <c r="H476" i="2"/>
  <c r="G476" i="2"/>
  <c r="F476" i="2"/>
  <c r="E476" i="2"/>
  <c r="D476" i="2"/>
  <c r="C476" i="2"/>
  <c r="B476" i="2"/>
  <c r="H475" i="2"/>
  <c r="G475" i="2"/>
  <c r="F475" i="2"/>
  <c r="E475" i="2"/>
  <c r="D475" i="2"/>
  <c r="C475" i="2"/>
  <c r="B475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474" i="2"/>
  <c r="H474" i="2"/>
  <c r="G474" i="2"/>
  <c r="F474" i="2"/>
  <c r="E474" i="2"/>
  <c r="D474" i="2"/>
  <c r="B474" i="2"/>
  <c r="H473" i="2"/>
  <c r="G473" i="2"/>
  <c r="F473" i="2"/>
  <c r="E473" i="2"/>
  <c r="D473" i="2"/>
  <c r="B473" i="2"/>
  <c r="H472" i="2"/>
  <c r="G472" i="2"/>
  <c r="F472" i="2"/>
  <c r="E472" i="2"/>
  <c r="D472" i="2"/>
  <c r="B472" i="2"/>
  <c r="H471" i="2"/>
  <c r="G471" i="2"/>
  <c r="F471" i="2"/>
  <c r="E471" i="2"/>
  <c r="D471" i="2"/>
  <c r="B471" i="2"/>
  <c r="H470" i="2"/>
  <c r="G470" i="2"/>
  <c r="F470" i="2"/>
  <c r="E470" i="2"/>
  <c r="D470" i="2"/>
  <c r="B470" i="2"/>
  <c r="H469" i="2"/>
  <c r="G469" i="2"/>
  <c r="F469" i="2"/>
  <c r="E469" i="2"/>
  <c r="D469" i="2"/>
  <c r="B469" i="2"/>
  <c r="H468" i="2"/>
  <c r="G468" i="2"/>
  <c r="F468" i="2"/>
  <c r="E468" i="2"/>
  <c r="D468" i="2"/>
  <c r="B468" i="2"/>
  <c r="H467" i="2"/>
  <c r="G467" i="2"/>
  <c r="F467" i="2"/>
  <c r="E467" i="2"/>
  <c r="D467" i="2"/>
  <c r="B467" i="2"/>
  <c r="H466" i="2"/>
  <c r="G466" i="2"/>
  <c r="F466" i="2"/>
  <c r="E466" i="2"/>
  <c r="D466" i="2"/>
  <c r="B466" i="2"/>
  <c r="B465" i="2"/>
  <c r="D465" i="2"/>
  <c r="E465" i="2"/>
  <c r="F465" i="2"/>
  <c r="G465" i="2"/>
  <c r="H465" i="2"/>
  <c r="H464" i="2"/>
  <c r="G464" i="2"/>
  <c r="F464" i="2"/>
  <c r="E464" i="2"/>
  <c r="D464" i="2"/>
  <c r="B464" i="2"/>
  <c r="H463" i="2"/>
  <c r="G463" i="2"/>
  <c r="F463" i="2"/>
  <c r="E463" i="2"/>
  <c r="D463" i="2"/>
  <c r="B463" i="2"/>
  <c r="H462" i="2"/>
  <c r="G462" i="2"/>
  <c r="F462" i="2"/>
  <c r="E462" i="2"/>
  <c r="D462" i="2"/>
  <c r="B462" i="2"/>
  <c r="H461" i="2"/>
  <c r="G461" i="2"/>
  <c r="F461" i="2"/>
  <c r="E461" i="2"/>
  <c r="D461" i="2"/>
  <c r="B461" i="2"/>
  <c r="B460" i="2"/>
  <c r="D460" i="2"/>
  <c r="E460" i="2"/>
  <c r="F460" i="2"/>
  <c r="G460" i="2"/>
  <c r="H460" i="2"/>
  <c r="H459" i="2"/>
  <c r="G459" i="2"/>
  <c r="F459" i="2"/>
  <c r="E459" i="2"/>
  <c r="D459" i="2"/>
  <c r="B459" i="2"/>
  <c r="H458" i="2"/>
  <c r="G458" i="2"/>
  <c r="F458" i="2"/>
  <c r="E458" i="2"/>
  <c r="D458" i="2"/>
  <c r="B458" i="2"/>
  <c r="H457" i="2"/>
  <c r="G457" i="2"/>
  <c r="F457" i="2"/>
  <c r="E457" i="2"/>
  <c r="D457" i="2"/>
  <c r="B457" i="2"/>
  <c r="H456" i="2"/>
  <c r="G456" i="2"/>
  <c r="F456" i="2"/>
  <c r="E456" i="2"/>
  <c r="D456" i="2"/>
  <c r="B456" i="2"/>
  <c r="H455" i="2"/>
  <c r="G455" i="2"/>
  <c r="F455" i="2"/>
  <c r="E455" i="2"/>
  <c r="D455" i="2"/>
  <c r="B455" i="2"/>
  <c r="B454" i="2"/>
  <c r="D454" i="2"/>
  <c r="E454" i="2"/>
  <c r="F454" i="2"/>
  <c r="G454" i="2"/>
  <c r="H454" i="2"/>
  <c r="B453" i="2" l="1"/>
  <c r="D453" i="2"/>
  <c r="E453" i="2"/>
  <c r="F453" i="2"/>
  <c r="G453" i="2"/>
  <c r="H453" i="2"/>
  <c r="B451" i="2" l="1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452" i="2"/>
  <c r="H452" i="2"/>
  <c r="G452" i="2"/>
  <c r="F452" i="2"/>
  <c r="E452" i="2"/>
  <c r="D452" i="2"/>
  <c r="D451" i="2" l="1"/>
  <c r="E451" i="2"/>
  <c r="F451" i="2"/>
  <c r="G451" i="2"/>
  <c r="H451" i="2"/>
  <c r="D450" i="2"/>
  <c r="E450" i="2"/>
  <c r="F450" i="2"/>
  <c r="G450" i="2"/>
  <c r="H450" i="2"/>
  <c r="H449" i="2" l="1"/>
  <c r="G449" i="2"/>
  <c r="F449" i="2"/>
  <c r="E449" i="2"/>
  <c r="D449" i="2"/>
  <c r="D448" i="2" l="1"/>
  <c r="E448" i="2"/>
  <c r="F448" i="2"/>
  <c r="G448" i="2"/>
  <c r="H448" i="2"/>
  <c r="D447" i="2" l="1"/>
  <c r="E447" i="2"/>
  <c r="F447" i="2"/>
  <c r="G447" i="2"/>
  <c r="H447" i="2"/>
  <c r="H446" i="2" l="1"/>
  <c r="G446" i="2"/>
  <c r="F446" i="2"/>
  <c r="E446" i="2"/>
  <c r="D446" i="2"/>
  <c r="H445" i="2" l="1"/>
  <c r="G445" i="2"/>
  <c r="F445" i="2"/>
  <c r="E445" i="2"/>
  <c r="D445" i="2"/>
  <c r="H444" i="2" l="1"/>
  <c r="G444" i="2"/>
  <c r="F444" i="2"/>
  <c r="E444" i="2"/>
  <c r="D444" i="2"/>
  <c r="H443" i="2" l="1"/>
  <c r="G443" i="2"/>
  <c r="F443" i="2"/>
  <c r="E443" i="2"/>
  <c r="D443" i="2"/>
  <c r="D442" i="2" l="1"/>
  <c r="E442" i="2"/>
  <c r="F442" i="2"/>
  <c r="G442" i="2"/>
  <c r="H442" i="2"/>
  <c r="H441" i="2" l="1"/>
  <c r="G441" i="2"/>
  <c r="F441" i="2"/>
  <c r="E441" i="2"/>
  <c r="D441" i="2"/>
  <c r="H440" i="2" l="1"/>
  <c r="G440" i="2"/>
  <c r="F440" i="2"/>
  <c r="E440" i="2"/>
  <c r="D440" i="2"/>
  <c r="H439" i="2" l="1"/>
  <c r="G439" i="2"/>
  <c r="F439" i="2"/>
  <c r="E439" i="2"/>
  <c r="D439" i="2"/>
  <c r="H438" i="2" l="1"/>
  <c r="G438" i="2"/>
  <c r="F438" i="2"/>
  <c r="E438" i="2"/>
  <c r="D438" i="2"/>
  <c r="D437" i="2" l="1"/>
  <c r="E437" i="2"/>
  <c r="F437" i="2"/>
  <c r="G437" i="2"/>
  <c r="H437" i="2"/>
  <c r="D435" i="2" l="1"/>
  <c r="E435" i="2"/>
  <c r="F435" i="2"/>
  <c r="G435" i="2"/>
  <c r="H435" i="2"/>
  <c r="D436" i="2"/>
  <c r="E436" i="2"/>
  <c r="F436" i="2"/>
  <c r="G436" i="2"/>
  <c r="H436" i="2"/>
  <c r="H434" i="2" l="1"/>
  <c r="G434" i="2"/>
  <c r="F434" i="2"/>
  <c r="E434" i="2"/>
  <c r="D434" i="2"/>
  <c r="H433" i="2" l="1"/>
  <c r="G433" i="2"/>
  <c r="F433" i="2"/>
  <c r="E433" i="2"/>
  <c r="D433" i="2"/>
  <c r="H432" i="2" l="1"/>
  <c r="G432" i="2"/>
  <c r="F432" i="2"/>
  <c r="E432" i="2"/>
  <c r="D432" i="2"/>
  <c r="H431" i="2" l="1"/>
  <c r="G431" i="2"/>
  <c r="F431" i="2"/>
  <c r="E431" i="2"/>
  <c r="D431" i="2"/>
  <c r="H430" i="2" l="1"/>
  <c r="G430" i="2"/>
  <c r="F430" i="2"/>
  <c r="E430" i="2"/>
  <c r="D430" i="2"/>
  <c r="D429" i="2" l="1"/>
  <c r="E429" i="2"/>
  <c r="F429" i="2"/>
  <c r="G429" i="2"/>
  <c r="H429" i="2"/>
  <c r="H428" i="2" l="1"/>
  <c r="G428" i="2"/>
  <c r="F428" i="2"/>
  <c r="E428" i="2"/>
  <c r="D428" i="2"/>
  <c r="H427" i="2" l="1"/>
  <c r="G427" i="2"/>
  <c r="F427" i="2"/>
  <c r="E427" i="2"/>
  <c r="D427" i="2"/>
  <c r="H426" i="2" l="1"/>
  <c r="G426" i="2"/>
  <c r="F426" i="2"/>
  <c r="E426" i="2"/>
  <c r="D426" i="2"/>
  <c r="H425" i="2" l="1"/>
  <c r="G425" i="2"/>
  <c r="F425" i="2"/>
  <c r="E425" i="2"/>
  <c r="D425" i="2"/>
  <c r="H424" i="2" l="1"/>
  <c r="G424" i="2"/>
  <c r="F424" i="2"/>
  <c r="E424" i="2"/>
  <c r="D424" i="2"/>
  <c r="H423" i="2" l="1"/>
  <c r="G423" i="2"/>
  <c r="F423" i="2"/>
  <c r="E423" i="2"/>
  <c r="D423" i="2"/>
  <c r="D422" i="2" l="1"/>
  <c r="E422" i="2"/>
  <c r="F422" i="2"/>
  <c r="G422" i="2"/>
  <c r="H422" i="2"/>
  <c r="H421" i="2" l="1"/>
  <c r="G421" i="2"/>
  <c r="F421" i="2"/>
  <c r="E421" i="2"/>
  <c r="D421" i="2"/>
  <c r="H420" i="2" l="1"/>
  <c r="G420" i="2"/>
  <c r="F420" i="2"/>
  <c r="E420" i="2"/>
  <c r="D420" i="2"/>
  <c r="H419" i="2" l="1"/>
  <c r="G419" i="2"/>
  <c r="F419" i="2"/>
  <c r="E419" i="2"/>
  <c r="D419" i="2"/>
  <c r="H418" i="2" l="1"/>
  <c r="G418" i="2"/>
  <c r="F418" i="2"/>
  <c r="E418" i="2"/>
  <c r="D418" i="2"/>
  <c r="H417" i="2" l="1"/>
  <c r="G417" i="2"/>
  <c r="F417" i="2"/>
  <c r="E417" i="2"/>
  <c r="D417" i="2"/>
  <c r="H416" i="2" l="1"/>
  <c r="G416" i="2"/>
  <c r="F416" i="2"/>
  <c r="E416" i="2"/>
  <c r="D416" i="2"/>
  <c r="H415" i="2" l="1"/>
  <c r="G415" i="2"/>
  <c r="F415" i="2"/>
  <c r="E415" i="2"/>
  <c r="D415" i="2"/>
  <c r="H414" i="2" l="1"/>
  <c r="G414" i="2"/>
  <c r="F414" i="2"/>
  <c r="E414" i="2"/>
  <c r="D414" i="2"/>
  <c r="H413" i="2" l="1"/>
  <c r="G413" i="2"/>
  <c r="F413" i="2"/>
  <c r="E413" i="2"/>
  <c r="D413" i="2"/>
  <c r="H412" i="2" l="1"/>
  <c r="G412" i="2"/>
  <c r="F412" i="2"/>
  <c r="E412" i="2"/>
  <c r="D412" i="2"/>
  <c r="H411" i="2" l="1"/>
  <c r="G411" i="2"/>
  <c r="F411" i="2"/>
  <c r="E411" i="2"/>
  <c r="D411" i="2"/>
  <c r="H410" i="2" l="1"/>
  <c r="G410" i="2"/>
  <c r="F410" i="2"/>
  <c r="E410" i="2"/>
  <c r="D410" i="2"/>
  <c r="H409" i="2" l="1"/>
  <c r="G409" i="2"/>
  <c r="F409" i="2"/>
  <c r="E409" i="2"/>
  <c r="D409" i="2"/>
  <c r="D408" i="2" l="1"/>
  <c r="E408" i="2"/>
  <c r="F408" i="2"/>
  <c r="G408" i="2"/>
  <c r="H408" i="2"/>
  <c r="H407" i="2" l="1"/>
  <c r="G407" i="2"/>
  <c r="F407" i="2"/>
  <c r="E407" i="2"/>
  <c r="D407" i="2"/>
  <c r="H406" i="2" l="1"/>
  <c r="G406" i="2"/>
  <c r="F406" i="2"/>
  <c r="E406" i="2"/>
  <c r="D406" i="2"/>
  <c r="H405" i="2" l="1"/>
  <c r="G405" i="2"/>
  <c r="F405" i="2"/>
  <c r="E405" i="2"/>
  <c r="D405" i="2"/>
  <c r="H404" i="2" l="1"/>
  <c r="G404" i="2"/>
  <c r="F404" i="2"/>
  <c r="E404" i="2"/>
  <c r="D404" i="2"/>
  <c r="D403" i="2" l="1"/>
  <c r="E403" i="2"/>
  <c r="F403" i="2"/>
  <c r="G403" i="2"/>
  <c r="H403" i="2"/>
  <c r="H402" i="2" l="1"/>
  <c r="G402" i="2"/>
  <c r="F402" i="2"/>
  <c r="E402" i="2"/>
  <c r="D402" i="2"/>
  <c r="H401" i="2" l="1"/>
  <c r="G401" i="2"/>
  <c r="F401" i="2"/>
  <c r="E401" i="2"/>
  <c r="D401" i="2"/>
  <c r="H400" i="2" l="1"/>
  <c r="G400" i="2"/>
  <c r="F400" i="2"/>
  <c r="E400" i="2"/>
  <c r="D400" i="2"/>
  <c r="H399" i="2"/>
  <c r="G399" i="2"/>
  <c r="F399" i="2"/>
  <c r="E399" i="2"/>
  <c r="D399" i="2"/>
  <c r="H398" i="2"/>
  <c r="G398" i="2"/>
  <c r="F398" i="2"/>
  <c r="E398" i="2"/>
  <c r="D398" i="2"/>
  <c r="H397" i="2" l="1"/>
  <c r="G397" i="2"/>
  <c r="F397" i="2"/>
  <c r="E397" i="2"/>
  <c r="D397" i="2"/>
  <c r="H396" i="2" l="1"/>
  <c r="G396" i="2"/>
  <c r="F396" i="2"/>
  <c r="E396" i="2"/>
  <c r="D396" i="2"/>
  <c r="H395" i="2" l="1"/>
  <c r="G395" i="2"/>
  <c r="F395" i="2"/>
  <c r="E395" i="2"/>
  <c r="D395" i="2"/>
  <c r="H394" i="2" l="1"/>
  <c r="G394" i="2"/>
  <c r="F394" i="2"/>
  <c r="E394" i="2"/>
  <c r="D394" i="2"/>
  <c r="H393" i="2" l="1"/>
  <c r="G393" i="2"/>
  <c r="F393" i="2"/>
  <c r="E393" i="2"/>
  <c r="D393" i="2"/>
  <c r="H392" i="2" l="1"/>
  <c r="G392" i="2"/>
  <c r="F392" i="2"/>
  <c r="E392" i="2"/>
  <c r="D392" i="2"/>
  <c r="H391" i="2"/>
  <c r="G391" i="2"/>
  <c r="F391" i="2"/>
  <c r="E391" i="2"/>
  <c r="D391" i="2"/>
  <c r="H390" i="2" l="1"/>
  <c r="G390" i="2"/>
  <c r="F390" i="2"/>
  <c r="E390" i="2"/>
  <c r="D390" i="2"/>
  <c r="H389" i="2" l="1"/>
  <c r="G389" i="2"/>
  <c r="F389" i="2"/>
  <c r="E389" i="2"/>
  <c r="D389" i="2"/>
  <c r="H388" i="2" l="1"/>
  <c r="G388" i="2"/>
  <c r="F388" i="2"/>
  <c r="E388" i="2"/>
  <c r="D388" i="2"/>
  <c r="H387" i="2" l="1"/>
  <c r="G387" i="2"/>
  <c r="F387" i="2"/>
  <c r="E387" i="2"/>
  <c r="D387" i="2"/>
  <c r="H386" i="2" l="1"/>
  <c r="G386" i="2"/>
  <c r="F386" i="2"/>
  <c r="E386" i="2"/>
  <c r="D386" i="2"/>
  <c r="H385" i="2" l="1"/>
  <c r="G385" i="2"/>
  <c r="F385" i="2"/>
  <c r="E385" i="2"/>
  <c r="D385" i="2"/>
  <c r="H384" i="2" l="1"/>
  <c r="G384" i="2"/>
  <c r="F384" i="2"/>
  <c r="E384" i="2"/>
  <c r="D384" i="2"/>
  <c r="H383" i="2" l="1"/>
  <c r="G383" i="2"/>
  <c r="F383" i="2"/>
  <c r="E383" i="2"/>
  <c r="D383" i="2"/>
  <c r="H382" i="2" l="1"/>
  <c r="G382" i="2"/>
  <c r="F382" i="2"/>
  <c r="E382" i="2"/>
  <c r="D382" i="2"/>
  <c r="H381" i="2" l="1"/>
  <c r="G381" i="2"/>
  <c r="F381" i="2"/>
  <c r="E381" i="2"/>
  <c r="D381" i="2"/>
  <c r="H380" i="2" l="1"/>
  <c r="G380" i="2"/>
  <c r="F380" i="2"/>
  <c r="E380" i="2"/>
  <c r="D380" i="2"/>
  <c r="H379" i="2" l="1"/>
  <c r="G379" i="2"/>
  <c r="F379" i="2"/>
  <c r="E379" i="2"/>
  <c r="D379" i="2"/>
  <c r="H378" i="2" l="1"/>
  <c r="G378" i="2"/>
  <c r="F378" i="2"/>
  <c r="E378" i="2"/>
  <c r="D378" i="2"/>
  <c r="H377" i="2" l="1"/>
  <c r="G377" i="2"/>
  <c r="F377" i="2"/>
  <c r="E377" i="2"/>
  <c r="D377" i="2"/>
  <c r="H376" i="2" l="1"/>
  <c r="G376" i="2"/>
  <c r="F376" i="2"/>
  <c r="E376" i="2"/>
  <c r="D376" i="2"/>
  <c r="H375" i="2" l="1"/>
  <c r="G375" i="2"/>
  <c r="F375" i="2"/>
  <c r="E375" i="2"/>
  <c r="D375" i="2"/>
  <c r="H374" i="2" l="1"/>
  <c r="G374" i="2"/>
  <c r="F374" i="2"/>
  <c r="E374" i="2"/>
  <c r="D374" i="2"/>
  <c r="H373" i="2" l="1"/>
  <c r="G373" i="2"/>
  <c r="F373" i="2"/>
  <c r="E373" i="2"/>
  <c r="D373" i="2"/>
  <c r="H372" i="2" l="1"/>
  <c r="G372" i="2"/>
  <c r="F372" i="2"/>
  <c r="E372" i="2"/>
  <c r="D372" i="2"/>
  <c r="H371" i="2" l="1"/>
  <c r="G371" i="2"/>
  <c r="F371" i="2"/>
  <c r="E371" i="2"/>
  <c r="D371" i="2"/>
  <c r="H370" i="2" l="1"/>
  <c r="G370" i="2"/>
  <c r="F370" i="2"/>
  <c r="E370" i="2"/>
  <c r="D370" i="2"/>
  <c r="H369" i="2" l="1"/>
  <c r="G369" i="2"/>
  <c r="F369" i="2"/>
  <c r="E369" i="2"/>
  <c r="D369" i="2"/>
  <c r="H368" i="2" l="1"/>
  <c r="G368" i="2"/>
  <c r="F368" i="2"/>
  <c r="E368" i="2"/>
  <c r="D368" i="2"/>
  <c r="H367" i="2" l="1"/>
  <c r="G367" i="2"/>
  <c r="F367" i="2"/>
  <c r="E367" i="2"/>
  <c r="D367" i="2"/>
  <c r="F362" i="2" l="1"/>
  <c r="H366" i="2"/>
  <c r="G366" i="2"/>
  <c r="F366" i="2"/>
  <c r="E366" i="2"/>
  <c r="D366" i="2"/>
  <c r="H365" i="2" l="1"/>
  <c r="G365" i="2"/>
  <c r="F365" i="2"/>
  <c r="E365" i="2"/>
  <c r="D365" i="2"/>
  <c r="H364" i="2" l="1"/>
  <c r="G364" i="2"/>
  <c r="F364" i="2"/>
  <c r="E364" i="2"/>
  <c r="D364" i="2"/>
  <c r="H363" i="2" l="1"/>
  <c r="G363" i="2"/>
  <c r="F363" i="2"/>
  <c r="E363" i="2"/>
  <c r="D363" i="2"/>
  <c r="H362" i="2" l="1"/>
  <c r="G362" i="2"/>
  <c r="E362" i="2"/>
  <c r="D362" i="2"/>
  <c r="H361" i="2" l="1"/>
  <c r="G361" i="2"/>
  <c r="F361" i="2"/>
  <c r="E361" i="2"/>
  <c r="D361" i="2"/>
  <c r="H360" i="2" l="1"/>
  <c r="G360" i="2"/>
  <c r="F360" i="2"/>
  <c r="E360" i="2"/>
  <c r="D360" i="2"/>
  <c r="H359" i="2"/>
  <c r="G359" i="2"/>
  <c r="F359" i="2"/>
  <c r="E359" i="2"/>
  <c r="D359" i="2"/>
  <c r="H358" i="2" l="1"/>
  <c r="G358" i="2"/>
  <c r="F358" i="2"/>
  <c r="E358" i="2"/>
  <c r="D358" i="2"/>
  <c r="H357" i="2" l="1"/>
  <c r="G357" i="2"/>
  <c r="F357" i="2"/>
  <c r="E357" i="2"/>
  <c r="D357" i="2"/>
  <c r="H356" i="2" l="1"/>
  <c r="G356" i="2"/>
  <c r="F356" i="2"/>
  <c r="E356" i="2"/>
  <c r="D356" i="2"/>
  <c r="H355" i="2"/>
  <c r="G355" i="2"/>
  <c r="F355" i="2"/>
  <c r="E355" i="2"/>
  <c r="D355" i="2"/>
  <c r="H354" i="2" l="1"/>
  <c r="G354" i="2"/>
  <c r="F354" i="2"/>
  <c r="E354" i="2"/>
  <c r="D354" i="2"/>
  <c r="H353" i="2" l="1"/>
  <c r="G353" i="2"/>
  <c r="F353" i="2"/>
  <c r="E353" i="2"/>
  <c r="D353" i="2"/>
  <c r="H352" i="2" l="1"/>
  <c r="G352" i="2"/>
  <c r="F352" i="2"/>
  <c r="E352" i="2"/>
  <c r="D352" i="2"/>
  <c r="H351" i="2" l="1"/>
  <c r="G351" i="2"/>
  <c r="F351" i="2"/>
  <c r="E351" i="2"/>
  <c r="D351" i="2"/>
  <c r="H350" i="2" l="1"/>
  <c r="G350" i="2"/>
  <c r="F350" i="2"/>
  <c r="E350" i="2"/>
  <c r="D350" i="2"/>
  <c r="H349" i="2" l="1"/>
  <c r="G349" i="2"/>
  <c r="F349" i="2"/>
  <c r="E349" i="2"/>
  <c r="D349" i="2"/>
  <c r="H348" i="2" l="1"/>
  <c r="G348" i="2"/>
  <c r="F348" i="2"/>
  <c r="E348" i="2"/>
  <c r="D348" i="2"/>
  <c r="H347" i="2" l="1"/>
  <c r="G347" i="2"/>
  <c r="F347" i="2"/>
  <c r="E347" i="2"/>
  <c r="D347" i="2"/>
  <c r="H346" i="2" l="1"/>
  <c r="G346" i="2"/>
  <c r="F346" i="2"/>
  <c r="E346" i="2"/>
  <c r="D346" i="2"/>
  <c r="H345" i="2" l="1"/>
  <c r="G345" i="2"/>
  <c r="F345" i="2"/>
  <c r="E345" i="2"/>
  <c r="D345" i="2"/>
  <c r="H344" i="2" l="1"/>
  <c r="G344" i="2"/>
  <c r="F344" i="2"/>
  <c r="E344" i="2"/>
  <c r="D344" i="2"/>
  <c r="D343" i="2" l="1"/>
  <c r="E343" i="2"/>
  <c r="F343" i="2"/>
  <c r="G343" i="2"/>
  <c r="H343" i="2"/>
  <c r="D342" i="2" l="1"/>
  <c r="E342" i="2"/>
  <c r="F342" i="2"/>
  <c r="G342" i="2"/>
  <c r="H342" i="2"/>
  <c r="E341" i="2" l="1"/>
  <c r="F341" i="2"/>
  <c r="G341" i="2"/>
  <c r="H341" i="2"/>
  <c r="D341" i="2"/>
  <c r="H340" i="2" l="1"/>
  <c r="G340" i="2"/>
  <c r="F340" i="2"/>
  <c r="E340" i="2"/>
  <c r="D340" i="2"/>
  <c r="D329" i="2"/>
  <c r="H339" i="2" l="1"/>
  <c r="G339" i="2"/>
  <c r="D339" i="2"/>
  <c r="E339" i="2"/>
  <c r="F339" i="2"/>
  <c r="F338" i="2" l="1"/>
  <c r="E338" i="2"/>
  <c r="D338" i="2"/>
  <c r="F337" i="2" l="1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37" i="2"/>
  <c r="D336" i="2"/>
  <c r="D335" i="2"/>
  <c r="D334" i="2"/>
  <c r="D333" i="2"/>
  <c r="D332" i="2"/>
  <c r="D331" i="2"/>
  <c r="D330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<sst xmlns="http://schemas.openxmlformats.org/spreadsheetml/2006/main" count="1104" uniqueCount="815">
  <si>
    <t>날짜</t>
  </si>
  <si>
    <t>종가</t>
  </si>
  <si>
    <t>시가</t>
  </si>
  <si>
    <t>고가</t>
  </si>
  <si>
    <t>저가</t>
  </si>
  <si>
    <t>거래량</t>
  </si>
  <si>
    <t>변동 %</t>
  </si>
  <si>
    <t>41.55M</t>
  </si>
  <si>
    <t>39.50M</t>
  </si>
  <si>
    <t>32.86M</t>
  </si>
  <si>
    <t>31.16M</t>
  </si>
  <si>
    <t>33.48M</t>
  </si>
  <si>
    <t>25.59M</t>
  </si>
  <si>
    <t>35.70M</t>
  </si>
  <si>
    <t>35.95M</t>
  </si>
  <si>
    <t>43.67M</t>
  </si>
  <si>
    <t>54.16M</t>
  </si>
  <si>
    <t>34.84M</t>
  </si>
  <si>
    <t>44.36M</t>
  </si>
  <si>
    <t>36.76M</t>
  </si>
  <si>
    <t>24.56M</t>
  </si>
  <si>
    <t>27.62M</t>
  </si>
  <si>
    <t>48.27M</t>
  </si>
  <si>
    <t>26.23M</t>
  </si>
  <si>
    <t>25.92M</t>
  </si>
  <si>
    <t>32.34M</t>
  </si>
  <si>
    <t>55.55M</t>
  </si>
  <si>
    <t>48.02M</t>
  </si>
  <si>
    <t>42.73M</t>
  </si>
  <si>
    <t>51.91M</t>
  </si>
  <si>
    <t>32.95M</t>
  </si>
  <si>
    <t>42.95M</t>
  </si>
  <si>
    <t>25.55M</t>
  </si>
  <si>
    <t>33.95M</t>
  </si>
  <si>
    <t>36.25M</t>
  </si>
  <si>
    <t>69.90M</t>
  </si>
  <si>
    <t>38.60M</t>
  </si>
  <si>
    <t>44.32M</t>
  </si>
  <si>
    <t>50.32M</t>
  </si>
  <si>
    <t>31.99M</t>
  </si>
  <si>
    <t>38.72M</t>
  </si>
  <si>
    <t>45.45M</t>
  </si>
  <si>
    <t>24.69M</t>
  </si>
  <si>
    <t>32.80M</t>
  </si>
  <si>
    <t>30.93M</t>
  </si>
  <si>
    <t>24.67M</t>
  </si>
  <si>
    <t>43.32M</t>
  </si>
  <si>
    <t>39.34M</t>
  </si>
  <si>
    <t>21.61M</t>
  </si>
  <si>
    <t>38.08M</t>
  </si>
  <si>
    <t>34.34M</t>
  </si>
  <si>
    <t>30.39M</t>
  </si>
  <si>
    <t>38.32M</t>
  </si>
  <si>
    <t>27.18M</t>
  </si>
  <si>
    <t>33.35M</t>
  </si>
  <si>
    <t>28.48M</t>
  </si>
  <si>
    <t>46.68M</t>
  </si>
  <si>
    <t>53.99M</t>
  </si>
  <si>
    <t>34.65M</t>
  </si>
  <si>
    <t>41.84M</t>
  </si>
  <si>
    <t>36.89M</t>
  </si>
  <si>
    <t>34.69M</t>
  </si>
  <si>
    <t>26.96M</t>
  </si>
  <si>
    <t>29.37M</t>
  </si>
  <si>
    <t>28.52M</t>
  </si>
  <si>
    <t>28.89M</t>
  </si>
  <si>
    <t>31.55M</t>
  </si>
  <si>
    <t>47.86M</t>
  </si>
  <si>
    <t>45.55M</t>
  </si>
  <si>
    <t>29.54M</t>
  </si>
  <si>
    <t>36.06M</t>
  </si>
  <si>
    <t>30.86M</t>
  </si>
  <si>
    <t>31.07M</t>
  </si>
  <si>
    <t>32.22M</t>
  </si>
  <si>
    <t>76.62M</t>
  </si>
  <si>
    <t>50.84M</t>
  </si>
  <si>
    <t>41.44M</t>
  </si>
  <si>
    <t>55.56M</t>
  </si>
  <si>
    <t>55.75M</t>
  </si>
  <si>
    <t>48.16M</t>
  </si>
  <si>
    <t>40.29M</t>
  </si>
  <si>
    <t>54.74M</t>
  </si>
  <si>
    <t>40.77M</t>
  </si>
  <si>
    <t>43.55M</t>
  </si>
  <si>
    <t>40.50M</t>
  </si>
  <si>
    <t>46.37M</t>
  </si>
  <si>
    <t>34.50M</t>
  </si>
  <si>
    <t>33.16M</t>
  </si>
  <si>
    <t>49.94M</t>
  </si>
  <si>
    <t>71.48M</t>
  </si>
  <si>
    <t>41.50M</t>
  </si>
  <si>
    <t>44.20M</t>
  </si>
  <si>
    <t>29.55M</t>
  </si>
  <si>
    <t>34.06M</t>
  </si>
  <si>
    <t>22.96M</t>
  </si>
  <si>
    <t>24.59M</t>
  </si>
  <si>
    <t>24.63M</t>
  </si>
  <si>
    <t>22.11M</t>
  </si>
  <si>
    <t>27.29M</t>
  </si>
  <si>
    <t>56.54M</t>
  </si>
  <si>
    <t>31.75M</t>
  </si>
  <si>
    <t>18.66M</t>
  </si>
  <si>
    <t>20.30M</t>
  </si>
  <si>
    <t>31.11M</t>
  </si>
  <si>
    <t>36.46M</t>
  </si>
  <si>
    <t>20.49M</t>
  </si>
  <si>
    <t>27.77M</t>
  </si>
  <si>
    <t>38.80M</t>
  </si>
  <si>
    <t>44.21M</t>
  </si>
  <si>
    <t>45.38M</t>
  </si>
  <si>
    <t>36.79M</t>
  </si>
  <si>
    <t>39.23M</t>
  </si>
  <si>
    <t>29.79M</t>
  </si>
  <si>
    <t>24.40M</t>
  </si>
  <si>
    <t>32.50M</t>
  </si>
  <si>
    <t>24.90M</t>
  </si>
  <si>
    <t>25.34M</t>
  </si>
  <si>
    <t>51.78M</t>
  </si>
  <si>
    <t>38.53M</t>
  </si>
  <si>
    <t>52.95M</t>
  </si>
  <si>
    <t>33.17M</t>
  </si>
  <si>
    <t>46.85M</t>
  </si>
  <si>
    <t>26.99M</t>
  </si>
  <si>
    <t>29.15M</t>
  </si>
  <si>
    <t>28.77M</t>
  </si>
  <si>
    <t>27.58M</t>
  </si>
  <si>
    <t>29.28M</t>
  </si>
  <si>
    <t>29.40M</t>
  </si>
  <si>
    <t>34.95M</t>
  </si>
  <si>
    <t>30.42M</t>
  </si>
  <si>
    <t>22.07M</t>
  </si>
  <si>
    <t>25.94M</t>
  </si>
  <si>
    <t>19.15M</t>
  </si>
  <si>
    <t>25.36M</t>
  </si>
  <si>
    <t>44.93M</t>
  </si>
  <si>
    <t>31.69M</t>
  </si>
  <si>
    <t>23.24M</t>
  </si>
  <si>
    <t>41.38M</t>
  </si>
  <si>
    <t>32.75M</t>
  </si>
  <si>
    <t>42.51M</t>
  </si>
  <si>
    <t>36.13M</t>
  </si>
  <si>
    <t>32.38M</t>
  </si>
  <si>
    <t>28.83M</t>
  </si>
  <si>
    <t>37.61M</t>
  </si>
  <si>
    <t>35.41M</t>
  </si>
  <si>
    <t>23.68M</t>
  </si>
  <si>
    <t>28.47M</t>
  </si>
  <si>
    <t>33.65M</t>
  </si>
  <si>
    <t>50.71M</t>
  </si>
  <si>
    <t>51.32M</t>
  </si>
  <si>
    <t>71.58M</t>
  </si>
  <si>
    <t>103.82M</t>
  </si>
  <si>
    <t>60.11M</t>
  </si>
  <si>
    <t>56.11M</t>
  </si>
  <si>
    <t>31.53M</t>
  </si>
  <si>
    <t>29.76M</t>
  </si>
  <si>
    <t>33.88M</t>
  </si>
  <si>
    <t>37.31M</t>
  </si>
  <si>
    <t>36.09M</t>
  </si>
  <si>
    <t>39.41M</t>
  </si>
  <si>
    <t>33.68M</t>
  </si>
  <si>
    <t>29.60M</t>
  </si>
  <si>
    <t>33.19M</t>
  </si>
  <si>
    <t>34.27M</t>
  </si>
  <si>
    <t>29.29M</t>
  </si>
  <si>
    <t>32.59M</t>
  </si>
  <si>
    <t>20.46M</t>
  </si>
  <si>
    <t>22.78M</t>
  </si>
  <si>
    <t>22.35M</t>
  </si>
  <si>
    <t>18.35M</t>
  </si>
  <si>
    <t>27.63M</t>
  </si>
  <si>
    <t>31.60M</t>
  </si>
  <si>
    <t>32.37M</t>
  </si>
  <si>
    <t>44.39M</t>
  </si>
  <si>
    <t>49.89M</t>
  </si>
  <si>
    <t>24.82M</t>
  </si>
  <si>
    <t>38.35M</t>
  </si>
  <si>
    <t>42.34M</t>
  </si>
  <si>
    <t>28.51M</t>
  </si>
  <si>
    <t>31.81M</t>
  </si>
  <si>
    <t>31.40M</t>
  </si>
  <si>
    <t>27.42M</t>
  </si>
  <si>
    <t>39.55M</t>
  </si>
  <si>
    <t>48.79M</t>
  </si>
  <si>
    <t>43.63M</t>
  </si>
  <si>
    <t>29.05M</t>
  </si>
  <si>
    <t>28.67M</t>
  </si>
  <si>
    <t>28.90M</t>
  </si>
  <si>
    <t>32.73M</t>
  </si>
  <si>
    <t>36.71M</t>
  </si>
  <si>
    <t>33.01M</t>
  </si>
  <si>
    <t>45.99M</t>
  </si>
  <si>
    <t>41.21M</t>
  </si>
  <si>
    <t>31.15M</t>
  </si>
  <si>
    <t>40.12M</t>
  </si>
  <si>
    <t>69.20M</t>
  </si>
  <si>
    <t>40.95M</t>
  </si>
  <si>
    <t>42.43M</t>
  </si>
  <si>
    <t>30.09M</t>
  </si>
  <si>
    <t>26.97M</t>
  </si>
  <si>
    <t>12.07M</t>
  </si>
  <si>
    <t>31.13M</t>
  </si>
  <si>
    <t>31.63M</t>
  </si>
  <si>
    <t>46.60M</t>
  </si>
  <si>
    <t>28.91M</t>
  </si>
  <si>
    <t>36.34M</t>
  </si>
  <si>
    <t>35.47M</t>
  </si>
  <si>
    <t>39.76M</t>
  </si>
  <si>
    <t>30.16M</t>
  </si>
  <si>
    <t>35.59M</t>
  </si>
  <si>
    <t>31.85M</t>
  </si>
  <si>
    <t>42.99M</t>
  </si>
  <si>
    <t>28.73M</t>
  </si>
  <si>
    <t>43.19M</t>
  </si>
  <si>
    <t>44.05M</t>
  </si>
  <si>
    <t>31.61M</t>
  </si>
  <si>
    <t>43.17M</t>
  </si>
  <si>
    <t>51.33M</t>
  </si>
  <si>
    <t>30.54M</t>
  </si>
  <si>
    <t>11.01M</t>
  </si>
  <si>
    <t>44.59M</t>
  </si>
  <si>
    <t>33.87M</t>
  </si>
  <si>
    <t>33.71M</t>
  </si>
  <si>
    <t>27.83M</t>
  </si>
  <si>
    <t>34.52M</t>
  </si>
  <si>
    <t>19.93M</t>
  </si>
  <si>
    <t>28.04M</t>
  </si>
  <si>
    <t>29.56M</t>
  </si>
  <si>
    <t>35.00M</t>
  </si>
  <si>
    <t>41.10M</t>
  </si>
  <si>
    <t>30.24M</t>
  </si>
  <si>
    <t>25.04M</t>
  </si>
  <si>
    <t>32.39M</t>
  </si>
  <si>
    <t>24.87M</t>
  </si>
  <si>
    <t>22.73M</t>
  </si>
  <si>
    <t>23.11M</t>
  </si>
  <si>
    <t>29.93M</t>
  </si>
  <si>
    <t>22.10M</t>
  </si>
  <si>
    <t>27.20M</t>
  </si>
  <si>
    <t>24.73M</t>
  </si>
  <si>
    <t>29.08M</t>
  </si>
  <si>
    <t>34.20M</t>
  </si>
  <si>
    <t>22.27M</t>
  </si>
  <si>
    <t>29.04M</t>
  </si>
  <si>
    <t>80.03M</t>
  </si>
  <si>
    <t>69.01M</t>
  </si>
  <si>
    <t>63.28M</t>
  </si>
  <si>
    <t>29.24M</t>
  </si>
  <si>
    <t>11.93M</t>
  </si>
  <si>
    <t>18.38M</t>
  </si>
  <si>
    <t>20.63M</t>
  </si>
  <si>
    <t>20.66M</t>
  </si>
  <si>
    <t>32.61M</t>
  </si>
  <si>
    <t>32.11M</t>
  </si>
  <si>
    <t>43.79M</t>
  </si>
  <si>
    <t>35.30M</t>
  </si>
  <si>
    <t>37.42M</t>
  </si>
  <si>
    <t>39.18M</t>
  </si>
  <si>
    <t>29.58M</t>
  </si>
  <si>
    <t>53.57M</t>
  </si>
  <si>
    <t>32.36M</t>
  </si>
  <si>
    <t>32.96M</t>
  </si>
  <si>
    <t>25.03M</t>
  </si>
  <si>
    <t>27.43M</t>
  </si>
  <si>
    <t>23.65M</t>
  </si>
  <si>
    <t>28.54M</t>
  </si>
  <si>
    <t>30.44M</t>
  </si>
  <si>
    <t>20.07M</t>
  </si>
  <si>
    <t>37.10M</t>
  </si>
  <si>
    <t>29.97M</t>
  </si>
  <si>
    <t>28.94M</t>
  </si>
  <si>
    <t>31.83M</t>
  </si>
  <si>
    <t>24.22M</t>
  </si>
  <si>
    <t>28.78M</t>
  </si>
  <si>
    <t>23.38M</t>
  </si>
  <si>
    <t>24.41M</t>
  </si>
  <si>
    <t>34.36M</t>
  </si>
  <si>
    <t>36.15M</t>
  </si>
  <si>
    <t>26.67M</t>
  </si>
  <si>
    <t>23.27M</t>
  </si>
  <si>
    <t>38.96M</t>
  </si>
  <si>
    <t>25.79M</t>
  </si>
  <si>
    <t>32.02M</t>
  </si>
  <si>
    <t>21.03M</t>
  </si>
  <si>
    <t>30.60M</t>
  </si>
  <si>
    <t>21.78M</t>
  </si>
  <si>
    <t>40.52M</t>
  </si>
  <si>
    <t>40.73M</t>
  </si>
  <si>
    <t>66.27M</t>
  </si>
  <si>
    <t>32.30M</t>
  </si>
  <si>
    <t>50.43M</t>
  </si>
  <si>
    <t>52.83M</t>
  </si>
  <si>
    <t>57.60M</t>
  </si>
  <si>
    <t>75.83M</t>
  </si>
  <si>
    <t>53.76M</t>
  </si>
  <si>
    <t>81.22M</t>
  </si>
  <si>
    <t>51.47M</t>
  </si>
  <si>
    <t>40.20M</t>
  </si>
  <si>
    <t>45.21M</t>
  </si>
  <si>
    <t>42.98M</t>
  </si>
  <si>
    <t>35.12M</t>
  </si>
  <si>
    <t>36.39M</t>
  </si>
  <si>
    <t>52.26M</t>
  </si>
  <si>
    <t>38.49M</t>
  </si>
  <si>
    <t>58.90M</t>
  </si>
  <si>
    <t>47.85M</t>
  </si>
  <si>
    <t>54.26M</t>
  </si>
  <si>
    <t>49.07M</t>
  </si>
  <si>
    <t>116.40M</t>
  </si>
  <si>
    <t>181.27M</t>
  </si>
  <si>
    <t>193.37M</t>
  </si>
  <si>
    <t>106.01M</t>
  </si>
  <si>
    <t>152.38M</t>
  </si>
  <si>
    <t>93.88M</t>
  </si>
  <si>
    <t>71.88M</t>
  </si>
  <si>
    <t>50.01M</t>
  </si>
  <si>
    <t>39.79M</t>
  </si>
  <si>
    <t>52.03M</t>
  </si>
  <si>
    <t>37.36M</t>
  </si>
  <si>
    <t>36.08M</t>
  </si>
  <si>
    <t>33.94M</t>
  </si>
  <si>
    <t>63.72M</t>
  </si>
  <si>
    <t>49.01M</t>
  </si>
  <si>
    <t>47.98M</t>
  </si>
  <si>
    <t>42.22M</t>
  </si>
  <si>
    <t>51.20M</t>
  </si>
  <si>
    <t>69.99M</t>
  </si>
  <si>
    <t>50.85M</t>
  </si>
  <si>
    <t>41.35M</t>
  </si>
  <si>
    <t>39.82M</t>
  </si>
  <si>
    <t>1.14B</t>
  </si>
  <si>
    <t>1.30B</t>
  </si>
  <si>
    <t>1.27B</t>
  </si>
  <si>
    <t>1.48B</t>
  </si>
  <si>
    <t>1.33B</t>
  </si>
  <si>
    <t>1.17B</t>
  </si>
  <si>
    <t>1.41B</t>
  </si>
  <si>
    <t>1.20B</t>
  </si>
  <si>
    <t>1.25B</t>
  </si>
  <si>
    <t>1.34B</t>
  </si>
  <si>
    <t>1.16B</t>
  </si>
  <si>
    <t>1.36B</t>
  </si>
  <si>
    <t>1.53B</t>
  </si>
  <si>
    <t>1.88B</t>
  </si>
  <si>
    <t>2.71B</t>
  </si>
  <si>
    <t>1.92B</t>
  </si>
  <si>
    <t>2.41B</t>
  </si>
  <si>
    <t>2.15B</t>
  </si>
  <si>
    <t>1.72B</t>
  </si>
  <si>
    <t>8.41B</t>
  </si>
  <si>
    <t>1.62B</t>
  </si>
  <si>
    <t>1.28B</t>
  </si>
  <si>
    <t>1.19B</t>
  </si>
  <si>
    <t>1.26B</t>
  </si>
  <si>
    <t>3.33B</t>
  </si>
  <si>
    <t>1.22B</t>
  </si>
  <si>
    <t>1.56B</t>
  </si>
  <si>
    <t>1.65B</t>
  </si>
  <si>
    <t>1.44B</t>
  </si>
  <si>
    <t>1.45B</t>
  </si>
  <si>
    <t>1.38B</t>
  </si>
  <si>
    <t>1.96B</t>
  </si>
  <si>
    <t>1.47B</t>
  </si>
  <si>
    <t>1.32B</t>
  </si>
  <si>
    <t>1.51B</t>
  </si>
  <si>
    <t>1.46B</t>
  </si>
  <si>
    <t>1.55B</t>
  </si>
  <si>
    <t>1.29B</t>
  </si>
  <si>
    <t>1.49B</t>
  </si>
  <si>
    <t>1.40B</t>
  </si>
  <si>
    <t>1.31B</t>
  </si>
  <si>
    <t>1.24B</t>
  </si>
  <si>
    <t>1.68B</t>
  </si>
  <si>
    <t>1.42B</t>
  </si>
  <si>
    <t>1.64B</t>
  </si>
  <si>
    <t>1.59B</t>
  </si>
  <si>
    <t>1.35B</t>
  </si>
  <si>
    <t>1.03B</t>
  </si>
  <si>
    <t>711.22M</t>
  </si>
  <si>
    <t>3.70B</t>
  </si>
  <si>
    <t>1.79B</t>
  </si>
  <si>
    <t>1.15B</t>
  </si>
  <si>
    <t>1.23B</t>
  </si>
  <si>
    <t>1.13B</t>
  </si>
  <si>
    <t>797.08M</t>
  </si>
  <si>
    <t>1.12B</t>
  </si>
  <si>
    <t>1.91B</t>
  </si>
  <si>
    <t>1.37B</t>
  </si>
  <si>
    <t>1.39B</t>
  </si>
  <si>
    <t>1.43B</t>
  </si>
  <si>
    <t>1.07B</t>
  </si>
  <si>
    <t>1.04B</t>
  </si>
  <si>
    <t>1.05B</t>
  </si>
  <si>
    <t>976.29M</t>
  </si>
  <si>
    <t>977.77M</t>
  </si>
  <si>
    <t>1.02B</t>
  </si>
  <si>
    <t>949.37M</t>
  </si>
  <si>
    <t>1.01B</t>
  </si>
  <si>
    <t>901.62M</t>
  </si>
  <si>
    <t>912.77M</t>
  </si>
  <si>
    <t>957.62M</t>
  </si>
  <si>
    <t>898.50M</t>
  </si>
  <si>
    <t>944.80M</t>
  </si>
  <si>
    <t>950.41M</t>
  </si>
  <si>
    <t>908.71M</t>
  </si>
  <si>
    <t>985.44M</t>
  </si>
  <si>
    <t>1.11B</t>
  </si>
  <si>
    <t>1.10B</t>
  </si>
  <si>
    <t>958.50M</t>
  </si>
  <si>
    <t>1.09B</t>
  </si>
  <si>
    <t>3.61B</t>
  </si>
  <si>
    <t>940.89M</t>
  </si>
  <si>
    <t>876.14M</t>
  </si>
  <si>
    <t>927.28M</t>
  </si>
  <si>
    <t>952.15M</t>
  </si>
  <si>
    <t>936.37M</t>
  </si>
  <si>
    <t>1.08B</t>
  </si>
  <si>
    <t>933.23M</t>
  </si>
  <si>
    <t>966.70M</t>
  </si>
  <si>
    <t>974.88M</t>
  </si>
  <si>
    <t>949.55M</t>
  </si>
  <si>
    <t>799.40M</t>
  </si>
  <si>
    <t>924.58M</t>
  </si>
  <si>
    <t>1.00B</t>
  </si>
  <si>
    <t>938.95M</t>
  </si>
  <si>
    <t>892.18M</t>
  </si>
  <si>
    <t>905.04M</t>
  </si>
  <si>
    <t>989.75M</t>
  </si>
  <si>
    <t>948.92M</t>
  </si>
  <si>
    <t>4.10B</t>
  </si>
  <si>
    <t>909.68M</t>
  </si>
  <si>
    <t>972.96M</t>
  </si>
  <si>
    <t>960.97M</t>
  </si>
  <si>
    <t>971.36M</t>
  </si>
  <si>
    <t>914.80M</t>
  </si>
  <si>
    <t>984.76M</t>
  </si>
  <si>
    <t>963.80M</t>
  </si>
  <si>
    <t>692.06M</t>
  </si>
  <si>
    <t>932.12M</t>
  </si>
  <si>
    <t>3.78B</t>
  </si>
  <si>
    <t>3.54B</t>
  </si>
  <si>
    <t>965.43M</t>
  </si>
  <si>
    <t>981.98M</t>
  </si>
  <si>
    <t>941.87M</t>
  </si>
  <si>
    <t>897.39M</t>
  </si>
  <si>
    <t>940.92M</t>
  </si>
  <si>
    <t>975.74M</t>
  </si>
  <si>
    <t>1.06B</t>
  </si>
  <si>
    <t>1.81B</t>
  </si>
  <si>
    <t>953.61M</t>
  </si>
  <si>
    <t>1.21B</t>
  </si>
  <si>
    <t>953.22M</t>
  </si>
  <si>
    <t>940.76M</t>
  </si>
  <si>
    <t>945.46M</t>
  </si>
  <si>
    <t>976.92M</t>
  </si>
  <si>
    <t>919.31M</t>
  </si>
  <si>
    <t>953.16M</t>
  </si>
  <si>
    <t>939.96M</t>
  </si>
  <si>
    <t>990.23M</t>
  </si>
  <si>
    <t>955.27M</t>
  </si>
  <si>
    <t>981.75M</t>
  </si>
  <si>
    <t>930.20M</t>
  </si>
  <si>
    <t>936.42M</t>
  </si>
  <si>
    <t>896.71M</t>
  </si>
  <si>
    <t>912.04M</t>
  </si>
  <si>
    <t>980.76M</t>
  </si>
  <si>
    <t>906.05M</t>
  </si>
  <si>
    <t>888.86M</t>
  </si>
  <si>
    <t>992.41M</t>
  </si>
  <si>
    <t>888.26M</t>
  </si>
  <si>
    <t>852.61M</t>
  </si>
  <si>
    <t>903.32M</t>
  </si>
  <si>
    <t>930.02M</t>
  </si>
  <si>
    <t>986.80M</t>
  </si>
  <si>
    <t>896.53M</t>
  </si>
  <si>
    <t>880.01M</t>
  </si>
  <si>
    <t>3.07B</t>
  </si>
  <si>
    <t>1.18B</t>
  </si>
  <si>
    <t>970.77M</t>
  </si>
  <si>
    <t>984.02M</t>
  </si>
  <si>
    <t>943.13M</t>
  </si>
  <si>
    <t>931.55M</t>
  </si>
  <si>
    <t>923.28M</t>
  </si>
  <si>
    <t>956.87M</t>
  </si>
  <si>
    <t>915.72M</t>
  </si>
  <si>
    <t>959.39M</t>
  </si>
  <si>
    <t>857.50M</t>
  </si>
  <si>
    <t>998.98M</t>
  </si>
  <si>
    <t>932.89M</t>
  </si>
  <si>
    <t>959.54M</t>
  </si>
  <si>
    <t>944.50M</t>
  </si>
  <si>
    <t>865.51M</t>
  </si>
  <si>
    <t>904.43M</t>
  </si>
  <si>
    <t>959.65M</t>
  </si>
  <si>
    <t>DATE</t>
    <phoneticPr fontId="1" type="noConversion"/>
  </si>
  <si>
    <t>S&amp;P500</t>
    <phoneticPr fontId="1" type="noConversion"/>
  </si>
  <si>
    <t>NASDAQ</t>
    <phoneticPr fontId="1" type="noConversion"/>
  </si>
  <si>
    <t>VIX</t>
    <phoneticPr fontId="1" type="noConversion"/>
  </si>
  <si>
    <t>9.44M</t>
  </si>
  <si>
    <t>11.04M</t>
  </si>
  <si>
    <t>7.35M</t>
  </si>
  <si>
    <t>10.00M</t>
  </si>
  <si>
    <t>7.04M</t>
  </si>
  <si>
    <t>7.36M</t>
  </si>
  <si>
    <t>9.21M</t>
  </si>
  <si>
    <t>10.31M</t>
  </si>
  <si>
    <t>8.47M</t>
  </si>
  <si>
    <t>9.85M</t>
  </si>
  <si>
    <t>9.17M</t>
  </si>
  <si>
    <t>8.91M</t>
  </si>
  <si>
    <t>17.71M</t>
  </si>
  <si>
    <t>9.83M</t>
  </si>
  <si>
    <t>6.43M</t>
  </si>
  <si>
    <t>9.72M</t>
  </si>
  <si>
    <t>11.59M</t>
  </si>
  <si>
    <t>9.13M</t>
  </si>
  <si>
    <t>6.95M</t>
  </si>
  <si>
    <t>7.27M</t>
  </si>
  <si>
    <t>15.78M</t>
  </si>
  <si>
    <t>33.37M</t>
  </si>
  <si>
    <t>13.81M</t>
  </si>
  <si>
    <t>12.15M</t>
  </si>
  <si>
    <t>9.33M</t>
  </si>
  <si>
    <t>8.62M</t>
  </si>
  <si>
    <t>7.81M</t>
  </si>
  <si>
    <t>8.49M</t>
  </si>
  <si>
    <t>7.02M</t>
  </si>
  <si>
    <t>11.98M</t>
  </si>
  <si>
    <t>8.98M</t>
  </si>
  <si>
    <t>6.79M</t>
  </si>
  <si>
    <t>7.15M</t>
  </si>
  <si>
    <t>8.29M</t>
  </si>
  <si>
    <t>6.45M</t>
  </si>
  <si>
    <t>8.69M</t>
  </si>
  <si>
    <t>6.42M</t>
  </si>
  <si>
    <t>7.54M</t>
  </si>
  <si>
    <t>5.29M</t>
  </si>
  <si>
    <t>11.92M</t>
  </si>
  <si>
    <t>11.86M</t>
  </si>
  <si>
    <t>6.64M</t>
  </si>
  <si>
    <t>7.67M</t>
  </si>
  <si>
    <t>9.50M</t>
  </si>
  <si>
    <t>8.42M</t>
  </si>
  <si>
    <t>8.10M</t>
  </si>
  <si>
    <t>5.57M</t>
  </si>
  <si>
    <t>6.56M</t>
  </si>
  <si>
    <t>9.71M</t>
  </si>
  <si>
    <t>10.06M</t>
  </si>
  <si>
    <t>6.59M</t>
  </si>
  <si>
    <t>5.32M</t>
  </si>
  <si>
    <t>5.47M</t>
  </si>
  <si>
    <t>10.19M</t>
  </si>
  <si>
    <t>8.27M</t>
  </si>
  <si>
    <t>6.12M</t>
  </si>
  <si>
    <t>4.49M</t>
  </si>
  <si>
    <t>5.48M</t>
  </si>
  <si>
    <t>4.84M</t>
  </si>
  <si>
    <t>7.56M</t>
  </si>
  <si>
    <t>10.85M</t>
  </si>
  <si>
    <t>7.21M</t>
  </si>
  <si>
    <t>12.91M</t>
  </si>
  <si>
    <t>6.96M</t>
  </si>
  <si>
    <t>6.33M</t>
  </si>
  <si>
    <t>7.12M</t>
  </si>
  <si>
    <t>5.16M</t>
  </si>
  <si>
    <t>14.99M</t>
  </si>
  <si>
    <t>9.37M</t>
  </si>
  <si>
    <t>11.68M</t>
  </si>
  <si>
    <t>12.32M</t>
  </si>
  <si>
    <t>12.03M</t>
  </si>
  <si>
    <t>10.52M</t>
  </si>
  <si>
    <t>6.13M</t>
  </si>
  <si>
    <t>4.00M</t>
  </si>
  <si>
    <t>8.32M</t>
  </si>
  <si>
    <t>7.57M</t>
  </si>
  <si>
    <t>5.78M</t>
  </si>
  <si>
    <t>5.43M</t>
  </si>
  <si>
    <t>4.85M</t>
  </si>
  <si>
    <t>7.52M</t>
  </si>
  <si>
    <t>12.39M</t>
  </si>
  <si>
    <t>8.66M</t>
  </si>
  <si>
    <t>8.50M</t>
  </si>
  <si>
    <t>4.04M</t>
  </si>
  <si>
    <t>7.78M</t>
  </si>
  <si>
    <t>9.02M</t>
  </si>
  <si>
    <t>9.63M</t>
  </si>
  <si>
    <t>3.20M</t>
  </si>
  <si>
    <t>3.23M</t>
  </si>
  <si>
    <t>4.69M</t>
  </si>
  <si>
    <t>11.38M</t>
  </si>
  <si>
    <t>4.28M</t>
  </si>
  <si>
    <t>3.88M</t>
  </si>
  <si>
    <t>4.58M</t>
  </si>
  <si>
    <t>2.67M</t>
  </si>
  <si>
    <t>3.62M</t>
  </si>
  <si>
    <t>6.01M</t>
  </si>
  <si>
    <t>3.93M</t>
  </si>
  <si>
    <t>8.76M</t>
  </si>
  <si>
    <t>10.13M</t>
  </si>
  <si>
    <t>5.07M</t>
  </si>
  <si>
    <t>4.81M</t>
  </si>
  <si>
    <t>7.68M</t>
  </si>
  <si>
    <t>8.75M</t>
  </si>
  <si>
    <t>6.47M</t>
  </si>
  <si>
    <t>5.85M</t>
  </si>
  <si>
    <t>7.13M</t>
  </si>
  <si>
    <t>3.94M</t>
  </si>
  <si>
    <t>3.95M</t>
  </si>
  <si>
    <t>9.24M</t>
  </si>
  <si>
    <t>6.53M</t>
  </si>
  <si>
    <t>5.42M</t>
  </si>
  <si>
    <t>4.96M</t>
  </si>
  <si>
    <t>5.23M</t>
  </si>
  <si>
    <t>3.57M</t>
  </si>
  <si>
    <t>5.28M</t>
  </si>
  <si>
    <t>3.79M</t>
  </si>
  <si>
    <t>4.20M</t>
  </si>
  <si>
    <t>4.95M</t>
  </si>
  <si>
    <t>6.03M</t>
  </si>
  <si>
    <t>13.66M</t>
  </si>
  <si>
    <t>8.20M</t>
  </si>
  <si>
    <t>3.86M</t>
  </si>
  <si>
    <t>5.11M</t>
  </si>
  <si>
    <t>3.01M</t>
  </si>
  <si>
    <t>4.08M</t>
  </si>
  <si>
    <t>9.66M</t>
  </si>
  <si>
    <t>4.30M</t>
  </si>
  <si>
    <t>3.75M</t>
  </si>
  <si>
    <t>4.71M</t>
  </si>
  <si>
    <t>8.64M</t>
  </si>
  <si>
    <t>5.27M</t>
  </si>
  <si>
    <t>3.87M</t>
  </si>
  <si>
    <t>5.10M</t>
  </si>
  <si>
    <t>4.73M</t>
  </si>
  <si>
    <t>4.34M</t>
  </si>
  <si>
    <t>5.22M</t>
  </si>
  <si>
    <t>6.17M</t>
  </si>
  <si>
    <t>4.42M</t>
  </si>
  <si>
    <t>10.98M</t>
  </si>
  <si>
    <t>10.49M</t>
  </si>
  <si>
    <t>18.29M</t>
  </si>
  <si>
    <t>19.10M</t>
  </si>
  <si>
    <t>9.51M</t>
  </si>
  <si>
    <t>4.86M</t>
  </si>
  <si>
    <t>5.17M</t>
  </si>
  <si>
    <t>4.17M</t>
  </si>
  <si>
    <t>6.46M</t>
  </si>
  <si>
    <t>5.51M</t>
  </si>
  <si>
    <t>4.44M</t>
  </si>
  <si>
    <t>4.89M</t>
  </si>
  <si>
    <t>5.39M</t>
  </si>
  <si>
    <t>4.82M</t>
  </si>
  <si>
    <t>3.06M</t>
  </si>
  <si>
    <t>4.43M</t>
  </si>
  <si>
    <t>8.15M</t>
  </si>
  <si>
    <t>6.20M</t>
  </si>
  <si>
    <t>4.80M</t>
  </si>
  <si>
    <t>8.23M</t>
  </si>
  <si>
    <t>9.91M</t>
  </si>
  <si>
    <t>33.64M</t>
  </si>
  <si>
    <t>17.78M</t>
  </si>
  <si>
    <t>8.53M</t>
  </si>
  <si>
    <t>7.92M</t>
  </si>
  <si>
    <t>7.29M</t>
  </si>
  <si>
    <t>5.93M</t>
  </si>
  <si>
    <t>5.31M</t>
  </si>
  <si>
    <t>6.67M</t>
  </si>
  <si>
    <t>8.58M</t>
  </si>
  <si>
    <t>16.77M</t>
  </si>
  <si>
    <t>6.58M</t>
  </si>
  <si>
    <t>7.49M</t>
  </si>
  <si>
    <t>10.46M</t>
  </si>
  <si>
    <t>8.03M</t>
  </si>
  <si>
    <t>6.21M</t>
  </si>
  <si>
    <t>8.90M</t>
  </si>
  <si>
    <t>11.67M</t>
  </si>
  <si>
    <t>7.74M</t>
  </si>
  <si>
    <t>11.56M</t>
  </si>
  <si>
    <t>8.89M</t>
  </si>
  <si>
    <t>10.15M</t>
  </si>
  <si>
    <t>5.98M</t>
  </si>
  <si>
    <t>6.77M</t>
  </si>
  <si>
    <t>5.96M</t>
  </si>
  <si>
    <t>3.85M</t>
  </si>
  <si>
    <t>5.04M</t>
  </si>
  <si>
    <t>5.46M</t>
  </si>
  <si>
    <t>6.63M</t>
  </si>
  <si>
    <t>6.91M</t>
  </si>
  <si>
    <t>5.49M</t>
  </si>
  <si>
    <t>5.45M</t>
  </si>
  <si>
    <t>8.48M</t>
  </si>
  <si>
    <t>6.34M</t>
  </si>
  <si>
    <t>15.66M</t>
  </si>
  <si>
    <t>8.18M</t>
  </si>
  <si>
    <t>8.12M</t>
  </si>
  <si>
    <t>15.26M</t>
  </si>
  <si>
    <t>15.67M</t>
  </si>
  <si>
    <t>12.34M</t>
  </si>
  <si>
    <t>3.98M</t>
  </si>
  <si>
    <t>8.04M</t>
  </si>
  <si>
    <t>6.66M</t>
  </si>
  <si>
    <t>7.51M</t>
  </si>
  <si>
    <t>16.79M</t>
  </si>
  <si>
    <t>4.79M</t>
  </si>
  <si>
    <t>5.75M</t>
  </si>
  <si>
    <t>5.37M</t>
  </si>
  <si>
    <t>7.72M</t>
  </si>
  <si>
    <t>5.09M</t>
  </si>
  <si>
    <t>5.59M</t>
  </si>
  <si>
    <t>5.14M</t>
  </si>
  <si>
    <t>5.95M</t>
  </si>
  <si>
    <t>5.36M</t>
  </si>
  <si>
    <t>5.91M</t>
  </si>
  <si>
    <t>5.21M</t>
  </si>
  <si>
    <t>6.88M</t>
  </si>
  <si>
    <t>3.54M</t>
  </si>
  <si>
    <t>4.52M</t>
  </si>
  <si>
    <t>4.61M</t>
  </si>
  <si>
    <t>4.88M</t>
  </si>
  <si>
    <t>11.55M</t>
  </si>
  <si>
    <t>9.27M</t>
  </si>
  <si>
    <t>6.07M</t>
  </si>
  <si>
    <t>3.08M</t>
  </si>
  <si>
    <t>3.70M</t>
  </si>
  <si>
    <t>5.86M</t>
  </si>
  <si>
    <t>2.86M</t>
  </si>
  <si>
    <t>3.89M</t>
  </si>
  <si>
    <t>5.52M</t>
  </si>
  <si>
    <t>6.40M</t>
  </si>
  <si>
    <t>8.21M</t>
  </si>
  <si>
    <t>4.37M</t>
  </si>
  <si>
    <t>7.85M</t>
  </si>
  <si>
    <t>7.55M</t>
  </si>
  <si>
    <t>3.91M</t>
  </si>
  <si>
    <t>3.66M</t>
  </si>
  <si>
    <t>4.47M</t>
  </si>
  <si>
    <t>4.92M</t>
  </si>
  <si>
    <t>6.28M</t>
  </si>
  <si>
    <t>6.74M</t>
  </si>
  <si>
    <t>4.57M</t>
  </si>
  <si>
    <t>3.38M</t>
  </si>
  <si>
    <t>7.28M</t>
  </si>
  <si>
    <t>4.48M</t>
  </si>
  <si>
    <t>6.16M</t>
  </si>
  <si>
    <t>4.11M</t>
  </si>
  <si>
    <t>7.70M</t>
  </si>
  <si>
    <t>7.38M</t>
  </si>
  <si>
    <t>11.83M</t>
  </si>
  <si>
    <t>9.64M</t>
  </si>
  <si>
    <t>12.75M</t>
  </si>
  <si>
    <t>15.59M</t>
  </si>
  <si>
    <t>9.32M</t>
  </si>
  <si>
    <t>10.41M</t>
  </si>
  <si>
    <t>7.61M</t>
  </si>
  <si>
    <t>6.90M</t>
  </si>
  <si>
    <t>4.39M</t>
  </si>
  <si>
    <t>6.73M</t>
  </si>
  <si>
    <t>8.99M</t>
  </si>
  <si>
    <t>4.41M</t>
  </si>
  <si>
    <t>6.83M</t>
  </si>
  <si>
    <t>8.28M</t>
  </si>
  <si>
    <t>6.22M</t>
  </si>
  <si>
    <t>13.26M</t>
  </si>
  <si>
    <t>18.13M</t>
  </si>
  <si>
    <t>7.64M</t>
  </si>
  <si>
    <t>18.19M</t>
  </si>
  <si>
    <t>27.01M</t>
  </si>
  <si>
    <t>68.67M</t>
  </si>
  <si>
    <t>19.51M</t>
  </si>
  <si>
    <t>24.17M</t>
  </si>
  <si>
    <t>12.09M</t>
  </si>
  <si>
    <t>55.45M</t>
  </si>
  <si>
    <t>12.63M</t>
  </si>
  <si>
    <t>7.71M</t>
  </si>
  <si>
    <t>8.71M</t>
  </si>
  <si>
    <t>6.99M</t>
  </si>
  <si>
    <t>4.90M</t>
  </si>
  <si>
    <t>7.31M</t>
  </si>
  <si>
    <t>5.34M</t>
  </si>
  <si>
    <t>5.35M</t>
  </si>
  <si>
    <t>13.92M</t>
  </si>
  <si>
    <t>13.70M</t>
  </si>
  <si>
    <t>10.09M</t>
  </si>
  <si>
    <t>HYG</t>
    <phoneticPr fontId="1" type="noConversion"/>
  </si>
  <si>
    <t>IEF</t>
    <phoneticPr fontId="1" type="noConversion"/>
  </si>
  <si>
    <t>미국 5년금릭</t>
    <phoneticPr fontId="1" type="noConversion"/>
  </si>
  <si>
    <t>미국 10년금리</t>
    <phoneticPr fontId="1" type="noConversion"/>
  </si>
  <si>
    <t>34.67M</t>
  </si>
  <si>
    <t>8.92M</t>
  </si>
  <si>
    <t>29.82M</t>
  </si>
  <si>
    <t>5.33M</t>
  </si>
  <si>
    <t>23.97M</t>
  </si>
  <si>
    <t>68.06M</t>
  </si>
  <si>
    <t>9.20M</t>
  </si>
  <si>
    <t>1.54B</t>
  </si>
  <si>
    <t>12.47M</t>
  </si>
  <si>
    <t>50.25M</t>
  </si>
  <si>
    <t>1.61B</t>
  </si>
  <si>
    <t>43.09M</t>
  </si>
  <si>
    <t>-</t>
  </si>
  <si>
    <t>47.51M</t>
  </si>
  <si>
    <t>6.82M</t>
  </si>
  <si>
    <t>30.66M</t>
  </si>
  <si>
    <t>24.75M</t>
  </si>
  <si>
    <t>8.88M</t>
  </si>
  <si>
    <t>10.95M</t>
  </si>
  <si>
    <t>53.07M</t>
  </si>
  <si>
    <t>42.04M</t>
  </si>
  <si>
    <t>821.54M</t>
  </si>
  <si>
    <t>10.43M</t>
  </si>
  <si>
    <t>9.73M</t>
  </si>
  <si>
    <t>29.35M</t>
  </si>
  <si>
    <t>9.68M</t>
  </si>
  <si>
    <t>31.89M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</si>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</sst>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A69E5"/>
      <name val="Segoe UI"/>
      <family val="2"/>
    </font>
    <font>
      <sz val="11"/>
      <color rgb="FF232526"/>
      <name val="Segoe UI"/>
      <family val="2"/>
    </font>
    <font>
      <b/>
      <sz val="11"/>
      <color rgb="FF0A69E5"/>
      <name val="Segoe UI"/>
      <family val="2"/>
    </font>
    <font>
      <sz val="11"/>
      <color rgb="FFD91400"/>
      <name val="Segoe UI"/>
      <family val="2"/>
    </font>
    <font>
      <b/>
      <sz val="11"/>
      <color rgb="FFD91400"/>
      <name val="Segoe UI"/>
      <family val="2"/>
    </font>
    <font>
      <b/>
      <sz val="11"/>
      <color rgb="FF232526"/>
      <name val="Segoe UI"/>
      <family val="2"/>
    </font>
    <font>
      <sz val="11"/>
      <color rgb="FFD914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CEDEF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" fontId="2" fillId="2" borderId="0" xfId="0" applyNumberFormat="1" applyFont="1" applyFill="1" applyAlignment="1">
      <alignment horizontal="right" vertical="center" wrapText="1" readingOrder="1"/>
    </xf>
    <xf numFmtId="4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10" fontId="4" fillId="2" borderId="0" xfId="0" applyNumberFormat="1" applyFont="1" applyFill="1" applyAlignment="1">
      <alignment horizontal="right" vertical="center" readingOrder="1"/>
    </xf>
    <xf numFmtId="0" fontId="5" fillId="2" borderId="0" xfId="0" applyFont="1" applyFill="1" applyAlignment="1">
      <alignment horizontal="right" vertical="center" wrapText="1" readingOrder="1"/>
    </xf>
    <xf numFmtId="10" fontId="6" fillId="2" borderId="0" xfId="0" applyNumberFormat="1" applyFont="1" applyFill="1" applyAlignment="1">
      <alignment horizontal="right" vertical="center" readingOrder="1"/>
    </xf>
    <xf numFmtId="0" fontId="2" fillId="2" borderId="0" xfId="0" applyFont="1" applyFill="1" applyAlignment="1">
      <alignment horizontal="right" vertical="center" wrapText="1" readingOrder="1"/>
    </xf>
    <xf numFmtId="0" fontId="2" fillId="3" borderId="0" xfId="0" applyFont="1" applyFill="1" applyAlignment="1">
      <alignment horizontal="right" vertical="center" wrapText="1" readingOrder="1"/>
    </xf>
    <xf numFmtId="0" fontId="3" fillId="3" borderId="0" xfId="0" applyFont="1" applyFill="1" applyAlignment="1">
      <alignment horizontal="right" vertical="center" wrapText="1"/>
    </xf>
    <xf numFmtId="10" fontId="4" fillId="3" borderId="0" xfId="0" applyNumberFormat="1" applyFont="1" applyFill="1" applyAlignment="1">
      <alignment horizontal="right" vertical="center" readingOrder="1"/>
    </xf>
    <xf numFmtId="4" fontId="5" fillId="3" borderId="0" xfId="0" applyNumberFormat="1" applyFont="1" applyFill="1" applyAlignment="1">
      <alignment horizontal="right" vertical="center" wrapText="1" readingOrder="1"/>
    </xf>
    <xf numFmtId="4" fontId="3" fillId="3" borderId="0" xfId="0" applyNumberFormat="1" applyFont="1" applyFill="1" applyAlignment="1">
      <alignment horizontal="right" vertical="center" wrapText="1"/>
    </xf>
    <xf numFmtId="10" fontId="6" fillId="3" borderId="0" xfId="0" applyNumberFormat="1" applyFont="1" applyFill="1" applyAlignment="1">
      <alignment horizontal="right" vertical="center" readingOrder="1"/>
    </xf>
    <xf numFmtId="4" fontId="5" fillId="2" borderId="0" xfId="0" applyNumberFormat="1" applyFont="1" applyFill="1" applyAlignment="1">
      <alignment horizontal="right" vertical="center" wrapText="1" readingOrder="1"/>
    </xf>
    <xf numFmtId="10" fontId="7" fillId="2" borderId="0" xfId="0" applyNumberFormat="1" applyFont="1" applyFill="1" applyAlignment="1">
      <alignment horizontal="right" vertical="center" readingOrder="1"/>
    </xf>
    <xf numFmtId="0" fontId="5" fillId="3" borderId="0" xfId="0" applyFont="1" applyFill="1" applyAlignment="1">
      <alignment horizontal="right" vertical="center" wrapText="1" readingOrder="1"/>
    </xf>
    <xf numFmtId="0" fontId="6" fillId="3" borderId="0" xfId="0" applyFont="1" applyFill="1" applyAlignment="1">
      <alignment horizontal="right" vertical="center" readingOrder="1"/>
    </xf>
    <xf numFmtId="0" fontId="4" fillId="2" borderId="0" xfId="0" applyFont="1" applyFill="1" applyAlignment="1">
      <alignment horizontal="right" vertical="center" readingOrder="1"/>
    </xf>
    <xf numFmtId="0" fontId="4" fillId="3" borderId="0" xfId="0" applyFont="1" applyFill="1" applyAlignment="1">
      <alignment horizontal="right" vertical="center" readingOrder="1"/>
    </xf>
    <xf numFmtId="4" fontId="2" fillId="3" borderId="0" xfId="0" applyNumberFormat="1" applyFont="1" applyFill="1" applyAlignment="1">
      <alignment horizontal="right" vertical="center" wrapText="1" readingOrder="1"/>
    </xf>
    <xf numFmtId="10" fontId="8" fillId="2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horizontal="right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2"/>
  <sheetViews>
    <sheetView topLeftCell="A484" workbookViewId="0">
      <selection activeCell="K495" sqref="K495"/>
    </sheetView>
  </sheetViews>
  <sheetFormatPr defaultRowHeight="17.399999999999999" x14ac:dyDescent="0.4"/>
  <cols>
    <col min="1" max="1" width="11.09765625" bestFit="1" customWidth="1"/>
    <col min="3" max="3" width="9.19921875" bestFit="1" customWidth="1"/>
  </cols>
  <sheetData>
    <row r="1" spans="1:8" x14ac:dyDescent="0.4">
      <c r="A1" s="4" t="s">
        <v>494</v>
      </c>
      <c r="B1" s="4" t="s">
        <v>495</v>
      </c>
      <c r="C1" s="4" t="s">
        <v>496</v>
      </c>
      <c r="D1" s="4" t="s">
        <v>497</v>
      </c>
      <c r="E1" s="4" t="s">
        <v>786</v>
      </c>
      <c r="F1" s="4" t="s">
        <v>785</v>
      </c>
      <c r="G1" s="4" t="s">
        <v>783</v>
      </c>
      <c r="H1" s="4" t="s">
        <v>784</v>
      </c>
    </row>
    <row r="2" spans="1:8" x14ac:dyDescent="0.4">
      <c r="A2" s="1">
        <v>45293</v>
      </c>
      <c r="B2" s="3">
        <f>'S&amp;P500'!B3</f>
        <v>4704.8100000000004</v>
      </c>
      <c r="C2" s="3">
        <f>나스닥!B3</f>
        <v>14592.21</v>
      </c>
      <c r="D2">
        <f>VLOOKUP(A2,VIX!$A$2:B5000,2,0)</f>
        <v>13.2</v>
      </c>
      <c r="E2">
        <f>VLOOKUP(A2,'10년'!$A$2:$B$5000,2,0)</f>
        <v>3.9409999999999998</v>
      </c>
      <c r="F2">
        <f>VLOOKUP(A2,'5년'!$A$2:$B$5000,2,0)</f>
        <v>3.9220000000000002</v>
      </c>
      <c r="G2">
        <v>77.13</v>
      </c>
      <c r="H2">
        <v>96.03</v>
      </c>
    </row>
    <row r="3" spans="1:8" x14ac:dyDescent="0.4">
      <c r="A3" s="1">
        <v>45294</v>
      </c>
      <c r="B3" s="3">
        <f>'S&amp;P500'!B4</f>
        <v>4688.68</v>
      </c>
      <c r="C3" s="3">
        <f>나스닥!B4</f>
        <v>14510.3</v>
      </c>
      <c r="D3">
        <f>VLOOKUP(A3,VIX!$A$2:B5001,2,0)</f>
        <v>14.04</v>
      </c>
      <c r="E3">
        <f>VLOOKUP(A3,'10년'!$A$2:$B$5000,2,0)</f>
        <v>3.92</v>
      </c>
      <c r="F3">
        <f>VLOOKUP(A3,'5년'!$A$2:$B$5000,2,0)</f>
        <v>3.9049999999999998</v>
      </c>
      <c r="G3">
        <v>76.92</v>
      </c>
      <c r="H3">
        <v>96.26</v>
      </c>
    </row>
    <row r="4" spans="1:8" x14ac:dyDescent="0.4">
      <c r="A4" s="1">
        <v>45295</v>
      </c>
      <c r="B4" s="3">
        <f>'S&amp;P500'!B5</f>
        <v>4697.24</v>
      </c>
      <c r="C4" s="3">
        <f>나스닥!B5</f>
        <v>14524.07</v>
      </c>
      <c r="D4">
        <f>VLOOKUP(A4,VIX!$A$2:B5002,2,0)</f>
        <v>14.13</v>
      </c>
      <c r="E4">
        <f>VLOOKUP(A4,'10년'!$A$2:$B$5000,2,0)</f>
        <v>4.0030000000000001</v>
      </c>
      <c r="F4">
        <f>VLOOKUP(A4,'5년'!$A$2:$B$5000,2,0)</f>
        <v>3.98</v>
      </c>
      <c r="G4">
        <v>76.62</v>
      </c>
      <c r="H4">
        <v>95.68</v>
      </c>
    </row>
    <row r="5" spans="1:8" x14ac:dyDescent="0.4">
      <c r="A5" s="1">
        <v>45296</v>
      </c>
      <c r="B5" s="3">
        <f>'S&amp;P500'!B6</f>
        <v>4763.54</v>
      </c>
      <c r="C5" s="3">
        <f>나스닥!B6</f>
        <v>14843.77</v>
      </c>
      <c r="D5">
        <f>VLOOKUP(A5,VIX!$A$2:B5003,2,0)</f>
        <v>13.35</v>
      </c>
      <c r="E5">
        <f>VLOOKUP(A5,'10년'!$A$2:$B$5000,2,0)</f>
        <v>4.0510000000000002</v>
      </c>
      <c r="F5">
        <f>VLOOKUP(A5,'5년'!$A$2:$B$5000,2,0)</f>
        <v>4.0149999999999997</v>
      </c>
      <c r="G5">
        <v>76.680000000000007</v>
      </c>
      <c r="H5">
        <v>95.33</v>
      </c>
    </row>
    <row r="6" spans="1:8" x14ac:dyDescent="0.4">
      <c r="A6" s="1">
        <v>45299</v>
      </c>
      <c r="B6" s="3">
        <f>'S&amp;P500'!B7</f>
        <v>4756.5</v>
      </c>
      <c r="C6" s="3">
        <f>나스닥!B7</f>
        <v>14857.71</v>
      </c>
      <c r="D6">
        <f>VLOOKUP(A6,VIX!$A$2:B5004,2,0)</f>
        <v>13.08</v>
      </c>
      <c r="E6">
        <f>VLOOKUP(A6,'10년'!$A$2:$B$5000,2,0)</f>
        <v>4.0270000000000001</v>
      </c>
      <c r="F6">
        <f>VLOOKUP(A6,'5년'!$A$2:$B$5000,2,0)</f>
        <v>3.9860000000000002</v>
      </c>
      <c r="G6">
        <v>77.11</v>
      </c>
      <c r="H6">
        <v>95.65</v>
      </c>
    </row>
    <row r="7" spans="1:8" x14ac:dyDescent="0.4">
      <c r="A7" s="1">
        <v>45300</v>
      </c>
      <c r="B7" s="3">
        <f>'S&amp;P500'!B8</f>
        <v>4783.45</v>
      </c>
      <c r="C7" s="3">
        <f>나스닥!B8</f>
        <v>14969.65</v>
      </c>
      <c r="D7">
        <f>VLOOKUP(A7,VIX!$A$2:B5005,2,0)</f>
        <v>12.76</v>
      </c>
      <c r="E7">
        <f>VLOOKUP(A7,'10년'!$A$2:$B$5000,2,0)</f>
        <v>4.0149999999999997</v>
      </c>
      <c r="F7">
        <f>VLOOKUP(A7,'5년'!$A$2:$B$5000,2,0)</f>
        <v>3.972</v>
      </c>
      <c r="G7">
        <v>77.23</v>
      </c>
      <c r="H7">
        <v>95.61</v>
      </c>
    </row>
    <row r="8" spans="1:8" x14ac:dyDescent="0.4">
      <c r="A8" s="1">
        <v>45301</v>
      </c>
      <c r="B8" s="3">
        <f>'S&amp;P500'!B9</f>
        <v>4780.24</v>
      </c>
      <c r="C8" s="3">
        <f>나스닥!B9</f>
        <v>14970.18</v>
      </c>
      <c r="D8">
        <f>VLOOKUP(A8,VIX!$A$2:B5006,2,0)</f>
        <v>12.69</v>
      </c>
      <c r="E8">
        <f>VLOOKUP(A8,'10년'!$A$2:$B$5000,2,0)</f>
        <v>4.03</v>
      </c>
      <c r="F8">
        <f>VLOOKUP(A8,'5년'!$A$2:$B$5000,2,0)</f>
        <v>3.9740000000000002</v>
      </c>
      <c r="G8">
        <v>77.37</v>
      </c>
      <c r="H8">
        <v>95.46</v>
      </c>
    </row>
    <row r="9" spans="1:8" x14ac:dyDescent="0.4">
      <c r="A9" s="1">
        <v>45302</v>
      </c>
      <c r="B9" s="3">
        <f>'S&amp;P500'!B10</f>
        <v>4783.83</v>
      </c>
      <c r="C9" s="3">
        <f>나스닥!B10</f>
        <v>14972.76</v>
      </c>
      <c r="D9">
        <f>VLOOKUP(A9,VIX!$A$2:B5007,2,0)</f>
        <v>12.44</v>
      </c>
      <c r="E9">
        <f>VLOOKUP(A9,'10년'!$A$2:$B$5000,2,0)</f>
        <v>3.9750000000000001</v>
      </c>
      <c r="F9">
        <f>VLOOKUP(A9,'5년'!$A$2:$B$5000,2,0)</f>
        <v>3.8879999999999999</v>
      </c>
      <c r="G9">
        <v>77.62</v>
      </c>
      <c r="H9">
        <v>95.97</v>
      </c>
    </row>
    <row r="10" spans="1:8" x14ac:dyDescent="0.4">
      <c r="A10" s="1">
        <v>45303</v>
      </c>
      <c r="B10" s="3">
        <f>'S&amp;P500'!B11</f>
        <v>4765.9799999999996</v>
      </c>
      <c r="C10" s="3">
        <f>나스닥!B11</f>
        <v>14944.35</v>
      </c>
      <c r="D10">
        <f>VLOOKUP(A10,VIX!$A$2:B5008,2,0)</f>
        <v>12.7</v>
      </c>
      <c r="E10">
        <f>VLOOKUP(A10,'10년'!$A$2:$B$5000,2,0)</f>
        <v>3.9390000000000001</v>
      </c>
      <c r="F10">
        <f>VLOOKUP(A10,'5년'!$A$2:$B$5000,2,0)</f>
        <v>3.8319999999999999</v>
      </c>
      <c r="G10">
        <v>77.7</v>
      </c>
      <c r="H10">
        <v>96.23</v>
      </c>
    </row>
    <row r="11" spans="1:8" x14ac:dyDescent="0.4">
      <c r="A11" s="1">
        <v>45307</v>
      </c>
      <c r="B11" s="3">
        <f>'S&amp;P500'!B12</f>
        <v>4739.21</v>
      </c>
      <c r="C11" s="3">
        <f>나스닥!B12</f>
        <v>14855.62</v>
      </c>
      <c r="D11">
        <f>VLOOKUP(A11,VIX!$A$2:B5009,2,0)</f>
        <v>13.84</v>
      </c>
      <c r="E11">
        <f>VLOOKUP(A11,'10년'!$A$2:$B$5000,2,0)</f>
        <v>4.0540000000000003</v>
      </c>
      <c r="F11">
        <f>VLOOKUP(A11,'5년'!$A$2:$B$5000,2,0)</f>
        <v>3.9340000000000002</v>
      </c>
      <c r="G11">
        <v>77.209999999999994</v>
      </c>
      <c r="H11">
        <v>95.45</v>
      </c>
    </row>
    <row r="12" spans="1:8" x14ac:dyDescent="0.4">
      <c r="A12" s="1">
        <v>45308</v>
      </c>
      <c r="B12" s="3">
        <f>'S&amp;P500'!B13</f>
        <v>4780.9399999999996</v>
      </c>
      <c r="C12" s="3">
        <f>나스닥!B13</f>
        <v>15055.65</v>
      </c>
      <c r="D12">
        <f>VLOOKUP(A12,VIX!$A$2:B5010,2,0)</f>
        <v>14.79</v>
      </c>
      <c r="E12">
        <f>VLOOKUP(A12,'10년'!$A$2:$B$5000,2,0)</f>
        <v>4.1059999999999999</v>
      </c>
      <c r="F12">
        <f>VLOOKUP(A12,'5년'!$A$2:$B$5000,2,0)</f>
        <v>4.0309999999999997</v>
      </c>
      <c r="G12">
        <v>76.88</v>
      </c>
      <c r="H12">
        <v>95.14</v>
      </c>
    </row>
    <row r="13" spans="1:8" x14ac:dyDescent="0.4">
      <c r="A13" s="1">
        <v>45309</v>
      </c>
      <c r="B13" s="3">
        <f>'S&amp;P500'!B14</f>
        <v>4839.8100000000004</v>
      </c>
      <c r="C13" s="3">
        <f>나스닥!B14</f>
        <v>15310.97</v>
      </c>
      <c r="D13">
        <f>VLOOKUP(A13,VIX!$A$2:B5011,2,0)</f>
        <v>14.13</v>
      </c>
      <c r="E13">
        <f>VLOOKUP(A13,'10년'!$A$2:$B$5000,2,0)</f>
        <v>4.1420000000000003</v>
      </c>
      <c r="F13">
        <f>VLOOKUP(A13,'5년'!$A$2:$B$5000,2,0)</f>
        <v>4.0449999999999999</v>
      </c>
      <c r="G13">
        <v>77.040000000000006</v>
      </c>
      <c r="H13">
        <v>94.93</v>
      </c>
    </row>
    <row r="14" spans="1:8" x14ac:dyDescent="0.4">
      <c r="A14" s="1">
        <v>45310</v>
      </c>
      <c r="B14" s="3">
        <f>'S&amp;P500'!B15</f>
        <v>4850.43</v>
      </c>
      <c r="C14" s="3">
        <f>나스닥!B15</f>
        <v>15360.29</v>
      </c>
      <c r="D14">
        <f>VLOOKUP(A14,VIX!$A$2:B5012,2,0)</f>
        <v>13.3</v>
      </c>
      <c r="E14">
        <f>VLOOKUP(A14,'10년'!$A$2:$B$5000,2,0)</f>
        <v>4.13</v>
      </c>
      <c r="F14">
        <f>VLOOKUP(A14,'5년'!$A$2:$B$5000,2,0)</f>
        <v>4.0540000000000003</v>
      </c>
      <c r="G14">
        <v>77.17</v>
      </c>
      <c r="H14">
        <v>94.94</v>
      </c>
    </row>
    <row r="15" spans="1:8" x14ac:dyDescent="0.4">
      <c r="A15" s="1">
        <v>45313</v>
      </c>
      <c r="B15" s="3">
        <f>'S&amp;P500'!B16</f>
        <v>4864.6000000000004</v>
      </c>
      <c r="C15" s="3">
        <f>나스닥!B16</f>
        <v>15425.94</v>
      </c>
      <c r="D15">
        <f>VLOOKUP(A15,VIX!$A$2:B5013,2,0)</f>
        <v>13.19</v>
      </c>
      <c r="E15">
        <f>VLOOKUP(A15,'10년'!$A$2:$B$5000,2,0)</f>
        <v>4.1070000000000002</v>
      </c>
      <c r="F15">
        <f>VLOOKUP(A15,'5년'!$A$2:$B$5000,2,0)</f>
        <v>4.03</v>
      </c>
      <c r="G15">
        <v>77.23</v>
      </c>
      <c r="H15">
        <v>95.23</v>
      </c>
    </row>
    <row r="16" spans="1:8" x14ac:dyDescent="0.4">
      <c r="A16" s="1">
        <v>45314</v>
      </c>
      <c r="B16" s="3">
        <f>'S&amp;P500'!B17</f>
        <v>4868.55</v>
      </c>
      <c r="C16" s="3">
        <f>나스닥!B17</f>
        <v>15481.92</v>
      </c>
      <c r="D16">
        <f>VLOOKUP(A16,VIX!$A$2:B5014,2,0)</f>
        <v>12.55</v>
      </c>
      <c r="E16">
        <f>VLOOKUP(A16,'10년'!$A$2:$B$5000,2,0)</f>
        <v>4.1319999999999997</v>
      </c>
      <c r="F16">
        <f>VLOOKUP(A16,'5년'!$A$2:$B$5000,2,0)</f>
        <v>4.0419999999999998</v>
      </c>
      <c r="G16">
        <v>77.14</v>
      </c>
      <c r="H16">
        <v>94.99</v>
      </c>
    </row>
    <row r="17" spans="1:8" x14ac:dyDescent="0.4">
      <c r="A17" s="1">
        <v>45315</v>
      </c>
      <c r="B17" s="3">
        <f>'S&amp;P500'!B18</f>
        <v>4894.16</v>
      </c>
      <c r="C17" s="3">
        <f>나스닥!B18</f>
        <v>15510.5</v>
      </c>
      <c r="D17">
        <f>VLOOKUP(A17,VIX!$A$2:B5015,2,0)</f>
        <v>13.14</v>
      </c>
      <c r="E17">
        <f>VLOOKUP(A17,'10년'!$A$2:$B$5000,2,0)</f>
        <v>4.18</v>
      </c>
      <c r="F17">
        <f>VLOOKUP(A17,'5년'!$A$2:$B$5000,2,0)</f>
        <v>4.0919999999999996</v>
      </c>
      <c r="G17">
        <v>77.099999999999994</v>
      </c>
      <c r="H17">
        <v>94.72</v>
      </c>
    </row>
    <row r="18" spans="1:8" x14ac:dyDescent="0.4">
      <c r="A18" s="1">
        <v>45316</v>
      </c>
      <c r="B18" s="3">
        <f>'S&amp;P500'!B19</f>
        <v>4890.97</v>
      </c>
      <c r="C18" s="3">
        <f>나스닥!B19</f>
        <v>15455.36</v>
      </c>
      <c r="D18">
        <f>VLOOKUP(A18,VIX!$A$2:B5016,2,0)</f>
        <v>13.45</v>
      </c>
      <c r="E18">
        <f>VLOOKUP(A18,'10년'!$A$2:$B$5000,2,0)</f>
        <v>4.12</v>
      </c>
      <c r="F18">
        <f>VLOOKUP(A18,'5년'!$A$2:$B$5000,2,0)</f>
        <v>4.0019999999999998</v>
      </c>
      <c r="G18">
        <v>77.69</v>
      </c>
      <c r="H18">
        <v>95.13</v>
      </c>
    </row>
    <row r="19" spans="1:8" x14ac:dyDescent="0.4">
      <c r="A19" s="1">
        <v>45317</v>
      </c>
      <c r="B19" s="3">
        <f>'S&amp;P500'!B20</f>
        <v>4927.93</v>
      </c>
      <c r="C19" s="3">
        <f>나스닥!B20</f>
        <v>15628.04</v>
      </c>
      <c r="D19">
        <f>VLOOKUP(A19,VIX!$A$2:B5017,2,0)</f>
        <v>13.26</v>
      </c>
      <c r="E19">
        <f>VLOOKUP(A19,'10년'!$A$2:$B$5000,2,0)</f>
        <v>4.1390000000000002</v>
      </c>
      <c r="F19">
        <f>VLOOKUP(A19,'5년'!$A$2:$B$5000,2,0)</f>
        <v>4.0380000000000003</v>
      </c>
      <c r="G19">
        <v>77.63</v>
      </c>
      <c r="H19">
        <v>94.96</v>
      </c>
    </row>
    <row r="20" spans="1:8" x14ac:dyDescent="0.4">
      <c r="A20" s="1">
        <v>45320</v>
      </c>
      <c r="B20" s="3">
        <f>'S&amp;P500'!B21</f>
        <v>4924.97</v>
      </c>
      <c r="C20" s="3">
        <f>나스닥!B21</f>
        <v>15509.9</v>
      </c>
      <c r="D20">
        <f>VLOOKUP(A20,VIX!$A$2:B5018,2,0)</f>
        <v>13.6</v>
      </c>
      <c r="E20">
        <f>VLOOKUP(A20,'10년'!$A$2:$B$5000,2,0)</f>
        <v>4.0759999999999996</v>
      </c>
      <c r="F20">
        <f>VLOOKUP(A20,'5년'!$A$2:$B$5000,2,0)</f>
        <v>3.9860000000000002</v>
      </c>
      <c r="G20">
        <v>77.8</v>
      </c>
      <c r="H20">
        <v>95.53</v>
      </c>
    </row>
    <row r="21" spans="1:8" x14ac:dyDescent="0.4">
      <c r="A21" s="1">
        <v>45321</v>
      </c>
      <c r="B21" s="3">
        <f>'S&amp;P500'!B22</f>
        <v>4845.6499999999996</v>
      </c>
      <c r="C21" s="3">
        <f>나스닥!B22</f>
        <v>15164.01</v>
      </c>
      <c r="D21">
        <f>VLOOKUP(A21,VIX!$A$2:B5019,2,0)</f>
        <v>13.31</v>
      </c>
      <c r="E21">
        <f>VLOOKUP(A21,'10년'!$A$2:$B$5000,2,0)</f>
        <v>4.0359999999999996</v>
      </c>
      <c r="F21">
        <f>VLOOKUP(A21,'5년'!$A$2:$B$5000,2,0)</f>
        <v>3.9740000000000002</v>
      </c>
      <c r="G21">
        <v>77.7</v>
      </c>
      <c r="H21">
        <v>95.66</v>
      </c>
    </row>
    <row r="22" spans="1:8" x14ac:dyDescent="0.4">
      <c r="A22" s="1">
        <v>45322</v>
      </c>
      <c r="B22" s="3">
        <f>'S&amp;P500'!B23</f>
        <v>4906.1899999999996</v>
      </c>
      <c r="C22" s="3">
        <f>나스닥!B23</f>
        <v>15361.64</v>
      </c>
      <c r="D22">
        <f>VLOOKUP(A22,VIX!$A$2:B5020,2,0)</f>
        <v>14.35</v>
      </c>
      <c r="E22">
        <f>VLOOKUP(A22,'10년'!$A$2:$B$5000,2,0)</f>
        <v>3.9180000000000001</v>
      </c>
      <c r="F22">
        <f>VLOOKUP(A22,'5년'!$A$2:$B$5000,2,0)</f>
        <v>3.839</v>
      </c>
      <c r="G22">
        <v>77.48</v>
      </c>
      <c r="H22">
        <v>96.46</v>
      </c>
    </row>
    <row r="23" spans="1:8" x14ac:dyDescent="0.4">
      <c r="A23" s="1">
        <v>45323</v>
      </c>
      <c r="B23" s="3">
        <f>'S&amp;P500'!B24</f>
        <v>4958.6099999999997</v>
      </c>
      <c r="C23" s="3">
        <f>나스닥!B24</f>
        <v>15628.95</v>
      </c>
      <c r="D23">
        <f>VLOOKUP(A23,VIX!$A$2:B5021,2,0)</f>
        <v>13.88</v>
      </c>
      <c r="E23">
        <f>VLOOKUP(A23,'10년'!$A$2:$B$5000,2,0)</f>
        <v>3.8820000000000001</v>
      </c>
      <c r="F23">
        <f>VLOOKUP(A23,'5년'!$A$2:$B$5000,2,0)</f>
        <v>3.8180000000000001</v>
      </c>
      <c r="G23">
        <v>77.540000000000006</v>
      </c>
      <c r="H23">
        <v>96.82</v>
      </c>
    </row>
    <row r="24" spans="1:8" x14ac:dyDescent="0.4">
      <c r="A24" s="1">
        <v>45324</v>
      </c>
      <c r="B24" s="3">
        <f>'S&amp;P500'!B25</f>
        <v>4942.8100000000004</v>
      </c>
      <c r="C24" s="3">
        <f>나스닥!B25</f>
        <v>15597.68</v>
      </c>
      <c r="D24">
        <f>VLOOKUP(A24,VIX!$A$2:B5022,2,0)</f>
        <v>13.85</v>
      </c>
      <c r="E24">
        <f>VLOOKUP(A24,'10년'!$A$2:$B$5000,2,0)</f>
        <v>4.024</v>
      </c>
      <c r="F24">
        <f>VLOOKUP(A24,'5년'!$A$2:$B$5000,2,0)</f>
        <v>3.9860000000000002</v>
      </c>
      <c r="G24">
        <v>77.19</v>
      </c>
      <c r="H24">
        <v>95.56</v>
      </c>
    </row>
    <row r="25" spans="1:8" x14ac:dyDescent="0.4">
      <c r="A25" s="1">
        <v>45327</v>
      </c>
      <c r="B25" s="3">
        <f>'S&amp;P500'!B26</f>
        <v>4954.2299999999996</v>
      </c>
      <c r="C25" s="3">
        <f>나스닥!B26</f>
        <v>15609</v>
      </c>
      <c r="D25">
        <f>VLOOKUP(A25,VIX!$A$2:B5023,2,0)</f>
        <v>13.67</v>
      </c>
      <c r="E25">
        <f>VLOOKUP(A25,'10년'!$A$2:$B$5000,2,0)</f>
        <v>4.1619999999999999</v>
      </c>
      <c r="F25">
        <f>VLOOKUP(A25,'5년'!$A$2:$B$5000,2,0)</f>
        <v>4.1219999999999999</v>
      </c>
      <c r="G25">
        <v>76.83</v>
      </c>
      <c r="H25">
        <v>94.63</v>
      </c>
    </row>
    <row r="26" spans="1:8" x14ac:dyDescent="0.4">
      <c r="A26" s="1">
        <v>45328</v>
      </c>
      <c r="B26" s="3">
        <f>'S&amp;P500'!B27</f>
        <v>4995.0600000000004</v>
      </c>
      <c r="C26" s="3">
        <f>나스닥!B27</f>
        <v>15756.64</v>
      </c>
      <c r="D26">
        <f>VLOOKUP(A26,VIX!$A$2:B5024,2,0)</f>
        <v>13.06</v>
      </c>
      <c r="E26">
        <f>VLOOKUP(A26,'10년'!$A$2:$B$5000,2,0)</f>
        <v>4.09</v>
      </c>
      <c r="F26">
        <f>VLOOKUP(A26,'5년'!$A$2:$B$5000,2,0)</f>
        <v>4.0359999999999996</v>
      </c>
      <c r="G26">
        <v>77.11</v>
      </c>
      <c r="H26">
        <v>95.14</v>
      </c>
    </row>
    <row r="27" spans="1:8" x14ac:dyDescent="0.4">
      <c r="A27" s="1">
        <v>45329</v>
      </c>
      <c r="B27" s="3">
        <f>'S&amp;P500'!B28</f>
        <v>4997.91</v>
      </c>
      <c r="C27" s="3">
        <f>나스닥!B28</f>
        <v>15793.71</v>
      </c>
      <c r="D27">
        <f>VLOOKUP(A27,VIX!$A$2:B5025,2,0)</f>
        <v>12.83</v>
      </c>
      <c r="E27">
        <f>VLOOKUP(A27,'10년'!$A$2:$B$5000,2,0)</f>
        <v>4.1150000000000002</v>
      </c>
      <c r="F27">
        <f>VLOOKUP(A27,'5년'!$A$2:$B$5000,2,0)</f>
        <v>4.0640000000000001</v>
      </c>
      <c r="G27">
        <v>77.239999999999995</v>
      </c>
      <c r="H27">
        <v>94.97</v>
      </c>
    </row>
    <row r="28" spans="1:8" x14ac:dyDescent="0.4">
      <c r="A28" s="1">
        <v>45330</v>
      </c>
      <c r="B28" s="3">
        <f>'S&amp;P500'!B29</f>
        <v>5026.6099999999997</v>
      </c>
      <c r="C28" s="3">
        <f>나스닥!B29</f>
        <v>15990.66</v>
      </c>
      <c r="D28">
        <f>VLOOKUP(A28,VIX!$A$2:B5026,2,0)</f>
        <v>12.79</v>
      </c>
      <c r="E28">
        <f>VLOOKUP(A28,'10년'!$A$2:$B$5000,2,0)</f>
        <v>4.1580000000000004</v>
      </c>
      <c r="F28">
        <f>VLOOKUP(A28,'5년'!$A$2:$B$5000,2,0)</f>
        <v>4.1189999999999998</v>
      </c>
      <c r="G28">
        <v>77.2</v>
      </c>
      <c r="H28">
        <v>94.66</v>
      </c>
    </row>
    <row r="29" spans="1:8" x14ac:dyDescent="0.4">
      <c r="A29" s="1">
        <v>45331</v>
      </c>
      <c r="B29" s="3">
        <f>'S&amp;P500'!B30</f>
        <v>5021.84</v>
      </c>
      <c r="C29" s="3">
        <f>나스닥!B30</f>
        <v>15942.54</v>
      </c>
      <c r="D29">
        <f>VLOOKUP(A29,VIX!$A$2:B5027,2,0)</f>
        <v>12.93</v>
      </c>
      <c r="E29">
        <f>VLOOKUP(A29,'10년'!$A$2:$B$5000,2,0)</f>
        <v>4.1769999999999996</v>
      </c>
      <c r="F29">
        <f>VLOOKUP(A29,'5년'!$A$2:$B$5000,2,0)</f>
        <v>4.1420000000000003</v>
      </c>
      <c r="G29">
        <v>77.36</v>
      </c>
      <c r="H29">
        <v>94.49</v>
      </c>
    </row>
    <row r="30" spans="1:8" x14ac:dyDescent="0.4">
      <c r="A30" s="1">
        <v>45334</v>
      </c>
      <c r="B30" s="3">
        <f>'S&amp;P500'!B31</f>
        <v>4953.17</v>
      </c>
      <c r="C30" s="3">
        <f>나스닥!B31</f>
        <v>15655.6</v>
      </c>
      <c r="D30">
        <f>VLOOKUP(A30,VIX!$A$2:B5028,2,0)</f>
        <v>13.93</v>
      </c>
      <c r="E30">
        <f>VLOOKUP(A30,'10년'!$A$2:$B$5000,2,0)</f>
        <v>4.1790000000000003</v>
      </c>
      <c r="F30">
        <f>VLOOKUP(A30,'5년'!$A$2:$B$5000,2,0)</f>
        <v>4.1390000000000002</v>
      </c>
      <c r="G30">
        <v>77.19</v>
      </c>
      <c r="H30">
        <v>94.58</v>
      </c>
    </row>
    <row r="31" spans="1:8" x14ac:dyDescent="0.4">
      <c r="A31" s="1">
        <v>45335</v>
      </c>
      <c r="B31" s="3">
        <f>'S&amp;P500'!B32</f>
        <v>5000.62</v>
      </c>
      <c r="C31" s="3">
        <f>나스닥!B32</f>
        <v>15859.15</v>
      </c>
      <c r="D31">
        <f>VLOOKUP(A31,VIX!$A$2:B5029,2,0)</f>
        <v>15.85</v>
      </c>
      <c r="E31">
        <f>VLOOKUP(A31,'10년'!$A$2:$B$5000,2,0)</f>
        <v>4.3259999999999996</v>
      </c>
      <c r="F31">
        <f>VLOOKUP(A31,'5년'!$A$2:$B$5000,2,0)</f>
        <v>4.33</v>
      </c>
      <c r="G31">
        <v>76.569999999999993</v>
      </c>
      <c r="H31">
        <v>93.54</v>
      </c>
    </row>
    <row r="32" spans="1:8" x14ac:dyDescent="0.4">
      <c r="A32" s="1">
        <v>45336</v>
      </c>
      <c r="B32" s="3">
        <f>'S&amp;P500'!B33</f>
        <v>5029.7299999999996</v>
      </c>
      <c r="C32" s="3">
        <f>나스닥!B33</f>
        <v>15906.17</v>
      </c>
      <c r="D32">
        <f>VLOOKUP(A32,VIX!$A$2:B5030,2,0)</f>
        <v>14.38</v>
      </c>
      <c r="E32">
        <f>VLOOKUP(A32,'10년'!$A$2:$B$5000,2,0)</f>
        <v>4.2610000000000001</v>
      </c>
      <c r="F32">
        <f>VLOOKUP(A32,'5년'!$A$2:$B$5000,2,0)</f>
        <v>4.2450000000000001</v>
      </c>
      <c r="G32">
        <v>76.87</v>
      </c>
      <c r="H32">
        <v>93.89</v>
      </c>
    </row>
    <row r="33" spans="1:8" x14ac:dyDescent="0.4">
      <c r="A33" s="1">
        <v>45337</v>
      </c>
      <c r="B33" s="3">
        <f>'S&amp;P500'!B34</f>
        <v>5005.57</v>
      </c>
      <c r="C33" s="3">
        <f>나스닥!B34</f>
        <v>15775.65</v>
      </c>
      <c r="D33">
        <f>VLOOKUP(A33,VIX!$A$2:B5031,2,0)</f>
        <v>14.01</v>
      </c>
      <c r="E33">
        <f>VLOOKUP(A33,'10년'!$A$2:$B$5000,2,0)</f>
        <v>4.234</v>
      </c>
      <c r="F33">
        <f>VLOOKUP(A33,'5년'!$A$2:$B$5000,2,0)</f>
        <v>4.218</v>
      </c>
      <c r="G33">
        <v>77.14</v>
      </c>
      <c r="H33">
        <v>94.15</v>
      </c>
    </row>
    <row r="34" spans="1:8" x14ac:dyDescent="0.4">
      <c r="A34" s="1">
        <v>45338</v>
      </c>
      <c r="B34" s="3">
        <f>'S&amp;P500'!B35</f>
        <v>4975.51</v>
      </c>
      <c r="C34" s="3">
        <f>나스닥!B35</f>
        <v>15630.78</v>
      </c>
      <c r="D34">
        <f>VLOOKUP(A34,VIX!$A$2:B5032,2,0)</f>
        <v>14.24</v>
      </c>
      <c r="E34">
        <f>VLOOKUP(A34,'10년'!$A$2:$B$5000,2,0)</f>
        <v>4.2809999999999997</v>
      </c>
      <c r="F34">
        <f>VLOOKUP(A34,'5년'!$A$2:$B$5000,2,0)</f>
        <v>4.2759999999999998</v>
      </c>
      <c r="G34">
        <v>76.91</v>
      </c>
      <c r="H34">
        <v>93.74</v>
      </c>
    </row>
    <row r="35" spans="1:8" x14ac:dyDescent="0.4">
      <c r="A35" s="1">
        <v>45342</v>
      </c>
      <c r="B35" s="3">
        <f>'S&amp;P500'!B36</f>
        <v>4981.8</v>
      </c>
      <c r="C35" s="3">
        <f>나스닥!B36</f>
        <v>15580.87</v>
      </c>
      <c r="D35">
        <f>VLOOKUP(A35,VIX!$A$2:B5033,2,0)</f>
        <v>15.42</v>
      </c>
      <c r="E35">
        <f>VLOOKUP(A35,'10년'!$A$2:$B$5000,2,0)</f>
        <v>4.2750000000000004</v>
      </c>
      <c r="F35">
        <f>VLOOKUP(A35,'5년'!$A$2:$B$5000,2,0)</f>
        <v>4.2539999999999996</v>
      </c>
      <c r="G35">
        <v>77.069999999999993</v>
      </c>
      <c r="H35">
        <v>93.9</v>
      </c>
    </row>
    <row r="36" spans="1:8" x14ac:dyDescent="0.4">
      <c r="A36" s="1">
        <v>45343</v>
      </c>
      <c r="B36" s="3">
        <f>'S&amp;P500'!B37</f>
        <v>5087.03</v>
      </c>
      <c r="C36" s="3">
        <f>나스닥!B37</f>
        <v>16041.62</v>
      </c>
      <c r="D36">
        <f>VLOOKUP(A36,VIX!$A$2:B5034,2,0)</f>
        <v>15.34</v>
      </c>
      <c r="E36">
        <f>VLOOKUP(A36,'10년'!$A$2:$B$5000,2,0)</f>
        <v>4.319</v>
      </c>
      <c r="F36">
        <f>VLOOKUP(A36,'5년'!$A$2:$B$5000,2,0)</f>
        <v>4.3040000000000003</v>
      </c>
      <c r="G36">
        <v>76.930000000000007</v>
      </c>
      <c r="H36">
        <v>93.6</v>
      </c>
    </row>
    <row r="37" spans="1:8" x14ac:dyDescent="0.4">
      <c r="A37" s="1">
        <v>45344</v>
      </c>
      <c r="B37" s="3">
        <f>'S&amp;P500'!B38</f>
        <v>5088.8</v>
      </c>
      <c r="C37" s="3">
        <f>나스닥!B38</f>
        <v>15996.82</v>
      </c>
      <c r="D37">
        <f>VLOOKUP(A37,VIX!$A$2:B5035,2,0)</f>
        <v>14.54</v>
      </c>
      <c r="E37">
        <f>VLOOKUP(A37,'10년'!$A$2:$B$5000,2,0)</f>
        <v>4.3310000000000004</v>
      </c>
      <c r="F37">
        <f>VLOOKUP(A37,'5년'!$A$2:$B$5000,2,0)</f>
        <v>4.3330000000000002</v>
      </c>
      <c r="G37">
        <v>77.3</v>
      </c>
      <c r="H37">
        <v>93.61</v>
      </c>
    </row>
    <row r="38" spans="1:8" x14ac:dyDescent="0.4">
      <c r="A38" s="1">
        <v>45345</v>
      </c>
      <c r="B38" s="3">
        <f>'S&amp;P500'!B39</f>
        <v>5069.53</v>
      </c>
      <c r="C38" s="3">
        <f>나스닥!B39</f>
        <v>15976.25</v>
      </c>
      <c r="D38">
        <f>VLOOKUP(A38,VIX!$A$2:B5036,2,0)</f>
        <v>13.75</v>
      </c>
      <c r="E38">
        <f>VLOOKUP(A38,'10년'!$A$2:$B$5000,2,0)</f>
        <v>4.2480000000000002</v>
      </c>
      <c r="F38">
        <f>VLOOKUP(A38,'5년'!$A$2:$B$5000,2,0)</f>
        <v>4.2779999999999996</v>
      </c>
      <c r="G38">
        <v>77.349999999999994</v>
      </c>
      <c r="H38">
        <v>94.04</v>
      </c>
    </row>
    <row r="39" spans="1:8" x14ac:dyDescent="0.4">
      <c r="A39" s="1">
        <v>45348</v>
      </c>
      <c r="B39" s="3">
        <f>'S&amp;P500'!B40</f>
        <v>5078.18</v>
      </c>
      <c r="C39" s="3">
        <f>나스닥!B40</f>
        <v>16035.3</v>
      </c>
      <c r="D39">
        <f>VLOOKUP(A39,VIX!$A$2:B5037,2,0)</f>
        <v>13.74</v>
      </c>
      <c r="E39">
        <f>VLOOKUP(A39,'10년'!$A$2:$B$5000,2,0)</f>
        <v>4.2809999999999997</v>
      </c>
      <c r="F39">
        <f>VLOOKUP(A39,'5년'!$A$2:$B$5000,2,0)</f>
        <v>4.2960000000000003</v>
      </c>
      <c r="G39">
        <v>77.099999999999994</v>
      </c>
      <c r="H39">
        <v>93.9</v>
      </c>
    </row>
    <row r="40" spans="1:8" x14ac:dyDescent="0.4">
      <c r="A40" s="1">
        <v>45349</v>
      </c>
      <c r="B40" s="3">
        <f>'S&amp;P500'!B41</f>
        <v>5069.76</v>
      </c>
      <c r="C40" s="3">
        <f>나스닥!B41</f>
        <v>15947.74</v>
      </c>
      <c r="D40">
        <f>VLOOKUP(A40,VIX!$A$2:B5038,2,0)</f>
        <v>13.43</v>
      </c>
      <c r="E40">
        <f>VLOOKUP(A40,'10년'!$A$2:$B$5000,2,0)</f>
        <v>4.3029999999999999</v>
      </c>
      <c r="F40">
        <f>VLOOKUP(A40,'5년'!$A$2:$B$5000,2,0)</f>
        <v>4.3109999999999999</v>
      </c>
      <c r="G40">
        <v>77.2</v>
      </c>
      <c r="H40">
        <v>93.69</v>
      </c>
    </row>
    <row r="41" spans="1:8" x14ac:dyDescent="0.4">
      <c r="A41" s="1">
        <v>45350</v>
      </c>
      <c r="B41" s="3">
        <f>'S&amp;P500'!B42</f>
        <v>5096.2700000000004</v>
      </c>
      <c r="C41" s="3">
        <f>나스닥!B42</f>
        <v>16091.92</v>
      </c>
      <c r="D41">
        <f>VLOOKUP(A41,VIX!$A$2:B5039,2,0)</f>
        <v>13.84</v>
      </c>
      <c r="E41">
        <f>VLOOKUP(A41,'10년'!$A$2:$B$5000,2,0)</f>
        <v>4.266</v>
      </c>
      <c r="F41">
        <f>VLOOKUP(A41,'5년'!$A$2:$B$5000,2,0)</f>
        <v>4.2640000000000002</v>
      </c>
      <c r="G41">
        <v>77.19</v>
      </c>
      <c r="H41">
        <v>94.03</v>
      </c>
    </row>
    <row r="42" spans="1:8" x14ac:dyDescent="0.4">
      <c r="A42" s="1">
        <v>45351</v>
      </c>
      <c r="B42" s="3">
        <f>'S&amp;P500'!B43</f>
        <v>5137.08</v>
      </c>
      <c r="C42" s="3">
        <f>나스닥!B43</f>
        <v>16274.94</v>
      </c>
      <c r="D42">
        <f>VLOOKUP(A42,VIX!$A$2:B5040,2,0)</f>
        <v>13.4</v>
      </c>
      <c r="E42">
        <f>VLOOKUP(A42,'10년'!$A$2:$B$5000,2,0)</f>
        <v>4.2539999999999996</v>
      </c>
      <c r="F42">
        <f>VLOOKUP(A42,'5년'!$A$2:$B$5000,2,0)</f>
        <v>4.2519999999999998</v>
      </c>
      <c r="G42">
        <v>77.33</v>
      </c>
      <c r="H42">
        <v>94.22</v>
      </c>
    </row>
    <row r="43" spans="1:8" x14ac:dyDescent="0.4">
      <c r="A43" s="1">
        <v>45352</v>
      </c>
      <c r="B43" s="3">
        <f>'S&amp;P500'!B44</f>
        <v>5130.95</v>
      </c>
      <c r="C43" s="3">
        <f>나스닥!B44</f>
        <v>16207.51</v>
      </c>
      <c r="D43">
        <f>VLOOKUP(A43,VIX!$A$2:B5041,2,0)</f>
        <v>13.11</v>
      </c>
      <c r="E43">
        <f>VLOOKUP(A43,'10년'!$A$2:$B$5000,2,0)</f>
        <v>4.1859999999999999</v>
      </c>
      <c r="F43">
        <f>VLOOKUP(A43,'5년'!$A$2:$B$5000,2,0)</f>
        <v>4.1619999999999999</v>
      </c>
      <c r="G43">
        <v>77.180000000000007</v>
      </c>
      <c r="H43">
        <v>94.4</v>
      </c>
    </row>
    <row r="44" spans="1:8" x14ac:dyDescent="0.4">
      <c r="A44" s="1">
        <v>45355</v>
      </c>
      <c r="B44" s="3">
        <f>'S&amp;P500'!B45</f>
        <v>5078.6499999999996</v>
      </c>
      <c r="C44" s="3">
        <f>나스닥!B45</f>
        <v>15939.59</v>
      </c>
      <c r="D44">
        <f>VLOOKUP(A44,VIX!$A$2:B5042,2,0)</f>
        <v>13.49</v>
      </c>
      <c r="E44">
        <f>VLOOKUP(A44,'10년'!$A$2:$B$5000,2,0)</f>
        <v>4.2169999999999996</v>
      </c>
      <c r="F44">
        <f>VLOOKUP(A44,'5년'!$A$2:$B$5000,2,0)</f>
        <v>4.2089999999999996</v>
      </c>
      <c r="G44">
        <v>77.16</v>
      </c>
      <c r="H44">
        <v>94.19</v>
      </c>
    </row>
    <row r="45" spans="1:8" x14ac:dyDescent="0.4">
      <c r="A45" s="1">
        <v>45356</v>
      </c>
      <c r="B45" s="3">
        <f>'S&amp;P500'!B46</f>
        <v>5104.76</v>
      </c>
      <c r="C45" s="3">
        <f>나스닥!B46</f>
        <v>16031.54</v>
      </c>
      <c r="D45">
        <f>VLOOKUP(A45,VIX!$A$2:B5043,2,0)</f>
        <v>14.46</v>
      </c>
      <c r="E45">
        <f>VLOOKUP(A45,'10년'!$A$2:$B$5000,2,0)</f>
        <v>4.1509999999999998</v>
      </c>
      <c r="F45">
        <f>VLOOKUP(A45,'5년'!$A$2:$B$5000,2,0)</f>
        <v>4.1479999999999997</v>
      </c>
      <c r="G45">
        <v>77.099999999999994</v>
      </c>
      <c r="H45">
        <v>94.77</v>
      </c>
    </row>
    <row r="46" spans="1:8" x14ac:dyDescent="0.4">
      <c r="A46" s="1">
        <v>45357</v>
      </c>
      <c r="B46" s="3">
        <f>'S&amp;P500'!B47</f>
        <v>5157.3599999999997</v>
      </c>
      <c r="C46" s="3">
        <f>나스닥!B47</f>
        <v>16273.38</v>
      </c>
      <c r="D46">
        <f>VLOOKUP(A46,VIX!$A$2:B5044,2,0)</f>
        <v>14.5</v>
      </c>
      <c r="E46">
        <f>VLOOKUP(A46,'10년'!$A$2:$B$5000,2,0)</f>
        <v>4.1079999999999997</v>
      </c>
      <c r="F46">
        <f>VLOOKUP(A46,'5년'!$A$2:$B$5000,2,0)</f>
        <v>4.12</v>
      </c>
      <c r="G46">
        <v>77.290000000000006</v>
      </c>
      <c r="H46">
        <v>95</v>
      </c>
    </row>
    <row r="47" spans="1:8" x14ac:dyDescent="0.4">
      <c r="A47" s="1">
        <v>45358</v>
      </c>
      <c r="B47" s="3">
        <f>'S&amp;P500'!B48</f>
        <v>5123.6899999999996</v>
      </c>
      <c r="C47" s="3">
        <f>나스닥!B48</f>
        <v>16085.11</v>
      </c>
      <c r="D47">
        <f>VLOOKUP(A47,VIX!$A$2:B5045,2,0)</f>
        <v>14.44</v>
      </c>
      <c r="E47">
        <f>VLOOKUP(A47,'10년'!$A$2:$B$5000,2,0)</f>
        <v>4.0890000000000004</v>
      </c>
      <c r="F47">
        <f>VLOOKUP(A47,'5년'!$A$2:$B$5000,2,0)</f>
        <v>4.0750000000000002</v>
      </c>
      <c r="G47">
        <v>77.38</v>
      </c>
      <c r="H47">
        <v>95.16</v>
      </c>
    </row>
    <row r="48" spans="1:8" x14ac:dyDescent="0.4">
      <c r="A48" s="1">
        <v>45359</v>
      </c>
      <c r="B48" s="3">
        <f>'S&amp;P500'!B49</f>
        <v>5117.9399999999996</v>
      </c>
      <c r="C48" s="3">
        <f>나스닥!B49</f>
        <v>16019.27</v>
      </c>
      <c r="D48">
        <f>VLOOKUP(A48,VIX!$A$2:B5046,2,0)</f>
        <v>14.74</v>
      </c>
      <c r="E48">
        <f>VLOOKUP(A48,'10년'!$A$2:$B$5000,2,0)</f>
        <v>4.077</v>
      </c>
      <c r="F48">
        <f>VLOOKUP(A48,'5년'!$A$2:$B$5000,2,0)</f>
        <v>4.05</v>
      </c>
      <c r="G48">
        <v>77.400000000000006</v>
      </c>
      <c r="H48">
        <v>95.23</v>
      </c>
    </row>
    <row r="49" spans="1:8" x14ac:dyDescent="0.4">
      <c r="A49" s="1">
        <v>45362</v>
      </c>
      <c r="B49" s="3">
        <f>'S&amp;P500'!B50</f>
        <v>5175.2700000000004</v>
      </c>
      <c r="C49" s="3">
        <f>나스닥!B50</f>
        <v>16265.64</v>
      </c>
      <c r="D49">
        <f>VLOOKUP(A49,VIX!$A$2:B5047,2,0)</f>
        <v>15.22</v>
      </c>
      <c r="E49">
        <f>VLOOKUP(A49,'10년'!$A$2:$B$5000,2,0)</f>
        <v>4.0979999999999999</v>
      </c>
      <c r="F49">
        <f>VLOOKUP(A49,'5년'!$A$2:$B$5000,2,0)</f>
        <v>4.0880000000000001</v>
      </c>
      <c r="G49">
        <v>77.39</v>
      </c>
      <c r="H49">
        <v>95.11</v>
      </c>
    </row>
    <row r="50" spans="1:8" x14ac:dyDescent="0.4">
      <c r="A50" s="1">
        <v>45363</v>
      </c>
      <c r="B50" s="3">
        <f>'S&amp;P500'!B51</f>
        <v>5165.3100000000004</v>
      </c>
      <c r="C50" s="3">
        <f>나스닥!B51</f>
        <v>16177.77</v>
      </c>
      <c r="D50">
        <f>VLOOKUP(A50,VIX!$A$2:B5048,2,0)</f>
        <v>13.84</v>
      </c>
      <c r="E50">
        <f>VLOOKUP(A50,'10년'!$A$2:$B$5000,2,0)</f>
        <v>4.1509999999999998</v>
      </c>
      <c r="F50">
        <f>VLOOKUP(A50,'5년'!$A$2:$B$5000,2,0)</f>
        <v>4.1479999999999997</v>
      </c>
      <c r="G50">
        <v>77.459999999999994</v>
      </c>
      <c r="H50">
        <v>94.72</v>
      </c>
    </row>
    <row r="51" spans="1:8" x14ac:dyDescent="0.4">
      <c r="A51" s="1">
        <v>45364</v>
      </c>
      <c r="B51" s="3">
        <f>'S&amp;P500'!B52</f>
        <v>5150.4799999999996</v>
      </c>
      <c r="C51" s="3">
        <f>나스닥!B52</f>
        <v>16128.53</v>
      </c>
      <c r="D51">
        <f>VLOOKUP(A51,VIX!$A$2:B5049,2,0)</f>
        <v>13.75</v>
      </c>
      <c r="E51">
        <f>VLOOKUP(A51,'10년'!$A$2:$B$5000,2,0)</f>
        <v>4.1879999999999997</v>
      </c>
      <c r="F51">
        <f>VLOOKUP(A51,'5년'!$A$2:$B$5000,2,0)</f>
        <v>4.1929999999999996</v>
      </c>
      <c r="G51">
        <v>77.489999999999995</v>
      </c>
      <c r="H51">
        <v>94.51</v>
      </c>
    </row>
    <row r="52" spans="1:8" x14ac:dyDescent="0.4">
      <c r="A52" s="1">
        <v>45365</v>
      </c>
      <c r="B52" s="3">
        <f>'S&amp;P500'!B53</f>
        <v>5117.09</v>
      </c>
      <c r="C52" s="3">
        <f>나스닥!B53</f>
        <v>15973.17</v>
      </c>
      <c r="D52">
        <f>VLOOKUP(A52,VIX!$A$2:B5050,2,0)</f>
        <v>14.4</v>
      </c>
      <c r="E52">
        <f>VLOOKUP(A52,'10년'!$A$2:$B$5000,2,0)</f>
        <v>4.2919999999999998</v>
      </c>
      <c r="F52">
        <f>VLOOKUP(A52,'5년'!$A$2:$B$5000,2,0)</f>
        <v>4.2919999999999998</v>
      </c>
      <c r="G52">
        <v>77.12</v>
      </c>
      <c r="H52">
        <v>93.81</v>
      </c>
    </row>
    <row r="53" spans="1:8" x14ac:dyDescent="0.4">
      <c r="A53" s="1">
        <v>45366</v>
      </c>
      <c r="B53" s="3">
        <f>'S&amp;P500'!B54</f>
        <v>5149.42</v>
      </c>
      <c r="C53" s="3">
        <f>나스닥!B54</f>
        <v>16103.45</v>
      </c>
      <c r="D53">
        <f>VLOOKUP(A53,VIX!$A$2:B5051,2,0)</f>
        <v>14.41</v>
      </c>
      <c r="E53">
        <f>VLOOKUP(A53,'10년'!$A$2:$B$5000,2,0)</f>
        <v>4.3079999999999998</v>
      </c>
      <c r="F53">
        <f>VLOOKUP(A53,'5년'!$A$2:$B$5000,2,0)</f>
        <v>4.3289999999999997</v>
      </c>
      <c r="G53">
        <v>77.069999999999993</v>
      </c>
      <c r="H53">
        <v>93.65</v>
      </c>
    </row>
    <row r="54" spans="1:8" x14ac:dyDescent="0.4">
      <c r="A54" s="1">
        <v>45369</v>
      </c>
      <c r="B54" s="3">
        <f>'S&amp;P500'!B55</f>
        <v>5178.51</v>
      </c>
      <c r="C54" s="3">
        <f>나스닥!B55</f>
        <v>16166.79</v>
      </c>
      <c r="D54">
        <f>VLOOKUP(A54,VIX!$A$2:B5052,2,0)</f>
        <v>14.33</v>
      </c>
      <c r="E54">
        <f>VLOOKUP(A54,'10년'!$A$2:$B$5000,2,0)</f>
        <v>4.3280000000000003</v>
      </c>
      <c r="F54">
        <f>VLOOKUP(A54,'5년'!$A$2:$B$5000,2,0)</f>
        <v>4.3490000000000002</v>
      </c>
      <c r="G54">
        <v>77.25</v>
      </c>
      <c r="H54">
        <v>93.54</v>
      </c>
    </row>
    <row r="55" spans="1:8" x14ac:dyDescent="0.4">
      <c r="A55" s="1">
        <v>45370</v>
      </c>
      <c r="B55" s="3">
        <f>'S&amp;P500'!B56</f>
        <v>5224.62</v>
      </c>
      <c r="C55" s="3">
        <f>나스닥!B56</f>
        <v>16369.41</v>
      </c>
      <c r="D55">
        <f>VLOOKUP(A55,VIX!$A$2:B5053,2,0)</f>
        <v>13.82</v>
      </c>
      <c r="E55">
        <f>VLOOKUP(A55,'10년'!$A$2:$B$5000,2,0)</f>
        <v>4.2930000000000001</v>
      </c>
      <c r="F55">
        <f>VLOOKUP(A55,'5년'!$A$2:$B$5000,2,0)</f>
        <v>4.2990000000000004</v>
      </c>
      <c r="G55">
        <v>77.56</v>
      </c>
      <c r="H55">
        <v>93.81</v>
      </c>
    </row>
    <row r="56" spans="1:8" x14ac:dyDescent="0.4">
      <c r="A56" s="1">
        <v>45371</v>
      </c>
      <c r="B56" s="3">
        <f>'S&amp;P500'!B57</f>
        <v>5241.53</v>
      </c>
      <c r="C56" s="3">
        <f>나스닥!B57</f>
        <v>16401.84</v>
      </c>
      <c r="D56">
        <f>VLOOKUP(A56,VIX!$A$2:B5054,2,0)</f>
        <v>13.04</v>
      </c>
      <c r="E56">
        <f>VLOOKUP(A56,'10년'!$A$2:$B$5000,2,0)</f>
        <v>4.2770000000000001</v>
      </c>
      <c r="F56">
        <f>VLOOKUP(A56,'5년'!$A$2:$B$5000,2,0)</f>
        <v>4.2480000000000002</v>
      </c>
      <c r="G56">
        <v>77.819999999999993</v>
      </c>
      <c r="H56">
        <v>94.03</v>
      </c>
    </row>
    <row r="57" spans="1:8" x14ac:dyDescent="0.4">
      <c r="A57" s="1">
        <v>45372</v>
      </c>
      <c r="B57" s="3">
        <f>'S&amp;P500'!B58</f>
        <v>5234.18</v>
      </c>
      <c r="C57" s="3">
        <f>나스닥!B58</f>
        <v>16428.82</v>
      </c>
      <c r="D57">
        <f>VLOOKUP(A57,VIX!$A$2:B5055,2,0)</f>
        <v>12.92</v>
      </c>
      <c r="E57">
        <f>VLOOKUP(A57,'10년'!$A$2:$B$5000,2,0)</f>
        <v>4.2690000000000001</v>
      </c>
      <c r="F57">
        <f>VLOOKUP(A57,'5년'!$A$2:$B$5000,2,0)</f>
        <v>4.2560000000000002</v>
      </c>
      <c r="G57">
        <v>77.78</v>
      </c>
      <c r="H57">
        <v>94.04</v>
      </c>
    </row>
    <row r="58" spans="1:8" x14ac:dyDescent="0.4">
      <c r="A58" s="1">
        <v>45373</v>
      </c>
      <c r="B58" s="3">
        <f>'S&amp;P500'!B59</f>
        <v>5218.1899999999996</v>
      </c>
      <c r="C58" s="3">
        <f>나스닥!B59</f>
        <v>16384.47</v>
      </c>
      <c r="D58">
        <f>VLOOKUP(A58,VIX!$A$2:B5056,2,0)</f>
        <v>13.06</v>
      </c>
      <c r="E58">
        <f>VLOOKUP(A58,'10년'!$A$2:$B$5000,2,0)</f>
        <v>4.202</v>
      </c>
      <c r="F58">
        <f>VLOOKUP(A58,'5년'!$A$2:$B$5000,2,0)</f>
        <v>4.1890000000000001</v>
      </c>
      <c r="G58">
        <v>77.7</v>
      </c>
      <c r="H58">
        <v>94.5</v>
      </c>
    </row>
    <row r="59" spans="1:8" x14ac:dyDescent="0.4">
      <c r="A59" s="1">
        <v>45376</v>
      </c>
      <c r="B59" s="3">
        <f>'S&amp;P500'!B60</f>
        <v>5203.58</v>
      </c>
      <c r="C59" s="3">
        <f>나스닥!B60</f>
        <v>16315.7</v>
      </c>
      <c r="D59">
        <f>VLOOKUP(A59,VIX!$A$2:B5057,2,0)</f>
        <v>13.19</v>
      </c>
      <c r="E59">
        <f>VLOOKUP(A59,'10년'!$A$2:$B$5000,2,0)</f>
        <v>4.2489999999999997</v>
      </c>
      <c r="F59">
        <f>VLOOKUP(A59,'5년'!$A$2:$B$5000,2,0)</f>
        <v>4.2329999999999997</v>
      </c>
      <c r="G59">
        <v>77.58</v>
      </c>
      <c r="H59">
        <v>94.25</v>
      </c>
    </row>
    <row r="60" spans="1:8" x14ac:dyDescent="0.4">
      <c r="A60" s="1">
        <v>45377</v>
      </c>
      <c r="B60" s="3">
        <f>'S&amp;P500'!B61</f>
        <v>5248.49</v>
      </c>
      <c r="C60" s="3">
        <f>나스닥!B61</f>
        <v>16399.52</v>
      </c>
      <c r="D60">
        <f>VLOOKUP(A60,VIX!$A$2:B5058,2,0)</f>
        <v>13.24</v>
      </c>
      <c r="E60">
        <f>VLOOKUP(A60,'10년'!$A$2:$B$5000,2,0)</f>
        <v>4.2380000000000004</v>
      </c>
      <c r="F60">
        <f>VLOOKUP(A60,'5년'!$A$2:$B$5000,2,0)</f>
        <v>4.2229999999999999</v>
      </c>
      <c r="G60">
        <v>77.489999999999995</v>
      </c>
      <c r="H60">
        <v>94.39</v>
      </c>
    </row>
    <row r="61" spans="1:8" x14ac:dyDescent="0.4">
      <c r="A61" s="1">
        <v>45378</v>
      </c>
      <c r="B61" s="3">
        <f>'S&amp;P500'!B62</f>
        <v>5254.35</v>
      </c>
      <c r="C61" s="3">
        <f>나스닥!B62</f>
        <v>16379.46</v>
      </c>
      <c r="D61">
        <f>VLOOKUP(A61,VIX!$A$2:B5059,2,0)</f>
        <v>12.78</v>
      </c>
      <c r="E61">
        <f>VLOOKUP(A61,'10년'!$A$2:$B$5000,2,0)</f>
        <v>4.1879999999999997</v>
      </c>
      <c r="F61">
        <f>VLOOKUP(A61,'5년'!$A$2:$B$5000,2,0)</f>
        <v>4.1829999999999998</v>
      </c>
      <c r="G61">
        <v>77.900000000000006</v>
      </c>
      <c r="H61">
        <v>94.75</v>
      </c>
    </row>
    <row r="62" spans="1:8" x14ac:dyDescent="0.4">
      <c r="A62" s="1">
        <v>45379</v>
      </c>
      <c r="B62" s="3">
        <f>'S&amp;P500'!B63</f>
        <v>5243.77</v>
      </c>
      <c r="C62" s="3">
        <f>나스닥!B63</f>
        <v>16396.830000000002</v>
      </c>
      <c r="D62">
        <f>VLOOKUP(A62,VIX!$A$2:B5060,2,0)</f>
        <v>13.01</v>
      </c>
      <c r="E62">
        <f>VLOOKUP(A62,'10년'!$A$2:$B$5000,2,0)</f>
        <v>4.2060000000000004</v>
      </c>
      <c r="F62">
        <f>VLOOKUP(A62,'5년'!$A$2:$B$5000,2,0)</f>
        <v>4.22</v>
      </c>
      <c r="G62">
        <v>77.73</v>
      </c>
      <c r="H62">
        <v>94.66</v>
      </c>
    </row>
    <row r="63" spans="1:8" x14ac:dyDescent="0.4">
      <c r="A63" s="1">
        <v>45383</v>
      </c>
      <c r="B63" s="3">
        <f>'S&amp;P500'!B64</f>
        <v>5205.8100000000004</v>
      </c>
      <c r="C63" s="3">
        <f>나스닥!B64</f>
        <v>16240.45</v>
      </c>
      <c r="D63">
        <f>VLOOKUP(A63,VIX!$A$2:B5061,2,0)</f>
        <v>13.65</v>
      </c>
      <c r="E63">
        <f>VLOOKUP(A63,'10년'!$A$2:$B$5000,2,0)</f>
        <v>4.3170000000000002</v>
      </c>
      <c r="F63">
        <f>VLOOKUP(A63,'5년'!$A$2:$B$5000,2,0)</f>
        <v>4.327</v>
      </c>
      <c r="G63">
        <v>77.02</v>
      </c>
      <c r="H63">
        <v>93.53</v>
      </c>
    </row>
    <row r="64" spans="1:8" x14ac:dyDescent="0.4">
      <c r="A64" s="1">
        <v>45384</v>
      </c>
      <c r="B64" s="3">
        <f>'S&amp;P500'!B65</f>
        <v>5211.49</v>
      </c>
      <c r="C64" s="3">
        <f>나스닥!B65</f>
        <v>16277.46</v>
      </c>
      <c r="D64">
        <f>VLOOKUP(A64,VIX!$A$2:B5062,2,0)</f>
        <v>14.61</v>
      </c>
      <c r="E64">
        <f>VLOOKUP(A64,'10년'!$A$2:$B$5000,2,0)</f>
        <v>4.3529999999999998</v>
      </c>
      <c r="F64">
        <f>VLOOKUP(A64,'5년'!$A$2:$B$5000,2,0)</f>
        <v>4.343</v>
      </c>
      <c r="G64">
        <v>76.89</v>
      </c>
      <c r="H64">
        <v>93.33</v>
      </c>
    </row>
    <row r="65" spans="1:8" x14ac:dyDescent="0.4">
      <c r="A65" s="1">
        <v>45385</v>
      </c>
      <c r="B65" s="3">
        <f>'S&amp;P500'!B66</f>
        <v>5147.21</v>
      </c>
      <c r="C65" s="3">
        <f>나스닥!B66</f>
        <v>16049.08</v>
      </c>
      <c r="D65">
        <f>VLOOKUP(A65,VIX!$A$2:B5063,2,0)</f>
        <v>14.33</v>
      </c>
      <c r="E65">
        <f>VLOOKUP(A65,'10년'!$A$2:$B$5000,2,0)</f>
        <v>4.351</v>
      </c>
      <c r="F65">
        <f>VLOOKUP(A65,'5년'!$A$2:$B$5000,2,0)</f>
        <v>4.3310000000000004</v>
      </c>
      <c r="G65">
        <v>76.95</v>
      </c>
      <c r="H65">
        <v>93.44</v>
      </c>
    </row>
    <row r="66" spans="1:8" x14ac:dyDescent="0.4">
      <c r="A66" s="1">
        <v>45386</v>
      </c>
      <c r="B66" s="3">
        <f>'S&amp;P500'!B67</f>
        <v>5204.34</v>
      </c>
      <c r="C66" s="3">
        <f>나스닥!B67</f>
        <v>16248.52</v>
      </c>
      <c r="D66">
        <f>VLOOKUP(A66,VIX!$A$2:B5064,2,0)</f>
        <v>16.350000000000001</v>
      </c>
      <c r="E66">
        <f>VLOOKUP(A66,'10년'!$A$2:$B$5000,2,0)</f>
        <v>4.3070000000000004</v>
      </c>
      <c r="F66">
        <f>VLOOKUP(A66,'5년'!$A$2:$B$5000,2,0)</f>
        <v>4.2939999999999996</v>
      </c>
      <c r="G66">
        <v>76.89</v>
      </c>
      <c r="H66">
        <v>93.76</v>
      </c>
    </row>
    <row r="67" spans="1:8" x14ac:dyDescent="0.4">
      <c r="A67" s="1">
        <v>45387</v>
      </c>
      <c r="B67" s="3">
        <f>'S&amp;P500'!B68</f>
        <v>5202.3900000000003</v>
      </c>
      <c r="C67" s="3">
        <f>나스닥!B68</f>
        <v>16253.96</v>
      </c>
      <c r="D67">
        <f>VLOOKUP(A67,VIX!$A$2:B5065,2,0)</f>
        <v>16.03</v>
      </c>
      <c r="E67">
        <f>VLOOKUP(A67,'10년'!$A$2:$B$5000,2,0)</f>
        <v>4.4000000000000004</v>
      </c>
      <c r="F67">
        <f>VLOOKUP(A67,'5년'!$A$2:$B$5000,2,0)</f>
        <v>4.391</v>
      </c>
      <c r="G67">
        <v>76.819999999999993</v>
      </c>
      <c r="H67">
        <v>93.14</v>
      </c>
    </row>
    <row r="68" spans="1:8" x14ac:dyDescent="0.4">
      <c r="A68" s="1">
        <v>45390</v>
      </c>
      <c r="B68" s="3">
        <f>'S&amp;P500'!B69</f>
        <v>5209.91</v>
      </c>
      <c r="C68" s="3">
        <f>나스닥!B69</f>
        <v>16306.64</v>
      </c>
      <c r="D68">
        <f>VLOOKUP(A68,VIX!$A$2:B5066,2,0)</f>
        <v>15.19</v>
      </c>
      <c r="E68">
        <f>VLOOKUP(A68,'10년'!$A$2:$B$5000,2,0)</f>
        <v>4.4219999999999997</v>
      </c>
      <c r="F68">
        <f>VLOOKUP(A68,'5년'!$A$2:$B$5000,2,0)</f>
        <v>4.43</v>
      </c>
      <c r="G68">
        <v>77</v>
      </c>
      <c r="H68">
        <v>92.93</v>
      </c>
    </row>
    <row r="69" spans="1:8" x14ac:dyDescent="0.4">
      <c r="A69" s="1">
        <v>45391</v>
      </c>
      <c r="B69" s="3">
        <f>'S&amp;P500'!B70</f>
        <v>5160.6400000000003</v>
      </c>
      <c r="C69" s="3">
        <f>나스닥!B70</f>
        <v>16170.36</v>
      </c>
      <c r="D69">
        <f>VLOOKUP(A69,VIX!$A$2:B5067,2,0)</f>
        <v>14.98</v>
      </c>
      <c r="E69">
        <f>VLOOKUP(A69,'10년'!$A$2:$B$5000,2,0)</f>
        <v>4.3620000000000001</v>
      </c>
      <c r="F69">
        <f>VLOOKUP(A69,'5년'!$A$2:$B$5000,2,0)</f>
        <v>4.375</v>
      </c>
      <c r="G69">
        <v>77.16</v>
      </c>
      <c r="H69">
        <v>93.3</v>
      </c>
    </row>
    <row r="70" spans="1:8" x14ac:dyDescent="0.4">
      <c r="A70" s="1">
        <v>45392</v>
      </c>
      <c r="B70" s="3">
        <f>'S&amp;P500'!B71</f>
        <v>5199.0600000000004</v>
      </c>
      <c r="C70" s="3">
        <f>나스닥!B71</f>
        <v>16442.2</v>
      </c>
      <c r="D70">
        <f>VLOOKUP(A70,VIX!$A$2:B5068,2,0)</f>
        <v>15.8</v>
      </c>
      <c r="E70">
        <f>VLOOKUP(A70,'10년'!$A$2:$B$5000,2,0)</f>
        <v>4.5460000000000003</v>
      </c>
      <c r="F70">
        <f>VLOOKUP(A70,'5년'!$A$2:$B$5000,2,0)</f>
        <v>4.6079999999999997</v>
      </c>
      <c r="G70">
        <v>76.48</v>
      </c>
      <c r="H70">
        <v>92.06</v>
      </c>
    </row>
    <row r="71" spans="1:8" x14ac:dyDescent="0.4">
      <c r="A71" s="1">
        <v>45393</v>
      </c>
      <c r="B71" s="3">
        <f>'S&amp;P500'!B72</f>
        <v>5123.41</v>
      </c>
      <c r="C71" s="3">
        <f>나스닥!B72</f>
        <v>16175.09</v>
      </c>
      <c r="D71">
        <f>VLOOKUP(A71,VIX!$A$2:B5069,2,0)</f>
        <v>14.91</v>
      </c>
      <c r="E71">
        <f>VLOOKUP(A71,'10년'!$A$2:$B$5000,2,0)</f>
        <v>4.5839999999999996</v>
      </c>
      <c r="F71">
        <f>VLOOKUP(A71,'5년'!$A$2:$B$5000,2,0)</f>
        <v>4.6260000000000003</v>
      </c>
      <c r="G71">
        <v>76.41</v>
      </c>
      <c r="H71">
        <v>91.93</v>
      </c>
    </row>
    <row r="72" spans="1:8" x14ac:dyDescent="0.4">
      <c r="A72" s="1">
        <v>45394</v>
      </c>
      <c r="B72" s="3">
        <f>'S&amp;P500'!B73</f>
        <v>5061.82</v>
      </c>
      <c r="C72" s="3">
        <f>나스닥!B73</f>
        <v>15885.02</v>
      </c>
      <c r="D72">
        <f>VLOOKUP(A72,VIX!$A$2:B5070,2,0)</f>
        <v>17.309999999999999</v>
      </c>
      <c r="E72">
        <f>VLOOKUP(A72,'10년'!$A$2:$B$5000,2,0)</f>
        <v>4.5170000000000003</v>
      </c>
      <c r="F72">
        <f>VLOOKUP(A72,'5년'!$A$2:$B$5000,2,0)</f>
        <v>4.5529999999999999</v>
      </c>
      <c r="G72">
        <v>76.37</v>
      </c>
      <c r="H72">
        <v>92.31</v>
      </c>
    </row>
    <row r="73" spans="1:8" x14ac:dyDescent="0.4">
      <c r="A73" s="1">
        <v>45397</v>
      </c>
      <c r="B73" s="3">
        <f>'S&amp;P500'!B74</f>
        <v>5051.41</v>
      </c>
      <c r="C73" s="3">
        <f>나스닥!B74</f>
        <v>15865.25</v>
      </c>
      <c r="D73">
        <f>VLOOKUP(A73,VIX!$A$2:B5071,2,0)</f>
        <v>19.23</v>
      </c>
      <c r="E73">
        <f>VLOOKUP(A73,'10년'!$A$2:$B$5000,2,0)</f>
        <v>4.6100000000000003</v>
      </c>
      <c r="F73">
        <f>VLOOKUP(A73,'5년'!$A$2:$B$5000,2,0)</f>
        <v>4.6269999999999998</v>
      </c>
      <c r="G73">
        <v>75.930000000000007</v>
      </c>
      <c r="H73">
        <v>91.72</v>
      </c>
    </row>
    <row r="74" spans="1:8" x14ac:dyDescent="0.4">
      <c r="A74" s="1">
        <v>45398</v>
      </c>
      <c r="B74" s="3">
        <f>'S&amp;P500'!B75</f>
        <v>5022.21</v>
      </c>
      <c r="C74" s="3">
        <f>나스닥!B75</f>
        <v>15683.37</v>
      </c>
      <c r="D74">
        <f>VLOOKUP(A74,VIX!$A$2:B5072,2,0)</f>
        <v>18.399999999999999</v>
      </c>
      <c r="E74">
        <f>VLOOKUP(A74,'10년'!$A$2:$B$5000,2,0)</f>
        <v>4.6689999999999996</v>
      </c>
      <c r="F74">
        <f>VLOOKUP(A74,'5년'!$A$2:$B$5000,2,0)</f>
        <v>4.6980000000000004</v>
      </c>
      <c r="G74">
        <v>75.680000000000007</v>
      </c>
      <c r="H74">
        <v>91.36</v>
      </c>
    </row>
    <row r="75" spans="1:8" x14ac:dyDescent="0.4">
      <c r="A75" s="1">
        <v>45399</v>
      </c>
      <c r="B75" s="3">
        <f>'S&amp;P500'!B76</f>
        <v>5011.12</v>
      </c>
      <c r="C75" s="3">
        <f>나스닥!B76</f>
        <v>15601.5</v>
      </c>
      <c r="D75">
        <f>VLOOKUP(A75,VIX!$A$2:B5073,2,0)</f>
        <v>18.21</v>
      </c>
      <c r="E75">
        <f>VLOOKUP(A75,'10년'!$A$2:$B$5000,2,0)</f>
        <v>4.5890000000000004</v>
      </c>
      <c r="F75">
        <f>VLOOKUP(A75,'5년'!$A$2:$B$5000,2,0)</f>
        <v>4.6189999999999998</v>
      </c>
      <c r="G75">
        <v>75.78</v>
      </c>
      <c r="H75">
        <v>91.94</v>
      </c>
    </row>
    <row r="76" spans="1:8" x14ac:dyDescent="0.4">
      <c r="A76" s="1">
        <v>45400</v>
      </c>
      <c r="B76" s="3">
        <f>'S&amp;P500'!B77</f>
        <v>4967.2299999999996</v>
      </c>
      <c r="C76" s="3">
        <f>나스닥!B77</f>
        <v>15282.01</v>
      </c>
      <c r="D76">
        <f>VLOOKUP(A76,VIX!$A$2:B5074,2,0)</f>
        <v>18</v>
      </c>
      <c r="E76">
        <f>VLOOKUP(A76,'10년'!$A$2:$B$5000,2,0)</f>
        <v>4.6369999999999996</v>
      </c>
      <c r="F76">
        <f>VLOOKUP(A76,'5년'!$A$2:$B$5000,2,0)</f>
        <v>4.68</v>
      </c>
      <c r="G76">
        <v>75.84</v>
      </c>
      <c r="H76">
        <v>91.62</v>
      </c>
    </row>
    <row r="77" spans="1:8" x14ac:dyDescent="0.4">
      <c r="A77" s="1">
        <v>45401</v>
      </c>
      <c r="B77" s="3">
        <f>'S&amp;P500'!B78</f>
        <v>5010.6000000000004</v>
      </c>
      <c r="C77" s="3">
        <f>나스닥!B78</f>
        <v>15451.3</v>
      </c>
      <c r="D77">
        <f>VLOOKUP(A77,VIX!$A$2:B5075,2,0)</f>
        <v>18.71</v>
      </c>
      <c r="E77">
        <f>VLOOKUP(A77,'10년'!$A$2:$B$5000,2,0)</f>
        <v>4.6230000000000002</v>
      </c>
      <c r="F77">
        <f>VLOOKUP(A77,'5년'!$A$2:$B$5000,2,0)</f>
        <v>4.6719999999999997</v>
      </c>
      <c r="G77">
        <v>75.98</v>
      </c>
      <c r="H77">
        <v>91.74</v>
      </c>
    </row>
    <row r="78" spans="1:8" x14ac:dyDescent="0.4">
      <c r="A78" s="1">
        <v>45404</v>
      </c>
      <c r="B78" s="3">
        <f>'S&amp;P500'!B79</f>
        <v>5070.55</v>
      </c>
      <c r="C78" s="3">
        <f>나스닥!B79</f>
        <v>15696.64</v>
      </c>
      <c r="D78">
        <f>VLOOKUP(A78,VIX!$A$2:B5076,2,0)</f>
        <v>16.940000000000001</v>
      </c>
      <c r="E78">
        <f>VLOOKUP(A78,'10년'!$A$2:$B$5000,2,0)</f>
        <v>4.6100000000000003</v>
      </c>
      <c r="F78">
        <f>VLOOKUP(A78,'5년'!$A$2:$B$5000,2,0)</f>
        <v>4.6520000000000001</v>
      </c>
      <c r="G78">
        <v>76.400000000000006</v>
      </c>
      <c r="H78">
        <v>91.75</v>
      </c>
    </row>
    <row r="79" spans="1:8" x14ac:dyDescent="0.4">
      <c r="A79" s="1">
        <v>45405</v>
      </c>
      <c r="B79" s="3">
        <f>'S&amp;P500'!B80</f>
        <v>5071.63</v>
      </c>
      <c r="C79" s="3">
        <f>나스닥!B80</f>
        <v>15712.75</v>
      </c>
      <c r="D79">
        <f>VLOOKUP(A79,VIX!$A$2:B5077,2,0)</f>
        <v>15.69</v>
      </c>
      <c r="E79">
        <f>VLOOKUP(A79,'10년'!$A$2:$B$5000,2,0)</f>
        <v>4.6070000000000002</v>
      </c>
      <c r="F79">
        <f>VLOOKUP(A79,'5년'!$A$2:$B$5000,2,0)</f>
        <v>4.633</v>
      </c>
      <c r="G79">
        <v>76.709999999999994</v>
      </c>
      <c r="H79">
        <v>91.87</v>
      </c>
    </row>
    <row r="80" spans="1:8" x14ac:dyDescent="0.4">
      <c r="A80" s="1">
        <v>45406</v>
      </c>
      <c r="B80" s="3">
        <f>'S&amp;P500'!B81</f>
        <v>5048.42</v>
      </c>
      <c r="C80" s="3">
        <f>나스닥!B81</f>
        <v>15611.76</v>
      </c>
      <c r="D80">
        <f>VLOOKUP(A80,VIX!$A$2:B5078,2,0)</f>
        <v>15.97</v>
      </c>
      <c r="E80">
        <f>VLOOKUP(A80,'10년'!$A$2:$B$5000,2,0)</f>
        <v>4.6479999999999997</v>
      </c>
      <c r="F80">
        <f>VLOOKUP(A80,'5년'!$A$2:$B$5000,2,0)</f>
        <v>4.6619999999999999</v>
      </c>
      <c r="G80">
        <v>76.540000000000006</v>
      </c>
      <c r="H80">
        <v>91.59</v>
      </c>
    </row>
    <row r="81" spans="1:8" x14ac:dyDescent="0.4">
      <c r="A81" s="1">
        <v>45407</v>
      </c>
      <c r="B81" s="3">
        <f>'S&amp;P500'!B82</f>
        <v>5099.96</v>
      </c>
      <c r="C81" s="3">
        <f>나스닥!B82</f>
        <v>15927.9</v>
      </c>
      <c r="D81">
        <f>VLOOKUP(A81,VIX!$A$2:B5079,2,0)</f>
        <v>15.37</v>
      </c>
      <c r="E81">
        <f>VLOOKUP(A81,'10년'!$A$2:$B$5000,2,0)</f>
        <v>4.7039999999999997</v>
      </c>
      <c r="F81">
        <f>VLOOKUP(A81,'5년'!$A$2:$B$5000,2,0)</f>
        <v>4.7190000000000003</v>
      </c>
      <c r="G81">
        <v>76.38</v>
      </c>
      <c r="H81">
        <v>91.24</v>
      </c>
    </row>
    <row r="82" spans="1:8" x14ac:dyDescent="0.4">
      <c r="A82" s="1">
        <v>45408</v>
      </c>
      <c r="B82" s="3">
        <f>'S&amp;P500'!B83</f>
        <v>5116.17</v>
      </c>
      <c r="C82" s="3">
        <f>나스닥!B83</f>
        <v>15983.08</v>
      </c>
      <c r="D82">
        <f>VLOOKUP(A82,VIX!$A$2:B5080,2,0)</f>
        <v>15.03</v>
      </c>
      <c r="E82">
        <f>VLOOKUP(A82,'10년'!$A$2:$B$5000,2,0)</f>
        <v>4.6630000000000003</v>
      </c>
      <c r="F82">
        <f>VLOOKUP(A82,'5년'!$A$2:$B$5000,2,0)</f>
        <v>4.6870000000000003</v>
      </c>
      <c r="G82">
        <v>76.62</v>
      </c>
      <c r="H82">
        <v>91.49</v>
      </c>
    </row>
    <row r="83" spans="1:8" x14ac:dyDescent="0.4">
      <c r="A83" s="1">
        <v>45411</v>
      </c>
      <c r="B83" s="3">
        <f>'S&amp;P500'!B84</f>
        <v>5035.6899999999996</v>
      </c>
      <c r="C83" s="3">
        <f>나스닥!B84</f>
        <v>15657.82</v>
      </c>
      <c r="D83">
        <f>VLOOKUP(A83,VIX!$A$2:B5081,2,0)</f>
        <v>14.67</v>
      </c>
      <c r="E83">
        <f>VLOOKUP(A83,'10년'!$A$2:$B$5000,2,0)</f>
        <v>4.6109999999999998</v>
      </c>
      <c r="F83">
        <f>VLOOKUP(A83,'5년'!$A$2:$B$5000,2,0)</f>
        <v>4.6429999999999998</v>
      </c>
      <c r="G83">
        <v>76.849999999999994</v>
      </c>
      <c r="H83">
        <v>91.86</v>
      </c>
    </row>
    <row r="84" spans="1:8" x14ac:dyDescent="0.4">
      <c r="A84" s="1">
        <v>45412</v>
      </c>
      <c r="B84" s="3">
        <f>'S&amp;P500'!B85</f>
        <v>5018.3900000000003</v>
      </c>
      <c r="C84" s="3">
        <f>나스닥!B85</f>
        <v>15605.48</v>
      </c>
      <c r="D84">
        <f>VLOOKUP(A84,VIX!$A$2:B5082,2,0)</f>
        <v>15.65</v>
      </c>
      <c r="E84">
        <f>VLOOKUP(A84,'10년'!$A$2:$B$5000,2,0)</f>
        <v>4.6820000000000004</v>
      </c>
      <c r="F84">
        <f>VLOOKUP(A84,'5년'!$A$2:$B$5000,2,0)</f>
        <v>4.7149999999999999</v>
      </c>
      <c r="G84">
        <v>76.290000000000006</v>
      </c>
      <c r="H84">
        <v>91.43</v>
      </c>
    </row>
    <row r="85" spans="1:8" x14ac:dyDescent="0.4">
      <c r="A85" s="1">
        <v>45413</v>
      </c>
      <c r="B85" s="3">
        <f>'S&amp;P500'!B86</f>
        <v>5064.2</v>
      </c>
      <c r="C85" s="3">
        <f>나스닥!B86</f>
        <v>15840.96</v>
      </c>
      <c r="D85">
        <f>VLOOKUP(A85,VIX!$A$2:B5083,2,0)</f>
        <v>15.39</v>
      </c>
      <c r="E85">
        <f>VLOOKUP(A85,'10년'!$A$2:$B$5000,2,0)</f>
        <v>4.641</v>
      </c>
      <c r="F85">
        <f>VLOOKUP(A85,'5년'!$A$2:$B$5000,2,0)</f>
        <v>4.66</v>
      </c>
      <c r="G85">
        <v>76.290000000000006</v>
      </c>
      <c r="H85">
        <v>91.52</v>
      </c>
    </row>
    <row r="86" spans="1:8" x14ac:dyDescent="0.4">
      <c r="A86" s="1">
        <v>45414</v>
      </c>
      <c r="B86" s="3">
        <f>'S&amp;P500'!B87</f>
        <v>5127.79</v>
      </c>
      <c r="C86" s="3">
        <f>나스닥!B87</f>
        <v>16156.33</v>
      </c>
      <c r="D86">
        <f>VLOOKUP(A86,VIX!$A$2:B5084,2,0)</f>
        <v>14.68</v>
      </c>
      <c r="E86">
        <f>VLOOKUP(A86,'10년'!$A$2:$B$5000,2,0)</f>
        <v>4.5890000000000004</v>
      </c>
      <c r="F86">
        <f>VLOOKUP(A86,'5년'!$A$2:$B$5000,2,0)</f>
        <v>4.577</v>
      </c>
      <c r="G86">
        <v>76.760000000000005</v>
      </c>
      <c r="H86">
        <v>91.95</v>
      </c>
    </row>
    <row r="87" spans="1:8" x14ac:dyDescent="0.4">
      <c r="A87" s="1">
        <v>45415</v>
      </c>
      <c r="B87" s="3">
        <f>'S&amp;P500'!B88</f>
        <v>5180.74</v>
      </c>
      <c r="C87" s="3">
        <f>나스닥!B88</f>
        <v>16349.25</v>
      </c>
      <c r="D87">
        <f>VLOOKUP(A87,VIX!$A$2:B5085,2,0)</f>
        <v>13.49</v>
      </c>
      <c r="E87">
        <f>VLOOKUP(A87,'10년'!$A$2:$B$5000,2,0)</f>
        <v>4.4969999999999999</v>
      </c>
      <c r="F87">
        <f>VLOOKUP(A87,'5년'!$A$2:$B$5000,2,0)</f>
        <v>4.4820000000000002</v>
      </c>
      <c r="G87">
        <v>77.08</v>
      </c>
      <c r="H87">
        <v>92.46</v>
      </c>
    </row>
    <row r="88" spans="1:8" x14ac:dyDescent="0.4">
      <c r="A88" s="1">
        <v>45418</v>
      </c>
      <c r="B88" s="3">
        <f>'S&amp;P500'!B89</f>
        <v>5187.7</v>
      </c>
      <c r="C88" s="3">
        <f>나스닥!B89</f>
        <v>16332.55</v>
      </c>
      <c r="D88">
        <f>VLOOKUP(A88,VIX!$A$2:B5086,2,0)</f>
        <v>13.49</v>
      </c>
      <c r="E88">
        <f>VLOOKUP(A88,'10년'!$A$2:$B$5000,2,0)</f>
        <v>4.4870000000000001</v>
      </c>
      <c r="F88">
        <f>VLOOKUP(A88,'5년'!$A$2:$B$5000,2,0)</f>
        <v>4.4870000000000001</v>
      </c>
      <c r="G88">
        <v>77.17</v>
      </c>
      <c r="H88">
        <v>92.54</v>
      </c>
    </row>
    <row r="89" spans="1:8" x14ac:dyDescent="0.4">
      <c r="A89" s="1">
        <v>45419</v>
      </c>
      <c r="B89" s="3">
        <f>'S&amp;P500'!B90</f>
        <v>5187.67</v>
      </c>
      <c r="C89" s="3">
        <f>나스닥!B90</f>
        <v>16302.76</v>
      </c>
      <c r="D89">
        <f>VLOOKUP(A89,VIX!$A$2:B5087,2,0)</f>
        <v>13.23</v>
      </c>
      <c r="E89">
        <f>VLOOKUP(A89,'10년'!$A$2:$B$5000,2,0)</f>
        <v>4.4610000000000003</v>
      </c>
      <c r="F89">
        <f>VLOOKUP(A89,'5년'!$A$2:$B$5000,2,0)</f>
        <v>4.4729999999999999</v>
      </c>
      <c r="G89">
        <v>77.180000000000007</v>
      </c>
      <c r="H89">
        <v>92.78</v>
      </c>
    </row>
    <row r="90" spans="1:8" x14ac:dyDescent="0.4">
      <c r="A90" s="1">
        <v>45420</v>
      </c>
      <c r="B90" s="3">
        <f>'S&amp;P500'!B91</f>
        <v>5214.08</v>
      </c>
      <c r="C90" s="3">
        <f>나스닥!B91</f>
        <v>16346.26</v>
      </c>
      <c r="D90">
        <f>VLOOKUP(A90,VIX!$A$2:B5088,2,0)</f>
        <v>13</v>
      </c>
      <c r="E90">
        <f>VLOOKUP(A90,'10년'!$A$2:$B$5000,2,0)</f>
        <v>4.5</v>
      </c>
      <c r="F90">
        <f>VLOOKUP(A90,'5년'!$A$2:$B$5000,2,0)</f>
        <v>4.5030000000000001</v>
      </c>
      <c r="G90">
        <v>77</v>
      </c>
      <c r="H90">
        <v>92.52</v>
      </c>
    </row>
    <row r="91" spans="1:8" x14ac:dyDescent="0.4">
      <c r="A91" s="1">
        <v>45421</v>
      </c>
      <c r="B91" s="3">
        <f>'S&amp;P500'!B92</f>
        <v>5222.68</v>
      </c>
      <c r="C91" s="3">
        <f>나스닥!B92</f>
        <v>16340.87</v>
      </c>
      <c r="D91">
        <f>VLOOKUP(A91,VIX!$A$2:B5089,2,0)</f>
        <v>12.69</v>
      </c>
      <c r="E91">
        <f>VLOOKUP(A91,'10년'!$A$2:$B$5000,2,0)</f>
        <v>4.4589999999999996</v>
      </c>
      <c r="F91">
        <f>VLOOKUP(A91,'5년'!$A$2:$B$5000,2,0)</f>
        <v>4.4720000000000004</v>
      </c>
      <c r="G91">
        <v>77.02</v>
      </c>
      <c r="H91">
        <v>92.8</v>
      </c>
    </row>
    <row r="92" spans="1:8" x14ac:dyDescent="0.4">
      <c r="A92" s="1">
        <v>45422</v>
      </c>
      <c r="B92" s="3">
        <f>'S&amp;P500'!B93</f>
        <v>5221.42</v>
      </c>
      <c r="C92" s="3">
        <f>나스닥!B93</f>
        <v>16388.240000000002</v>
      </c>
      <c r="D92">
        <f>VLOOKUP(A92,VIX!$A$2:B5090,2,0)</f>
        <v>12.55</v>
      </c>
      <c r="E92">
        <f>VLOOKUP(A92,'10년'!$A$2:$B$5000,2,0)</f>
        <v>4.5</v>
      </c>
      <c r="F92">
        <f>VLOOKUP(A92,'5년'!$A$2:$B$5000,2,0)</f>
        <v>4.516</v>
      </c>
      <c r="G92">
        <v>76.900000000000006</v>
      </c>
      <c r="H92">
        <v>92.5</v>
      </c>
    </row>
    <row r="93" spans="1:8" x14ac:dyDescent="0.4">
      <c r="A93" s="1">
        <v>45425</v>
      </c>
      <c r="B93" s="3">
        <f>'S&amp;P500'!B94</f>
        <v>5246.68</v>
      </c>
      <c r="C93" s="3">
        <f>나스닥!B94</f>
        <v>16511.18</v>
      </c>
      <c r="D93">
        <f>VLOOKUP(A93,VIX!$A$2:B5091,2,0)</f>
        <v>13.6</v>
      </c>
      <c r="E93">
        <f>VLOOKUP(A93,'10년'!$A$2:$B$5000,2,0)</f>
        <v>4.49</v>
      </c>
      <c r="F93">
        <f>VLOOKUP(A93,'5년'!$A$2:$B$5000,2,0)</f>
        <v>4.5090000000000003</v>
      </c>
      <c r="G93">
        <v>76.88</v>
      </c>
      <c r="H93">
        <v>92.61</v>
      </c>
    </row>
    <row r="94" spans="1:8" x14ac:dyDescent="0.4">
      <c r="A94" s="1">
        <v>45426</v>
      </c>
      <c r="B94" s="3">
        <f>'S&amp;P500'!B95</f>
        <v>5308.15</v>
      </c>
      <c r="C94" s="3">
        <f>나스닥!B95</f>
        <v>16742.39</v>
      </c>
      <c r="D94">
        <f>VLOOKUP(A94,VIX!$A$2:B5092,2,0)</f>
        <v>13.42</v>
      </c>
      <c r="E94">
        <f>VLOOKUP(A94,'10년'!$A$2:$B$5000,2,0)</f>
        <v>4.4450000000000003</v>
      </c>
      <c r="F94">
        <f>VLOOKUP(A94,'5년'!$A$2:$B$5000,2,0)</f>
        <v>4.46</v>
      </c>
      <c r="G94">
        <v>77</v>
      </c>
      <c r="H94">
        <v>92.88</v>
      </c>
    </row>
    <row r="95" spans="1:8" x14ac:dyDescent="0.4">
      <c r="A95" s="1">
        <v>45427</v>
      </c>
      <c r="B95" s="3">
        <f>'S&amp;P500'!B96</f>
        <v>5297.1</v>
      </c>
      <c r="C95" s="3">
        <f>나스닥!B96</f>
        <v>16698.32</v>
      </c>
      <c r="D95">
        <f>VLOOKUP(A95,VIX!$A$2:B5093,2,0)</f>
        <v>12.45</v>
      </c>
      <c r="E95">
        <f>VLOOKUP(A95,'10년'!$A$2:$B$5000,2,0)</f>
        <v>4.3440000000000003</v>
      </c>
      <c r="F95">
        <f>VLOOKUP(A95,'5년'!$A$2:$B$5000,2,0)</f>
        <v>4.3449999999999998</v>
      </c>
      <c r="G95">
        <v>77.45</v>
      </c>
      <c r="H95">
        <v>93.58</v>
      </c>
    </row>
    <row r="96" spans="1:8" x14ac:dyDescent="0.4">
      <c r="A96" s="1">
        <v>45428</v>
      </c>
      <c r="B96" s="3">
        <f>'S&amp;P500'!B97</f>
        <v>5303.27</v>
      </c>
      <c r="C96" s="3">
        <f>나스닥!B97</f>
        <v>16685.97</v>
      </c>
      <c r="D96">
        <f>VLOOKUP(A96,VIX!$A$2:B5094,2,0)</f>
        <v>12.42</v>
      </c>
      <c r="E96">
        <f>VLOOKUP(A96,'10년'!$A$2:$B$5000,2,0)</f>
        <v>4.3769999999999998</v>
      </c>
      <c r="F96">
        <f>VLOOKUP(A96,'5년'!$A$2:$B$5000,2,0)</f>
        <v>4.4009999999999998</v>
      </c>
      <c r="G96">
        <v>77.27</v>
      </c>
      <c r="H96">
        <v>93.4</v>
      </c>
    </row>
    <row r="97" spans="1:8" x14ac:dyDescent="0.4">
      <c r="A97" s="1">
        <v>45429</v>
      </c>
      <c r="B97" s="3">
        <f>'S&amp;P500'!B98</f>
        <v>5308.13</v>
      </c>
      <c r="C97" s="3">
        <f>나스닥!B98</f>
        <v>16794.87</v>
      </c>
      <c r="D97">
        <f>VLOOKUP(A97,VIX!$A$2:B5095,2,0)</f>
        <v>11.99</v>
      </c>
      <c r="E97">
        <f>VLOOKUP(A97,'10년'!$A$2:$B$5000,2,0)</f>
        <v>4.4219999999999997</v>
      </c>
      <c r="F97">
        <f>VLOOKUP(A97,'5년'!$A$2:$B$5000,2,0)</f>
        <v>4.4470000000000001</v>
      </c>
      <c r="G97">
        <v>77.28</v>
      </c>
      <c r="H97">
        <v>93.11</v>
      </c>
    </row>
    <row r="98" spans="1:8" x14ac:dyDescent="0.4">
      <c r="A98" s="1">
        <v>45432</v>
      </c>
      <c r="B98" s="3">
        <f>'S&amp;P500'!B99</f>
        <v>5321.41</v>
      </c>
      <c r="C98" s="3">
        <f>나스닥!B99</f>
        <v>16832.62</v>
      </c>
      <c r="D98">
        <f>VLOOKUP(A98,VIX!$A$2:B5096,2,0)</f>
        <v>12.15</v>
      </c>
      <c r="E98">
        <f>VLOOKUP(A98,'10년'!$A$2:$B$5000,2,0)</f>
        <v>4.4470000000000001</v>
      </c>
      <c r="F98">
        <f>VLOOKUP(A98,'5년'!$A$2:$B$5000,2,0)</f>
        <v>4.47</v>
      </c>
      <c r="G98">
        <v>77.319999999999993</v>
      </c>
      <c r="H98">
        <v>92.97</v>
      </c>
    </row>
    <row r="99" spans="1:8" x14ac:dyDescent="0.4">
      <c r="A99" s="1">
        <v>45433</v>
      </c>
      <c r="B99" s="3">
        <f>'S&amp;P500'!B100</f>
        <v>5307.01</v>
      </c>
      <c r="C99" s="3">
        <f>나스닥!B100</f>
        <v>16801.54</v>
      </c>
      <c r="D99">
        <f>VLOOKUP(A99,VIX!$A$2:B5097,2,0)</f>
        <v>11.86</v>
      </c>
      <c r="E99">
        <f>VLOOKUP(A99,'10년'!$A$2:$B$5000,2,0)</f>
        <v>4.4119999999999999</v>
      </c>
      <c r="F99">
        <f>VLOOKUP(A99,'5년'!$A$2:$B$5000,2,0)</f>
        <v>4.4320000000000004</v>
      </c>
      <c r="G99">
        <v>77.260000000000005</v>
      </c>
      <c r="H99">
        <v>93.21</v>
      </c>
    </row>
    <row r="100" spans="1:8" x14ac:dyDescent="0.4">
      <c r="A100" s="1">
        <v>45434</v>
      </c>
      <c r="B100" s="3">
        <f>'S&amp;P500'!B101</f>
        <v>5267.84</v>
      </c>
      <c r="C100" s="3">
        <f>나스닥!B101</f>
        <v>16736.03</v>
      </c>
      <c r="D100">
        <f>VLOOKUP(A100,VIX!$A$2:B5098,2,0)</f>
        <v>12.29</v>
      </c>
      <c r="E100">
        <f>VLOOKUP(A100,'10년'!$A$2:$B$5000,2,0)</f>
        <v>4.4260000000000002</v>
      </c>
      <c r="F100">
        <f>VLOOKUP(A100,'5년'!$A$2:$B$5000,2,0)</f>
        <v>4.468</v>
      </c>
      <c r="G100">
        <v>77.09</v>
      </c>
      <c r="H100">
        <v>93.09</v>
      </c>
    </row>
    <row r="101" spans="1:8" x14ac:dyDescent="0.4">
      <c r="A101" s="1">
        <v>45435</v>
      </c>
      <c r="B101" s="3">
        <f>'S&amp;P500'!B102</f>
        <v>5304.72</v>
      </c>
      <c r="C101" s="3">
        <f>나스닥!B102</f>
        <v>16920.79</v>
      </c>
      <c r="D101">
        <f>VLOOKUP(A101,VIX!$A$2:B5099,2,0)</f>
        <v>12.77</v>
      </c>
      <c r="E101">
        <f>VLOOKUP(A101,'10년'!$A$2:$B$5000,2,0)</f>
        <v>4.4790000000000001</v>
      </c>
      <c r="F101">
        <f>VLOOKUP(A101,'5년'!$A$2:$B$5000,2,0)</f>
        <v>4.5309999999999997</v>
      </c>
      <c r="G101">
        <v>76.819999999999993</v>
      </c>
      <c r="H101">
        <v>92.76</v>
      </c>
    </row>
    <row r="102" spans="1:8" x14ac:dyDescent="0.4">
      <c r="A102" s="1">
        <v>45436</v>
      </c>
      <c r="B102" s="3">
        <f>'S&amp;P500'!B103</f>
        <v>5306.04</v>
      </c>
      <c r="C102" s="3">
        <f>나스닥!B103</f>
        <v>17019.88</v>
      </c>
      <c r="D102">
        <f>VLOOKUP(A102,VIX!$A$2:B5100,2,0)</f>
        <v>11.93</v>
      </c>
      <c r="E102">
        <f>VLOOKUP(A102,'10년'!$A$2:$B$5000,2,0)</f>
        <v>4.4669999999999996</v>
      </c>
      <c r="F102">
        <f>VLOOKUP(A102,'5년'!$A$2:$B$5000,2,0)</f>
        <v>4.5279999999999996</v>
      </c>
      <c r="G102">
        <v>77.09</v>
      </c>
      <c r="H102">
        <v>92.88</v>
      </c>
    </row>
    <row r="103" spans="1:8" x14ac:dyDescent="0.4">
      <c r="A103" s="1">
        <v>45440</v>
      </c>
      <c r="B103" s="3">
        <f>'S&amp;P500'!B104</f>
        <v>5266.95</v>
      </c>
      <c r="C103" s="3">
        <f>나스닥!B104</f>
        <v>16920.580000000002</v>
      </c>
      <c r="D103">
        <f>VLOOKUP(A103,VIX!$A$2:B5101,2,0)</f>
        <v>12.92</v>
      </c>
      <c r="E103">
        <f>VLOOKUP(A103,'10년'!$A$2:$B$5000,2,0)</f>
        <v>4.548</v>
      </c>
      <c r="F103">
        <f>VLOOKUP(A103,'5년'!$A$2:$B$5000,2,0)</f>
        <v>4.5919999999999996</v>
      </c>
      <c r="G103">
        <v>76.78</v>
      </c>
      <c r="H103">
        <v>92.36</v>
      </c>
    </row>
    <row r="104" spans="1:8" x14ac:dyDescent="0.4">
      <c r="A104" s="1">
        <v>45441</v>
      </c>
      <c r="B104" s="3">
        <f>'S&amp;P500'!B105</f>
        <v>5235.4799999999996</v>
      </c>
      <c r="C104" s="3">
        <f>나스닥!B105</f>
        <v>16737.080000000002</v>
      </c>
      <c r="D104">
        <f>VLOOKUP(A104,VIX!$A$2:B5102,2,0)</f>
        <v>14.28</v>
      </c>
      <c r="E104">
        <f>VLOOKUP(A104,'10년'!$A$2:$B$5000,2,0)</f>
        <v>4.6159999999999997</v>
      </c>
      <c r="F104">
        <f>VLOOKUP(A104,'5년'!$A$2:$B$5000,2,0)</f>
        <v>4.6340000000000003</v>
      </c>
      <c r="G104">
        <v>76.55</v>
      </c>
      <c r="H104">
        <v>91.91</v>
      </c>
    </row>
    <row r="105" spans="1:8" x14ac:dyDescent="0.4">
      <c r="A105" s="1">
        <v>45442</v>
      </c>
      <c r="B105" s="3">
        <f>'S&amp;P500'!B106</f>
        <v>5277.51</v>
      </c>
      <c r="C105" s="3">
        <f>나스닥!B106</f>
        <v>16735.02</v>
      </c>
      <c r="D105">
        <f>VLOOKUP(A105,VIX!$A$2:B5103,2,0)</f>
        <v>14.47</v>
      </c>
      <c r="E105">
        <f>VLOOKUP(A105,'10년'!$A$2:$B$5000,2,0)</f>
        <v>4.55</v>
      </c>
      <c r="F105">
        <f>VLOOKUP(A105,'5년'!$A$2:$B$5000,2,0)</f>
        <v>4.569</v>
      </c>
      <c r="G105">
        <v>76.86</v>
      </c>
      <c r="H105">
        <v>92.37</v>
      </c>
    </row>
    <row r="106" spans="1:8" x14ac:dyDescent="0.4">
      <c r="A106" s="1">
        <v>45443</v>
      </c>
      <c r="B106" s="3">
        <f>'S&amp;P500'!B107</f>
        <v>5283.4</v>
      </c>
      <c r="C106" s="3">
        <f>나스닥!B107</f>
        <v>16828.669999999998</v>
      </c>
      <c r="D106">
        <f>VLOOKUP(A106,VIX!$A$2:B5104,2,0)</f>
        <v>12.92</v>
      </c>
      <c r="E106">
        <f>VLOOKUP(A106,'10년'!$A$2:$B$5000,2,0)</f>
        <v>4.5030000000000001</v>
      </c>
      <c r="F106">
        <f>VLOOKUP(A106,'5년'!$A$2:$B$5000,2,0)</f>
        <v>4.5090000000000003</v>
      </c>
      <c r="G106">
        <v>77.13</v>
      </c>
      <c r="H106">
        <v>92.8</v>
      </c>
    </row>
    <row r="107" spans="1:8" x14ac:dyDescent="0.4">
      <c r="A107" s="1">
        <v>45446</v>
      </c>
      <c r="B107" s="3">
        <f>'S&amp;P500'!B108</f>
        <v>5291.34</v>
      </c>
      <c r="C107" s="3">
        <f>나스닥!B108</f>
        <v>16857.05</v>
      </c>
      <c r="D107">
        <f>VLOOKUP(A107,VIX!$A$2:B5105,2,0)</f>
        <v>13.11</v>
      </c>
      <c r="E107">
        <f>VLOOKUP(A107,'10년'!$A$2:$B$5000,2,0)</f>
        <v>4.3920000000000003</v>
      </c>
      <c r="F107">
        <f>VLOOKUP(A107,'5년'!$A$2:$B$5000,2,0)</f>
        <v>4.41</v>
      </c>
      <c r="G107">
        <v>77.010000000000005</v>
      </c>
      <c r="H107">
        <v>93.13</v>
      </c>
    </row>
    <row r="108" spans="1:8" x14ac:dyDescent="0.4">
      <c r="A108" s="1">
        <v>45447</v>
      </c>
      <c r="B108" s="3">
        <f>'S&amp;P500'!B109</f>
        <v>5354.03</v>
      </c>
      <c r="C108" s="3">
        <f>나스닥!B109</f>
        <v>17187.900000000001</v>
      </c>
      <c r="D108">
        <f>VLOOKUP(A108,VIX!$A$2:B5106,2,0)</f>
        <v>13.16</v>
      </c>
      <c r="E108">
        <f>VLOOKUP(A108,'10년'!$A$2:$B$5000,2,0)</f>
        <v>4.33</v>
      </c>
      <c r="F108">
        <f>VLOOKUP(A108,'5년'!$A$2:$B$5000,2,0)</f>
        <v>4.3470000000000004</v>
      </c>
      <c r="G108">
        <v>76.97</v>
      </c>
      <c r="H108">
        <v>93.64</v>
      </c>
    </row>
    <row r="109" spans="1:8" x14ac:dyDescent="0.4">
      <c r="A109" s="1">
        <v>45448</v>
      </c>
      <c r="B109" s="3">
        <f>'S&amp;P500'!B110</f>
        <v>5352.96</v>
      </c>
      <c r="C109" s="3">
        <f>나스닥!B110</f>
        <v>17173.12</v>
      </c>
      <c r="D109">
        <f>VLOOKUP(A109,VIX!$A$2:B5107,2,0)</f>
        <v>12.63</v>
      </c>
      <c r="E109">
        <f>VLOOKUP(A109,'10년'!$A$2:$B$5000,2,0)</f>
        <v>4.2770000000000001</v>
      </c>
      <c r="F109">
        <f>VLOOKUP(A109,'5년'!$A$2:$B$5000,2,0)</f>
        <v>4.2939999999999996</v>
      </c>
      <c r="G109">
        <v>77.22</v>
      </c>
      <c r="H109">
        <v>93.98</v>
      </c>
    </row>
    <row r="110" spans="1:8" x14ac:dyDescent="0.4">
      <c r="A110" s="1">
        <v>45449</v>
      </c>
      <c r="B110" s="3">
        <f>'S&amp;P500'!B111</f>
        <v>5346.99</v>
      </c>
      <c r="C110" s="3">
        <f>나스닥!B111</f>
        <v>17133.13</v>
      </c>
      <c r="D110">
        <f>VLOOKUP(A110,VIX!$A$2:B5108,2,0)</f>
        <v>12.58</v>
      </c>
      <c r="E110">
        <f>VLOOKUP(A110,'10년'!$A$2:$B$5000,2,0)</f>
        <v>4.2869999999999999</v>
      </c>
      <c r="F110">
        <f>VLOOKUP(A110,'5년'!$A$2:$B$5000,2,0)</f>
        <v>4.298</v>
      </c>
      <c r="G110">
        <v>77.09</v>
      </c>
      <c r="H110">
        <v>93.94</v>
      </c>
    </row>
    <row r="111" spans="1:8" x14ac:dyDescent="0.4">
      <c r="A111" s="1">
        <v>45450</v>
      </c>
      <c r="B111" s="3">
        <f>'S&amp;P500'!B112</f>
        <v>5360.79</v>
      </c>
      <c r="C111" s="3">
        <f>나스닥!B112</f>
        <v>17192.53</v>
      </c>
      <c r="D111">
        <f>VLOOKUP(A111,VIX!$A$2:B5109,2,0)</f>
        <v>12.22</v>
      </c>
      <c r="E111">
        <f>VLOOKUP(A111,'10년'!$A$2:$B$5000,2,0)</f>
        <v>4.4329999999999998</v>
      </c>
      <c r="F111">
        <f>VLOOKUP(A111,'5년'!$A$2:$B$5000,2,0)</f>
        <v>4.4610000000000003</v>
      </c>
      <c r="G111">
        <v>76.89</v>
      </c>
      <c r="H111">
        <v>92.95</v>
      </c>
    </row>
    <row r="112" spans="1:8" x14ac:dyDescent="0.4">
      <c r="A112" s="1">
        <v>45453</v>
      </c>
      <c r="B112" s="3">
        <f>'S&amp;P500'!B113</f>
        <v>5375.32</v>
      </c>
      <c r="C112" s="3">
        <f>나스닥!B113</f>
        <v>17343.55</v>
      </c>
      <c r="D112">
        <f>VLOOKUP(A112,VIX!$A$2:B5110,2,0)</f>
        <v>12.74</v>
      </c>
      <c r="E112">
        <f>VLOOKUP(A112,'10년'!$A$2:$B$5000,2,0)</f>
        <v>4.4710000000000001</v>
      </c>
      <c r="F112">
        <f>VLOOKUP(A112,'5년'!$A$2:$B$5000,2,0)</f>
        <v>4.4850000000000003</v>
      </c>
      <c r="G112">
        <v>76.959999999999994</v>
      </c>
      <c r="H112">
        <v>92.75</v>
      </c>
    </row>
    <row r="113" spans="1:8" x14ac:dyDescent="0.4">
      <c r="A113" s="1">
        <v>45454</v>
      </c>
      <c r="B113" s="3">
        <f>'S&amp;P500'!B114</f>
        <v>5421.03</v>
      </c>
      <c r="C113" s="3">
        <f>나스닥!B114</f>
        <v>17608.439999999999</v>
      </c>
      <c r="D113">
        <f>VLOOKUP(A113,VIX!$A$2:B5111,2,0)</f>
        <v>12.85</v>
      </c>
      <c r="E113">
        <f>VLOOKUP(A113,'10년'!$A$2:$B$5000,2,0)</f>
        <v>4.4020000000000001</v>
      </c>
      <c r="F113">
        <f>VLOOKUP(A113,'5년'!$A$2:$B$5000,2,0)</f>
        <v>4.4169999999999998</v>
      </c>
      <c r="G113">
        <v>77.06</v>
      </c>
      <c r="H113">
        <v>93.24</v>
      </c>
    </row>
    <row r="114" spans="1:8" x14ac:dyDescent="0.4">
      <c r="A114" s="1">
        <v>45455</v>
      </c>
      <c r="B114" s="3">
        <f>'S&amp;P500'!B115</f>
        <v>5433.74</v>
      </c>
      <c r="C114" s="3">
        <f>나스닥!B115</f>
        <v>17667.560000000001</v>
      </c>
      <c r="D114">
        <f>VLOOKUP(A114,VIX!$A$2:B5112,2,0)</f>
        <v>12.04</v>
      </c>
      <c r="E114">
        <f>VLOOKUP(A114,'10년'!$A$2:$B$5000,2,0)</f>
        <v>4.3179999999999996</v>
      </c>
      <c r="F114">
        <f>VLOOKUP(A114,'5년'!$A$2:$B$5000,2,0)</f>
        <v>4.32</v>
      </c>
      <c r="G114">
        <v>77.37</v>
      </c>
      <c r="H114">
        <v>93.76</v>
      </c>
    </row>
    <row r="115" spans="1:8" x14ac:dyDescent="0.4">
      <c r="A115" s="1">
        <v>45456</v>
      </c>
      <c r="B115" s="3">
        <f>'S&amp;P500'!B116</f>
        <v>5431.6</v>
      </c>
      <c r="C115" s="3">
        <f>나스닥!B116</f>
        <v>17688.88</v>
      </c>
      <c r="D115">
        <f>VLOOKUP(A115,VIX!$A$2:B5113,2,0)</f>
        <v>11.94</v>
      </c>
      <c r="E115">
        <f>VLOOKUP(A115,'10년'!$A$2:$B$5000,2,0)</f>
        <v>4.2480000000000002</v>
      </c>
      <c r="F115">
        <f>VLOOKUP(A115,'5년'!$A$2:$B$5000,2,0)</f>
        <v>4.2460000000000004</v>
      </c>
      <c r="G115">
        <v>77.36</v>
      </c>
      <c r="H115">
        <v>94.38</v>
      </c>
    </row>
    <row r="116" spans="1:8" x14ac:dyDescent="0.4">
      <c r="A116" s="1">
        <v>45457</v>
      </c>
      <c r="B116" s="3">
        <f>'S&amp;P500'!B117</f>
        <v>5473.23</v>
      </c>
      <c r="C116" s="3">
        <f>나스닥!B117</f>
        <v>17857.02</v>
      </c>
      <c r="D116">
        <f>VLOOKUP(A116,VIX!$A$2:B5114,2,0)</f>
        <v>12.66</v>
      </c>
      <c r="E116">
        <f>VLOOKUP(A116,'10년'!$A$2:$B$5000,2,0)</f>
        <v>4.2210000000000001</v>
      </c>
      <c r="F116">
        <f>VLOOKUP(A116,'5년'!$A$2:$B$5000,2,0)</f>
        <v>4.24</v>
      </c>
      <c r="G116">
        <v>77.06</v>
      </c>
      <c r="H116">
        <v>94.6</v>
      </c>
    </row>
    <row r="117" spans="1:8" x14ac:dyDescent="0.4">
      <c r="A117" s="1">
        <v>45460</v>
      </c>
      <c r="B117" s="3">
        <f>'S&amp;P500'!B118</f>
        <v>5487.03</v>
      </c>
      <c r="C117" s="3">
        <f>나스닥!B118</f>
        <v>17862.23</v>
      </c>
      <c r="D117">
        <f>VLOOKUP(A117,VIX!$A$2:B5115,2,0)</f>
        <v>12.75</v>
      </c>
      <c r="E117">
        <f>VLOOKUP(A117,'10년'!$A$2:$B$5000,2,0)</f>
        <v>4.2850000000000001</v>
      </c>
      <c r="F117">
        <f>VLOOKUP(A117,'5년'!$A$2:$B$5000,2,0)</f>
        <v>4.3070000000000004</v>
      </c>
      <c r="G117">
        <v>77.11</v>
      </c>
      <c r="H117">
        <v>94.16</v>
      </c>
    </row>
    <row r="118" spans="1:8" x14ac:dyDescent="0.4">
      <c r="A118" s="1">
        <v>45461</v>
      </c>
      <c r="B118" s="3">
        <f>'S&amp;P500'!B119</f>
        <v>5473.17</v>
      </c>
      <c r="C118" s="3">
        <f>나스닥!B119</f>
        <v>17721.59</v>
      </c>
      <c r="D118">
        <f>VLOOKUP(A118,VIX!$A$2:B5116,2,0)</f>
        <v>12.3</v>
      </c>
      <c r="E118">
        <f>VLOOKUP(A118,'10년'!$A$2:$B$5000,2,0)</f>
        <v>4.2190000000000003</v>
      </c>
      <c r="F118">
        <f>VLOOKUP(A118,'5년'!$A$2:$B$5000,2,0)</f>
        <v>4.2430000000000003</v>
      </c>
      <c r="G118">
        <v>77.349999999999994</v>
      </c>
      <c r="H118">
        <v>94.57</v>
      </c>
    </row>
    <row r="119" spans="1:8" x14ac:dyDescent="0.4">
      <c r="A119" s="1">
        <v>45463</v>
      </c>
      <c r="B119" s="3">
        <f>'S&amp;P500'!B120</f>
        <v>5464.62</v>
      </c>
      <c r="C119" s="3">
        <f>나스닥!B120</f>
        <v>17689.36</v>
      </c>
      <c r="D119">
        <f>VLOOKUP(A119,VIX!$A$2:B5117,2,0)</f>
        <v>13.28</v>
      </c>
      <c r="E119">
        <f>VLOOKUP(A119,'10년'!$A$2:$B$5000,2,0)</f>
        <v>4.2610000000000001</v>
      </c>
      <c r="F119">
        <f>VLOOKUP(A119,'5년'!$A$2:$B$5000,2,0)</f>
        <v>4.2750000000000004</v>
      </c>
      <c r="G119">
        <v>77.3</v>
      </c>
      <c r="H119">
        <v>94.33</v>
      </c>
    </row>
    <row r="120" spans="1:8" x14ac:dyDescent="0.4">
      <c r="A120" s="1">
        <v>45464</v>
      </c>
      <c r="B120" s="3">
        <f>'S&amp;P500'!B121</f>
        <v>5447.87</v>
      </c>
      <c r="C120" s="3">
        <f>나스닥!B121</f>
        <v>17496.82</v>
      </c>
      <c r="D120">
        <f>VLOOKUP(A120,VIX!$A$2:B5118,2,0)</f>
        <v>13.2</v>
      </c>
      <c r="E120">
        <f>VLOOKUP(A120,'10년'!$A$2:$B$5000,2,0)</f>
        <v>4.2569999999999997</v>
      </c>
      <c r="F120">
        <f>VLOOKUP(A120,'5년'!$A$2:$B$5000,2,0)</f>
        <v>4.2729999999999997</v>
      </c>
      <c r="G120">
        <v>77.39</v>
      </c>
      <c r="H120">
        <v>94.35</v>
      </c>
    </row>
    <row r="121" spans="1:8" x14ac:dyDescent="0.4">
      <c r="A121" s="1">
        <v>45467</v>
      </c>
      <c r="B121" s="3">
        <f>'S&amp;P500'!B122</f>
        <v>5469.3</v>
      </c>
      <c r="C121" s="3">
        <f>나스닥!B122</f>
        <v>17717.650000000001</v>
      </c>
      <c r="D121">
        <f>VLOOKUP(A121,VIX!$A$2:B5119,2,0)</f>
        <v>13.33</v>
      </c>
      <c r="E121">
        <f>VLOOKUP(A121,'10년'!$A$2:$B$5000,2,0)</f>
        <v>4.234</v>
      </c>
      <c r="F121">
        <f>VLOOKUP(A121,'5년'!$A$2:$B$5000,2,0)</f>
        <v>4.2549999999999999</v>
      </c>
      <c r="G121">
        <v>77.31</v>
      </c>
      <c r="H121">
        <v>94.43</v>
      </c>
    </row>
    <row r="122" spans="1:8" x14ac:dyDescent="0.4">
      <c r="A122" s="1">
        <v>45468</v>
      </c>
      <c r="B122" s="3">
        <f>'S&amp;P500'!B123</f>
        <v>5477.9</v>
      </c>
      <c r="C122" s="3">
        <f>나스닥!B123</f>
        <v>17805.16</v>
      </c>
      <c r="D122">
        <f>VLOOKUP(A122,VIX!$A$2:B5120,2,0)</f>
        <v>12.84</v>
      </c>
      <c r="E122">
        <f>VLOOKUP(A122,'10년'!$A$2:$B$5000,2,0)</f>
        <v>4.2480000000000002</v>
      </c>
      <c r="F122">
        <f>VLOOKUP(A122,'5년'!$A$2:$B$5000,2,0)</f>
        <v>4.2759999999999998</v>
      </c>
      <c r="G122">
        <v>77.41</v>
      </c>
      <c r="H122">
        <v>94.51</v>
      </c>
    </row>
    <row r="123" spans="1:8" x14ac:dyDescent="0.4">
      <c r="A123" s="1">
        <v>45469</v>
      </c>
      <c r="B123" s="3">
        <f>'S&amp;P500'!B124</f>
        <v>5482.87</v>
      </c>
      <c r="C123" s="3">
        <f>나스닥!B124</f>
        <v>17858.68</v>
      </c>
      <c r="D123">
        <f>VLOOKUP(A123,VIX!$A$2:B5121,2,0)</f>
        <v>12.55</v>
      </c>
      <c r="E123">
        <f>VLOOKUP(A123,'10년'!$A$2:$B$5000,2,0)</f>
        <v>4.3289999999999997</v>
      </c>
      <c r="F123">
        <f>VLOOKUP(A123,'5년'!$A$2:$B$5000,2,0)</f>
        <v>4.3460000000000001</v>
      </c>
      <c r="G123">
        <v>77.239999999999995</v>
      </c>
      <c r="H123">
        <v>93.94</v>
      </c>
    </row>
    <row r="124" spans="1:8" x14ac:dyDescent="0.4">
      <c r="A124" s="1">
        <v>45470</v>
      </c>
      <c r="B124" s="3">
        <f>'S&amp;P500'!B125</f>
        <v>5460.48</v>
      </c>
      <c r="C124" s="3">
        <f>나스닥!B125</f>
        <v>17732.599999999999</v>
      </c>
      <c r="D124">
        <f>VLOOKUP(A124,VIX!$A$2:B5122,2,0)</f>
        <v>12.24</v>
      </c>
      <c r="E124">
        <f>VLOOKUP(A124,'10년'!$A$2:$B$5000,2,0)</f>
        <v>4.2859999999999996</v>
      </c>
      <c r="F124">
        <f>VLOOKUP(A124,'5년'!$A$2:$B$5000,2,0)</f>
        <v>4.2990000000000004</v>
      </c>
      <c r="G124">
        <v>77.33</v>
      </c>
      <c r="H124">
        <v>94.15</v>
      </c>
    </row>
    <row r="125" spans="1:8" x14ac:dyDescent="0.4">
      <c r="A125" s="1">
        <v>45471</v>
      </c>
      <c r="B125" s="3">
        <f>'S&amp;P500'!B126</f>
        <v>5475.09</v>
      </c>
      <c r="C125" s="3">
        <f>나스닥!B126</f>
        <v>17879.3</v>
      </c>
      <c r="D125">
        <f>VLOOKUP(A125,VIX!$A$2:B5123,2,0)</f>
        <v>12.44</v>
      </c>
      <c r="E125">
        <f>VLOOKUP(A125,'10년'!$A$2:$B$5000,2,0)</f>
        <v>4.3920000000000003</v>
      </c>
      <c r="F125">
        <f>VLOOKUP(A125,'5년'!$A$2:$B$5000,2,0)</f>
        <v>4.3689999999999998</v>
      </c>
      <c r="G125">
        <v>77.14</v>
      </c>
      <c r="H125">
        <v>93.65</v>
      </c>
    </row>
    <row r="126" spans="1:8" x14ac:dyDescent="0.4">
      <c r="A126" s="1">
        <v>45474</v>
      </c>
      <c r="B126" s="3">
        <f>'S&amp;P500'!B127</f>
        <v>5509.01</v>
      </c>
      <c r="C126" s="3">
        <f>나스닥!B127</f>
        <v>18028.759999999998</v>
      </c>
      <c r="D126">
        <f>VLOOKUP(A126,VIX!$A$2:B5124,2,0)</f>
        <v>12.22</v>
      </c>
      <c r="E126">
        <f>VLOOKUP(A126,'10년'!$A$2:$B$5000,2,0)</f>
        <v>4.4710000000000001</v>
      </c>
      <c r="F126">
        <f>VLOOKUP(A126,'5년'!$A$2:$B$5000,2,0)</f>
        <v>4.431</v>
      </c>
      <c r="G126">
        <v>76.72</v>
      </c>
      <c r="H126">
        <v>92.67</v>
      </c>
    </row>
    <row r="127" spans="1:8" x14ac:dyDescent="0.4">
      <c r="A127" s="1">
        <v>45475</v>
      </c>
      <c r="B127" s="3">
        <f>'S&amp;P500'!B128</f>
        <v>5537.02</v>
      </c>
      <c r="C127" s="3">
        <f>나스닥!B128</f>
        <v>18188.3</v>
      </c>
      <c r="D127">
        <f>VLOOKUP(A127,VIX!$A$2:B5125,2,0)</f>
        <v>12.03</v>
      </c>
      <c r="E127">
        <f>VLOOKUP(A127,'10년'!$A$2:$B$5000,2,0)</f>
        <v>4.4379999999999997</v>
      </c>
      <c r="F127">
        <f>VLOOKUP(A127,'5년'!$A$2:$B$5000,2,0)</f>
        <v>4.3979999999999997</v>
      </c>
      <c r="G127">
        <v>76.930000000000007</v>
      </c>
      <c r="H127">
        <v>93.02</v>
      </c>
    </row>
    <row r="128" spans="1:8" x14ac:dyDescent="0.4">
      <c r="A128" s="1">
        <v>45476</v>
      </c>
      <c r="B128" s="3">
        <f>'S&amp;P500'!B129</f>
        <v>5567.19</v>
      </c>
      <c r="C128" s="3">
        <f>나스닥!B129</f>
        <v>18352.759999999998</v>
      </c>
      <c r="D128">
        <f>VLOOKUP(A128,VIX!$A$2:B5126,2,0)</f>
        <v>12.09</v>
      </c>
      <c r="E128">
        <f>VLOOKUP(A128,'10년'!$A$2:$B$5000,2,0)</f>
        <v>4.3550000000000004</v>
      </c>
      <c r="F128">
        <f>VLOOKUP(A128,'5년'!$A$2:$B$5000,2,0)</f>
        <v>4.3220000000000001</v>
      </c>
      <c r="G128">
        <v>77.2</v>
      </c>
      <c r="H128">
        <v>93.64</v>
      </c>
    </row>
    <row r="129" spans="1:8" x14ac:dyDescent="0.4">
      <c r="A129" s="1">
        <v>45478</v>
      </c>
      <c r="B129" s="3">
        <f>'S&amp;P500'!B130</f>
        <v>5572.85</v>
      </c>
      <c r="C129" s="3">
        <f>나스닥!B130</f>
        <v>18403.740000000002</v>
      </c>
      <c r="D129">
        <f>VLOOKUP(A129,VIX!$A$2:B5127,2,0)</f>
        <v>12.48</v>
      </c>
      <c r="E129">
        <f>VLOOKUP(A129,'10년'!$A$2:$B$5000,2,0)</f>
        <v>4.2779999999999996</v>
      </c>
      <c r="F129">
        <f>VLOOKUP(A129,'5년'!$A$2:$B$5000,2,0)</f>
        <v>4.2270000000000003</v>
      </c>
      <c r="G129">
        <v>77.430000000000007</v>
      </c>
      <c r="H129">
        <v>94.16</v>
      </c>
    </row>
    <row r="130" spans="1:8" x14ac:dyDescent="0.4">
      <c r="A130" s="1">
        <v>45481</v>
      </c>
      <c r="B130" s="3">
        <f>'S&amp;P500'!B131</f>
        <v>5576.98</v>
      </c>
      <c r="C130" s="3">
        <f>나스닥!B131</f>
        <v>18429.29</v>
      </c>
      <c r="D130">
        <f>VLOOKUP(A130,VIX!$A$2:B5128,2,0)</f>
        <v>12.37</v>
      </c>
      <c r="E130">
        <f>VLOOKUP(A130,'10년'!$A$2:$B$5000,2,0)</f>
        <v>4.28</v>
      </c>
      <c r="F130">
        <f>VLOOKUP(A130,'5년'!$A$2:$B$5000,2,0)</f>
        <v>4.2409999999999997</v>
      </c>
      <c r="G130">
        <v>77.41</v>
      </c>
      <c r="H130">
        <v>94.19</v>
      </c>
    </row>
    <row r="131" spans="1:8" x14ac:dyDescent="0.4">
      <c r="A131" s="1">
        <v>45482</v>
      </c>
      <c r="B131" s="3">
        <f>'S&amp;P500'!B132</f>
        <v>5633.91</v>
      </c>
      <c r="C131" s="3">
        <f>나스닥!B132</f>
        <v>18647.45</v>
      </c>
      <c r="D131">
        <f>VLOOKUP(A131,VIX!$A$2:B5129,2,0)</f>
        <v>12.51</v>
      </c>
      <c r="E131">
        <f>VLOOKUP(A131,'10년'!$A$2:$B$5000,2,0)</f>
        <v>4.298</v>
      </c>
      <c r="F131">
        <f>VLOOKUP(A131,'5년'!$A$2:$B$5000,2,0)</f>
        <v>4.2450000000000001</v>
      </c>
      <c r="G131">
        <v>77.319999999999993</v>
      </c>
      <c r="H131">
        <v>94.06</v>
      </c>
    </row>
    <row r="132" spans="1:8" x14ac:dyDescent="0.4">
      <c r="A132" s="1">
        <v>45483</v>
      </c>
      <c r="B132" s="3">
        <f>'S&amp;P500'!B133</f>
        <v>5584.54</v>
      </c>
      <c r="C132" s="3">
        <f>나스닥!B133</f>
        <v>18283.41</v>
      </c>
      <c r="D132">
        <f>VLOOKUP(A132,VIX!$A$2:B5130,2,0)</f>
        <v>12.85</v>
      </c>
      <c r="E132">
        <f>VLOOKUP(A132,'10년'!$A$2:$B$5000,2,0)</f>
        <v>4.282</v>
      </c>
      <c r="F132">
        <f>VLOOKUP(A132,'5년'!$A$2:$B$5000,2,0)</f>
        <v>4.2370000000000001</v>
      </c>
      <c r="G132">
        <v>77.5</v>
      </c>
      <c r="H132">
        <v>94.15</v>
      </c>
    </row>
    <row r="133" spans="1:8" x14ac:dyDescent="0.4">
      <c r="A133" s="1">
        <v>45484</v>
      </c>
      <c r="B133" s="3">
        <f>'S&amp;P500'!B134</f>
        <v>5615.35</v>
      </c>
      <c r="C133" s="3">
        <f>나스닥!B134</f>
        <v>18398.45</v>
      </c>
      <c r="D133">
        <f>VLOOKUP(A133,VIX!$A$2:B5131,2,0)</f>
        <v>12.92</v>
      </c>
      <c r="E133">
        <f>VLOOKUP(A133,'10년'!$A$2:$B$5000,2,0)</f>
        <v>4.2119999999999997</v>
      </c>
      <c r="F133">
        <f>VLOOKUP(A133,'5년'!$A$2:$B$5000,2,0)</f>
        <v>4.1440000000000001</v>
      </c>
      <c r="G133">
        <v>77.78</v>
      </c>
      <c r="H133">
        <v>94.75</v>
      </c>
    </row>
    <row r="134" spans="1:8" x14ac:dyDescent="0.4">
      <c r="A134" s="1">
        <v>45485</v>
      </c>
      <c r="B134" s="3">
        <f>'S&amp;P500'!B135</f>
        <v>5631.22</v>
      </c>
      <c r="C134" s="3">
        <f>나스닥!B135</f>
        <v>18472.57</v>
      </c>
      <c r="D134">
        <f>VLOOKUP(A134,VIX!$A$2:B5132,2,0)</f>
        <v>12.46</v>
      </c>
      <c r="E134">
        <f>VLOOKUP(A134,'10년'!$A$2:$B$5000,2,0)</f>
        <v>4.1870000000000003</v>
      </c>
      <c r="F134">
        <f>VLOOKUP(A134,'5년'!$A$2:$B$5000,2,0)</f>
        <v>4.1070000000000002</v>
      </c>
      <c r="G134">
        <v>77.98</v>
      </c>
      <c r="H134">
        <v>94.95</v>
      </c>
    </row>
    <row r="135" spans="1:8" x14ac:dyDescent="0.4">
      <c r="A135" s="1">
        <v>45488</v>
      </c>
      <c r="B135" s="3">
        <f>'S&amp;P500'!B136</f>
        <v>5667.2</v>
      </c>
      <c r="C135" s="3">
        <f>나스닥!B136</f>
        <v>18509.34</v>
      </c>
      <c r="D135">
        <f>VLOOKUP(A135,VIX!$A$2:B5133,2,0)</f>
        <v>13.12</v>
      </c>
      <c r="E135">
        <f>VLOOKUP(A135,'10년'!$A$2:$B$5000,2,0)</f>
        <v>4.2309999999999999</v>
      </c>
      <c r="F135">
        <f>VLOOKUP(A135,'5년'!$A$2:$B$5000,2,0)</f>
        <v>4.1349999999999998</v>
      </c>
      <c r="G135">
        <v>77.989999999999995</v>
      </c>
      <c r="H135">
        <v>94.65</v>
      </c>
    </row>
    <row r="136" spans="1:8" x14ac:dyDescent="0.4">
      <c r="A136" s="1">
        <v>45489</v>
      </c>
      <c r="B136" s="3">
        <f>'S&amp;P500'!B137</f>
        <v>5588.27</v>
      </c>
      <c r="C136" s="3">
        <f>나스닥!B137</f>
        <v>17996.93</v>
      </c>
      <c r="D136">
        <f>VLOOKUP(A136,VIX!$A$2:B5134,2,0)</f>
        <v>13.19</v>
      </c>
      <c r="E136">
        <f>VLOOKUP(A136,'10년'!$A$2:$B$5000,2,0)</f>
        <v>4.16</v>
      </c>
      <c r="F136">
        <f>VLOOKUP(A136,'5년'!$A$2:$B$5000,2,0)</f>
        <v>4.0759999999999996</v>
      </c>
      <c r="G136">
        <v>78.290000000000006</v>
      </c>
      <c r="H136">
        <v>95.07</v>
      </c>
    </row>
    <row r="137" spans="1:8" x14ac:dyDescent="0.4">
      <c r="A137" s="1">
        <v>45490</v>
      </c>
      <c r="B137" s="3">
        <f>'S&amp;P500'!B138</f>
        <v>5544.59</v>
      </c>
      <c r="C137" s="3">
        <f>나스닥!B138</f>
        <v>17871.22</v>
      </c>
      <c r="D137">
        <f>VLOOKUP(A137,VIX!$A$2:B5135,2,0)</f>
        <v>14.48</v>
      </c>
      <c r="E137">
        <f>VLOOKUP(A137,'10년'!$A$2:$B$5000,2,0)</f>
        <v>4.16</v>
      </c>
      <c r="F137">
        <f>VLOOKUP(A137,'5년'!$A$2:$B$5000,2,0)</f>
        <v>4.0810000000000004</v>
      </c>
      <c r="G137">
        <v>78.2</v>
      </c>
      <c r="H137">
        <v>95.15</v>
      </c>
    </row>
    <row r="138" spans="1:8" x14ac:dyDescent="0.4">
      <c r="A138" s="1">
        <v>45491</v>
      </c>
      <c r="B138" s="3">
        <f>'S&amp;P500'!B139</f>
        <v>5505</v>
      </c>
      <c r="C138" s="3">
        <f>나스닥!B139</f>
        <v>17726.939999999999</v>
      </c>
      <c r="D138">
        <f>VLOOKUP(A138,VIX!$A$2:B5136,2,0)</f>
        <v>15.93</v>
      </c>
      <c r="E138">
        <f>VLOOKUP(A138,'10년'!$A$2:$B$5000,2,0)</f>
        <v>4.202</v>
      </c>
      <c r="F138">
        <f>VLOOKUP(A138,'5년'!$A$2:$B$5000,2,0)</f>
        <v>4.117</v>
      </c>
      <c r="G138">
        <v>78.040000000000006</v>
      </c>
      <c r="H138">
        <v>94.88</v>
      </c>
    </row>
    <row r="139" spans="1:8" x14ac:dyDescent="0.4">
      <c r="A139" s="1">
        <v>45492</v>
      </c>
      <c r="B139" s="3">
        <f>'S&amp;P500'!B140</f>
        <v>5564.41</v>
      </c>
      <c r="C139" s="3">
        <f>나스닥!B140</f>
        <v>18007.57</v>
      </c>
      <c r="D139">
        <f>VLOOKUP(A139,VIX!$A$2:B5137,2,0)</f>
        <v>16.52</v>
      </c>
      <c r="E139">
        <f>VLOOKUP(A139,'10년'!$A$2:$B$5000,2,0)</f>
        <v>4.2430000000000003</v>
      </c>
      <c r="F139">
        <f>VLOOKUP(A139,'5년'!$A$2:$B$5000,2,0)</f>
        <v>4.17</v>
      </c>
      <c r="G139">
        <v>77.98</v>
      </c>
      <c r="H139">
        <v>94.58</v>
      </c>
    </row>
    <row r="140" spans="1:8" x14ac:dyDescent="0.4">
      <c r="A140" s="1">
        <v>45495</v>
      </c>
      <c r="B140" s="3">
        <f>'S&amp;P500'!B141</f>
        <v>5555.74</v>
      </c>
      <c r="C140" s="3">
        <f>나스닥!B141</f>
        <v>17997.349999999999</v>
      </c>
      <c r="D140">
        <f>VLOOKUP(A140,VIX!$A$2:B5138,2,0)</f>
        <v>14.91</v>
      </c>
      <c r="E140">
        <f>VLOOKUP(A140,'10년'!$A$2:$B$5000,2,0)</f>
        <v>4.2539999999999996</v>
      </c>
      <c r="F140">
        <f>VLOOKUP(A140,'5년'!$A$2:$B$5000,2,0)</f>
        <v>4.1749999999999998</v>
      </c>
      <c r="G140">
        <v>78.27</v>
      </c>
      <c r="H140">
        <v>94.49</v>
      </c>
    </row>
    <row r="141" spans="1:8" x14ac:dyDescent="0.4">
      <c r="A141" s="1">
        <v>45496</v>
      </c>
      <c r="B141" s="3">
        <f>'S&amp;P500'!B142</f>
        <v>5427.13</v>
      </c>
      <c r="C141" s="3">
        <f>나스닥!B142</f>
        <v>17342.41</v>
      </c>
      <c r="D141">
        <f>VLOOKUP(A141,VIX!$A$2:B5139,2,0)</f>
        <v>14.72</v>
      </c>
      <c r="E141">
        <f>VLOOKUP(A141,'10년'!$A$2:$B$5000,2,0)</f>
        <v>4.2539999999999996</v>
      </c>
      <c r="F141">
        <f>VLOOKUP(A141,'5년'!$A$2:$B$5000,2,0)</f>
        <v>4.1660000000000004</v>
      </c>
      <c r="G141">
        <v>78.28</v>
      </c>
      <c r="H141">
        <v>94.56</v>
      </c>
    </row>
    <row r="142" spans="1:8" x14ac:dyDescent="0.4">
      <c r="A142" s="1">
        <v>45497</v>
      </c>
      <c r="B142" s="3">
        <f>'S&amp;P500'!B143</f>
        <v>5399.22</v>
      </c>
      <c r="C142" s="3">
        <f>나스닥!B143</f>
        <v>17181.72</v>
      </c>
      <c r="D142">
        <f>VLOOKUP(A142,VIX!$A$2:B5140,2,0)</f>
        <v>18.04</v>
      </c>
      <c r="E142">
        <f>VLOOKUP(A142,'10년'!$A$2:$B$5000,2,0)</f>
        <v>4.2859999999999996</v>
      </c>
      <c r="F142">
        <f>VLOOKUP(A142,'5년'!$A$2:$B$5000,2,0)</f>
        <v>4.1749999999999998</v>
      </c>
      <c r="G142">
        <v>78.03</v>
      </c>
      <c r="H142">
        <v>94.35</v>
      </c>
    </row>
    <row r="143" spans="1:8" x14ac:dyDescent="0.4">
      <c r="A143" s="1">
        <v>45498</v>
      </c>
      <c r="B143" s="3">
        <f>'S&amp;P500'!B144</f>
        <v>5459.1</v>
      </c>
      <c r="C143" s="3">
        <f>나스닥!B144</f>
        <v>17357.88</v>
      </c>
      <c r="D143">
        <f>VLOOKUP(A143,VIX!$A$2:B5141,2,0)</f>
        <v>18.46</v>
      </c>
      <c r="E143">
        <f>VLOOKUP(A143,'10년'!$A$2:$B$5000,2,0)</f>
        <v>4.2450000000000001</v>
      </c>
      <c r="F143">
        <f>VLOOKUP(A143,'5년'!$A$2:$B$5000,2,0)</f>
        <v>4.1340000000000003</v>
      </c>
      <c r="G143">
        <v>78.040000000000006</v>
      </c>
      <c r="H143">
        <v>94.56</v>
      </c>
    </row>
    <row r="144" spans="1:8" x14ac:dyDescent="0.4">
      <c r="A144" s="1">
        <v>45499</v>
      </c>
      <c r="B144" s="3">
        <f>'S&amp;P500'!B145</f>
        <v>5463.54</v>
      </c>
      <c r="C144" s="3">
        <f>나스닥!B145</f>
        <v>17370.2</v>
      </c>
      <c r="D144">
        <f>VLOOKUP(A144,VIX!$A$2:B5142,2,0)</f>
        <v>16.39</v>
      </c>
      <c r="E144">
        <f>VLOOKUP(A144,'10년'!$A$2:$B$5000,2,0)</f>
        <v>4.194</v>
      </c>
      <c r="F144">
        <f>VLOOKUP(A144,'5년'!$A$2:$B$5000,2,0)</f>
        <v>4.077</v>
      </c>
      <c r="G144">
        <v>78.290000000000006</v>
      </c>
      <c r="H144">
        <v>95.01</v>
      </c>
    </row>
    <row r="145" spans="1:8" x14ac:dyDescent="0.4">
      <c r="A145" s="1">
        <v>45502</v>
      </c>
      <c r="B145" s="3">
        <f>'S&amp;P500'!B146</f>
        <v>5436.44</v>
      </c>
      <c r="C145" s="3">
        <f>나스닥!B146</f>
        <v>17147.419999999998</v>
      </c>
      <c r="D145">
        <f>VLOOKUP(A145,VIX!$A$2:B5143,2,0)</f>
        <v>16.600000000000001</v>
      </c>
      <c r="E145">
        <f>VLOOKUP(A145,'10년'!$A$2:$B$5000,2,0)</f>
        <v>4.1719999999999997</v>
      </c>
      <c r="F145">
        <f>VLOOKUP(A145,'5년'!$A$2:$B$5000,2,0)</f>
        <v>4.0730000000000004</v>
      </c>
      <c r="G145">
        <v>78.22</v>
      </c>
      <c r="H145">
        <v>95.17</v>
      </c>
    </row>
    <row r="146" spans="1:8" x14ac:dyDescent="0.4">
      <c r="A146" s="1">
        <v>45503</v>
      </c>
      <c r="B146" s="3">
        <f>'S&amp;P500'!B147</f>
        <v>5522.3</v>
      </c>
      <c r="C146" s="3">
        <f>나스닥!B147</f>
        <v>17599.400000000001</v>
      </c>
      <c r="D146">
        <f>VLOOKUP(A146,VIX!$A$2:B5144,2,0)</f>
        <v>17.690000000000001</v>
      </c>
      <c r="E146">
        <f>VLOOKUP(A146,'10년'!$A$2:$B$5000,2,0)</f>
        <v>4.141</v>
      </c>
      <c r="F146">
        <f>VLOOKUP(A146,'5년'!$A$2:$B$5000,2,0)</f>
        <v>4.0350000000000001</v>
      </c>
      <c r="G146">
        <v>78.260000000000005</v>
      </c>
      <c r="H146">
        <v>95.37</v>
      </c>
    </row>
    <row r="147" spans="1:8" x14ac:dyDescent="0.4">
      <c r="A147" s="1">
        <v>45504</v>
      </c>
      <c r="B147" s="3">
        <f>'S&amp;P500'!B148</f>
        <v>5446.68</v>
      </c>
      <c r="C147" s="3">
        <f>나스닥!B148</f>
        <v>17194.14</v>
      </c>
      <c r="D147">
        <f>VLOOKUP(A147,VIX!$A$2:B5145,2,0)</f>
        <v>16.36</v>
      </c>
      <c r="E147">
        <f>VLOOKUP(A147,'10년'!$A$2:$B$5000,2,0)</f>
        <v>4.0330000000000004</v>
      </c>
      <c r="F147">
        <f>VLOOKUP(A147,'5년'!$A$2:$B$5000,2,0)</f>
        <v>3.9169999999999998</v>
      </c>
      <c r="G147">
        <v>78.540000000000006</v>
      </c>
      <c r="H147">
        <v>96.07</v>
      </c>
    </row>
    <row r="148" spans="1:8" x14ac:dyDescent="0.4">
      <c r="A148" s="1">
        <v>45505</v>
      </c>
      <c r="B148" s="3">
        <f>'S&amp;P500'!B149</f>
        <v>5346.56</v>
      </c>
      <c r="C148" s="3">
        <f>나스닥!B149</f>
        <v>16776.16</v>
      </c>
      <c r="D148">
        <f>VLOOKUP(A148,VIX!$A$2:B5146,2,0)</f>
        <v>18.59</v>
      </c>
      <c r="E148">
        <f>VLOOKUP(A148,'10년'!$A$2:$B$5000,2,0)</f>
        <v>3.9820000000000002</v>
      </c>
      <c r="F148">
        <f>VLOOKUP(A148,'5년'!$A$2:$B$5000,2,0)</f>
        <v>3.8439999999999999</v>
      </c>
      <c r="G148">
        <v>77.959999999999994</v>
      </c>
      <c r="H148">
        <v>96.19</v>
      </c>
    </row>
    <row r="149" spans="1:8" x14ac:dyDescent="0.4">
      <c r="A149" s="1">
        <v>45506</v>
      </c>
      <c r="B149" s="3">
        <f>'S&amp;P500'!B150</f>
        <v>5186.33</v>
      </c>
      <c r="C149" s="3">
        <f>나스닥!B150</f>
        <v>16200.08</v>
      </c>
      <c r="D149">
        <f>VLOOKUP(A149,VIX!$A$2:B5147,2,0)</f>
        <v>23.39</v>
      </c>
      <c r="E149">
        <f>VLOOKUP(A149,'10년'!$A$2:$B$5000,2,0)</f>
        <v>3.7919999999999998</v>
      </c>
      <c r="F149">
        <f>VLOOKUP(A149,'5년'!$A$2:$B$5000,2,0)</f>
        <v>3.6150000000000002</v>
      </c>
      <c r="G149">
        <v>77.7</v>
      </c>
      <c r="H149">
        <v>97.68</v>
      </c>
    </row>
    <row r="150" spans="1:8" x14ac:dyDescent="0.4">
      <c r="A150" s="1">
        <v>45509</v>
      </c>
      <c r="B150" s="3">
        <f>'S&amp;P500'!B151</f>
        <v>5240.03</v>
      </c>
      <c r="C150" s="3">
        <f>나스닥!B151</f>
        <v>16366.86</v>
      </c>
      <c r="D150">
        <f>VLOOKUP(A150,VIX!$A$2:B5148,2,0)</f>
        <v>38.57</v>
      </c>
      <c r="E150">
        <f>VLOOKUP(A150,'10년'!$A$2:$B$5000,2,0)</f>
        <v>3.7789999999999999</v>
      </c>
      <c r="F150">
        <f>VLOOKUP(A150,'5년'!$A$2:$B$5000,2,0)</f>
        <v>3.625</v>
      </c>
      <c r="G150">
        <v>77.22</v>
      </c>
      <c r="H150">
        <v>97.78</v>
      </c>
    </row>
    <row r="151" spans="1:8" x14ac:dyDescent="0.4">
      <c r="A151" s="1">
        <v>45510</v>
      </c>
      <c r="B151" s="3">
        <f>'S&amp;P500'!B152</f>
        <v>5199.5</v>
      </c>
      <c r="C151" s="3">
        <f>나스닥!B152</f>
        <v>16195.81</v>
      </c>
      <c r="D151">
        <f>VLOOKUP(A151,VIX!$A$2:B5149,2,0)</f>
        <v>27.71</v>
      </c>
      <c r="E151">
        <f>VLOOKUP(A151,'10년'!$A$2:$B$5000,2,0)</f>
        <v>3.9009999999999998</v>
      </c>
      <c r="F151">
        <f>VLOOKUP(A151,'5년'!$A$2:$B$5000,2,0)</f>
        <v>3.7429999999999999</v>
      </c>
      <c r="G151">
        <v>77.510000000000005</v>
      </c>
      <c r="H151">
        <v>96.91</v>
      </c>
    </row>
    <row r="152" spans="1:8" x14ac:dyDescent="0.4">
      <c r="A152" s="1">
        <v>45511</v>
      </c>
      <c r="B152" s="3">
        <f>'S&amp;P500'!B153</f>
        <v>5319.31</v>
      </c>
      <c r="C152" s="3">
        <f>나스닥!B153</f>
        <v>16660.02</v>
      </c>
      <c r="D152">
        <f>VLOOKUP(A152,VIX!$A$2:B5150,2,0)</f>
        <v>27.85</v>
      </c>
      <c r="E152">
        <f>VLOOKUP(A152,'10년'!$A$2:$B$5000,2,0)</f>
        <v>3.9529999999999998</v>
      </c>
      <c r="F152">
        <f>VLOOKUP(A152,'5년'!$A$2:$B$5000,2,0)</f>
        <v>3.7759999999999998</v>
      </c>
      <c r="G152">
        <v>77.66</v>
      </c>
      <c r="H152">
        <v>96.56</v>
      </c>
    </row>
    <row r="153" spans="1:8" x14ac:dyDescent="0.4">
      <c r="A153" s="1">
        <v>45512</v>
      </c>
      <c r="B153" s="3">
        <f>'S&amp;P500'!B154</f>
        <v>5344.16</v>
      </c>
      <c r="C153" s="3">
        <f>나스닥!B154</f>
        <v>16745.3</v>
      </c>
      <c r="D153">
        <f>VLOOKUP(A153,VIX!$A$2:B5151,2,0)</f>
        <v>23.79</v>
      </c>
      <c r="E153">
        <f>VLOOKUP(A153,'10년'!$A$2:$B$5000,2,0)</f>
        <v>3.99</v>
      </c>
      <c r="F153">
        <f>VLOOKUP(A153,'5년'!$A$2:$B$5000,2,0)</f>
        <v>3.8260000000000001</v>
      </c>
      <c r="G153">
        <v>77.98</v>
      </c>
      <c r="H153">
        <v>96.27</v>
      </c>
    </row>
    <row r="154" spans="1:8" x14ac:dyDescent="0.4">
      <c r="A154" s="1">
        <v>45513</v>
      </c>
      <c r="B154" s="3">
        <f>'S&amp;P500'!B155</f>
        <v>5344.39</v>
      </c>
      <c r="C154" s="3">
        <f>나스닥!B155</f>
        <v>16780.61</v>
      </c>
      <c r="D154">
        <f>VLOOKUP(A154,VIX!$A$2:B5152,2,0)</f>
        <v>20.37</v>
      </c>
      <c r="E154">
        <f>VLOOKUP(A154,'10년'!$A$2:$B$5000,2,0)</f>
        <v>3.94</v>
      </c>
      <c r="F154">
        <f>VLOOKUP(A154,'5년'!$A$2:$B$5000,2,0)</f>
        <v>3.7959999999999998</v>
      </c>
      <c r="G154">
        <v>77.97</v>
      </c>
      <c r="H154">
        <v>96.66</v>
      </c>
    </row>
    <row r="155" spans="1:8" x14ac:dyDescent="0.4">
      <c r="A155" s="1">
        <v>45516</v>
      </c>
      <c r="B155" s="3">
        <f>'S&amp;P500'!B156</f>
        <v>5434.43</v>
      </c>
      <c r="C155" s="3">
        <f>나스닥!B156</f>
        <v>17187.61</v>
      </c>
      <c r="D155">
        <f>VLOOKUP(A155,VIX!$A$2:B5153,2,0)</f>
        <v>20.71</v>
      </c>
      <c r="E155">
        <f>VLOOKUP(A155,'10년'!$A$2:$B$5000,2,0)</f>
        <v>3.907</v>
      </c>
      <c r="F155">
        <f>VLOOKUP(A155,'5년'!$A$2:$B$5000,2,0)</f>
        <v>3.7490000000000001</v>
      </c>
      <c r="G155">
        <v>78.02</v>
      </c>
      <c r="H155">
        <v>96.93</v>
      </c>
    </row>
    <row r="156" spans="1:8" x14ac:dyDescent="0.4">
      <c r="A156" s="1">
        <v>45517</v>
      </c>
      <c r="B156" s="3">
        <f>'S&amp;P500'!B157</f>
        <v>5455.21</v>
      </c>
      <c r="C156" s="3">
        <f>나스닥!B157</f>
        <v>17192.599999999999</v>
      </c>
      <c r="D156">
        <f>VLOOKUP(A156,VIX!$A$2:B5154,2,0)</f>
        <v>18.12</v>
      </c>
      <c r="E156">
        <f>VLOOKUP(A156,'10년'!$A$2:$B$5000,2,0)</f>
        <v>3.8460000000000001</v>
      </c>
      <c r="F156">
        <f>VLOOKUP(A156,'5년'!$A$2:$B$5000,2,0)</f>
        <v>3.677</v>
      </c>
      <c r="G156">
        <v>78.38</v>
      </c>
      <c r="H156">
        <v>97.36</v>
      </c>
    </row>
    <row r="157" spans="1:8" x14ac:dyDescent="0.4">
      <c r="A157" s="1">
        <v>45518</v>
      </c>
      <c r="B157" s="3">
        <f>'S&amp;P500'!B158</f>
        <v>5543.22</v>
      </c>
      <c r="C157" s="3">
        <f>나스닥!B158</f>
        <v>17594.5</v>
      </c>
      <c r="D157">
        <f>VLOOKUP(A157,VIX!$A$2:B5155,2,0)</f>
        <v>16.190000000000001</v>
      </c>
      <c r="E157">
        <f>VLOOKUP(A157,'10년'!$A$2:$B$5000,2,0)</f>
        <v>3.839</v>
      </c>
      <c r="F157">
        <f>VLOOKUP(A157,'5년'!$A$2:$B$5000,2,0)</f>
        <v>3.6819999999999999</v>
      </c>
      <c r="G157">
        <v>78.52</v>
      </c>
      <c r="H157">
        <v>97.49</v>
      </c>
    </row>
    <row r="158" spans="1:8" x14ac:dyDescent="0.4">
      <c r="A158" s="1">
        <v>45519</v>
      </c>
      <c r="B158" s="3">
        <f>'S&amp;P500'!B159</f>
        <v>5554.25</v>
      </c>
      <c r="C158" s="3">
        <f>나스닥!B159</f>
        <v>17631.72</v>
      </c>
      <c r="D158">
        <f>VLOOKUP(A158,VIX!$A$2:B5156,2,0)</f>
        <v>15.23</v>
      </c>
      <c r="E158">
        <f>VLOOKUP(A158,'10년'!$A$2:$B$5000,2,0)</f>
        <v>3.919</v>
      </c>
      <c r="F158">
        <f>VLOOKUP(A158,'5년'!$A$2:$B$5000,2,0)</f>
        <v>3.7970000000000002</v>
      </c>
      <c r="G158">
        <v>78.59</v>
      </c>
      <c r="H158">
        <v>96.88</v>
      </c>
    </row>
    <row r="159" spans="1:8" x14ac:dyDescent="0.4">
      <c r="A159" s="1">
        <v>45520</v>
      </c>
      <c r="B159" s="3">
        <f>'S&amp;P500'!B160</f>
        <v>5608.25</v>
      </c>
      <c r="C159" s="3">
        <f>나스닥!B160</f>
        <v>17876.77</v>
      </c>
      <c r="D159">
        <f>VLOOKUP(A159,VIX!$A$2:B5157,2,0)</f>
        <v>14.8</v>
      </c>
      <c r="E159">
        <f>VLOOKUP(A159,'10년'!$A$2:$B$5000,2,0)</f>
        <v>3.883</v>
      </c>
      <c r="F159">
        <f>VLOOKUP(A159,'5년'!$A$2:$B$5000,2,0)</f>
        <v>3.7570000000000001</v>
      </c>
      <c r="G159">
        <v>78.84</v>
      </c>
      <c r="H159">
        <v>97.07</v>
      </c>
    </row>
    <row r="160" spans="1:8" x14ac:dyDescent="0.4">
      <c r="A160" s="1">
        <v>45523</v>
      </c>
      <c r="B160" s="3">
        <f>'S&amp;P500'!B161</f>
        <v>5597.12</v>
      </c>
      <c r="C160" s="3">
        <f>나스닥!B161</f>
        <v>17816.939999999999</v>
      </c>
      <c r="D160">
        <f>VLOOKUP(A160,VIX!$A$2:B5158,2,0)</f>
        <v>14.65</v>
      </c>
      <c r="E160">
        <f>VLOOKUP(A160,'10년'!$A$2:$B$5000,2,0)</f>
        <v>3.875</v>
      </c>
      <c r="F160">
        <f>VLOOKUP(A160,'5년'!$A$2:$B$5000,2,0)</f>
        <v>3.762</v>
      </c>
      <c r="G160">
        <v>78.97</v>
      </c>
      <c r="H160">
        <v>97.2</v>
      </c>
    </row>
    <row r="161" spans="1:8" x14ac:dyDescent="0.4">
      <c r="A161" s="1">
        <v>45524</v>
      </c>
      <c r="B161" s="3">
        <f>'S&amp;P500'!B162</f>
        <v>5620.85</v>
      </c>
      <c r="C161" s="3">
        <f>나스닥!B162</f>
        <v>17918.990000000002</v>
      </c>
      <c r="D161">
        <f>VLOOKUP(A161,VIX!$A$2:B5159,2,0)</f>
        <v>15.88</v>
      </c>
      <c r="E161">
        <f>VLOOKUP(A161,'10년'!$A$2:$B$5000,2,0)</f>
        <v>3.81</v>
      </c>
      <c r="F161">
        <f>VLOOKUP(A161,'5년'!$A$2:$B$5000,2,0)</f>
        <v>3.6930000000000001</v>
      </c>
      <c r="G161">
        <v>78.900000000000006</v>
      </c>
      <c r="H161">
        <v>97.59</v>
      </c>
    </row>
    <row r="162" spans="1:8" x14ac:dyDescent="0.4">
      <c r="A162" s="1">
        <v>45525</v>
      </c>
      <c r="B162" s="3">
        <f>'S&amp;P500'!B163</f>
        <v>5570.64</v>
      </c>
      <c r="C162" s="3">
        <f>나스닥!B163</f>
        <v>17619.349999999999</v>
      </c>
      <c r="D162">
        <f>VLOOKUP(A162,VIX!$A$2:B5160,2,0)</f>
        <v>16.27</v>
      </c>
      <c r="E162">
        <f>VLOOKUP(A162,'10년'!$A$2:$B$5000,2,0)</f>
        <v>3.7989999999999999</v>
      </c>
      <c r="F162">
        <f>VLOOKUP(A162,'5년'!$A$2:$B$5000,2,0)</f>
        <v>3.6549999999999998</v>
      </c>
      <c r="G162">
        <v>79.08</v>
      </c>
      <c r="H162">
        <v>97.79</v>
      </c>
    </row>
    <row r="163" spans="1:8" x14ac:dyDescent="0.4">
      <c r="A163" s="1">
        <v>45526</v>
      </c>
      <c r="B163" s="3">
        <f>'S&amp;P500'!B164</f>
        <v>5634.61</v>
      </c>
      <c r="C163" s="3">
        <f>나스닥!B164</f>
        <v>17877.79</v>
      </c>
      <c r="D163">
        <f>VLOOKUP(A163,VIX!$A$2:B5161,2,0)</f>
        <v>17.55</v>
      </c>
      <c r="E163">
        <f>VLOOKUP(A163,'10년'!$A$2:$B$5000,2,0)</f>
        <v>3.8580000000000001</v>
      </c>
      <c r="F163">
        <f>VLOOKUP(A163,'5년'!$A$2:$B$5000,2,0)</f>
        <v>3.7250000000000001</v>
      </c>
      <c r="G163">
        <v>78.98</v>
      </c>
      <c r="H163">
        <v>97.34</v>
      </c>
    </row>
    <row r="164" spans="1:8" x14ac:dyDescent="0.4">
      <c r="A164" s="1">
        <v>45527</v>
      </c>
      <c r="B164" s="3">
        <f>'S&amp;P500'!B165</f>
        <v>5616.84</v>
      </c>
      <c r="C164" s="3">
        <f>나스닥!B165</f>
        <v>17725.77</v>
      </c>
      <c r="D164">
        <f>VLOOKUP(A164,VIX!$A$2:B5162,2,0)</f>
        <v>15.86</v>
      </c>
      <c r="E164">
        <f>VLOOKUP(A164,'10년'!$A$2:$B$5000,2,0)</f>
        <v>3.7949999999999999</v>
      </c>
      <c r="F164">
        <f>VLOOKUP(A164,'5년'!$A$2:$B$5000,2,0)</f>
        <v>3.6419999999999999</v>
      </c>
      <c r="G164">
        <v>79.400000000000006</v>
      </c>
      <c r="H164">
        <v>97.79</v>
      </c>
    </row>
    <row r="165" spans="1:8" x14ac:dyDescent="0.4">
      <c r="A165" s="1">
        <v>45530</v>
      </c>
      <c r="B165" s="3">
        <f>'S&amp;P500'!B166</f>
        <v>5625.8</v>
      </c>
      <c r="C165" s="3">
        <f>나스닥!B166</f>
        <v>17754.82</v>
      </c>
      <c r="D165">
        <f>VLOOKUP(A165,VIX!$A$2:B5163,2,0)</f>
        <v>16.149999999999999</v>
      </c>
      <c r="E165">
        <f>VLOOKUP(A165,'10년'!$A$2:$B$5000,2,0)</f>
        <v>3.82</v>
      </c>
      <c r="F165">
        <f>VLOOKUP(A165,'5년'!$A$2:$B$5000,2,0)</f>
        <v>3.669</v>
      </c>
      <c r="G165">
        <v>79.239999999999995</v>
      </c>
      <c r="H165">
        <v>97.67</v>
      </c>
    </row>
    <row r="166" spans="1:8" x14ac:dyDescent="0.4">
      <c r="A166" s="1">
        <v>45531</v>
      </c>
      <c r="B166" s="3">
        <f>'S&amp;P500'!B167</f>
        <v>5592.18</v>
      </c>
      <c r="C166" s="3">
        <f>나스닥!B167</f>
        <v>17556.03</v>
      </c>
      <c r="D166">
        <f>VLOOKUP(A166,VIX!$A$2:B5164,2,0)</f>
        <v>15.43</v>
      </c>
      <c r="E166">
        <f>VLOOKUP(A166,'10년'!$A$2:$B$5000,2,0)</f>
        <v>3.8290000000000002</v>
      </c>
      <c r="F166">
        <f>VLOOKUP(A166,'5년'!$A$2:$B$5000,2,0)</f>
        <v>3.6549999999999998</v>
      </c>
      <c r="G166">
        <v>79.290000000000006</v>
      </c>
      <c r="H166">
        <v>97.63</v>
      </c>
    </row>
    <row r="167" spans="1:8" x14ac:dyDescent="0.4">
      <c r="A167" s="1">
        <v>45532</v>
      </c>
      <c r="B167" s="3">
        <f>'S&amp;P500'!B168</f>
        <v>5591.96</v>
      </c>
      <c r="C167" s="3">
        <f>나스닥!B168</f>
        <v>17516.43</v>
      </c>
      <c r="D167">
        <f>VLOOKUP(A167,VIX!$A$2:B5165,2,0)</f>
        <v>17.11</v>
      </c>
      <c r="E167">
        <f>VLOOKUP(A167,'10년'!$A$2:$B$5000,2,0)</f>
        <v>3.839</v>
      </c>
      <c r="F167">
        <f>VLOOKUP(A167,'5년'!$A$2:$B$5000,2,0)</f>
        <v>3.6640000000000001</v>
      </c>
      <c r="G167">
        <v>79.25</v>
      </c>
      <c r="H167">
        <v>97.58</v>
      </c>
    </row>
    <row r="168" spans="1:8" x14ac:dyDescent="0.4">
      <c r="A168" s="1">
        <v>45533</v>
      </c>
      <c r="B168" s="3">
        <f>'S&amp;P500'!B169</f>
        <v>5648.4</v>
      </c>
      <c r="C168" s="3">
        <f>나스닥!B169</f>
        <v>17713.62</v>
      </c>
      <c r="D168">
        <f>VLOOKUP(A168,VIX!$A$2:B5166,2,0)</f>
        <v>15.65</v>
      </c>
      <c r="E168">
        <f>VLOOKUP(A168,'10년'!$A$2:$B$5000,2,0)</f>
        <v>3.863</v>
      </c>
      <c r="F168">
        <f>VLOOKUP(A168,'5년'!$A$2:$B$5000,2,0)</f>
        <v>3.6680000000000001</v>
      </c>
      <c r="G168">
        <v>79.33</v>
      </c>
      <c r="H168">
        <v>97.41</v>
      </c>
    </row>
    <row r="169" spans="1:8" x14ac:dyDescent="0.4">
      <c r="A169" s="1">
        <v>45534</v>
      </c>
      <c r="B169" s="3">
        <f>'S&amp;P500'!B170</f>
        <v>5528.93</v>
      </c>
      <c r="C169" s="3">
        <f>나스닥!B170</f>
        <v>17136.3</v>
      </c>
      <c r="D169">
        <f>VLOOKUP(A169,VIX!$A$2:B5167,2,0)</f>
        <v>15</v>
      </c>
      <c r="E169">
        <f>VLOOKUP(A169,'10년'!$A$2:$B$5000,2,0)</f>
        <v>3.9089999999999998</v>
      </c>
      <c r="F169">
        <f>VLOOKUP(A169,'5년'!$A$2:$B$5000,2,0)</f>
        <v>3.7080000000000002</v>
      </c>
      <c r="G169">
        <v>79.34</v>
      </c>
      <c r="H169">
        <v>97.07</v>
      </c>
    </row>
    <row r="170" spans="1:8" x14ac:dyDescent="0.4">
      <c r="A170" s="1">
        <v>45538</v>
      </c>
      <c r="B170" s="3">
        <f>'S&amp;P500'!B171</f>
        <v>5520.07</v>
      </c>
      <c r="C170" s="3">
        <f>나스닥!B171</f>
        <v>17084.3</v>
      </c>
      <c r="D170">
        <f>VLOOKUP(A170,VIX!$A$2:B5168,2,0)</f>
        <v>20.72</v>
      </c>
      <c r="E170">
        <f>VLOOKUP(A170,'10년'!$A$2:$B$5000,2,0)</f>
        <v>3.831</v>
      </c>
      <c r="F170">
        <f>VLOOKUP(A170,'5년'!$A$2:$B$5000,2,0)</f>
        <v>3.6389999999999998</v>
      </c>
      <c r="G170">
        <v>78.680000000000007</v>
      </c>
      <c r="H170">
        <v>97.42</v>
      </c>
    </row>
    <row r="171" spans="1:8" x14ac:dyDescent="0.4">
      <c r="A171" s="1">
        <v>45539</v>
      </c>
      <c r="B171" s="3">
        <f>'S&amp;P500'!B172</f>
        <v>5503.41</v>
      </c>
      <c r="C171" s="3">
        <f>나스닥!B172</f>
        <v>17127.66</v>
      </c>
      <c r="D171">
        <f>VLOOKUP(A171,VIX!$A$2:B5169,2,0)</f>
        <v>21.32</v>
      </c>
      <c r="E171">
        <f>VLOOKUP(A171,'10년'!$A$2:$B$5000,2,0)</f>
        <v>3.7570000000000001</v>
      </c>
      <c r="F171">
        <f>VLOOKUP(A171,'5년'!$A$2:$B$5000,2,0)</f>
        <v>3.556</v>
      </c>
      <c r="G171">
        <v>78.97</v>
      </c>
      <c r="H171">
        <v>97.99</v>
      </c>
    </row>
    <row r="172" spans="1:8" x14ac:dyDescent="0.4">
      <c r="A172" s="1">
        <v>45540</v>
      </c>
      <c r="B172" s="3">
        <f>'S&amp;P500'!B173</f>
        <v>5408.42</v>
      </c>
      <c r="C172" s="3">
        <f>나스닥!B173</f>
        <v>16690.830000000002</v>
      </c>
      <c r="D172">
        <f>VLOOKUP(A172,VIX!$A$2:B5170,2,0)</f>
        <v>19.899999999999999</v>
      </c>
      <c r="E172">
        <f>VLOOKUP(A172,'10년'!$A$2:$B$5000,2,0)</f>
        <v>3.7250000000000001</v>
      </c>
      <c r="F172">
        <f>VLOOKUP(A172,'5년'!$A$2:$B$5000,2,0)</f>
        <v>3.5350000000000001</v>
      </c>
      <c r="G172">
        <v>79.239999999999995</v>
      </c>
      <c r="H172">
        <v>98.22</v>
      </c>
    </row>
    <row r="173" spans="1:8" x14ac:dyDescent="0.4">
      <c r="A173" s="1">
        <v>45541</v>
      </c>
      <c r="B173" s="3">
        <f>'S&amp;P500'!B174</f>
        <v>5471.05</v>
      </c>
      <c r="C173" s="3">
        <f>나스닥!B174</f>
        <v>16884.599999999999</v>
      </c>
      <c r="D173">
        <f>VLOOKUP(A173,VIX!$A$2:B5171,2,0)</f>
        <v>22.38</v>
      </c>
      <c r="E173">
        <f>VLOOKUP(A173,'10년'!$A$2:$B$5000,2,0)</f>
        <v>3.7160000000000002</v>
      </c>
      <c r="F173">
        <f>VLOOKUP(A173,'5년'!$A$2:$B$5000,2,0)</f>
        <v>3.496</v>
      </c>
      <c r="G173">
        <v>79.14</v>
      </c>
      <c r="H173">
        <v>98.36</v>
      </c>
    </row>
    <row r="174" spans="1:8" x14ac:dyDescent="0.4">
      <c r="A174" s="1">
        <v>45544</v>
      </c>
      <c r="B174" s="3">
        <f>'S&amp;P500'!B175</f>
        <v>5495.52</v>
      </c>
      <c r="C174" s="3">
        <f>나스닥!B175</f>
        <v>17025.88</v>
      </c>
      <c r="D174">
        <f>VLOOKUP(A174,VIX!$A$2:B5172,2,0)</f>
        <v>19.45</v>
      </c>
      <c r="E174">
        <f>VLOOKUP(A174,'10년'!$A$2:$B$5000,2,0)</f>
        <v>3.702</v>
      </c>
      <c r="F174">
        <f>VLOOKUP(A174,'5년'!$A$2:$B$5000,2,0)</f>
        <v>3.4889999999999999</v>
      </c>
      <c r="G174">
        <v>79.33</v>
      </c>
      <c r="H174">
        <v>98.5</v>
      </c>
    </row>
    <row r="175" spans="1:8" x14ac:dyDescent="0.4">
      <c r="A175" s="1">
        <v>45545</v>
      </c>
      <c r="B175" s="3">
        <f>'S&amp;P500'!B176</f>
        <v>5554.13</v>
      </c>
      <c r="C175" s="3">
        <f>나스닥!B176</f>
        <v>17395.53</v>
      </c>
      <c r="D175">
        <f>VLOOKUP(A175,VIX!$A$2:B5173,2,0)</f>
        <v>19.079999999999998</v>
      </c>
      <c r="E175">
        <f>VLOOKUP(A175,'10년'!$A$2:$B$5000,2,0)</f>
        <v>3.64</v>
      </c>
      <c r="F175">
        <f>VLOOKUP(A175,'5년'!$A$2:$B$5000,2,0)</f>
        <v>3.423</v>
      </c>
      <c r="G175">
        <v>79.180000000000007</v>
      </c>
      <c r="H175">
        <v>98.92</v>
      </c>
    </row>
    <row r="176" spans="1:8" x14ac:dyDescent="0.4">
      <c r="A176" s="1">
        <v>45546</v>
      </c>
      <c r="B176" s="3">
        <f>'S&amp;P500'!B177</f>
        <v>5595.76</v>
      </c>
      <c r="C176" s="3">
        <f>나스닥!B177</f>
        <v>17569.68</v>
      </c>
      <c r="D176">
        <f>VLOOKUP(A176,VIX!$A$2:B5174,2,0)</f>
        <v>17.690000000000001</v>
      </c>
      <c r="E176">
        <f>VLOOKUP(A176,'10년'!$A$2:$B$5000,2,0)</f>
        <v>3.661</v>
      </c>
      <c r="F176">
        <f>VLOOKUP(A176,'5년'!$A$2:$B$5000,2,0)</f>
        <v>3.452</v>
      </c>
      <c r="G176">
        <v>79.3</v>
      </c>
      <c r="H176">
        <v>98.85</v>
      </c>
    </row>
    <row r="177" spans="1:8" x14ac:dyDescent="0.4">
      <c r="A177" s="1">
        <v>45547</v>
      </c>
      <c r="B177" s="3">
        <f>'S&amp;P500'!B178</f>
        <v>5626.02</v>
      </c>
      <c r="C177" s="3">
        <f>나스닥!B178</f>
        <v>17683.98</v>
      </c>
      <c r="D177">
        <f>VLOOKUP(A177,VIX!$A$2:B5175,2,0)</f>
        <v>17.07</v>
      </c>
      <c r="E177">
        <f>VLOOKUP(A177,'10년'!$A$2:$B$5000,2,0)</f>
        <v>3.68</v>
      </c>
      <c r="F177">
        <f>VLOOKUP(A177,'5년'!$A$2:$B$5000,2,0)</f>
        <v>3.4710000000000001</v>
      </c>
      <c r="G177">
        <v>79.41</v>
      </c>
      <c r="H177">
        <v>98.69</v>
      </c>
    </row>
    <row r="178" spans="1:8" x14ac:dyDescent="0.4">
      <c r="A178" s="1">
        <v>45548</v>
      </c>
      <c r="B178" s="3">
        <f>'S&amp;P500'!B179</f>
        <v>5633.09</v>
      </c>
      <c r="C178" s="3">
        <f>나스닥!B179</f>
        <v>17592.13</v>
      </c>
      <c r="D178">
        <f>VLOOKUP(A178,VIX!$A$2:B5176,2,0)</f>
        <v>16.559999999999999</v>
      </c>
      <c r="E178">
        <f>VLOOKUP(A178,'10년'!$A$2:$B$5000,2,0)</f>
        <v>3.657</v>
      </c>
      <c r="F178">
        <f>VLOOKUP(A178,'5년'!$A$2:$B$5000,2,0)</f>
        <v>3.4350000000000001</v>
      </c>
      <c r="G178">
        <v>79.63</v>
      </c>
      <c r="H178">
        <v>98.88</v>
      </c>
    </row>
    <row r="179" spans="1:8" x14ac:dyDescent="0.4">
      <c r="A179" s="1">
        <v>45551</v>
      </c>
      <c r="B179" s="3">
        <f>'S&amp;P500'!B180</f>
        <v>5634.58</v>
      </c>
      <c r="C179" s="3">
        <f>나스닥!B180</f>
        <v>17628.060000000001</v>
      </c>
      <c r="D179">
        <f>VLOOKUP(A179,VIX!$A$2:B5177,2,0)</f>
        <v>17.14</v>
      </c>
      <c r="E179">
        <f>VLOOKUP(A179,'10년'!$A$2:$B$5000,2,0)</f>
        <v>3.6179999999999999</v>
      </c>
      <c r="F179">
        <f>VLOOKUP(A179,'5년'!$A$2:$B$5000,2,0)</f>
        <v>3.4039999999999999</v>
      </c>
      <c r="G179">
        <v>79.83</v>
      </c>
      <c r="H179">
        <v>99.14</v>
      </c>
    </row>
    <row r="180" spans="1:8" x14ac:dyDescent="0.4">
      <c r="A180" s="1">
        <v>45552</v>
      </c>
      <c r="B180" s="3">
        <f>'S&amp;P500'!B181</f>
        <v>5618.26</v>
      </c>
      <c r="C180" s="3">
        <f>나스닥!B181</f>
        <v>17573.3</v>
      </c>
      <c r="D180">
        <f>VLOOKUP(A180,VIX!$A$2:B5178,2,0)</f>
        <v>17.61</v>
      </c>
      <c r="E180">
        <f>VLOOKUP(A180,'10년'!$A$2:$B$5000,2,0)</f>
        <v>3.6480000000000001</v>
      </c>
      <c r="F180">
        <f>VLOOKUP(A180,'5년'!$A$2:$B$5000,2,0)</f>
        <v>3.4430000000000001</v>
      </c>
      <c r="G180">
        <v>79.849999999999994</v>
      </c>
      <c r="H180">
        <v>98.96</v>
      </c>
    </row>
    <row r="181" spans="1:8" x14ac:dyDescent="0.4">
      <c r="A181" s="1">
        <v>45553</v>
      </c>
      <c r="B181" s="3">
        <f>'S&amp;P500'!B182</f>
        <v>5713.64</v>
      </c>
      <c r="C181" s="3">
        <f>나스닥!B182</f>
        <v>18013.98</v>
      </c>
      <c r="D181">
        <f>VLOOKUP(A181,VIX!$A$2:B5179,2,0)</f>
        <v>18.23</v>
      </c>
      <c r="E181">
        <f>VLOOKUP(A181,'10년'!$A$2:$B$5000,2,0)</f>
        <v>3.7130000000000001</v>
      </c>
      <c r="F181">
        <f>VLOOKUP(A181,'5년'!$A$2:$B$5000,2,0)</f>
        <v>3.4929999999999999</v>
      </c>
      <c r="G181">
        <v>79.92</v>
      </c>
      <c r="H181">
        <v>98.53</v>
      </c>
    </row>
    <row r="182" spans="1:8" x14ac:dyDescent="0.4">
      <c r="A182" s="1">
        <v>45554</v>
      </c>
      <c r="B182" s="3">
        <f>'S&amp;P500'!B183</f>
        <v>5702.55</v>
      </c>
      <c r="C182" s="3">
        <f>나스닥!B183</f>
        <v>17948.32</v>
      </c>
      <c r="D182">
        <f>VLOOKUP(A182,VIX!$A$2:B5180,2,0)</f>
        <v>16.329999999999998</v>
      </c>
      <c r="E182">
        <f>VLOOKUP(A182,'10년'!$A$2:$B$5000,2,0)</f>
        <v>3.7189999999999999</v>
      </c>
      <c r="F182">
        <f>VLOOKUP(A182,'5년'!$A$2:$B$5000,2,0)</f>
        <v>3.4860000000000002</v>
      </c>
      <c r="G182">
        <v>80.16</v>
      </c>
      <c r="H182">
        <v>98.45</v>
      </c>
    </row>
    <row r="183" spans="1:8" x14ac:dyDescent="0.4">
      <c r="A183" s="1">
        <v>45555</v>
      </c>
      <c r="B183" s="3">
        <f>'S&amp;P500'!B184</f>
        <v>5718.57</v>
      </c>
      <c r="C183" s="3">
        <f>나스닥!B184</f>
        <v>17974.27</v>
      </c>
      <c r="D183">
        <f>VLOOKUP(A183,VIX!$A$2:B5181,2,0)</f>
        <v>16.149999999999999</v>
      </c>
      <c r="E183">
        <f>VLOOKUP(A183,'10년'!$A$2:$B$5000,2,0)</f>
        <v>3.7410000000000001</v>
      </c>
      <c r="F183">
        <f>VLOOKUP(A183,'5년'!$A$2:$B$5000,2,0)</f>
        <v>3.5</v>
      </c>
      <c r="G183">
        <v>80.260000000000005</v>
      </c>
      <c r="H183">
        <v>98.42</v>
      </c>
    </row>
    <row r="184" spans="1:8" x14ac:dyDescent="0.4">
      <c r="A184" s="1">
        <v>45558</v>
      </c>
      <c r="B184" s="3">
        <f>'S&amp;P500'!B185</f>
        <v>5732.93</v>
      </c>
      <c r="C184" s="3">
        <f>나스닥!B185</f>
        <v>18074.52</v>
      </c>
      <c r="D184">
        <f>VLOOKUP(A184,VIX!$A$2:B5182,2,0)</f>
        <v>15.89</v>
      </c>
      <c r="E184">
        <f>VLOOKUP(A184,'10년'!$A$2:$B$5000,2,0)</f>
        <v>3.7509999999999999</v>
      </c>
      <c r="F184">
        <f>VLOOKUP(A184,'5년'!$A$2:$B$5000,2,0)</f>
        <v>3.5059999999999998</v>
      </c>
      <c r="G184">
        <v>80.11</v>
      </c>
      <c r="H184">
        <v>98.36</v>
      </c>
    </row>
    <row r="185" spans="1:8" x14ac:dyDescent="0.4">
      <c r="A185" s="1">
        <v>45559</v>
      </c>
      <c r="B185" s="3">
        <f>'S&amp;P500'!B186</f>
        <v>5722.26</v>
      </c>
      <c r="C185" s="3">
        <f>나스닥!B186</f>
        <v>18082.21</v>
      </c>
      <c r="D185">
        <f>VLOOKUP(A185,VIX!$A$2:B5183,2,0)</f>
        <v>15.39</v>
      </c>
      <c r="E185">
        <f>VLOOKUP(A185,'10년'!$A$2:$B$5000,2,0)</f>
        <v>3.7320000000000002</v>
      </c>
      <c r="F185">
        <f>VLOOKUP(A185,'5년'!$A$2:$B$5000,2,0)</f>
        <v>3.472</v>
      </c>
      <c r="G185">
        <v>80.12</v>
      </c>
      <c r="H185">
        <v>98.47</v>
      </c>
    </row>
    <row r="186" spans="1:8" x14ac:dyDescent="0.4">
      <c r="A186" s="1">
        <v>45560</v>
      </c>
      <c r="B186" s="3">
        <f>'S&amp;P500'!B187</f>
        <v>5745.37</v>
      </c>
      <c r="C186" s="3">
        <f>나스닥!B187</f>
        <v>18190.29</v>
      </c>
      <c r="D186">
        <f>VLOOKUP(A186,VIX!$A$2:B5184,2,0)</f>
        <v>15.41</v>
      </c>
      <c r="E186">
        <f>VLOOKUP(A186,'10년'!$A$2:$B$5000,2,0)</f>
        <v>3.7909999999999999</v>
      </c>
      <c r="F186">
        <f>VLOOKUP(A186,'5년'!$A$2:$B$5000,2,0)</f>
        <v>3.5289999999999999</v>
      </c>
      <c r="G186">
        <v>80.03</v>
      </c>
      <c r="H186">
        <v>98.07</v>
      </c>
    </row>
    <row r="187" spans="1:8" x14ac:dyDescent="0.4">
      <c r="A187" s="1">
        <v>45561</v>
      </c>
      <c r="B187" s="3">
        <f>'S&amp;P500'!B188</f>
        <v>5738.17</v>
      </c>
      <c r="C187" s="3">
        <f>나스닥!B188</f>
        <v>18119.59</v>
      </c>
      <c r="D187">
        <f>VLOOKUP(A187,VIX!$A$2:B5185,2,0)</f>
        <v>15.37</v>
      </c>
      <c r="E187">
        <f>VLOOKUP(A187,'10년'!$A$2:$B$5000,2,0)</f>
        <v>3.7959999999999998</v>
      </c>
      <c r="F187">
        <f>VLOOKUP(A187,'5년'!$A$2:$B$5000,2,0)</f>
        <v>3.5649999999999999</v>
      </c>
      <c r="G187">
        <v>80.16</v>
      </c>
      <c r="H187">
        <v>98</v>
      </c>
    </row>
    <row r="188" spans="1:8" x14ac:dyDescent="0.4">
      <c r="A188" s="1">
        <v>45562</v>
      </c>
      <c r="B188" s="3">
        <f>'S&amp;P500'!B189</f>
        <v>5762.48</v>
      </c>
      <c r="C188" s="3">
        <f>나스닥!B189</f>
        <v>18189.169999999998</v>
      </c>
      <c r="D188">
        <f>VLOOKUP(A188,VIX!$A$2:B5186,2,0)</f>
        <v>16.96</v>
      </c>
      <c r="E188">
        <f>VLOOKUP(A188,'10년'!$A$2:$B$5000,2,0)</f>
        <v>3.7509999999999999</v>
      </c>
      <c r="F188">
        <f>VLOOKUP(A188,'5년'!$A$2:$B$5000,2,0)</f>
        <v>3.5030000000000001</v>
      </c>
      <c r="G188">
        <v>80.36</v>
      </c>
      <c r="H188">
        <v>98.39</v>
      </c>
    </row>
    <row r="189" spans="1:8" x14ac:dyDescent="0.4">
      <c r="A189" s="1">
        <v>45565</v>
      </c>
      <c r="B189" s="3">
        <f>'S&amp;P500'!B190</f>
        <v>5708.75</v>
      </c>
      <c r="C189" s="3">
        <f>나스닥!B190</f>
        <v>17910.36</v>
      </c>
      <c r="D189">
        <f>VLOOKUP(A189,VIX!$A$2:B5187,2,0)</f>
        <v>16.73</v>
      </c>
      <c r="E189">
        <f>VLOOKUP(A189,'10년'!$A$2:$B$5000,2,0)</f>
        <v>3.7869999999999999</v>
      </c>
      <c r="F189">
        <f>VLOOKUP(A189,'5년'!$A$2:$B$5000,2,0)</f>
        <v>3.5640000000000001</v>
      </c>
      <c r="G189">
        <v>80.3</v>
      </c>
      <c r="H189">
        <v>98.12</v>
      </c>
    </row>
    <row r="190" spans="1:8" x14ac:dyDescent="0.4">
      <c r="A190" s="1">
        <v>45566</v>
      </c>
      <c r="B190" s="3">
        <f>'S&amp;P500'!B191</f>
        <v>5709.54</v>
      </c>
      <c r="C190" s="3">
        <f>나스닥!B191</f>
        <v>17925.12</v>
      </c>
      <c r="D190">
        <f>VLOOKUP(A190,VIX!$A$2:B5188,2,0)</f>
        <v>19.260000000000002</v>
      </c>
      <c r="E190">
        <f>VLOOKUP(A190,'10년'!$A$2:$B$5000,2,0)</f>
        <v>3.7309999999999999</v>
      </c>
      <c r="F190">
        <f>VLOOKUP(A190,'5년'!$A$2:$B$5000,2,0)</f>
        <v>3.5089999999999999</v>
      </c>
      <c r="G190">
        <v>79.87</v>
      </c>
      <c r="H190">
        <v>98.19</v>
      </c>
    </row>
    <row r="191" spans="1:8" x14ac:dyDescent="0.4">
      <c r="A191" s="1">
        <v>45567</v>
      </c>
      <c r="B191" s="3">
        <f>'S&amp;P500'!B192</f>
        <v>5699.94</v>
      </c>
      <c r="C191" s="3">
        <f>나스닥!B192</f>
        <v>17918.48</v>
      </c>
      <c r="D191">
        <f>VLOOKUP(A191,VIX!$A$2:B5189,2,0)</f>
        <v>18.899999999999999</v>
      </c>
      <c r="E191">
        <f>VLOOKUP(A191,'10년'!$A$2:$B$5000,2,0)</f>
        <v>3.7829999999999999</v>
      </c>
      <c r="F191">
        <f>VLOOKUP(A191,'5년'!$A$2:$B$5000,2,0)</f>
        <v>3.552</v>
      </c>
      <c r="G191">
        <v>79.88</v>
      </c>
      <c r="H191">
        <v>97.91</v>
      </c>
    </row>
    <row r="192" spans="1:8" x14ac:dyDescent="0.4">
      <c r="A192" s="1">
        <v>45568</v>
      </c>
      <c r="B192" s="3">
        <f>'S&amp;P500'!B193</f>
        <v>5751.07</v>
      </c>
      <c r="C192" s="3">
        <f>나스닥!B193</f>
        <v>18137.849999999999</v>
      </c>
      <c r="D192">
        <f>VLOOKUP(A192,VIX!$A$2:B5190,2,0)</f>
        <v>20.49</v>
      </c>
      <c r="E192">
        <f>VLOOKUP(A192,'10년'!$A$2:$B$5000,2,0)</f>
        <v>3.8460000000000001</v>
      </c>
      <c r="F192">
        <f>VLOOKUP(A192,'5년'!$A$2:$B$5000,2,0)</f>
        <v>3.6280000000000001</v>
      </c>
      <c r="G192">
        <v>79.69</v>
      </c>
      <c r="H192">
        <v>97.41</v>
      </c>
    </row>
    <row r="193" spans="1:8" x14ac:dyDescent="0.4">
      <c r="A193" s="1">
        <v>45569</v>
      </c>
      <c r="B193" s="3">
        <f>'S&amp;P500'!B194</f>
        <v>5695.94</v>
      </c>
      <c r="C193" s="3">
        <f>나스닥!B194</f>
        <v>17923.900000000001</v>
      </c>
      <c r="D193">
        <f>VLOOKUP(A193,VIX!$A$2:B5191,2,0)</f>
        <v>19.21</v>
      </c>
      <c r="E193">
        <f>VLOOKUP(A193,'10년'!$A$2:$B$5000,2,0)</f>
        <v>3.9809999999999999</v>
      </c>
      <c r="F193">
        <f>VLOOKUP(A193,'5년'!$A$2:$B$5000,2,0)</f>
        <v>3.8039999999999998</v>
      </c>
      <c r="G193">
        <v>79.599999999999994</v>
      </c>
      <c r="H193">
        <v>96.47</v>
      </c>
    </row>
    <row r="194" spans="1:8" x14ac:dyDescent="0.4">
      <c r="A194" s="1">
        <v>45572</v>
      </c>
      <c r="B194" s="3">
        <f>'S&amp;P500'!B195</f>
        <v>5751.13</v>
      </c>
      <c r="C194" s="3">
        <f>나스닥!B195</f>
        <v>18182.919999999998</v>
      </c>
      <c r="D194">
        <f>VLOOKUP(A194,VIX!$A$2:B5192,2,0)</f>
        <v>22.64</v>
      </c>
      <c r="E194">
        <f>VLOOKUP(A194,'10년'!$A$2:$B$5000,2,0)</f>
        <v>4.0259999999999998</v>
      </c>
      <c r="F194">
        <f>VLOOKUP(A194,'5년'!$A$2:$B$5000,2,0)</f>
        <v>3.867</v>
      </c>
      <c r="G194">
        <v>79.260000000000005</v>
      </c>
      <c r="H194">
        <v>96.12</v>
      </c>
    </row>
    <row r="195" spans="1:8" x14ac:dyDescent="0.4">
      <c r="A195" s="1">
        <v>45573</v>
      </c>
      <c r="B195" s="3">
        <f>'S&amp;P500'!B196</f>
        <v>5792.04</v>
      </c>
      <c r="C195" s="3">
        <f>나스닥!B196</f>
        <v>18291.62</v>
      </c>
      <c r="D195">
        <f>VLOOKUP(A195,VIX!$A$2:B5193,2,0)</f>
        <v>21.42</v>
      </c>
      <c r="E195">
        <f>VLOOKUP(A195,'10년'!$A$2:$B$5000,2,0)</f>
        <v>4.0350000000000001</v>
      </c>
      <c r="F195">
        <f>VLOOKUP(A195,'5년'!$A$2:$B$5000,2,0)</f>
        <v>3.8479999999999999</v>
      </c>
      <c r="G195">
        <v>79.45</v>
      </c>
      <c r="H195">
        <v>96.2</v>
      </c>
    </row>
    <row r="196" spans="1:8" x14ac:dyDescent="0.4">
      <c r="A196" s="1">
        <v>45574</v>
      </c>
      <c r="B196" s="3">
        <f>'S&amp;P500'!B197</f>
        <v>5780.05</v>
      </c>
      <c r="C196" s="3">
        <f>나스닥!B197</f>
        <v>18282.05</v>
      </c>
      <c r="D196">
        <f>VLOOKUP(A196,VIX!$A$2:B5194,2,0)</f>
        <v>20.86</v>
      </c>
      <c r="E196">
        <f>VLOOKUP(A196,'10년'!$A$2:$B$5000,2,0)</f>
        <v>4.0670000000000002</v>
      </c>
      <c r="F196">
        <f>VLOOKUP(A196,'5년'!$A$2:$B$5000,2,0)</f>
        <v>3.9169999999999998</v>
      </c>
      <c r="G196">
        <v>79.400000000000006</v>
      </c>
      <c r="H196">
        <v>95.84</v>
      </c>
    </row>
    <row r="197" spans="1:8" x14ac:dyDescent="0.4">
      <c r="A197" s="1">
        <v>45575</v>
      </c>
      <c r="B197" s="3">
        <f>'S&amp;P500'!B198</f>
        <v>5815.03</v>
      </c>
      <c r="C197" s="3">
        <f>나스닥!B198</f>
        <v>18342.939999999999</v>
      </c>
      <c r="D197">
        <f>VLOOKUP(A197,VIX!$A$2:B5195,2,0)</f>
        <v>20.93</v>
      </c>
      <c r="E197">
        <f>VLOOKUP(A197,'10년'!$A$2:$B$5000,2,0)</f>
        <v>4.0940000000000003</v>
      </c>
      <c r="F197">
        <f>VLOOKUP(A197,'5년'!$A$2:$B$5000,2,0)</f>
        <v>3.8889999999999998</v>
      </c>
      <c r="G197">
        <v>79.36</v>
      </c>
      <c r="H197">
        <v>95.83</v>
      </c>
    </row>
    <row r="198" spans="1:8" x14ac:dyDescent="0.4">
      <c r="A198" s="1">
        <v>45576</v>
      </c>
      <c r="B198" s="3">
        <f>'S&amp;P500'!B199</f>
        <v>5859.85</v>
      </c>
      <c r="C198" s="3">
        <f>나스닥!B199</f>
        <v>18502.689999999999</v>
      </c>
      <c r="D198">
        <f>VLOOKUP(A198,VIX!$A$2:B5196,2,0)</f>
        <v>20.46</v>
      </c>
      <c r="E198">
        <f>VLOOKUP(A198,'10년'!$A$2:$B$5000,2,0)</f>
        <v>4.0730000000000004</v>
      </c>
      <c r="F198">
        <f>VLOOKUP(A198,'5년'!$A$2:$B$5000,2,0)</f>
        <v>3.8980000000000001</v>
      </c>
      <c r="G198">
        <v>79.569999999999993</v>
      </c>
      <c r="H198">
        <v>95.86</v>
      </c>
    </row>
    <row r="199" spans="1:8" x14ac:dyDescent="0.4">
      <c r="A199" s="1">
        <v>45579</v>
      </c>
      <c r="B199" s="3">
        <f>'S&amp;P500'!B200</f>
        <v>5815.26</v>
      </c>
      <c r="C199" s="3">
        <f>나스닥!B200</f>
        <v>18315.59</v>
      </c>
      <c r="D199">
        <f>VLOOKUP(A199,VIX!$A$2:B5197,2,0)</f>
        <v>19.7</v>
      </c>
      <c r="E199" t="e">
        <f>VLOOKUP(A199,'10년'!$A$2:$B$5000,2,0)</f>
        <v>#N/A</v>
      </c>
      <c r="F199">
        <f>VLOOKUP(A199,'5년'!$A$2:$B$5000,2,0)</f>
        <v>3.9119999999999999</v>
      </c>
      <c r="G199">
        <v>79.61</v>
      </c>
      <c r="H199">
        <v>95.69</v>
      </c>
    </row>
    <row r="200" spans="1:8" x14ac:dyDescent="0.4">
      <c r="A200" s="1">
        <v>45580</v>
      </c>
      <c r="B200" s="3">
        <f>'S&amp;P500'!B201</f>
        <v>5842.47</v>
      </c>
      <c r="C200" s="3">
        <f>나스닥!B201</f>
        <v>18367.080000000002</v>
      </c>
      <c r="D200">
        <f>VLOOKUP(A200,VIX!$A$2:B5198,2,0)</f>
        <v>20.64</v>
      </c>
      <c r="E200">
        <f>VLOOKUP(A200,'10년'!$A$2:$B$5000,2,0)</f>
        <v>4.0380000000000003</v>
      </c>
      <c r="F200">
        <f>VLOOKUP(A200,'5년'!$A$2:$B$5000,2,0)</f>
        <v>3.8540000000000001</v>
      </c>
      <c r="G200">
        <v>79.59</v>
      </c>
      <c r="H200">
        <v>96.18</v>
      </c>
    </row>
    <row r="201" spans="1:8" x14ac:dyDescent="0.4">
      <c r="A201" s="1">
        <v>45581</v>
      </c>
      <c r="B201" s="3">
        <f>'S&amp;P500'!B202</f>
        <v>5841.47</v>
      </c>
      <c r="C201" s="3">
        <f>나스닥!B202</f>
        <v>18373.61</v>
      </c>
      <c r="D201">
        <f>VLOOKUP(A201,VIX!$A$2:B5199,2,0)</f>
        <v>19.579999999999998</v>
      </c>
      <c r="E201">
        <f>VLOOKUP(A201,'10년'!$A$2:$B$5000,2,0)</f>
        <v>4.016</v>
      </c>
      <c r="F201">
        <f>VLOOKUP(A201,'5년'!$A$2:$B$5000,2,0)</f>
        <v>3.8460000000000001</v>
      </c>
      <c r="G201">
        <v>79.73</v>
      </c>
      <c r="H201">
        <v>96.33</v>
      </c>
    </row>
    <row r="202" spans="1:8" x14ac:dyDescent="0.4">
      <c r="A202" s="1">
        <v>45582</v>
      </c>
      <c r="B202" s="3">
        <f>'S&amp;P500'!B203</f>
        <v>5864.67</v>
      </c>
      <c r="C202" s="3">
        <f>나스닥!B203</f>
        <v>18489.55</v>
      </c>
      <c r="D202">
        <f>VLOOKUP(A202,VIX!$A$2:B5200,2,0)</f>
        <v>19.11</v>
      </c>
      <c r="E202">
        <f>VLOOKUP(A202,'10년'!$A$2:$B$5000,2,0)</f>
        <v>4.0960000000000001</v>
      </c>
      <c r="F202">
        <f>VLOOKUP(A202,'5년'!$A$2:$B$5000,2,0)</f>
        <v>3.9039999999999999</v>
      </c>
      <c r="G202">
        <v>79.61</v>
      </c>
      <c r="H202">
        <v>95.83</v>
      </c>
    </row>
    <row r="203" spans="1:8" x14ac:dyDescent="0.4">
      <c r="A203" s="1">
        <v>45583</v>
      </c>
      <c r="B203" s="3">
        <f>'S&amp;P500'!B204</f>
        <v>5853.98</v>
      </c>
      <c r="C203" s="3">
        <f>나스닥!B204</f>
        <v>18540.009999999998</v>
      </c>
      <c r="D203">
        <f>VLOOKUP(A203,VIX!$A$2:B5201,2,0)</f>
        <v>18.03</v>
      </c>
      <c r="E203">
        <f>VLOOKUP(A203,'10년'!$A$2:$B$5000,2,0)</f>
        <v>4.0750000000000002</v>
      </c>
      <c r="F203">
        <f>VLOOKUP(A203,'5년'!$A$2:$B$5000,2,0)</f>
        <v>3.88</v>
      </c>
      <c r="G203">
        <v>79.8</v>
      </c>
      <c r="H203">
        <v>95.94</v>
      </c>
    </row>
    <row r="204" spans="1:8" x14ac:dyDescent="0.4">
      <c r="A204" s="1">
        <v>45586</v>
      </c>
      <c r="B204" s="3">
        <f>'S&amp;P500'!B205</f>
        <v>5851.2</v>
      </c>
      <c r="C204" s="3">
        <f>나스닥!B205</f>
        <v>18573.13</v>
      </c>
      <c r="D204">
        <f>VLOOKUP(A204,VIX!$A$2:B5202,2,0)</f>
        <v>18.37</v>
      </c>
      <c r="E204">
        <f>VLOOKUP(A204,'10년'!$A$2:$B$5000,2,0)</f>
        <v>4.1820000000000004</v>
      </c>
      <c r="F204">
        <f>VLOOKUP(A204,'5년'!$A$2:$B$5000,2,0)</f>
        <v>3.9849999999999999</v>
      </c>
      <c r="G204">
        <v>79.48</v>
      </c>
      <c r="H204">
        <v>95.2</v>
      </c>
    </row>
    <row r="205" spans="1:8" x14ac:dyDescent="0.4">
      <c r="A205" s="1">
        <v>45587</v>
      </c>
      <c r="B205" s="3">
        <f>'S&amp;P500'!B206</f>
        <v>5797.42</v>
      </c>
      <c r="C205" s="3">
        <f>나스닥!B206</f>
        <v>18276.650000000001</v>
      </c>
      <c r="D205">
        <f>VLOOKUP(A205,VIX!$A$2:B5203,2,0)</f>
        <v>18.2</v>
      </c>
      <c r="E205">
        <f>VLOOKUP(A205,'10년'!$A$2:$B$5000,2,0)</f>
        <v>4.2060000000000004</v>
      </c>
      <c r="F205">
        <f>VLOOKUP(A205,'5년'!$A$2:$B$5000,2,0)</f>
        <v>4.0060000000000002</v>
      </c>
      <c r="G205">
        <v>79.37</v>
      </c>
      <c r="H205">
        <v>95.11</v>
      </c>
    </row>
    <row r="206" spans="1:8" x14ac:dyDescent="0.4">
      <c r="A206" s="1">
        <v>45588</v>
      </c>
      <c r="B206" s="3">
        <f>'S&amp;P500'!B207</f>
        <v>5809.86</v>
      </c>
      <c r="C206" s="3">
        <f>나스닥!B207</f>
        <v>18415.490000000002</v>
      </c>
      <c r="D206">
        <f>VLOOKUP(A206,VIX!$A$2:B5204,2,0)</f>
        <v>19.239999999999998</v>
      </c>
      <c r="E206">
        <f>VLOOKUP(A206,'10년'!$A$2:$B$5000,2,0)</f>
        <v>4.242</v>
      </c>
      <c r="F206">
        <f>VLOOKUP(A206,'5년'!$A$2:$B$5000,2,0)</f>
        <v>4.0570000000000004</v>
      </c>
      <c r="G206">
        <v>79.13</v>
      </c>
      <c r="H206">
        <v>94.89</v>
      </c>
    </row>
    <row r="207" spans="1:8" x14ac:dyDescent="0.4">
      <c r="A207" s="1">
        <v>45589</v>
      </c>
      <c r="B207" s="3">
        <f>'S&amp;P500'!B208</f>
        <v>5808.12</v>
      </c>
      <c r="C207" s="3">
        <f>나스닥!B208</f>
        <v>18518.61</v>
      </c>
      <c r="D207">
        <f>VLOOKUP(A207,VIX!$A$2:B5205,2,0)</f>
        <v>19.079999999999998</v>
      </c>
      <c r="E207">
        <f>VLOOKUP(A207,'10년'!$A$2:$B$5000,2,0)</f>
        <v>4.202</v>
      </c>
      <c r="F207">
        <f>VLOOKUP(A207,'5년'!$A$2:$B$5000,2,0)</f>
        <v>4.0209999999999999</v>
      </c>
      <c r="G207">
        <v>79.36</v>
      </c>
      <c r="H207">
        <v>95.1</v>
      </c>
    </row>
    <row r="208" spans="1:8" x14ac:dyDescent="0.4">
      <c r="A208" s="1">
        <v>45590</v>
      </c>
      <c r="B208" s="3">
        <f>'S&amp;P500'!B209</f>
        <v>5823.52</v>
      </c>
      <c r="C208" s="3">
        <f>나스닥!B209</f>
        <v>18567.189999999999</v>
      </c>
      <c r="D208">
        <f>VLOOKUP(A208,VIX!$A$2:B5206,2,0)</f>
        <v>20.329999999999998</v>
      </c>
      <c r="E208">
        <f>VLOOKUP(A208,'10년'!$A$2:$B$5000,2,0)</f>
        <v>4.2320000000000002</v>
      </c>
      <c r="F208">
        <f>VLOOKUP(A208,'5년'!$A$2:$B$5000,2,0)</f>
        <v>4.0519999999999996</v>
      </c>
      <c r="G208">
        <v>79.28</v>
      </c>
      <c r="H208">
        <v>94.89</v>
      </c>
    </row>
    <row r="209" spans="1:8" x14ac:dyDescent="0.4">
      <c r="A209" s="1">
        <v>45593</v>
      </c>
      <c r="B209" s="3">
        <f>'S&amp;P500'!B210</f>
        <v>5832.92</v>
      </c>
      <c r="C209" s="3">
        <f>나스닥!B210</f>
        <v>18712.75</v>
      </c>
      <c r="D209">
        <f>VLOOKUP(A209,VIX!$A$2:B5207,2,0)</f>
        <v>19.8</v>
      </c>
      <c r="E209">
        <f>VLOOKUP(A209,'10년'!$A$2:$B$5000,2,0)</f>
        <v>4.2779999999999996</v>
      </c>
      <c r="F209">
        <f>VLOOKUP(A209,'5년'!$A$2:$B$5000,2,0)</f>
        <v>4.1079999999999997</v>
      </c>
      <c r="G209">
        <v>79.48</v>
      </c>
      <c r="H209">
        <v>94.67</v>
      </c>
    </row>
    <row r="210" spans="1:8" x14ac:dyDescent="0.4">
      <c r="A210" s="1">
        <v>45594</v>
      </c>
      <c r="B210" s="3">
        <f>'S&amp;P500'!B211</f>
        <v>5813.67</v>
      </c>
      <c r="C210" s="3">
        <f>나스닥!B211</f>
        <v>18607.93</v>
      </c>
      <c r="D210">
        <f>VLOOKUP(A210,VIX!$A$2:B5208,2,0)</f>
        <v>19.34</v>
      </c>
      <c r="E210">
        <f>VLOOKUP(A210,'10년'!$A$2:$B$5000,2,0)</f>
        <v>4.274</v>
      </c>
      <c r="F210">
        <f>VLOOKUP(A210,'5년'!$A$2:$B$5000,2,0)</f>
        <v>4.1040000000000001</v>
      </c>
      <c r="G210">
        <v>79.5</v>
      </c>
      <c r="H210">
        <v>94.71</v>
      </c>
    </row>
    <row r="211" spans="1:8" x14ac:dyDescent="0.4">
      <c r="A211" s="1">
        <v>45595</v>
      </c>
      <c r="B211" s="3">
        <f>'S&amp;P500'!B212</f>
        <v>5705.45</v>
      </c>
      <c r="C211" s="3">
        <f>나스닥!B212</f>
        <v>18095.150000000001</v>
      </c>
      <c r="D211">
        <f>VLOOKUP(A211,VIX!$A$2:B5209,2,0)</f>
        <v>20.350000000000001</v>
      </c>
      <c r="E211">
        <f>VLOOKUP(A211,'10년'!$A$2:$B$5000,2,0)</f>
        <v>4.2990000000000004</v>
      </c>
      <c r="F211">
        <f>VLOOKUP(A211,'5년'!$A$2:$B$5000,2,0)</f>
        <v>4.1559999999999997</v>
      </c>
      <c r="G211">
        <v>79.36</v>
      </c>
      <c r="H211">
        <v>94.57</v>
      </c>
    </row>
    <row r="212" spans="1:8" x14ac:dyDescent="0.4">
      <c r="A212" s="1">
        <v>45596</v>
      </c>
      <c r="B212" s="3">
        <f>'S&amp;P500'!B213</f>
        <v>5728.8</v>
      </c>
      <c r="C212" s="3">
        <f>나스닥!B213</f>
        <v>18239.919999999998</v>
      </c>
      <c r="D212">
        <f>VLOOKUP(A212,VIX!$A$2:B5210,2,0)</f>
        <v>23.16</v>
      </c>
      <c r="E212">
        <f>VLOOKUP(A212,'10년'!$A$2:$B$5000,2,0)</f>
        <v>4.2809999999999997</v>
      </c>
      <c r="F212">
        <f>VLOOKUP(A212,'5년'!$A$2:$B$5000,2,0)</f>
        <v>4.1539999999999999</v>
      </c>
      <c r="G212">
        <v>79.14</v>
      </c>
      <c r="H212">
        <v>94.52</v>
      </c>
    </row>
    <row r="213" spans="1:8" x14ac:dyDescent="0.4">
      <c r="A213" s="1">
        <v>45597</v>
      </c>
      <c r="B213" s="3">
        <f>'S&amp;P500'!B214</f>
        <v>5712.69</v>
      </c>
      <c r="C213" s="3">
        <f>나스닥!B214</f>
        <v>18179.98</v>
      </c>
      <c r="D213">
        <f>VLOOKUP(A213,VIX!$A$2:B5211,2,0)</f>
        <v>21.88</v>
      </c>
      <c r="E213">
        <f>VLOOKUP(A213,'10년'!$A$2:$B$5000,2,0)</f>
        <v>4.3849999999999998</v>
      </c>
      <c r="F213">
        <f>VLOOKUP(A213,'5년'!$A$2:$B$5000,2,0)</f>
        <v>4.226</v>
      </c>
      <c r="G213">
        <v>78.75</v>
      </c>
      <c r="H213">
        <v>93.67</v>
      </c>
    </row>
    <row r="214" spans="1:8" x14ac:dyDescent="0.4">
      <c r="A214" s="1">
        <v>45600</v>
      </c>
      <c r="B214" s="3">
        <f>'S&amp;P500'!B215</f>
        <v>5782.76</v>
      </c>
      <c r="C214" s="3">
        <f>나스닥!B215</f>
        <v>18439.169999999998</v>
      </c>
      <c r="D214">
        <f>VLOOKUP(A214,VIX!$A$2:B5212,2,0)</f>
        <v>21.98</v>
      </c>
      <c r="E214">
        <f>VLOOKUP(A214,'10년'!$A$2:$B$5000,2,0)</f>
        <v>4.2859999999999996</v>
      </c>
      <c r="F214">
        <f>VLOOKUP(A214,'5년'!$A$2:$B$5000,2,0)</f>
        <v>4.1479999999999997</v>
      </c>
      <c r="G214">
        <v>78.97</v>
      </c>
      <c r="H214">
        <v>94.17</v>
      </c>
    </row>
    <row r="215" spans="1:8" x14ac:dyDescent="0.4">
      <c r="A215" s="1">
        <v>45601</v>
      </c>
      <c r="B215" s="3">
        <f>'S&amp;P500'!B216</f>
        <v>5929.04</v>
      </c>
      <c r="C215" s="3">
        <f>나스닥!B216</f>
        <v>18983.46</v>
      </c>
      <c r="D215">
        <f>VLOOKUP(A215,VIX!$A$2:B5213,2,0)</f>
        <v>20.49</v>
      </c>
      <c r="E215">
        <f>VLOOKUP(A215,'10년'!$A$2:$B$5000,2,0)</f>
        <v>4.28</v>
      </c>
      <c r="F215">
        <f>VLOOKUP(A215,'5년'!$A$2:$B$5000,2,0)</f>
        <v>4.1559999999999997</v>
      </c>
      <c r="G215">
        <v>79.19</v>
      </c>
      <c r="H215">
        <v>94.22</v>
      </c>
    </row>
    <row r="216" spans="1:8" x14ac:dyDescent="0.4">
      <c r="A216" s="1">
        <v>45602</v>
      </c>
      <c r="B216" s="3">
        <f>'S&amp;P500'!B217</f>
        <v>5973.1</v>
      </c>
      <c r="C216" s="3">
        <f>나스닥!B217</f>
        <v>19269.46</v>
      </c>
      <c r="D216">
        <f>VLOOKUP(A216,VIX!$A$2:B5214,2,0)</f>
        <v>16.27</v>
      </c>
      <c r="E216">
        <f>VLOOKUP(A216,'10년'!$A$2:$B$5000,2,0)</f>
        <v>4.431</v>
      </c>
      <c r="F216">
        <f>VLOOKUP(A216,'5년'!$A$2:$B$5000,2,0)</f>
        <v>4.2690000000000001</v>
      </c>
      <c r="G216">
        <v>79.33</v>
      </c>
      <c r="H216">
        <v>93.25</v>
      </c>
    </row>
    <row r="217" spans="1:8" x14ac:dyDescent="0.4">
      <c r="A217" s="1">
        <v>45603</v>
      </c>
      <c r="B217" s="3">
        <f>'S&amp;P500'!B218</f>
        <v>5995.54</v>
      </c>
      <c r="C217" s="3">
        <f>나스닥!B218</f>
        <v>19286.78</v>
      </c>
      <c r="D217">
        <f>VLOOKUP(A217,VIX!$A$2:B5215,2,0)</f>
        <v>15.2</v>
      </c>
      <c r="E217">
        <f>VLOOKUP(A217,'10년'!$A$2:$B$5000,2,0)</f>
        <v>4.3250000000000002</v>
      </c>
      <c r="F217">
        <f>VLOOKUP(A217,'5년'!$A$2:$B$5000,2,0)</f>
        <v>4.1689999999999996</v>
      </c>
      <c r="G217">
        <v>79.67</v>
      </c>
      <c r="H217">
        <v>94</v>
      </c>
    </row>
    <row r="218" spans="1:8" x14ac:dyDescent="0.4">
      <c r="A218" s="1">
        <v>45604</v>
      </c>
      <c r="B218" s="3">
        <f>'S&amp;P500'!B219</f>
        <v>6001.35</v>
      </c>
      <c r="C218" s="3">
        <f>나스닥!B219</f>
        <v>19298.759999999998</v>
      </c>
      <c r="D218">
        <f>VLOOKUP(A218,VIX!$A$2:B5216,2,0)</f>
        <v>14.94</v>
      </c>
      <c r="E218">
        <f>VLOOKUP(A218,'10년'!$A$2:$B$5000,2,0)</f>
        <v>4.3049999999999997</v>
      </c>
      <c r="F218">
        <f>VLOOKUP(A218,'5년'!$A$2:$B$5000,2,0)</f>
        <v>4.1920000000000002</v>
      </c>
      <c r="G218">
        <v>79.8</v>
      </c>
      <c r="H218">
        <v>94.2</v>
      </c>
    </row>
    <row r="219" spans="1:8" x14ac:dyDescent="0.4">
      <c r="A219" s="1">
        <v>45607</v>
      </c>
      <c r="B219" s="3">
        <f>'S&amp;P500'!B220</f>
        <v>5983.99</v>
      </c>
      <c r="C219" s="3">
        <f>나스닥!B220</f>
        <v>19281.400000000001</v>
      </c>
      <c r="D219">
        <f>VLOOKUP(A219,VIX!$A$2:B5217,2,0)</f>
        <v>14.97</v>
      </c>
      <c r="E219" t="e">
        <f>VLOOKUP(A219,'10년'!$A$2:$B$5000,2,0)</f>
        <v>#N/A</v>
      </c>
      <c r="F219" t="e">
        <f>VLOOKUP(A219,'5년'!$A$2:$B$5000,2,0)</f>
        <v>#N/A</v>
      </c>
      <c r="G219">
        <v>79.709999999999994</v>
      </c>
      <c r="H219">
        <v>93.94</v>
      </c>
    </row>
    <row r="220" spans="1:8" x14ac:dyDescent="0.4">
      <c r="A220" s="1">
        <v>45608</v>
      </c>
      <c r="B220" s="3">
        <f>'S&amp;P500'!B221</f>
        <v>5985.38</v>
      </c>
      <c r="C220" s="3">
        <f>나스닥!B221</f>
        <v>19230.72</v>
      </c>
      <c r="D220">
        <f>VLOOKUP(A220,VIX!$A$2:B5218,2,0)</f>
        <v>14.71</v>
      </c>
      <c r="E220">
        <f>VLOOKUP(A220,'10년'!$A$2:$B$5000,2,0)</f>
        <v>4.4290000000000003</v>
      </c>
      <c r="F220">
        <f>VLOOKUP(A220,'5년'!$A$2:$B$5000,2,0)</f>
        <v>4.3140000000000001</v>
      </c>
      <c r="G220">
        <v>79.39</v>
      </c>
      <c r="H220">
        <v>93.35</v>
      </c>
    </row>
    <row r="221" spans="1:8" x14ac:dyDescent="0.4">
      <c r="A221" s="1">
        <v>45609</v>
      </c>
      <c r="B221" s="3">
        <f>'S&amp;P500'!B222</f>
        <v>5949.17</v>
      </c>
      <c r="C221" s="3">
        <f>나스닥!B222</f>
        <v>19107.650000000001</v>
      </c>
      <c r="D221">
        <f>VLOOKUP(A221,VIX!$A$2:B5219,2,0)</f>
        <v>14.02</v>
      </c>
      <c r="E221">
        <f>VLOOKUP(A221,'10년'!$A$2:$B$5000,2,0)</f>
        <v>4.45</v>
      </c>
      <c r="F221">
        <f>VLOOKUP(A221,'5년'!$A$2:$B$5000,2,0)</f>
        <v>4.3019999999999996</v>
      </c>
      <c r="G221">
        <v>79.41</v>
      </c>
      <c r="H221">
        <v>93.29</v>
      </c>
    </row>
    <row r="222" spans="1:8" x14ac:dyDescent="0.4">
      <c r="A222" s="1">
        <v>45610</v>
      </c>
      <c r="B222" s="3">
        <f>'S&amp;P500'!B223</f>
        <v>5870.62</v>
      </c>
      <c r="C222" s="3">
        <f>나스닥!B223</f>
        <v>18680.12</v>
      </c>
      <c r="D222">
        <f>VLOOKUP(A222,VIX!$A$2:B5220,2,0)</f>
        <v>14.31</v>
      </c>
      <c r="E222">
        <f>VLOOKUP(A222,'10년'!$A$2:$B$5000,2,0)</f>
        <v>4.4450000000000003</v>
      </c>
      <c r="F222">
        <f>VLOOKUP(A222,'5년'!$A$2:$B$5000,2,0)</f>
        <v>4.3339999999999996</v>
      </c>
      <c r="G222">
        <v>79.239999999999995</v>
      </c>
      <c r="H222">
        <v>93.28</v>
      </c>
    </row>
    <row r="223" spans="1:8" x14ac:dyDescent="0.4">
      <c r="A223" s="1">
        <v>45611</v>
      </c>
      <c r="B223" s="3">
        <f>'S&amp;P500'!B224</f>
        <v>5893.62</v>
      </c>
      <c r="C223" s="3">
        <f>나스닥!B224</f>
        <v>18791.810000000001</v>
      </c>
      <c r="D223">
        <f>VLOOKUP(A223,VIX!$A$2:B5221,2,0)</f>
        <v>16.14</v>
      </c>
      <c r="E223">
        <f>VLOOKUP(A223,'10년'!$A$2:$B$5000,2,0)</f>
        <v>4.444</v>
      </c>
      <c r="F223">
        <f>VLOOKUP(A223,'5년'!$A$2:$B$5000,2,0)</f>
        <v>4.3109999999999999</v>
      </c>
      <c r="G223">
        <v>79.23</v>
      </c>
      <c r="H223">
        <v>93.32</v>
      </c>
    </row>
    <row r="224" spans="1:8" x14ac:dyDescent="0.4">
      <c r="A224" s="1">
        <v>45614</v>
      </c>
      <c r="B224" s="3">
        <f>'S&amp;P500'!B225</f>
        <v>5916.98</v>
      </c>
      <c r="C224" s="3">
        <f>나스닥!B225</f>
        <v>18987.47</v>
      </c>
      <c r="D224">
        <f>VLOOKUP(A224,VIX!$A$2:B5222,2,0)</f>
        <v>15.58</v>
      </c>
      <c r="E224">
        <f>VLOOKUP(A224,'10년'!$A$2:$B$5000,2,0)</f>
        <v>4.4130000000000003</v>
      </c>
      <c r="F224">
        <f>VLOOKUP(A224,'5년'!$A$2:$B$5000,2,0)</f>
        <v>4.2759999999999998</v>
      </c>
      <c r="G224">
        <v>79.38</v>
      </c>
      <c r="H224">
        <v>93.53</v>
      </c>
    </row>
    <row r="225" spans="1:8" x14ac:dyDescent="0.4">
      <c r="A225" s="1">
        <v>45615</v>
      </c>
      <c r="B225" s="3">
        <f>'S&amp;P500'!B226</f>
        <v>5917.11</v>
      </c>
      <c r="C225" s="3">
        <f>나스닥!B226</f>
        <v>18966.14</v>
      </c>
      <c r="D225">
        <f>VLOOKUP(A225,VIX!$A$2:B5223,2,0)</f>
        <v>16.350000000000001</v>
      </c>
      <c r="E225">
        <f>VLOOKUP(A225,'10년'!$A$2:$B$5000,2,0)</f>
        <v>4.3949999999999996</v>
      </c>
      <c r="F225">
        <f>VLOOKUP(A225,'5년'!$A$2:$B$5000,2,0)</f>
        <v>4.26</v>
      </c>
      <c r="G225">
        <v>79.5</v>
      </c>
      <c r="H225">
        <v>93.73</v>
      </c>
    </row>
    <row r="226" spans="1:8" x14ac:dyDescent="0.4">
      <c r="A226" s="1">
        <v>45616</v>
      </c>
      <c r="B226" s="3">
        <f>'S&amp;P500'!B227</f>
        <v>5948.71</v>
      </c>
      <c r="C226" s="3">
        <f>나스닥!B227</f>
        <v>18972.419999999998</v>
      </c>
      <c r="D226">
        <f>VLOOKUP(A226,VIX!$A$2:B5224,2,0)</f>
        <v>17.16</v>
      </c>
      <c r="E226">
        <f>VLOOKUP(A226,'10년'!$A$2:$B$5000,2,0)</f>
        <v>4.4130000000000003</v>
      </c>
      <c r="F226">
        <f>VLOOKUP(A226,'5년'!$A$2:$B$5000,2,0)</f>
        <v>4.2830000000000004</v>
      </c>
      <c r="G226">
        <v>79.48</v>
      </c>
      <c r="H226">
        <v>93.59</v>
      </c>
    </row>
    <row r="227" spans="1:8" x14ac:dyDescent="0.4">
      <c r="A227" s="1">
        <v>45617</v>
      </c>
      <c r="B227" s="3">
        <f>'S&amp;P500'!B228</f>
        <v>5969.34</v>
      </c>
      <c r="C227" s="3">
        <f>나스닥!B228</f>
        <v>19003.650000000001</v>
      </c>
      <c r="D227">
        <f>VLOOKUP(A227,VIX!$A$2:B5225,2,0)</f>
        <v>16.87</v>
      </c>
      <c r="E227">
        <f>VLOOKUP(A227,'10년'!$A$2:$B$5000,2,0)</f>
        <v>4.4189999999999996</v>
      </c>
      <c r="F227">
        <f>VLOOKUP(A227,'5년'!$A$2:$B$5000,2,0)</f>
        <v>4.2990000000000004</v>
      </c>
      <c r="G227">
        <v>79.510000000000005</v>
      </c>
      <c r="H227">
        <v>93.54</v>
      </c>
    </row>
    <row r="228" spans="1:8" x14ac:dyDescent="0.4">
      <c r="A228" s="1">
        <v>45618</v>
      </c>
      <c r="B228" s="3">
        <f>'S&amp;P500'!B229</f>
        <v>5987.37</v>
      </c>
      <c r="C228" s="3">
        <f>나스닥!B229</f>
        <v>19054.84</v>
      </c>
      <c r="D228">
        <f>VLOOKUP(A228,VIX!$A$2:B5226,2,0)</f>
        <v>15.24</v>
      </c>
      <c r="E228">
        <f>VLOOKUP(A228,'10년'!$A$2:$B$5000,2,0)</f>
        <v>4.4109999999999996</v>
      </c>
      <c r="F228">
        <f>VLOOKUP(A228,'5년'!$A$2:$B$5000,2,0)</f>
        <v>4.3049999999999997</v>
      </c>
      <c r="G228">
        <v>79.489999999999995</v>
      </c>
      <c r="H228">
        <v>93.6</v>
      </c>
    </row>
    <row r="229" spans="1:8" x14ac:dyDescent="0.4">
      <c r="A229" s="1">
        <v>45621</v>
      </c>
      <c r="B229" s="3">
        <f>'S&amp;P500'!B230</f>
        <v>6021.63</v>
      </c>
      <c r="C229" s="3">
        <f>나스닥!B230</f>
        <v>19175.580000000002</v>
      </c>
      <c r="D229">
        <f>VLOOKUP(A229,VIX!$A$2:B5227,2,0)</f>
        <v>14.6</v>
      </c>
      <c r="E229">
        <f>VLOOKUP(A229,'10년'!$A$2:$B$5000,2,0)</f>
        <v>4.274</v>
      </c>
      <c r="F229">
        <f>VLOOKUP(A229,'5년'!$A$2:$B$5000,2,0)</f>
        <v>4.1749999999999998</v>
      </c>
      <c r="G229">
        <v>79.790000000000006</v>
      </c>
      <c r="H229">
        <v>94.61</v>
      </c>
    </row>
    <row r="230" spans="1:8" x14ac:dyDescent="0.4">
      <c r="A230" s="1">
        <v>45622</v>
      </c>
      <c r="B230" s="3">
        <f>'S&amp;P500'!B231</f>
        <v>5998.74</v>
      </c>
      <c r="C230" s="3">
        <f>나스닥!B231</f>
        <v>19060.48</v>
      </c>
      <c r="D230">
        <f>VLOOKUP(A230,VIX!$A$2:B5228,2,0)</f>
        <v>14.1</v>
      </c>
      <c r="E230">
        <f>VLOOKUP(A230,'10년'!$A$2:$B$5000,2,0)</f>
        <v>4.2939999999999996</v>
      </c>
      <c r="F230">
        <f>VLOOKUP(A230,'5년'!$A$2:$B$5000,2,0)</f>
        <v>4.1820000000000004</v>
      </c>
      <c r="G230">
        <v>79.64</v>
      </c>
      <c r="H230">
        <v>94.41</v>
      </c>
    </row>
    <row r="231" spans="1:8" x14ac:dyDescent="0.4">
      <c r="A231" s="1">
        <v>45623</v>
      </c>
      <c r="B231" s="3">
        <f>'S&amp;P500'!B232</f>
        <v>6032.38</v>
      </c>
      <c r="C231" s="3">
        <f>나스닥!B232</f>
        <v>19218.169999999998</v>
      </c>
      <c r="D231">
        <f>VLOOKUP(A231,VIX!$A$2:B5229,2,0)</f>
        <v>14.1</v>
      </c>
      <c r="E231">
        <f>VLOOKUP(A231,'10년'!$A$2:$B$5000,2,0)</f>
        <v>4.26</v>
      </c>
      <c r="F231">
        <f>VLOOKUP(A231,'5년'!$A$2:$B$5000,2,0)</f>
        <v>4.133</v>
      </c>
      <c r="G231">
        <v>79.88</v>
      </c>
      <c r="H231">
        <v>94.79</v>
      </c>
    </row>
    <row r="232" spans="1:8" x14ac:dyDescent="0.4">
      <c r="A232" s="1">
        <v>45625</v>
      </c>
      <c r="B232" s="3">
        <f>'S&amp;P500'!B233</f>
        <v>6047.15</v>
      </c>
      <c r="C232" s="3">
        <f>나스닥!B233</f>
        <v>19403.95</v>
      </c>
      <c r="D232">
        <f>VLOOKUP(A232,VIX!$A$2:B5230,2,0)</f>
        <v>13.51</v>
      </c>
      <c r="E232">
        <f>VLOOKUP(A232,'10년'!$A$2:$B$5000,2,0)</f>
        <v>4.1769999999999996</v>
      </c>
      <c r="F232">
        <f>VLOOKUP(A232,'5년'!$A$2:$B$5000,2,0)</f>
        <v>4.0529999999999999</v>
      </c>
      <c r="G232">
        <v>80.040000000000006</v>
      </c>
      <c r="H232">
        <v>95.19</v>
      </c>
    </row>
    <row r="233" spans="1:8" x14ac:dyDescent="0.4">
      <c r="A233" s="1">
        <v>45628</v>
      </c>
      <c r="B233" s="3">
        <f>'S&amp;P500'!B234</f>
        <v>6049.88</v>
      </c>
      <c r="C233" s="3">
        <f>나스닥!B234</f>
        <v>19480.91</v>
      </c>
      <c r="D233">
        <f>VLOOKUP(A233,VIX!$A$2:B5231,2,0)</f>
        <v>13.34</v>
      </c>
      <c r="E233">
        <f>VLOOKUP(A233,'10년'!$A$2:$B$5000,2,0)</f>
        <v>4.1950000000000003</v>
      </c>
      <c r="F233">
        <f>VLOOKUP(A233,'5년'!$A$2:$B$5000,2,0)</f>
        <v>4.0910000000000002</v>
      </c>
      <c r="G233">
        <v>79.650000000000006</v>
      </c>
      <c r="H233">
        <v>94.89</v>
      </c>
    </row>
    <row r="234" spans="1:8" x14ac:dyDescent="0.4">
      <c r="A234" s="1">
        <v>45629</v>
      </c>
      <c r="B234" s="3">
        <f>'S&amp;P500'!B235</f>
        <v>6086.49</v>
      </c>
      <c r="C234" s="3">
        <f>나스닥!B235</f>
        <v>19735.12</v>
      </c>
      <c r="D234">
        <f>VLOOKUP(A234,VIX!$A$2:B5232,2,0)</f>
        <v>13.3</v>
      </c>
      <c r="E234">
        <f>VLOOKUP(A234,'10년'!$A$2:$B$5000,2,0)</f>
        <v>4.226</v>
      </c>
      <c r="F234">
        <f>VLOOKUP(A234,'5년'!$A$2:$B$5000,2,0)</f>
        <v>4.1120000000000001</v>
      </c>
      <c r="G234">
        <v>79.650000000000006</v>
      </c>
      <c r="H234">
        <v>94.62</v>
      </c>
    </row>
    <row r="235" spans="1:8" x14ac:dyDescent="0.4">
      <c r="A235" s="1">
        <v>45630</v>
      </c>
      <c r="B235" s="3">
        <f>'S&amp;P500'!B236</f>
        <v>6075.11</v>
      </c>
      <c r="C235" s="3">
        <f>나스닥!B236</f>
        <v>19700.72</v>
      </c>
      <c r="D235">
        <f>VLOOKUP(A235,VIX!$A$2:B5233,2,0)</f>
        <v>13.45</v>
      </c>
      <c r="E235">
        <f>VLOOKUP(A235,'10년'!$A$2:$B$5000,2,0)</f>
        <v>4.1829999999999998</v>
      </c>
      <c r="F235">
        <f>VLOOKUP(A235,'5년'!$A$2:$B$5000,2,0)</f>
        <v>4.07</v>
      </c>
      <c r="G235">
        <v>79.84</v>
      </c>
      <c r="H235">
        <v>94.98</v>
      </c>
    </row>
    <row r="236" spans="1:8" x14ac:dyDescent="0.4">
      <c r="A236" s="1">
        <v>45631</v>
      </c>
      <c r="B236" s="3">
        <f>'S&amp;P500'!B237</f>
        <v>6090.27</v>
      </c>
      <c r="C236" s="3">
        <f>나스닥!B237</f>
        <v>19859.77</v>
      </c>
      <c r="D236">
        <f>VLOOKUP(A236,VIX!$A$2:B5234,2,0)</f>
        <v>13.54</v>
      </c>
      <c r="E236">
        <f>VLOOKUP(A236,'10년'!$A$2:$B$5000,2,0)</f>
        <v>4.1769999999999996</v>
      </c>
      <c r="F236">
        <f>VLOOKUP(A236,'5년'!$A$2:$B$5000,2,0)</f>
        <v>4.0739999999999998</v>
      </c>
      <c r="G236">
        <v>79.77</v>
      </c>
      <c r="H236">
        <v>94.97</v>
      </c>
    </row>
    <row r="237" spans="1:8" x14ac:dyDescent="0.4">
      <c r="A237" s="1">
        <v>45632</v>
      </c>
      <c r="B237" s="3">
        <f>'S&amp;P500'!B238</f>
        <v>6052.85</v>
      </c>
      <c r="C237" s="3">
        <f>나스닥!B238</f>
        <v>19736.689999999999</v>
      </c>
      <c r="D237">
        <f>VLOOKUP(A237,VIX!$A$2:B5235,2,0)</f>
        <v>12.77</v>
      </c>
      <c r="E237">
        <f>VLOOKUP(A237,'10년'!$A$2:$B$5000,2,0)</f>
        <v>4.1479999999999997</v>
      </c>
      <c r="F237">
        <f>VLOOKUP(A237,'5년'!$A$2:$B$5000,2,0)</f>
        <v>4.0309999999999997</v>
      </c>
      <c r="G237">
        <v>79.900000000000006</v>
      </c>
      <c r="H237">
        <v>95.27</v>
      </c>
    </row>
    <row r="238" spans="1:8" x14ac:dyDescent="0.4">
      <c r="A238" s="1">
        <v>45635</v>
      </c>
      <c r="B238" s="3">
        <f>'S&amp;P500'!B239</f>
        <v>6034.91</v>
      </c>
      <c r="C238" s="3">
        <f>나스닥!B239</f>
        <v>19687.240000000002</v>
      </c>
      <c r="D238">
        <f>VLOOKUP(A238,VIX!$A$2:B5236,2,0)</f>
        <v>14.19</v>
      </c>
      <c r="E238">
        <f>VLOOKUP(A238,'10년'!$A$2:$B$5000,2,0)</f>
        <v>4.2</v>
      </c>
      <c r="F238">
        <f>VLOOKUP(A238,'5년'!$A$2:$B$5000,2,0)</f>
        <v>4.0750000000000002</v>
      </c>
      <c r="G238">
        <v>79.8</v>
      </c>
      <c r="H238">
        <v>94.94</v>
      </c>
    </row>
    <row r="239" spans="1:8" x14ac:dyDescent="0.4">
      <c r="A239" s="1">
        <v>45636</v>
      </c>
      <c r="B239" s="3">
        <f>'S&amp;P500'!B240</f>
        <v>6084.19</v>
      </c>
      <c r="C239" s="3">
        <f>나스닥!B240</f>
        <v>20034.89</v>
      </c>
      <c r="D239">
        <f>VLOOKUP(A239,VIX!$A$2:B5237,2,0)</f>
        <v>14.18</v>
      </c>
      <c r="E239">
        <f>VLOOKUP(A239,'10년'!$A$2:$B$5000,2,0)</f>
        <v>4.2270000000000003</v>
      </c>
      <c r="F239">
        <f>VLOOKUP(A239,'5년'!$A$2:$B$5000,2,0)</f>
        <v>4.0979999999999999</v>
      </c>
      <c r="G239">
        <v>79.84</v>
      </c>
      <c r="H239">
        <v>94.77</v>
      </c>
    </row>
    <row r="240" spans="1:8" x14ac:dyDescent="0.4">
      <c r="A240" s="1">
        <v>45637</v>
      </c>
      <c r="B240" s="3">
        <f>'S&amp;P500'!B241</f>
        <v>6051.25</v>
      </c>
      <c r="C240" s="3">
        <f>나스닥!B241</f>
        <v>19902.84</v>
      </c>
      <c r="D240">
        <f>VLOOKUP(A240,VIX!$A$2:B5238,2,0)</f>
        <v>13.58</v>
      </c>
      <c r="E240">
        <f>VLOOKUP(A240,'10년'!$A$2:$B$5000,2,0)</f>
        <v>4.274</v>
      </c>
      <c r="F240">
        <f>VLOOKUP(A240,'5년'!$A$2:$B$5000,2,0)</f>
        <v>4.1379999999999999</v>
      </c>
      <c r="G240">
        <v>79.86</v>
      </c>
      <c r="H240">
        <v>94.49</v>
      </c>
    </row>
    <row r="241" spans="1:8" x14ac:dyDescent="0.4">
      <c r="A241" s="1">
        <v>45638</v>
      </c>
      <c r="B241" s="3">
        <f>'S&amp;P500'!B242</f>
        <v>6051.09</v>
      </c>
      <c r="C241" s="3">
        <f>나스닥!B242</f>
        <v>19926.72</v>
      </c>
      <c r="D241">
        <f>VLOOKUP(A241,VIX!$A$2:B5239,2,0)</f>
        <v>13.92</v>
      </c>
      <c r="E241">
        <f>VLOOKUP(A241,'10년'!$A$2:$B$5000,2,0)</f>
        <v>4.335</v>
      </c>
      <c r="F241">
        <f>VLOOKUP(A241,'5년'!$A$2:$B$5000,2,0)</f>
        <v>4.1920000000000002</v>
      </c>
      <c r="G241">
        <v>79.64</v>
      </c>
      <c r="H241">
        <v>94.13</v>
      </c>
    </row>
    <row r="242" spans="1:8" x14ac:dyDescent="0.4">
      <c r="A242" s="1">
        <v>45639</v>
      </c>
      <c r="B242" s="3">
        <f>'S&amp;P500'!B243</f>
        <v>6074.08</v>
      </c>
      <c r="C242" s="3">
        <f>나스닥!B243</f>
        <v>20173.89</v>
      </c>
      <c r="D242">
        <f>VLOOKUP(A242,VIX!$A$2:B5240,2,0)</f>
        <v>13.81</v>
      </c>
      <c r="E242">
        <f>VLOOKUP(A242,'10년'!$A$2:$B$5000,2,0)</f>
        <v>4.3940000000000001</v>
      </c>
      <c r="F242">
        <f>VLOOKUP(A242,'5년'!$A$2:$B$5000,2,0)</f>
        <v>4.2469999999999999</v>
      </c>
      <c r="G242">
        <v>79.41</v>
      </c>
      <c r="H242">
        <v>93.69</v>
      </c>
    </row>
    <row r="243" spans="1:8" x14ac:dyDescent="0.4">
      <c r="A243" s="1">
        <v>45642</v>
      </c>
      <c r="B243" s="3">
        <f>'S&amp;P500'!B244</f>
        <v>6050.61</v>
      </c>
      <c r="C243" s="3">
        <f>나스닥!B244</f>
        <v>20109.060000000001</v>
      </c>
      <c r="D243">
        <f>VLOOKUP(A243,VIX!$A$2:B5241,2,0)</f>
        <v>14.69</v>
      </c>
      <c r="E243">
        <f>VLOOKUP(A243,'10년'!$A$2:$B$5000,2,0)</f>
        <v>4.4020000000000001</v>
      </c>
      <c r="F243">
        <f>VLOOKUP(A243,'5년'!$A$2:$B$5000,2,0)</f>
        <v>4.258</v>
      </c>
      <c r="G243">
        <v>79.56</v>
      </c>
      <c r="H243">
        <v>93.72</v>
      </c>
    </row>
    <row r="244" spans="1:8" x14ac:dyDescent="0.4">
      <c r="A244" s="1">
        <v>45643</v>
      </c>
      <c r="B244" s="3">
        <f>'S&amp;P500'!B245</f>
        <v>5872.16</v>
      </c>
      <c r="C244" s="3">
        <f>나스닥!B245</f>
        <v>19392.689999999999</v>
      </c>
      <c r="D244">
        <f>VLOOKUP(A244,VIX!$A$2:B5242,2,0)</f>
        <v>15.87</v>
      </c>
      <c r="E244">
        <f>VLOOKUP(A244,'10년'!$A$2:$B$5000,2,0)</f>
        <v>4.3940000000000001</v>
      </c>
      <c r="F244">
        <f>VLOOKUP(A244,'5년'!$A$2:$B$5000,2,0)</f>
        <v>4.258</v>
      </c>
      <c r="G244">
        <v>79.39</v>
      </c>
      <c r="H244">
        <v>93.72</v>
      </c>
    </row>
    <row r="245" spans="1:8" x14ac:dyDescent="0.4">
      <c r="A245" s="1">
        <v>45644</v>
      </c>
      <c r="B245" s="3">
        <f>'S&amp;P500'!B246</f>
        <v>5867.08</v>
      </c>
      <c r="C245" s="3">
        <f>나스닥!B246</f>
        <v>19372.77</v>
      </c>
      <c r="D245">
        <f>VLOOKUP(A245,VIX!$A$2:B5243,2,0)</f>
        <v>27.62</v>
      </c>
      <c r="E245">
        <f>VLOOKUP(A245,'10년'!$A$2:$B$5000,2,0)</f>
        <v>4.5179999999999998</v>
      </c>
      <c r="F245">
        <f>VLOOKUP(A245,'5년'!$A$2:$B$5000,2,0)</f>
        <v>4.4050000000000002</v>
      </c>
      <c r="G245">
        <v>78.17</v>
      </c>
      <c r="H245">
        <v>92.69</v>
      </c>
    </row>
    <row r="246" spans="1:8" x14ac:dyDescent="0.4">
      <c r="A246" s="1">
        <v>45645</v>
      </c>
      <c r="B246" s="3">
        <f>'S&amp;P500'!B247</f>
        <v>5930.85</v>
      </c>
      <c r="C246" s="3">
        <f>나스닥!B247</f>
        <v>19572.599999999999</v>
      </c>
      <c r="D246">
        <f>VLOOKUP(A246,VIX!$A$2:B5244,2,0)</f>
        <v>24.09</v>
      </c>
      <c r="E246">
        <f>VLOOKUP(A246,'10년'!$A$2:$B$5000,2,0)</f>
        <v>4.5650000000000004</v>
      </c>
      <c r="F246">
        <f>VLOOKUP(A246,'5년'!$A$2:$B$5000,2,0)</f>
        <v>4.4219999999999997</v>
      </c>
      <c r="G246">
        <v>78.09</v>
      </c>
      <c r="H246">
        <v>92.27</v>
      </c>
    </row>
    <row r="247" spans="1:8" x14ac:dyDescent="0.4">
      <c r="A247" s="1">
        <v>45646</v>
      </c>
      <c r="B247" s="3">
        <f>'S&amp;P500'!B248</f>
        <v>5974.07</v>
      </c>
      <c r="C247" s="3">
        <f>나스닥!B248</f>
        <v>19764.88</v>
      </c>
      <c r="D247">
        <f>VLOOKUP(A247,VIX!$A$2:B5245,2,0)</f>
        <v>18.36</v>
      </c>
      <c r="E247">
        <f>VLOOKUP(A247,'10년'!$A$2:$B$5000,2,0)</f>
        <v>4.5289999999999999</v>
      </c>
      <c r="F247">
        <f>VLOOKUP(A247,'5년'!$A$2:$B$5000,2,0)</f>
        <v>4.3840000000000003</v>
      </c>
      <c r="G247">
        <v>78.58</v>
      </c>
      <c r="H247">
        <v>92.61</v>
      </c>
    </row>
    <row r="248" spans="1:8" x14ac:dyDescent="0.4">
      <c r="A248" s="1">
        <v>45649</v>
      </c>
      <c r="B248" s="3">
        <f>'S&amp;P500'!B249</f>
        <v>6040.04</v>
      </c>
      <c r="C248" s="3">
        <f>나스닥!B249</f>
        <v>20031.13</v>
      </c>
      <c r="D248">
        <f>VLOOKUP(A248,VIX!$A$2:B5246,2,0)</f>
        <v>16.78</v>
      </c>
      <c r="E248">
        <f>VLOOKUP(A248,'10년'!$A$2:$B$5000,2,0)</f>
        <v>4.5880000000000001</v>
      </c>
      <c r="F248">
        <f>VLOOKUP(A248,'5년'!$A$2:$B$5000,2,0)</f>
        <v>4.4349999999999996</v>
      </c>
      <c r="G248">
        <v>78.37</v>
      </c>
      <c r="H248">
        <v>92.2</v>
      </c>
    </row>
    <row r="249" spans="1:8" x14ac:dyDescent="0.4">
      <c r="A249" s="1">
        <v>45650</v>
      </c>
      <c r="B249" s="3">
        <f>'S&amp;P500'!B250</f>
        <v>6037.59</v>
      </c>
      <c r="C249" s="3">
        <f>나스닥!B250</f>
        <v>20020.36</v>
      </c>
      <c r="D249">
        <f>VLOOKUP(A249,VIX!$A$2:B5247,2,0)</f>
        <v>14.27</v>
      </c>
      <c r="E249">
        <f>VLOOKUP(A249,'10년'!$A$2:$B$5000,2,0)</f>
        <v>4.59</v>
      </c>
      <c r="F249">
        <f>VLOOKUP(A249,'5년'!$A$2:$B$5000,2,0)</f>
        <v>4.4370000000000003</v>
      </c>
      <c r="G249">
        <v>78.62</v>
      </c>
      <c r="H249">
        <v>92.25</v>
      </c>
    </row>
    <row r="250" spans="1:8" x14ac:dyDescent="0.4">
      <c r="A250" s="1">
        <v>45652</v>
      </c>
      <c r="B250" s="3">
        <f>'S&amp;P500'!B251</f>
        <v>5970.84</v>
      </c>
      <c r="C250" s="3">
        <f>나스닥!B251</f>
        <v>19722.03</v>
      </c>
      <c r="D250">
        <f>VLOOKUP(A250,VIX!$A$2:B5248,2,0)</f>
        <v>14.73</v>
      </c>
      <c r="E250">
        <f>VLOOKUP(A250,'10년'!$A$2:$B$5000,2,0)</f>
        <v>4.5839999999999996</v>
      </c>
      <c r="F250">
        <f>VLOOKUP(A250,'5년'!$A$2:$B$5000,2,0)</f>
        <v>4.4349999999999996</v>
      </c>
      <c r="G250">
        <v>78.819999999999993</v>
      </c>
      <c r="H250">
        <v>92.32</v>
      </c>
    </row>
    <row r="251" spans="1:8" x14ac:dyDescent="0.4">
      <c r="A251" s="1">
        <v>45653</v>
      </c>
      <c r="B251" s="3">
        <f>'S&amp;P500'!B252</f>
        <v>5906.94</v>
      </c>
      <c r="C251" s="3">
        <f>나스닥!B252</f>
        <v>19486.79</v>
      </c>
      <c r="D251">
        <f>VLOOKUP(A251,VIX!$A$2:B5249,2,0)</f>
        <v>15.95</v>
      </c>
      <c r="E251">
        <f>VLOOKUP(A251,'10년'!$A$2:$B$5000,2,0)</f>
        <v>4.6289999999999996</v>
      </c>
      <c r="F251">
        <f>VLOOKUP(A251,'5년'!$A$2:$B$5000,2,0)</f>
        <v>4.4630000000000001</v>
      </c>
      <c r="G251">
        <v>78.55</v>
      </c>
      <c r="H251">
        <v>92.08</v>
      </c>
    </row>
    <row r="252" spans="1:8" x14ac:dyDescent="0.4">
      <c r="A252" s="1">
        <v>45656</v>
      </c>
      <c r="B252" s="3">
        <f>'S&amp;P500'!B253</f>
        <v>5881.63</v>
      </c>
      <c r="C252" s="3">
        <f>나스닥!B253</f>
        <v>19310.79</v>
      </c>
      <c r="D252">
        <f>VLOOKUP(A252,VIX!$A$2:B5250,2,0)</f>
        <v>17.399999999999999</v>
      </c>
      <c r="E252">
        <f>VLOOKUP(A252,'10년'!$A$2:$B$5000,2,0)</f>
        <v>4.532</v>
      </c>
      <c r="F252">
        <f>VLOOKUP(A252,'5년'!$A$2:$B$5000,2,0)</f>
        <v>4.3600000000000003</v>
      </c>
      <c r="G252">
        <v>78.66</v>
      </c>
      <c r="H252">
        <v>92.62</v>
      </c>
    </row>
    <row r="253" spans="1:8" x14ac:dyDescent="0.4">
      <c r="A253" s="1">
        <v>45657</v>
      </c>
      <c r="B253" s="3">
        <f>'S&amp;P500'!B254</f>
        <v>5868.55</v>
      </c>
      <c r="C253" s="3">
        <f>나스닥!B254</f>
        <v>19280.79</v>
      </c>
      <c r="D253">
        <f>VLOOKUP(A253,VIX!$A$2:B5251,2,0)</f>
        <v>17.350000000000001</v>
      </c>
      <c r="E253">
        <f>VLOOKUP(A253,'10년'!$A$2:$B$5000,2,0)</f>
        <v>4.5720000000000001</v>
      </c>
      <c r="F253">
        <f>VLOOKUP(A253,'5년'!$A$2:$B$5000,2,0)</f>
        <v>4.3780000000000001</v>
      </c>
      <c r="G253">
        <v>78.650000000000006</v>
      </c>
      <c r="H253">
        <v>92.45</v>
      </c>
    </row>
    <row r="254" spans="1:8" x14ac:dyDescent="0.4">
      <c r="A254" s="1">
        <v>45659</v>
      </c>
      <c r="B254" s="3">
        <f>'S&amp;P500'!B255</f>
        <v>5942.47</v>
      </c>
      <c r="C254" s="3">
        <f>나스닥!B255</f>
        <v>19621.68</v>
      </c>
      <c r="D254">
        <f>VLOOKUP(A254,VIX!$A$2:B5252,2,0)</f>
        <v>17.93</v>
      </c>
      <c r="E254">
        <f>VLOOKUP(A254,'10년'!$A$2:$B$5000,2,0)</f>
        <v>4.5609999999999999</v>
      </c>
      <c r="F254">
        <f>VLOOKUP(A254,'5년'!$A$2:$B$5000,2,0)</f>
        <v>4.3710000000000004</v>
      </c>
      <c r="G254">
        <v>78.84</v>
      </c>
      <c r="H254">
        <v>92.5</v>
      </c>
    </row>
    <row r="255" spans="1:8" x14ac:dyDescent="0.4">
      <c r="A255" s="1">
        <v>45660</v>
      </c>
      <c r="B255" s="3">
        <f>'S&amp;P500'!B256</f>
        <v>5975.38</v>
      </c>
      <c r="C255" s="3">
        <f>나스닥!B256</f>
        <v>19864.98</v>
      </c>
      <c r="D255">
        <f>VLOOKUP(A255,VIX!$A$2:B5253,2,0)</f>
        <v>16.13</v>
      </c>
      <c r="E255">
        <f>VLOOKUP(A255,'10년'!$A$2:$B$5000,2,0)</f>
        <v>4.601</v>
      </c>
      <c r="F255">
        <f>VLOOKUP(A255,'5년'!$A$2:$B$5000,2,0)</f>
        <v>4.415</v>
      </c>
      <c r="G255">
        <v>78.959999999999994</v>
      </c>
      <c r="H255">
        <v>92.35</v>
      </c>
    </row>
    <row r="256" spans="1:8" x14ac:dyDescent="0.4">
      <c r="A256" s="1">
        <v>45663</v>
      </c>
      <c r="B256" s="3">
        <f>'S&amp;P500'!B257</f>
        <v>5909.03</v>
      </c>
      <c r="C256" s="3">
        <f>나스닥!B257</f>
        <v>19489.68</v>
      </c>
      <c r="D256">
        <f>VLOOKUP(A256,VIX!$A$2:B5254,2,0)</f>
        <v>16.04</v>
      </c>
      <c r="E256">
        <f>VLOOKUP(A256,'10년'!$A$2:$B$5000,2,0)</f>
        <v>4.6230000000000002</v>
      </c>
      <c r="F256">
        <f>VLOOKUP(A256,'5년'!$A$2:$B$5000,2,0)</f>
        <v>4.4210000000000003</v>
      </c>
      <c r="G256">
        <v>79.099999999999994</v>
      </c>
      <c r="H256">
        <v>92.26</v>
      </c>
    </row>
    <row r="257" spans="1:8" x14ac:dyDescent="0.4">
      <c r="A257" s="1">
        <v>45664</v>
      </c>
      <c r="B257" s="3">
        <f>'S&amp;P500'!B258</f>
        <v>5918.25</v>
      </c>
      <c r="C257" s="3">
        <f>나스닥!B258</f>
        <v>19478.88</v>
      </c>
      <c r="D257">
        <f>VLOOKUP(A257,VIX!$A$2:B5255,2,0)</f>
        <v>17.82</v>
      </c>
      <c r="E257">
        <f>VLOOKUP(A257,'10년'!$A$2:$B$5000,2,0)</f>
        <v>4.6840000000000002</v>
      </c>
      <c r="F257">
        <f>VLOOKUP(A257,'5년'!$A$2:$B$5000,2,0)</f>
        <v>4.4630000000000001</v>
      </c>
      <c r="G257">
        <v>78.84</v>
      </c>
      <c r="H257">
        <v>91.84</v>
      </c>
    </row>
    <row r="258" spans="1:8" x14ac:dyDescent="0.4">
      <c r="A258" s="1">
        <v>45665</v>
      </c>
      <c r="B258" s="3">
        <f>'S&amp;P500'!B259</f>
        <v>5827.04</v>
      </c>
      <c r="C258" s="3">
        <f>나스닥!B259</f>
        <v>19161.63</v>
      </c>
      <c r="D258">
        <f>VLOOKUP(A258,VIX!$A$2:B5256,2,0)</f>
        <v>17.7</v>
      </c>
      <c r="E258">
        <f>VLOOKUP(A258,'10년'!$A$2:$B$5000,2,0)</f>
        <v>4.6920000000000002</v>
      </c>
      <c r="F258">
        <f>VLOOKUP(A258,'5년'!$A$2:$B$5000,2,0)</f>
        <v>4.4610000000000003</v>
      </c>
      <c r="G258">
        <v>78.94</v>
      </c>
      <c r="H258">
        <v>92</v>
      </c>
    </row>
    <row r="259" spans="1:8" x14ac:dyDescent="0.4">
      <c r="A259" s="1">
        <v>45667</v>
      </c>
      <c r="B259" s="3">
        <f>'S&amp;P500'!B260</f>
        <v>5836.22</v>
      </c>
      <c r="C259" s="3">
        <f>나스닥!B260</f>
        <v>19088.099999999999</v>
      </c>
      <c r="D259">
        <f>VLOOKUP(A259,VIX!$A$2:B5257,2,0)</f>
        <v>19.54</v>
      </c>
      <c r="E259">
        <f>VLOOKUP(A259,'10년'!$A$2:$B$5000,2,0)</f>
        <v>4.7619999999999996</v>
      </c>
      <c r="F259">
        <f>VLOOKUP(A259,'5년'!$A$2:$B$5000,2,0)</f>
        <v>4.5780000000000003</v>
      </c>
      <c r="G259">
        <v>78.53</v>
      </c>
      <c r="H259">
        <v>91.33</v>
      </c>
    </row>
    <row r="260" spans="1:8" x14ac:dyDescent="0.4">
      <c r="A260" s="1">
        <v>45670</v>
      </c>
      <c r="B260" s="3">
        <f>'S&amp;P500'!B261</f>
        <v>5842.91</v>
      </c>
      <c r="C260" s="3">
        <f>나스닥!B261</f>
        <v>19044.39</v>
      </c>
      <c r="D260">
        <f>VLOOKUP(A260,VIX!$A$2:B5258,2,0)</f>
        <v>19.190000000000001</v>
      </c>
      <c r="E260">
        <f>VLOOKUP(A260,'10년'!$A$2:$B$5000,2,0)</f>
        <v>4.7889999999999997</v>
      </c>
      <c r="F260">
        <f>VLOOKUP(A260,'5년'!$A$2:$B$5000,2,0)</f>
        <v>4.609</v>
      </c>
      <c r="G260">
        <v>78.510000000000005</v>
      </c>
      <c r="H260">
        <v>91.17</v>
      </c>
    </row>
    <row r="261" spans="1:8" x14ac:dyDescent="0.4">
      <c r="A261" s="1">
        <v>45671</v>
      </c>
      <c r="B261" s="3">
        <f>'S&amp;P500'!B262</f>
        <v>5949.91</v>
      </c>
      <c r="C261" s="3">
        <f>나스닥!B262</f>
        <v>19511.23</v>
      </c>
      <c r="D261">
        <f>VLOOKUP(A261,VIX!$A$2:B5259,2,0)</f>
        <v>18.71</v>
      </c>
      <c r="E261">
        <f>VLOOKUP(A261,'10년'!$A$2:$B$5000,2,0)</f>
        <v>4.7919999999999998</v>
      </c>
      <c r="F261">
        <f>VLOOKUP(A261,'5년'!$A$2:$B$5000,2,0)</f>
        <v>4.5979999999999999</v>
      </c>
      <c r="G261">
        <v>78.61</v>
      </c>
      <c r="H261">
        <v>91.2</v>
      </c>
    </row>
    <row r="262" spans="1:8" x14ac:dyDescent="0.4">
      <c r="A262" s="1">
        <v>45672</v>
      </c>
      <c r="B262" s="3">
        <f>'S&amp;P500'!B263</f>
        <v>5937.34</v>
      </c>
      <c r="C262" s="3">
        <f>나스닥!B263</f>
        <v>19338.29</v>
      </c>
      <c r="D262">
        <f>VLOOKUP(A262,VIX!$A$2:B5260,2,0)</f>
        <v>16.12</v>
      </c>
      <c r="E262">
        <f>VLOOKUP(A262,'10년'!$A$2:$B$5000,2,0)</f>
        <v>4.6539999999999999</v>
      </c>
      <c r="F262">
        <f>VLOOKUP(A262,'5년'!$A$2:$B$5000,2,0)</f>
        <v>4.45</v>
      </c>
      <c r="G262">
        <v>79.3</v>
      </c>
      <c r="H262">
        <v>92.16</v>
      </c>
    </row>
    <row r="263" spans="1:8" x14ac:dyDescent="0.4">
      <c r="A263" s="1">
        <v>45673</v>
      </c>
      <c r="B263" s="3">
        <f>'S&amp;P500'!B264</f>
        <v>5996.66</v>
      </c>
      <c r="C263" s="3">
        <f>나스닥!B264</f>
        <v>19630.2</v>
      </c>
      <c r="D263">
        <f>VLOOKUP(A263,VIX!$A$2:B5261,2,0)</f>
        <v>16.600000000000001</v>
      </c>
      <c r="E263">
        <f>VLOOKUP(A263,'10년'!$A$2:$B$5000,2,0)</f>
        <v>4.6109999999999998</v>
      </c>
      <c r="F263">
        <f>VLOOKUP(A263,'5년'!$A$2:$B$5000,2,0)</f>
        <v>4.3949999999999996</v>
      </c>
      <c r="G263">
        <v>79.39</v>
      </c>
      <c r="H263">
        <v>92.38</v>
      </c>
    </row>
    <row r="264" spans="1:8" x14ac:dyDescent="0.4">
      <c r="A264" s="1">
        <v>45674</v>
      </c>
      <c r="B264" s="3">
        <f>'S&amp;P500'!B265</f>
        <v>6049.24</v>
      </c>
      <c r="C264" s="3">
        <f>나스닥!B265</f>
        <v>19756.78</v>
      </c>
      <c r="D264">
        <f>VLOOKUP(A264,VIX!$A$2:B5262,2,0)</f>
        <v>15.97</v>
      </c>
      <c r="E264">
        <f>VLOOKUP(A264,'10년'!$A$2:$B$5000,2,0)</f>
        <v>4.6219999999999999</v>
      </c>
      <c r="F264">
        <f>VLOOKUP(A264,'5년'!$A$2:$B$5000,2,0)</f>
        <v>4.4290000000000003</v>
      </c>
      <c r="G264">
        <v>79.459999999999994</v>
      </c>
      <c r="H264">
        <v>92.45</v>
      </c>
    </row>
    <row r="265" spans="1:8" x14ac:dyDescent="0.4">
      <c r="A265" s="1">
        <v>45678</v>
      </c>
      <c r="B265" s="3">
        <f>'S&amp;P500'!B266</f>
        <v>6086.37</v>
      </c>
      <c r="C265" s="3">
        <f>나스닥!B266</f>
        <v>20009.34</v>
      </c>
      <c r="D265">
        <f>VLOOKUP(A265,VIX!$A$2:B5263,2,0)</f>
        <v>15.06</v>
      </c>
      <c r="E265">
        <f>VLOOKUP(A265,'10년'!$A$2:$B$5000,2,0)</f>
        <v>4.5720000000000001</v>
      </c>
      <c r="F265">
        <f>VLOOKUP(A265,'5년'!$A$2:$B$5000,2,0)</f>
        <v>4.391</v>
      </c>
      <c r="G265">
        <v>79.67</v>
      </c>
      <c r="H265">
        <v>92.76</v>
      </c>
    </row>
    <row r="266" spans="1:8" x14ac:dyDescent="0.4">
      <c r="A266" s="1">
        <v>45679</v>
      </c>
      <c r="B266" s="3">
        <f>'S&amp;P500'!B267</f>
        <v>6118.71</v>
      </c>
      <c r="C266" s="3">
        <f>나스닥!B267</f>
        <v>20053.68</v>
      </c>
      <c r="D266">
        <f>VLOOKUP(A266,VIX!$A$2:B5264,2,0)</f>
        <v>15.1</v>
      </c>
      <c r="E266">
        <f>VLOOKUP(A266,'10년'!$A$2:$B$5000,2,0)</f>
        <v>4.6120000000000001</v>
      </c>
      <c r="F266">
        <f>VLOOKUP(A266,'5년'!$A$2:$B$5000,2,0)</f>
        <v>4.4379999999999997</v>
      </c>
      <c r="G266">
        <v>79.56</v>
      </c>
      <c r="H266">
        <v>92.52</v>
      </c>
    </row>
    <row r="267" spans="1:8" x14ac:dyDescent="0.4">
      <c r="A267" s="1">
        <v>45680</v>
      </c>
      <c r="B267" s="3">
        <f>'S&amp;P500'!B268</f>
        <v>6101.24</v>
      </c>
      <c r="C267" s="3">
        <f>나스닥!B268</f>
        <v>19954.3</v>
      </c>
      <c r="D267">
        <f>VLOOKUP(A267,VIX!$A$2:B5265,2,0)</f>
        <v>15.02</v>
      </c>
      <c r="E267">
        <f>VLOOKUP(A267,'10년'!$A$2:$B$5000,2,0)</f>
        <v>4.6449999999999996</v>
      </c>
      <c r="F267">
        <f>VLOOKUP(A267,'5년'!$A$2:$B$5000,2,0)</f>
        <v>4.4509999999999996</v>
      </c>
      <c r="G267">
        <v>79.66</v>
      </c>
      <c r="H267">
        <v>92.28</v>
      </c>
    </row>
    <row r="268" spans="1:8" x14ac:dyDescent="0.4">
      <c r="A268" s="1">
        <v>45681</v>
      </c>
      <c r="B268" s="3">
        <f>'S&amp;P500'!B269</f>
        <v>6012.28</v>
      </c>
      <c r="C268" s="3">
        <f>나스닥!B269</f>
        <v>19341.830000000002</v>
      </c>
      <c r="D268">
        <f>VLOOKUP(A268,VIX!$A$2:B5266,2,0)</f>
        <v>14.85</v>
      </c>
      <c r="E268">
        <f>VLOOKUP(A268,'10년'!$A$2:$B$5000,2,0)</f>
        <v>4.6159999999999997</v>
      </c>
      <c r="F268">
        <f>VLOOKUP(A268,'5년'!$A$2:$B$5000,2,0)</f>
        <v>4.42</v>
      </c>
      <c r="G268">
        <v>79.75</v>
      </c>
      <c r="H268">
        <v>92.47</v>
      </c>
    </row>
    <row r="269" spans="1:8" x14ac:dyDescent="0.4">
      <c r="A269" s="1">
        <v>45684</v>
      </c>
      <c r="B269" s="3">
        <f>'S&amp;P500'!B270</f>
        <v>6067.7</v>
      </c>
      <c r="C269" s="3">
        <f>나스닥!B270</f>
        <v>19733.59</v>
      </c>
      <c r="D269">
        <f>VLOOKUP(A269,VIX!$A$2:B5267,2,0)</f>
        <v>17.899999999999999</v>
      </c>
      <c r="E269">
        <f>VLOOKUP(A269,'10년'!$A$2:$B$5000,2,0)</f>
        <v>4.5330000000000004</v>
      </c>
      <c r="F269">
        <f>VLOOKUP(A269,'5년'!$A$2:$B$5000,2,0)</f>
        <v>4.3330000000000002</v>
      </c>
      <c r="G269">
        <v>79.81</v>
      </c>
      <c r="H269">
        <v>93.07</v>
      </c>
    </row>
    <row r="270" spans="1:8" x14ac:dyDescent="0.4">
      <c r="A270" s="1">
        <v>45685</v>
      </c>
      <c r="B270" s="3">
        <f>'S&amp;P500'!B271</f>
        <v>6039.31</v>
      </c>
      <c r="C270" s="3">
        <f>나스닥!B271</f>
        <v>19632.32</v>
      </c>
      <c r="D270">
        <f>VLOOKUP(A270,VIX!$A$2:B5268,2,0)</f>
        <v>16.41</v>
      </c>
      <c r="E270">
        <f>VLOOKUP(A270,'10년'!$A$2:$B$5000,2,0)</f>
        <v>4.5330000000000004</v>
      </c>
      <c r="F270">
        <f>VLOOKUP(A270,'5년'!$A$2:$B$5000,2,0)</f>
        <v>4.33</v>
      </c>
      <c r="G270">
        <v>79.78</v>
      </c>
      <c r="H270">
        <v>93.08</v>
      </c>
    </row>
    <row r="271" spans="1:8" x14ac:dyDescent="0.4">
      <c r="A271" s="1">
        <v>45686</v>
      </c>
      <c r="B271" s="3">
        <f>'S&amp;P500'!B272</f>
        <v>6071.17</v>
      </c>
      <c r="C271" s="3">
        <f>나스닥!B272</f>
        <v>19681.75</v>
      </c>
      <c r="D271">
        <f>VLOOKUP(A271,VIX!$A$2:B5269,2,0)</f>
        <v>16.559999999999999</v>
      </c>
      <c r="E271">
        <f>VLOOKUP(A271,'10년'!$A$2:$B$5000,2,0)</f>
        <v>4.5330000000000004</v>
      </c>
      <c r="F271">
        <f>VLOOKUP(A271,'5년'!$A$2:$B$5000,2,0)</f>
        <v>4.3369999999999997</v>
      </c>
      <c r="G271">
        <v>79.73</v>
      </c>
      <c r="H271">
        <v>92.97</v>
      </c>
    </row>
    <row r="272" spans="1:8" x14ac:dyDescent="0.4">
      <c r="A272" s="1">
        <v>45687</v>
      </c>
      <c r="B272" s="3">
        <f>'S&amp;P500'!B273</f>
        <v>6040.53</v>
      </c>
      <c r="C272" s="3">
        <f>나스닥!B273</f>
        <v>19627.439999999999</v>
      </c>
      <c r="D272">
        <f>VLOOKUP(A272,VIX!$A$2:B5270,2,0)</f>
        <v>15.84</v>
      </c>
      <c r="E272">
        <f>VLOOKUP(A272,'10년'!$A$2:$B$5000,2,0)</f>
        <v>4.5190000000000001</v>
      </c>
      <c r="F272">
        <f>VLOOKUP(A272,'5년'!$A$2:$B$5000,2,0)</f>
        <v>4.3230000000000004</v>
      </c>
      <c r="G272">
        <v>79.88</v>
      </c>
      <c r="H272">
        <v>93.17</v>
      </c>
    </row>
    <row r="273" spans="1:8" x14ac:dyDescent="0.4">
      <c r="A273" s="1">
        <v>45688</v>
      </c>
      <c r="B273" s="3">
        <f>'S&amp;P500'!B274</f>
        <v>5994.57</v>
      </c>
      <c r="C273" s="3">
        <f>나스닥!B274</f>
        <v>19391.96</v>
      </c>
      <c r="D273">
        <f>VLOOKUP(A273,VIX!$A$2:B5271,2,0)</f>
        <v>16.43</v>
      </c>
      <c r="E273">
        <f>VLOOKUP(A273,'10년'!$A$2:$B$5000,2,0)</f>
        <v>4.5419999999999998</v>
      </c>
      <c r="F273">
        <f>VLOOKUP(A273,'5년'!$A$2:$B$5000,2,0)</f>
        <v>4.3319999999999999</v>
      </c>
      <c r="G273">
        <v>79.72</v>
      </c>
      <c r="H273">
        <v>93.02</v>
      </c>
    </row>
    <row r="274" spans="1:8" x14ac:dyDescent="0.4">
      <c r="A274" s="1">
        <v>45691</v>
      </c>
      <c r="B274" s="3">
        <f>'S&amp;P500'!B275</f>
        <v>6037.88</v>
      </c>
      <c r="C274" s="3">
        <f>나스닥!B275</f>
        <v>19654.02</v>
      </c>
      <c r="D274">
        <f>VLOOKUP(A274,VIX!$A$2:B5272,2,0)</f>
        <v>18.62</v>
      </c>
      <c r="E274">
        <f>VLOOKUP(A274,'10년'!$A$2:$B$5000,2,0)</f>
        <v>4.5510000000000002</v>
      </c>
      <c r="F274">
        <f>VLOOKUP(A274,'5년'!$A$2:$B$5000,2,0)</f>
        <v>4.3600000000000003</v>
      </c>
      <c r="G274">
        <v>79.260000000000005</v>
      </c>
      <c r="H274">
        <v>92.79</v>
      </c>
    </row>
    <row r="275" spans="1:8" x14ac:dyDescent="0.4">
      <c r="A275" s="1">
        <v>45692</v>
      </c>
      <c r="B275" s="3">
        <f>'S&amp;P500'!B276</f>
        <v>6061.48</v>
      </c>
      <c r="C275" s="3">
        <f>나스닥!B276</f>
        <v>19692.330000000002</v>
      </c>
      <c r="D275">
        <f>VLOOKUP(A275,VIX!$A$2:B5273,2,0)</f>
        <v>17.21</v>
      </c>
      <c r="E275">
        <f>VLOOKUP(A275,'10년'!$A$2:$B$5000,2,0)</f>
        <v>4.5119999999999996</v>
      </c>
      <c r="F275">
        <f>VLOOKUP(A275,'5년'!$A$2:$B$5000,2,0)</f>
        <v>4.3179999999999996</v>
      </c>
      <c r="G275">
        <v>79.510000000000005</v>
      </c>
      <c r="H275">
        <v>93.02</v>
      </c>
    </row>
    <row r="276" spans="1:8" x14ac:dyDescent="0.4">
      <c r="A276" s="1">
        <v>45693</v>
      </c>
      <c r="B276" s="3">
        <f>'S&amp;P500'!B277</f>
        <v>6083.57</v>
      </c>
      <c r="C276" s="3">
        <f>나스닥!B277</f>
        <v>19791.990000000002</v>
      </c>
      <c r="D276">
        <f>VLOOKUP(A276,VIX!$A$2:B5274,2,0)</f>
        <v>15.77</v>
      </c>
      <c r="E276">
        <f>VLOOKUP(A276,'10년'!$A$2:$B$5000,2,0)</f>
        <v>4.423</v>
      </c>
      <c r="F276">
        <f>VLOOKUP(A276,'5년'!$A$2:$B$5000,2,0)</f>
        <v>4.2489999999999997</v>
      </c>
      <c r="G276">
        <v>79.72</v>
      </c>
      <c r="H276">
        <v>93.56</v>
      </c>
    </row>
    <row r="277" spans="1:8" x14ac:dyDescent="0.4">
      <c r="A277" s="1">
        <v>45694</v>
      </c>
      <c r="B277" s="3">
        <f>'S&amp;P500'!B278</f>
        <v>6025.99</v>
      </c>
      <c r="C277" s="3">
        <f>나스닥!B278</f>
        <v>19523.400000000001</v>
      </c>
      <c r="D277">
        <f>VLOOKUP(A277,VIX!$A$2:B5275,2,0)</f>
        <v>15.5</v>
      </c>
      <c r="E277">
        <f>VLOOKUP(A277,'10년'!$A$2:$B$5000,2,0)</f>
        <v>4.4349999999999996</v>
      </c>
      <c r="F277">
        <f>VLOOKUP(A277,'5년'!$A$2:$B$5000,2,0)</f>
        <v>4.274</v>
      </c>
      <c r="G277">
        <v>79.599999999999994</v>
      </c>
      <c r="H277">
        <v>93.45</v>
      </c>
    </row>
    <row r="278" spans="1:8" x14ac:dyDescent="0.4">
      <c r="A278" s="1">
        <v>45695</v>
      </c>
      <c r="B278" s="3">
        <f>'S&amp;P500'!B279</f>
        <v>6066.44</v>
      </c>
      <c r="C278" s="3">
        <f>나스닥!B279</f>
        <v>19714.27</v>
      </c>
      <c r="D278">
        <f>VLOOKUP(A278,VIX!$A$2:B5276,2,0)</f>
        <v>16.54</v>
      </c>
      <c r="E278">
        <f>VLOOKUP(A278,'10년'!$A$2:$B$5000,2,0)</f>
        <v>4.4939999999999998</v>
      </c>
      <c r="F278">
        <f>VLOOKUP(A278,'5년'!$A$2:$B$5000,2,0)</f>
        <v>4.3460000000000001</v>
      </c>
      <c r="G278">
        <v>79.349999999999994</v>
      </c>
      <c r="H278">
        <v>93.14</v>
      </c>
    </row>
    <row r="279" spans="1:8" x14ac:dyDescent="0.4">
      <c r="A279" s="1">
        <v>45698</v>
      </c>
      <c r="B279" s="3">
        <f>'S&amp;P500'!B280</f>
        <v>6068.5</v>
      </c>
      <c r="C279" s="3">
        <f>나스닥!B280</f>
        <v>19643.86</v>
      </c>
      <c r="D279">
        <f>VLOOKUP(A279,VIX!$A$2:B5277,2,0)</f>
        <v>15.81</v>
      </c>
      <c r="E279">
        <f>VLOOKUP(A279,'10년'!$A$2:$B$5000,2,0)</f>
        <v>4.5</v>
      </c>
      <c r="F279">
        <f>VLOOKUP(A279,'5년'!$A$2:$B$5000,2,0)</f>
        <v>4.3410000000000002</v>
      </c>
      <c r="G279">
        <v>79.510000000000005</v>
      </c>
      <c r="H279">
        <v>93.12</v>
      </c>
    </row>
    <row r="280" spans="1:8" x14ac:dyDescent="0.4">
      <c r="A280" s="1">
        <v>45699</v>
      </c>
      <c r="B280" s="3">
        <f>'S&amp;P500'!B281</f>
        <v>6051.97</v>
      </c>
      <c r="C280" s="3">
        <f>나스닥!B281</f>
        <v>19649.95</v>
      </c>
      <c r="D280">
        <f>VLOOKUP(A280,VIX!$A$2:B5278,2,0)</f>
        <v>16.02</v>
      </c>
      <c r="E280">
        <f>VLOOKUP(A280,'10년'!$A$2:$B$5000,2,0)</f>
        <v>4.5359999999999996</v>
      </c>
      <c r="F280">
        <f>VLOOKUP(A280,'5년'!$A$2:$B$5000,2,0)</f>
        <v>4.3710000000000004</v>
      </c>
      <c r="G280">
        <v>79.48</v>
      </c>
      <c r="H280">
        <v>92.88</v>
      </c>
    </row>
    <row r="281" spans="1:8" x14ac:dyDescent="0.4">
      <c r="A281" s="1">
        <v>45700</v>
      </c>
      <c r="B281" s="3">
        <f>'S&amp;P500'!B282</f>
        <v>6115.07</v>
      </c>
      <c r="C281" s="3">
        <f>나스닥!B282</f>
        <v>19945.64</v>
      </c>
      <c r="D281">
        <f>VLOOKUP(A281,VIX!$A$2:B5279,2,0)</f>
        <v>15.89</v>
      </c>
      <c r="E281">
        <f>VLOOKUP(A281,'10년'!$A$2:$B$5000,2,0)</f>
        <v>4.625</v>
      </c>
      <c r="F281">
        <f>VLOOKUP(A281,'5년'!$A$2:$B$5000,2,0)</f>
        <v>4.4690000000000003</v>
      </c>
      <c r="G281">
        <v>79.31</v>
      </c>
      <c r="H281">
        <v>92.24</v>
      </c>
    </row>
    <row r="282" spans="1:8" x14ac:dyDescent="0.4">
      <c r="A282" s="1">
        <v>45701</v>
      </c>
      <c r="B282" s="3">
        <f>'S&amp;P500'!B283</f>
        <v>6114.63</v>
      </c>
      <c r="C282" s="3">
        <f>나스닥!B283</f>
        <v>20026.77</v>
      </c>
      <c r="D282">
        <f>VLOOKUP(A282,VIX!$A$2:B5280,2,0)</f>
        <v>15.1</v>
      </c>
      <c r="E282">
        <f>VLOOKUP(A282,'10년'!$A$2:$B$5000,2,0)</f>
        <v>4.532</v>
      </c>
      <c r="F282">
        <f>VLOOKUP(A282,'5년'!$A$2:$B$5000,2,0)</f>
        <v>4.3899999999999997</v>
      </c>
      <c r="G282">
        <v>79.67</v>
      </c>
      <c r="H282">
        <v>92.93</v>
      </c>
    </row>
    <row r="283" spans="1:8" x14ac:dyDescent="0.4">
      <c r="A283" s="1">
        <v>45702</v>
      </c>
      <c r="B283" s="3">
        <f>'S&amp;P500'!B284</f>
        <v>6129.58</v>
      </c>
      <c r="C283" s="3">
        <f>나스닥!B284</f>
        <v>20041.259999999998</v>
      </c>
      <c r="D283">
        <f>VLOOKUP(A283,VIX!$A$2:B5281,2,0)</f>
        <v>14.77</v>
      </c>
      <c r="E283">
        <f>VLOOKUP(A283,'10년'!$A$2:$B$5000,2,0)</f>
        <v>4.4770000000000003</v>
      </c>
      <c r="F283">
        <f>VLOOKUP(A283,'5년'!$A$2:$B$5000,2,0)</f>
        <v>4.3280000000000003</v>
      </c>
      <c r="G283">
        <v>79.760000000000005</v>
      </c>
      <c r="H283">
        <v>93.32</v>
      </c>
    </row>
    <row r="284" spans="1:8" x14ac:dyDescent="0.4">
      <c r="A284" s="1">
        <v>45706</v>
      </c>
      <c r="B284" s="3">
        <f>'S&amp;P500'!B285</f>
        <v>6144.15</v>
      </c>
      <c r="C284" s="3">
        <f>나스닥!B285</f>
        <v>20056.25</v>
      </c>
      <c r="D284">
        <f>VLOOKUP(A284,VIX!$A$2:B5282,2,0)</f>
        <v>15.35</v>
      </c>
      <c r="E284">
        <f>VLOOKUP(A284,'10년'!$A$2:$B$5000,2,0)</f>
        <v>4.5510000000000002</v>
      </c>
      <c r="F284">
        <f>VLOOKUP(A284,'5년'!$A$2:$B$5000,2,0)</f>
        <v>4.4009999999999998</v>
      </c>
      <c r="G284">
        <v>79.69</v>
      </c>
      <c r="H284">
        <v>92.82</v>
      </c>
    </row>
    <row r="285" spans="1:8" x14ac:dyDescent="0.4">
      <c r="A285" s="1">
        <v>45707</v>
      </c>
      <c r="B285" s="3">
        <f>'S&amp;P500'!B286</f>
        <v>6117.52</v>
      </c>
      <c r="C285" s="3">
        <f>나스닥!B286</f>
        <v>19962.36</v>
      </c>
      <c r="D285">
        <f>VLOOKUP(A285,VIX!$A$2:B5283,2,0)</f>
        <v>15.27</v>
      </c>
      <c r="E285">
        <f>VLOOKUP(A285,'10년'!$A$2:$B$5000,2,0)</f>
        <v>4.5339999999999998</v>
      </c>
      <c r="F285">
        <f>VLOOKUP(A285,'5년'!$A$2:$B$5000,2,0)</f>
        <v>4.3639999999999999</v>
      </c>
      <c r="G285">
        <v>79.75</v>
      </c>
      <c r="H285">
        <v>92.97</v>
      </c>
    </row>
    <row r="286" spans="1:8" x14ac:dyDescent="0.4">
      <c r="A286" s="1">
        <v>45708</v>
      </c>
      <c r="B286" s="3">
        <f>'S&amp;P500'!B287</f>
        <v>6013.13</v>
      </c>
      <c r="C286" s="3">
        <f>나스닥!B287</f>
        <v>19524.009999999998</v>
      </c>
      <c r="D286">
        <f>VLOOKUP(A286,VIX!$A$2:B5284,2,0)</f>
        <v>15.66</v>
      </c>
      <c r="E286">
        <f>VLOOKUP(A286,'10년'!$A$2:$B$5000,2,0)</f>
        <v>4.5060000000000002</v>
      </c>
      <c r="F286">
        <f>VLOOKUP(A286,'5년'!$A$2:$B$5000,2,0)</f>
        <v>4.3460000000000001</v>
      </c>
      <c r="G286">
        <v>79.8</v>
      </c>
      <c r="H286">
        <v>93.16</v>
      </c>
    </row>
    <row r="287" spans="1:8" x14ac:dyDescent="0.4">
      <c r="A287" s="1">
        <v>45709</v>
      </c>
      <c r="B287" s="3">
        <f>'S&amp;P500'!B288</f>
        <v>5983.25</v>
      </c>
      <c r="C287" s="3">
        <f>나스닥!B288</f>
        <v>19286.93</v>
      </c>
      <c r="D287">
        <f>VLOOKUP(A287,VIX!$A$2:B5285,2,0)</f>
        <v>18.21</v>
      </c>
      <c r="E287">
        <f>VLOOKUP(A287,'10년'!$A$2:$B$5000,2,0)</f>
        <v>4.43</v>
      </c>
      <c r="F287">
        <f>VLOOKUP(A287,'5년'!$A$2:$B$5000,2,0)</f>
        <v>4.2699999999999996</v>
      </c>
      <c r="G287">
        <v>79.650000000000006</v>
      </c>
      <c r="H287">
        <v>93.71</v>
      </c>
    </row>
    <row r="288" spans="1:8" x14ac:dyDescent="0.4">
      <c r="A288" s="1">
        <v>45712</v>
      </c>
      <c r="B288" s="3">
        <f>'S&amp;P500'!B289</f>
        <v>5955.25</v>
      </c>
      <c r="C288" s="3">
        <f>나스닥!B289</f>
        <v>19026.39</v>
      </c>
      <c r="D288">
        <f>VLOOKUP(A288,VIX!$A$2:B5286,2,0)</f>
        <v>18.98</v>
      </c>
      <c r="E288">
        <f>VLOOKUP(A288,'10년'!$A$2:$B$5000,2,0)</f>
        <v>4.399</v>
      </c>
      <c r="F288">
        <f>VLOOKUP(A288,'5년'!$A$2:$B$5000,2,0)</f>
        <v>4.234</v>
      </c>
      <c r="G288">
        <v>79.75</v>
      </c>
      <c r="H288">
        <v>93.91</v>
      </c>
    </row>
    <row r="289" spans="1:8" x14ac:dyDescent="0.4">
      <c r="A289" s="1">
        <v>45713</v>
      </c>
      <c r="B289" s="3">
        <f>'S&amp;P500'!B290</f>
        <v>5956.06</v>
      </c>
      <c r="C289" s="3">
        <f>나스닥!B290</f>
        <v>19075.259999999998</v>
      </c>
      <c r="D289">
        <f>VLOOKUP(A289,VIX!$A$2:B5287,2,0)</f>
        <v>19.43</v>
      </c>
      <c r="E289">
        <f>VLOOKUP(A289,'10년'!$A$2:$B$5000,2,0)</f>
        <v>4.2969999999999997</v>
      </c>
      <c r="F289">
        <f>VLOOKUP(A289,'5년'!$A$2:$B$5000,2,0)</f>
        <v>4.13</v>
      </c>
      <c r="G289">
        <v>79.95</v>
      </c>
      <c r="H289">
        <v>94.65</v>
      </c>
    </row>
    <row r="290" spans="1:8" x14ac:dyDescent="0.4">
      <c r="A290" s="1">
        <v>45714</v>
      </c>
      <c r="B290" s="3">
        <f>'S&amp;P500'!B291</f>
        <v>5861.57</v>
      </c>
      <c r="C290" s="3">
        <f>나스닥!B291</f>
        <v>18544.419999999998</v>
      </c>
      <c r="D290">
        <f>VLOOKUP(A290,VIX!$A$2:B5288,2,0)</f>
        <v>19.100000000000001</v>
      </c>
      <c r="E290">
        <f>VLOOKUP(A290,'10년'!$A$2:$B$5000,2,0)</f>
        <v>4.2539999999999996</v>
      </c>
      <c r="F290">
        <f>VLOOKUP(A290,'5년'!$A$2:$B$5000,2,0)</f>
        <v>4.0830000000000002</v>
      </c>
      <c r="G290">
        <v>80.06</v>
      </c>
      <c r="H290">
        <v>94.91</v>
      </c>
    </row>
    <row r="291" spans="1:8" x14ac:dyDescent="0.4">
      <c r="A291" s="1">
        <v>45715</v>
      </c>
      <c r="B291" s="3">
        <f>'S&amp;P500'!B292</f>
        <v>5954.5</v>
      </c>
      <c r="C291" s="3">
        <f>나스닥!B292</f>
        <v>18847.28</v>
      </c>
      <c r="D291">
        <f>VLOOKUP(A291,VIX!$A$2:B5289,2,0)</f>
        <v>21.13</v>
      </c>
      <c r="E291">
        <f>VLOOKUP(A291,'10년'!$A$2:$B$5000,2,0)</f>
        <v>4.2649999999999997</v>
      </c>
      <c r="F291">
        <f>VLOOKUP(A291,'5년'!$A$2:$B$5000,2,0)</f>
        <v>4.0780000000000003</v>
      </c>
      <c r="G291">
        <v>79.91</v>
      </c>
      <c r="H291">
        <v>94.8</v>
      </c>
    </row>
    <row r="292" spans="1:8" x14ac:dyDescent="0.4">
      <c r="A292" s="1">
        <v>45716</v>
      </c>
      <c r="B292" s="3">
        <f>'S&amp;P500'!B293</f>
        <v>5849.72</v>
      </c>
      <c r="C292" s="3">
        <f>나스닥!B293</f>
        <v>18350.189999999999</v>
      </c>
      <c r="D292">
        <f>VLOOKUP(A292,VIX!$A$2:B5290,2,0)</f>
        <v>19.63</v>
      </c>
      <c r="E292">
        <f>VLOOKUP(A292,'10년'!$A$2:$B$5000,2,0)</f>
        <v>4.202</v>
      </c>
      <c r="F292">
        <f>VLOOKUP(A292,'5년'!$A$2:$B$5000,2,0)</f>
        <v>4.01</v>
      </c>
      <c r="G292">
        <v>80.13</v>
      </c>
      <c r="H292">
        <v>95.32</v>
      </c>
    </row>
    <row r="293" spans="1:8" x14ac:dyDescent="0.4">
      <c r="A293" s="1">
        <v>45719</v>
      </c>
      <c r="B293" s="3">
        <f>'S&amp;P500'!B294</f>
        <v>5778.15</v>
      </c>
      <c r="C293" s="3">
        <f>나스닥!B294</f>
        <v>18285.16</v>
      </c>
      <c r="D293">
        <f>VLOOKUP(A293,VIX!$A$2:B5291,2,0)</f>
        <v>22.78</v>
      </c>
      <c r="E293">
        <f>VLOOKUP(A293,'10년'!$A$2:$B$5000,2,0)</f>
        <v>4.1580000000000004</v>
      </c>
      <c r="F293">
        <f>VLOOKUP(A293,'5년'!$A$2:$B$5000,2,0)</f>
        <v>3.9660000000000002</v>
      </c>
      <c r="G293">
        <v>79.59</v>
      </c>
      <c r="H293">
        <v>95.39</v>
      </c>
    </row>
    <row r="294" spans="1:8" x14ac:dyDescent="0.4">
      <c r="A294" s="1">
        <v>45720</v>
      </c>
      <c r="B294" s="3">
        <f>'S&amp;P500'!B295</f>
        <v>5842.63</v>
      </c>
      <c r="C294" s="3">
        <f>나스닥!B295</f>
        <v>18552.73</v>
      </c>
      <c r="D294">
        <f>VLOOKUP(A294,VIX!$A$2:B5292,2,0)</f>
        <v>23.51</v>
      </c>
      <c r="E294">
        <f>VLOOKUP(A294,'10년'!$A$2:$B$5000,2,0)</f>
        <v>4.2409999999999997</v>
      </c>
      <c r="F294">
        <f>VLOOKUP(A294,'5년'!$A$2:$B$5000,2,0)</f>
        <v>4.0410000000000004</v>
      </c>
      <c r="G294">
        <v>79.58</v>
      </c>
      <c r="H294">
        <v>95.09</v>
      </c>
    </row>
    <row r="295" spans="1:8" x14ac:dyDescent="0.4">
      <c r="A295" s="1">
        <v>45721</v>
      </c>
      <c r="B295" s="3">
        <f>'S&amp;P500'!B296</f>
        <v>5738.52</v>
      </c>
      <c r="C295" s="3">
        <f>나스닥!B296</f>
        <v>18069.259999999998</v>
      </c>
      <c r="D295">
        <f>VLOOKUP(A295,VIX!$A$2:B5293,2,0)</f>
        <v>21.93</v>
      </c>
      <c r="E295">
        <f>VLOOKUP(A295,'10년'!$A$2:$B$5000,2,0)</f>
        <v>4.2789999999999999</v>
      </c>
      <c r="F295">
        <f>VLOOKUP(A295,'5년'!$A$2:$B$5000,2,0)</f>
        <v>4.0750000000000002</v>
      </c>
      <c r="G295">
        <v>79.62</v>
      </c>
      <c r="H295">
        <v>94.56</v>
      </c>
    </row>
    <row r="296" spans="1:8" x14ac:dyDescent="0.4">
      <c r="A296" s="1">
        <v>45722</v>
      </c>
      <c r="B296" s="3">
        <f>'S&amp;P500'!B297</f>
        <v>5770.2</v>
      </c>
      <c r="C296" s="3">
        <f>나스닥!B297</f>
        <v>18196.22</v>
      </c>
      <c r="D296">
        <f>VLOOKUP(A296,VIX!$A$2:B5294,2,0)</f>
        <v>24.87</v>
      </c>
      <c r="E296">
        <f>VLOOKUP(A296,'10년'!$A$2:$B$5000,2,0)</f>
        <v>4.2789999999999999</v>
      </c>
      <c r="F296">
        <f>VLOOKUP(A296,'5년'!$A$2:$B$5000,2,0)</f>
        <v>4.0579999999999998</v>
      </c>
      <c r="G296">
        <v>79.319999999999993</v>
      </c>
      <c r="H296">
        <v>94.51</v>
      </c>
    </row>
    <row r="297" spans="1:8" x14ac:dyDescent="0.4">
      <c r="A297" s="1">
        <v>45723</v>
      </c>
      <c r="B297" s="3">
        <f>'S&amp;P500'!B298</f>
        <v>5614.56</v>
      </c>
      <c r="C297" s="3">
        <f>나스닥!B298</f>
        <v>17468.32</v>
      </c>
      <c r="D297">
        <f>VLOOKUP(A297,VIX!$A$2:B5295,2,0)</f>
        <v>23.37</v>
      </c>
      <c r="E297">
        <f>VLOOKUP(A297,'10년'!$A$2:$B$5000,2,0)</f>
        <v>4.3040000000000003</v>
      </c>
      <c r="F297">
        <f>VLOOKUP(A297,'5년'!$A$2:$B$5000,2,0)</f>
        <v>4.0830000000000002</v>
      </c>
      <c r="G297">
        <v>79.45</v>
      </c>
      <c r="H297">
        <v>94.39</v>
      </c>
    </row>
    <row r="298" spans="1:8" x14ac:dyDescent="0.4">
      <c r="A298" s="1">
        <v>45726</v>
      </c>
      <c r="B298" s="3">
        <f>'S&amp;P500'!B299</f>
        <v>5572.07</v>
      </c>
      <c r="C298" s="3">
        <f>나스닥!B299</f>
        <v>17436.099999999999</v>
      </c>
      <c r="D298">
        <f>VLOOKUP(A298,VIX!$A$2:B5296,2,0)</f>
        <v>27.86</v>
      </c>
      <c r="E298">
        <f>VLOOKUP(A298,'10년'!$A$2:$B$5000,2,0)</f>
        <v>4.218</v>
      </c>
      <c r="F298">
        <f>VLOOKUP(A298,'5년'!$A$2:$B$5000,2,0)</f>
        <v>3.9740000000000002</v>
      </c>
      <c r="G298">
        <v>79.150000000000006</v>
      </c>
      <c r="H298">
        <v>95.05</v>
      </c>
    </row>
    <row r="299" spans="1:8" x14ac:dyDescent="0.4">
      <c r="A299" s="1">
        <v>45727</v>
      </c>
      <c r="B299" s="3">
        <f>'S&amp;P500'!B300</f>
        <v>5599.3</v>
      </c>
      <c r="C299" s="3">
        <f>나스닥!B300</f>
        <v>17648.45</v>
      </c>
      <c r="D299">
        <f>VLOOKUP(A299,VIX!$A$2:B5297,2,0)</f>
        <v>26.92</v>
      </c>
      <c r="E299">
        <f>VLOOKUP(A299,'10년'!$A$2:$B$5000,2,0)</f>
        <v>4.2809999999999997</v>
      </c>
      <c r="F299">
        <f>VLOOKUP(A299,'5년'!$A$2:$B$5000,2,0)</f>
        <v>4.0380000000000003</v>
      </c>
      <c r="G299">
        <v>78.87</v>
      </c>
      <c r="H299">
        <v>94.71</v>
      </c>
    </row>
    <row r="300" spans="1:8" x14ac:dyDescent="0.4">
      <c r="A300" s="1">
        <v>45728</v>
      </c>
      <c r="B300" s="3">
        <f>'S&amp;P500'!B301</f>
        <v>5521.52</v>
      </c>
      <c r="C300" s="3">
        <f>나스닥!B301</f>
        <v>17303.009999999998</v>
      </c>
      <c r="D300">
        <f>VLOOKUP(A300,VIX!$A$2:B5298,2,0)</f>
        <v>24.23</v>
      </c>
      <c r="E300">
        <f>VLOOKUP(A300,'10년'!$A$2:$B$5000,2,0)</f>
        <v>4.3150000000000004</v>
      </c>
      <c r="F300">
        <f>VLOOKUP(A300,'5년'!$A$2:$B$5000,2,0)</f>
        <v>4.0730000000000004</v>
      </c>
      <c r="G300">
        <v>78.959999999999994</v>
      </c>
      <c r="H300">
        <v>94.43</v>
      </c>
    </row>
    <row r="301" spans="1:8" x14ac:dyDescent="0.4">
      <c r="A301" s="1">
        <v>45729</v>
      </c>
      <c r="B301" s="3">
        <f>'S&amp;P500'!B302</f>
        <v>5638.94</v>
      </c>
      <c r="C301" s="3">
        <f>나스닥!B302</f>
        <v>17754.09</v>
      </c>
      <c r="D301">
        <f>VLOOKUP(A301,VIX!$A$2:B5299,2,0)</f>
        <v>24.66</v>
      </c>
      <c r="E301">
        <f>VLOOKUP(A301,'10년'!$A$2:$B$5000,2,0)</f>
        <v>4.2690000000000001</v>
      </c>
      <c r="F301">
        <f>VLOOKUP(A301,'5년'!$A$2:$B$5000,2,0)</f>
        <v>4.0259999999999998</v>
      </c>
      <c r="G301">
        <v>78.52</v>
      </c>
      <c r="H301">
        <v>94.81</v>
      </c>
    </row>
    <row r="302" spans="1:8" x14ac:dyDescent="0.4">
      <c r="A302" s="1">
        <v>45730</v>
      </c>
      <c r="B302" s="3">
        <f>'S&amp;P500'!B303</f>
        <v>5675.12</v>
      </c>
      <c r="C302" s="3">
        <f>나스닥!B303</f>
        <v>17808.66</v>
      </c>
      <c r="D302">
        <f>VLOOKUP(A302,VIX!$A$2:B5300,2,0)</f>
        <v>21.77</v>
      </c>
      <c r="E302">
        <f>VLOOKUP(A302,'10년'!$A$2:$B$5000,2,0)</f>
        <v>4.3179999999999996</v>
      </c>
      <c r="F302">
        <f>VLOOKUP(A302,'5년'!$A$2:$B$5000,2,0)</f>
        <v>4.0919999999999996</v>
      </c>
      <c r="G302">
        <v>78.88</v>
      </c>
      <c r="H302">
        <v>94.48</v>
      </c>
    </row>
    <row r="303" spans="1:8" x14ac:dyDescent="0.4">
      <c r="A303" s="1">
        <v>45733</v>
      </c>
      <c r="B303" s="3">
        <f>'S&amp;P500'!B304</f>
        <v>5614.66</v>
      </c>
      <c r="C303" s="3">
        <f>나스닥!B304</f>
        <v>17504.12</v>
      </c>
      <c r="D303">
        <f>VLOOKUP(A303,VIX!$A$2:B5301,2,0)</f>
        <v>20.51</v>
      </c>
      <c r="E303">
        <f>VLOOKUP(A303,'10년'!$A$2:$B$5000,2,0)</f>
        <v>4.298</v>
      </c>
      <c r="F303">
        <f>VLOOKUP(A303,'5년'!$A$2:$B$5000,2,0)</f>
        <v>4.09</v>
      </c>
      <c r="G303">
        <v>79.069999999999993</v>
      </c>
      <c r="H303">
        <v>94.56</v>
      </c>
    </row>
    <row r="304" spans="1:8" x14ac:dyDescent="0.4">
      <c r="A304" s="1">
        <v>45734</v>
      </c>
      <c r="B304" s="3">
        <f>'S&amp;P500'!B305</f>
        <v>5675.29</v>
      </c>
      <c r="C304" s="3">
        <f>나스닥!B305</f>
        <v>17750.79</v>
      </c>
      <c r="D304">
        <f>VLOOKUP(A304,VIX!$A$2:B5302,2,0)</f>
        <v>21.7</v>
      </c>
      <c r="E304">
        <f>VLOOKUP(A304,'10년'!$A$2:$B$5000,2,0)</f>
        <v>4.2830000000000004</v>
      </c>
      <c r="F304">
        <f>VLOOKUP(A304,'5년'!$A$2:$B$5000,2,0)</f>
        <v>4.0730000000000004</v>
      </c>
      <c r="G304">
        <v>78.930000000000007</v>
      </c>
      <c r="H304">
        <v>94.67</v>
      </c>
    </row>
    <row r="305" spans="1:8" x14ac:dyDescent="0.4">
      <c r="A305" s="1">
        <v>45735</v>
      </c>
      <c r="B305" s="3">
        <f>'S&amp;P500'!B306</f>
        <v>5662.89</v>
      </c>
      <c r="C305" s="3">
        <f>나스닥!B306</f>
        <v>17691.63</v>
      </c>
      <c r="D305">
        <f>VLOOKUP(A305,VIX!$A$2:B5303,2,0)</f>
        <v>19.899999999999999</v>
      </c>
      <c r="E305">
        <f>VLOOKUP(A305,'10년'!$A$2:$B$5000,2,0)</f>
        <v>4.2460000000000004</v>
      </c>
      <c r="F305">
        <f>VLOOKUP(A305,'5년'!$A$2:$B$5000,2,0)</f>
        <v>4.0229999999999997</v>
      </c>
      <c r="G305">
        <v>79.45</v>
      </c>
      <c r="H305">
        <v>94.96</v>
      </c>
    </row>
    <row r="306" spans="1:8" x14ac:dyDescent="0.4">
      <c r="A306" s="1">
        <v>45736</v>
      </c>
      <c r="B306" s="3">
        <f>'S&amp;P500'!B307</f>
        <v>5667.56</v>
      </c>
      <c r="C306" s="3">
        <f>나스닥!B307</f>
        <v>17784.05</v>
      </c>
      <c r="D306">
        <f>VLOOKUP(A306,VIX!$A$2:B5304,2,0)</f>
        <v>19.8</v>
      </c>
      <c r="E306">
        <f>VLOOKUP(A306,'10년'!$A$2:$B$5000,2,0)</f>
        <v>4.24</v>
      </c>
      <c r="F306">
        <f>VLOOKUP(A306,'5년'!$A$2:$B$5000,2,0)</f>
        <v>4.0149999999999997</v>
      </c>
      <c r="G306">
        <v>79.34</v>
      </c>
      <c r="H306">
        <v>95.1</v>
      </c>
    </row>
    <row r="307" spans="1:8" x14ac:dyDescent="0.4">
      <c r="A307" s="1">
        <v>45737</v>
      </c>
      <c r="B307" s="3">
        <f>'S&amp;P500'!B308</f>
        <v>5767.57</v>
      </c>
      <c r="C307" s="3">
        <f>나스닥!B308</f>
        <v>18188.59</v>
      </c>
      <c r="D307">
        <f>VLOOKUP(A307,VIX!$A$2:B5305,2,0)</f>
        <v>19.28</v>
      </c>
      <c r="E307">
        <f>VLOOKUP(A307,'10년'!$A$2:$B$5000,2,0)</f>
        <v>4.2489999999999997</v>
      </c>
      <c r="F307">
        <f>VLOOKUP(A307,'5년'!$A$2:$B$5000,2,0)</f>
        <v>4.0060000000000002</v>
      </c>
      <c r="G307">
        <v>79.22</v>
      </c>
      <c r="H307">
        <v>95.02</v>
      </c>
    </row>
    <row r="308" spans="1:8" x14ac:dyDescent="0.4">
      <c r="A308" s="1">
        <v>45740</v>
      </c>
      <c r="B308" s="3">
        <f>'S&amp;P500'!B309</f>
        <v>5776.65</v>
      </c>
      <c r="C308" s="3">
        <f>나스닥!B309</f>
        <v>18271.86</v>
      </c>
      <c r="D308">
        <f>VLOOKUP(A308,VIX!$A$2:B5306,2,0)</f>
        <v>17.48</v>
      </c>
      <c r="E308">
        <f>VLOOKUP(A308,'10년'!$A$2:$B$5000,2,0)</f>
        <v>4.3380000000000001</v>
      </c>
      <c r="F308">
        <f>VLOOKUP(A308,'5년'!$A$2:$B$5000,2,0)</f>
        <v>4.0970000000000004</v>
      </c>
      <c r="G308">
        <v>79.45</v>
      </c>
      <c r="H308">
        <v>94.47</v>
      </c>
    </row>
    <row r="309" spans="1:8" x14ac:dyDescent="0.4">
      <c r="A309" s="1">
        <v>45741</v>
      </c>
      <c r="B309" s="3">
        <f>'S&amp;P500'!B310</f>
        <v>5712.2</v>
      </c>
      <c r="C309" s="3">
        <f>나스닥!B310</f>
        <v>17899.02</v>
      </c>
      <c r="D309">
        <f>VLOOKUP(A309,VIX!$A$2:B5307,2,0)</f>
        <v>17.149999999999999</v>
      </c>
      <c r="E309">
        <f>VLOOKUP(A309,'10년'!$A$2:$B$5000,2,0)</f>
        <v>4.3159999999999998</v>
      </c>
      <c r="F309">
        <f>VLOOKUP(A309,'5년'!$A$2:$B$5000,2,0)</f>
        <v>4.069</v>
      </c>
      <c r="G309">
        <v>79.41</v>
      </c>
      <c r="H309">
        <v>94.63</v>
      </c>
    </row>
    <row r="310" spans="1:8" x14ac:dyDescent="0.4">
      <c r="A310" s="1">
        <v>45742</v>
      </c>
      <c r="B310" s="3">
        <f>'S&amp;P500'!B311</f>
        <v>5693.31</v>
      </c>
      <c r="C310" s="3">
        <f>나스닥!B311</f>
        <v>17804.03</v>
      </c>
      <c r="D310">
        <f>VLOOKUP(A310,VIX!$A$2:B5308,2,0)</f>
        <v>18.329999999999998</v>
      </c>
      <c r="E310">
        <f>VLOOKUP(A310,'10년'!$A$2:$B$5000,2,0)</f>
        <v>4.3529999999999998</v>
      </c>
      <c r="F310">
        <f>VLOOKUP(A310,'5년'!$A$2:$B$5000,2,0)</f>
        <v>4.0970000000000004</v>
      </c>
      <c r="G310">
        <v>79.09</v>
      </c>
      <c r="H310">
        <v>94.41</v>
      </c>
    </row>
    <row r="311" spans="1:8" x14ac:dyDescent="0.4">
      <c r="A311" s="1">
        <v>45743</v>
      </c>
      <c r="B311" s="3">
        <f>'S&amp;P500'!B312</f>
        <v>5580.94</v>
      </c>
      <c r="C311" s="3">
        <f>나스닥!B312</f>
        <v>17322.990000000002</v>
      </c>
      <c r="D311">
        <f>VLOOKUP(A311,VIX!$A$2:B5309,2,0)</f>
        <v>18.690000000000001</v>
      </c>
      <c r="E311">
        <f>VLOOKUP(A311,'10년'!$A$2:$B$5000,2,0)</f>
        <v>4.3600000000000003</v>
      </c>
      <c r="F311">
        <f>VLOOKUP(A311,'5년'!$A$2:$B$5000,2,0)</f>
        <v>4.0919999999999996</v>
      </c>
      <c r="G311">
        <v>78.94</v>
      </c>
      <c r="H311">
        <v>94.33</v>
      </c>
    </row>
    <row r="312" spans="1:8" x14ac:dyDescent="0.4">
      <c r="A312" s="1">
        <v>45744</v>
      </c>
      <c r="B312" s="3">
        <f>'S&amp;P500'!B313</f>
        <v>5611.85</v>
      </c>
      <c r="C312" s="3">
        <f>나스닥!B313</f>
        <v>17299.29</v>
      </c>
      <c r="D312">
        <f>VLOOKUP(A312,VIX!$A$2:B5310,2,0)</f>
        <v>21.65</v>
      </c>
      <c r="E312">
        <f>VLOOKUP(A312,'10년'!$A$2:$B$5000,2,0)</f>
        <v>4.2510000000000003</v>
      </c>
      <c r="F312">
        <f>VLOOKUP(A312,'5년'!$A$2:$B$5000,2,0)</f>
        <v>3.98</v>
      </c>
      <c r="G312">
        <v>78.8</v>
      </c>
      <c r="H312">
        <v>95.09</v>
      </c>
    </row>
    <row r="313" spans="1:8" x14ac:dyDescent="0.4">
      <c r="A313" s="1">
        <v>45747</v>
      </c>
      <c r="B313" s="3">
        <f>'S&amp;P500'!B314</f>
        <v>5633.07</v>
      </c>
      <c r="C313" s="3">
        <f>나스닥!B314</f>
        <v>17449.89</v>
      </c>
      <c r="D313">
        <f>VLOOKUP(A313,VIX!$A$2:B5311,2,0)</f>
        <v>22.28</v>
      </c>
      <c r="E313">
        <f>VLOOKUP(A313,'10년'!$A$2:$B$5000,2,0)</f>
        <v>4.21</v>
      </c>
      <c r="F313">
        <f>VLOOKUP(A313,'5년'!$A$2:$B$5000,2,0)</f>
        <v>3.9540000000000002</v>
      </c>
      <c r="G313">
        <v>78.89</v>
      </c>
      <c r="H313">
        <v>95.37</v>
      </c>
    </row>
    <row r="314" spans="1:8" x14ac:dyDescent="0.4">
      <c r="A314" s="1">
        <v>45748</v>
      </c>
      <c r="B314" s="3">
        <f>'S&amp;P500'!B315</f>
        <v>5670.97</v>
      </c>
      <c r="C314" s="3">
        <f>나스닥!B315</f>
        <v>17601.05</v>
      </c>
      <c r="D314">
        <f>VLOOKUP(A314,VIX!$A$2:B5312,2,0)</f>
        <v>21.77</v>
      </c>
      <c r="E314">
        <f>VLOOKUP(A314,'10년'!$A$2:$B$5000,2,0)</f>
        <v>4.16</v>
      </c>
      <c r="F314">
        <f>VLOOKUP(A314,'5년'!$A$2:$B$5000,2,0)</f>
        <v>3.9140000000000001</v>
      </c>
      <c r="G314">
        <v>78.69</v>
      </c>
      <c r="H314">
        <v>95.4</v>
      </c>
    </row>
    <row r="315" spans="1:8" x14ac:dyDescent="0.4">
      <c r="A315" s="1">
        <v>45749</v>
      </c>
      <c r="B315" s="3">
        <f>'S&amp;P500'!B316</f>
        <v>5396.52</v>
      </c>
      <c r="C315" s="3">
        <f>나스닥!B316</f>
        <v>16550.61</v>
      </c>
      <c r="D315">
        <f>VLOOKUP(A315,VIX!$A$2:B5313,2,0)</f>
        <v>21.51</v>
      </c>
      <c r="E315">
        <f>VLOOKUP(A315,'10년'!$A$2:$B$5000,2,0)</f>
        <v>4.125</v>
      </c>
      <c r="F315">
        <f>VLOOKUP(A315,'5년'!$A$2:$B$5000,2,0)</f>
        <v>3.8730000000000002</v>
      </c>
      <c r="G315">
        <v>78.849999999999994</v>
      </c>
      <c r="H315">
        <v>95.31</v>
      </c>
    </row>
    <row r="316" spans="1:8" x14ac:dyDescent="0.4">
      <c r="A316" s="1">
        <v>45750</v>
      </c>
      <c r="B316" s="3">
        <f>'S&amp;P500'!B317</f>
        <v>5074.08</v>
      </c>
      <c r="C316" s="3">
        <f>나스닥!B317</f>
        <v>15587.79</v>
      </c>
      <c r="D316">
        <f>VLOOKUP(A316,VIX!$A$2:B5314,2,0)</f>
        <v>30.02</v>
      </c>
      <c r="E316">
        <f>VLOOKUP(A316,'10년'!$A$2:$B$5000,2,0)</f>
        <v>4.0359999999999996</v>
      </c>
      <c r="F316">
        <f>VLOOKUP(A316,'5년'!$A$2:$B$5000,2,0)</f>
        <v>3.7360000000000002</v>
      </c>
      <c r="G316">
        <v>77.87</v>
      </c>
      <c r="H316">
        <v>96.29</v>
      </c>
    </row>
    <row r="317" spans="1:8" x14ac:dyDescent="0.4">
      <c r="A317" s="1">
        <v>45751</v>
      </c>
      <c r="B317" s="3">
        <f>'S&amp;P500'!B318</f>
        <v>5062.25</v>
      </c>
      <c r="C317" s="3">
        <f>나스닥!B318</f>
        <v>15603.26</v>
      </c>
      <c r="D317">
        <f>VLOOKUP(A317,VIX!$A$2:B5315,2,0)</f>
        <v>45.31</v>
      </c>
      <c r="E317">
        <f>VLOOKUP(A317,'10년'!$A$2:$B$5000,2,0)</f>
        <v>3.9990000000000001</v>
      </c>
      <c r="F317">
        <f>VLOOKUP(A317,'5년'!$A$2:$B$5000,2,0)</f>
        <v>3.7040000000000002</v>
      </c>
      <c r="G317">
        <v>76.760000000000005</v>
      </c>
      <c r="H317">
        <v>96.56</v>
      </c>
    </row>
    <row r="318" spans="1:8" x14ac:dyDescent="0.4">
      <c r="A318" s="1">
        <v>45754</v>
      </c>
      <c r="B318" s="3">
        <f>'S&amp;P500'!B319</f>
        <v>4982.7700000000004</v>
      </c>
      <c r="C318" s="3">
        <f>나스닥!B319</f>
        <v>15267.91</v>
      </c>
      <c r="D318">
        <f>VLOOKUP(A318,VIX!$A$2:B5316,2,0)</f>
        <v>46.98</v>
      </c>
      <c r="E318">
        <f>VLOOKUP(A318,'10년'!$A$2:$B$5000,2,0)</f>
        <v>4.2009999999999996</v>
      </c>
      <c r="F318">
        <f>VLOOKUP(A318,'5년'!$A$2:$B$5000,2,0)</f>
        <v>3.8849999999999998</v>
      </c>
      <c r="G318">
        <v>76.099999999999994</v>
      </c>
      <c r="H318">
        <v>95.41</v>
      </c>
    </row>
    <row r="319" spans="1:8" x14ac:dyDescent="0.4">
      <c r="A319" s="1">
        <v>45755</v>
      </c>
      <c r="B319" s="3">
        <f>'S&amp;P500'!B320</f>
        <v>5456.9</v>
      </c>
      <c r="C319" s="3">
        <f>나스닥!B320</f>
        <v>17124.97</v>
      </c>
      <c r="D319">
        <f>VLOOKUP(A319,VIX!$A$2:B5317,2,0)</f>
        <v>52.33</v>
      </c>
      <c r="E319">
        <f>VLOOKUP(A319,'10년'!$A$2:$B$5000,2,0)</f>
        <v>4.2889999999999997</v>
      </c>
      <c r="F319">
        <f>VLOOKUP(A319,'5년'!$A$2:$B$5000,2,0)</f>
        <v>3.9169999999999998</v>
      </c>
      <c r="G319">
        <v>75.75</v>
      </c>
      <c r="H319">
        <v>94.93</v>
      </c>
    </row>
    <row r="320" spans="1:8" x14ac:dyDescent="0.4">
      <c r="A320" s="1">
        <v>45756</v>
      </c>
      <c r="B320" s="3">
        <f>'S&amp;P500'!B321</f>
        <v>5268.05</v>
      </c>
      <c r="C320" s="3">
        <f>나스닥!B321</f>
        <v>16387.310000000001</v>
      </c>
      <c r="D320">
        <f>VLOOKUP(A320,VIX!$A$2:B5318,2,0)</f>
        <v>33.619999999999997</v>
      </c>
      <c r="E320">
        <f>VLOOKUP(A320,'10년'!$A$2:$B$5000,2,0)</f>
        <v>4.3250000000000002</v>
      </c>
      <c r="F320">
        <f>VLOOKUP(A320,'5년'!$A$2:$B$5000,2,0)</f>
        <v>4.0460000000000003</v>
      </c>
      <c r="G320">
        <v>77.78</v>
      </c>
      <c r="H320">
        <v>94.63</v>
      </c>
    </row>
    <row r="321" spans="1:8" x14ac:dyDescent="0.4">
      <c r="A321" s="1">
        <v>45757</v>
      </c>
      <c r="B321" s="3">
        <f>'S&amp;P500'!B322</f>
        <v>5363.36</v>
      </c>
      <c r="C321" s="3">
        <f>나스닥!B322</f>
        <v>16724.46</v>
      </c>
      <c r="D321">
        <f>VLOOKUP(A321,VIX!$A$2:B5319,2,0)</f>
        <v>40.72</v>
      </c>
      <c r="E321">
        <f>VLOOKUP(A321,'10년'!$A$2:$B$5000,2,0)</f>
        <v>4.4240000000000004</v>
      </c>
      <c r="F321">
        <f>VLOOKUP(A321,'5년'!$A$2:$B$5000,2,0)</f>
        <v>4.07</v>
      </c>
      <c r="G321">
        <v>76.510000000000005</v>
      </c>
      <c r="H321">
        <v>94.04</v>
      </c>
    </row>
    <row r="322" spans="1:8" x14ac:dyDescent="0.4">
      <c r="A322" s="1">
        <v>45758</v>
      </c>
      <c r="B322" s="3">
        <f>'S&amp;P500'!B323</f>
        <v>5405.97</v>
      </c>
      <c r="C322" s="3">
        <f>나스닥!B323</f>
        <v>16831.48</v>
      </c>
      <c r="D322">
        <f>VLOOKUP(A322,VIX!$A$2:B5320,2,0)</f>
        <v>37.56</v>
      </c>
      <c r="E322">
        <f>VLOOKUP(A322,'10년'!$A$2:$B$5000,2,0)</f>
        <v>4.4950000000000001</v>
      </c>
      <c r="F322">
        <f>VLOOKUP(A322,'5년'!$A$2:$B$5000,2,0)</f>
        <v>4.1680000000000001</v>
      </c>
      <c r="G322">
        <v>76.739999999999995</v>
      </c>
      <c r="H322">
        <v>93.51</v>
      </c>
    </row>
    <row r="323" spans="1:8" x14ac:dyDescent="0.4">
      <c r="A323" s="1">
        <v>45761</v>
      </c>
      <c r="B323" s="3">
        <f>'S&amp;P500'!B324</f>
        <v>5396.63</v>
      </c>
      <c r="C323" s="3">
        <f>나스닥!B324</f>
        <v>16823.169999999998</v>
      </c>
      <c r="D323">
        <f>VLOOKUP(A323,VIX!$A$2:B5321,2,0)</f>
        <v>30.89</v>
      </c>
      <c r="E323">
        <f>VLOOKUP(A323,'10년'!$A$2:$B$5000,2,0)</f>
        <v>4.383</v>
      </c>
      <c r="F323">
        <f>VLOOKUP(A323,'5년'!$A$2:$B$5000,2,0)</f>
        <v>4.0170000000000003</v>
      </c>
      <c r="G323">
        <v>77.12</v>
      </c>
      <c r="H323">
        <v>94.26</v>
      </c>
    </row>
    <row r="324" spans="1:8" x14ac:dyDescent="0.4">
      <c r="A324" s="1">
        <v>45762</v>
      </c>
      <c r="B324" s="3">
        <f>'S&amp;P500'!B325</f>
        <v>5275.7</v>
      </c>
      <c r="C324" s="3">
        <f>나스닥!B325</f>
        <v>16307.16</v>
      </c>
      <c r="D324">
        <f>VLOOKUP(A324,VIX!$A$2:B5322,2,0)</f>
        <v>30.12</v>
      </c>
      <c r="E324">
        <f>VLOOKUP(A324,'10년'!$A$2:$B$5000,2,0)</f>
        <v>4.3390000000000004</v>
      </c>
      <c r="F324">
        <f>VLOOKUP(A324,'5년'!$A$2:$B$5000,2,0)</f>
        <v>3.9870000000000001</v>
      </c>
      <c r="G324">
        <v>77.33</v>
      </c>
      <c r="H324">
        <v>94.54</v>
      </c>
    </row>
    <row r="325" spans="1:8" x14ac:dyDescent="0.4">
      <c r="A325" s="1">
        <v>45763</v>
      </c>
      <c r="B325" s="3">
        <f>'S&amp;P500'!B326</f>
        <v>5282.7</v>
      </c>
      <c r="C325" s="3">
        <f>나스닥!B326</f>
        <v>16286.45</v>
      </c>
      <c r="D325">
        <f>VLOOKUP(A325,VIX!$A$2:B5323,2,0)</f>
        <v>32.64</v>
      </c>
      <c r="E325">
        <f>VLOOKUP(A325,'10년'!$A$2:$B$5000,2,0)</f>
        <v>4.28</v>
      </c>
      <c r="F325">
        <f>VLOOKUP(A325,'5년'!$A$2:$B$5000,2,0)</f>
        <v>3.9079999999999999</v>
      </c>
      <c r="G325">
        <v>77.319999999999993</v>
      </c>
      <c r="H325">
        <v>94.95</v>
      </c>
    </row>
    <row r="326" spans="1:8" x14ac:dyDescent="0.4">
      <c r="A326" s="1">
        <v>45764</v>
      </c>
      <c r="B326" s="3">
        <f>'S&amp;P500'!B327</f>
        <v>5158.2</v>
      </c>
      <c r="C326" s="3">
        <f>나스닥!B327</f>
        <v>15870.9</v>
      </c>
      <c r="D326">
        <f>VLOOKUP(A326,VIX!$A$2:B5324,2,0)</f>
        <v>29.65</v>
      </c>
      <c r="E326">
        <f>VLOOKUP(A326,'10년'!$A$2:$B$5000,2,0)</f>
        <v>4.3319999999999999</v>
      </c>
      <c r="F326">
        <f>VLOOKUP(A326,'5년'!$A$2:$B$5000,2,0)</f>
        <v>3.9409999999999998</v>
      </c>
      <c r="G326">
        <v>77.77</v>
      </c>
      <c r="H326">
        <v>94.68</v>
      </c>
    </row>
    <row r="327" spans="1:8" x14ac:dyDescent="0.4">
      <c r="A327" s="1">
        <v>45768</v>
      </c>
      <c r="B327" s="3">
        <f>'S&amp;P500'!B328</f>
        <v>5287.76</v>
      </c>
      <c r="C327" s="3">
        <f>나스닥!B328</f>
        <v>16300.42</v>
      </c>
      <c r="D327">
        <f>VLOOKUP(A327,VIX!$A$2:B5325,2,0)</f>
        <v>33.82</v>
      </c>
      <c r="E327">
        <f>VLOOKUP(A327,'10년'!$A$2:$B$5000,2,0)</f>
        <v>4.4160000000000004</v>
      </c>
      <c r="F327">
        <f>VLOOKUP(A327,'5년'!$A$2:$B$5000,2,0)</f>
        <v>3.9790000000000001</v>
      </c>
      <c r="G327">
        <v>77.31</v>
      </c>
      <c r="H327">
        <v>94.17</v>
      </c>
    </row>
    <row r="328" spans="1:8" x14ac:dyDescent="0.4">
      <c r="A328" s="1">
        <v>45769</v>
      </c>
      <c r="B328" s="3">
        <f>'S&amp;P500'!B329</f>
        <v>5375.86</v>
      </c>
      <c r="C328" s="3">
        <f>나스닥!B329</f>
        <v>16708.05</v>
      </c>
      <c r="D328">
        <f>VLOOKUP(A328,VIX!$A$2:B5326,2,0)</f>
        <v>30.57</v>
      </c>
      <c r="E328">
        <f>VLOOKUP(A328,'10년'!$A$2:$B$5000,2,0)</f>
        <v>4.4000000000000004</v>
      </c>
      <c r="F328">
        <f>VLOOKUP(A328,'5년'!$A$2:$B$5000,2,0)</f>
        <v>3.992</v>
      </c>
      <c r="G328">
        <v>77.61</v>
      </c>
      <c r="H328">
        <v>94.24</v>
      </c>
    </row>
    <row r="329" spans="1:8" x14ac:dyDescent="0.4">
      <c r="A329" s="1">
        <v>45770</v>
      </c>
      <c r="B329" s="3">
        <f>'S&amp;P500'!B330</f>
        <v>5484.77</v>
      </c>
      <c r="C329" s="3">
        <f>나스닥!B330</f>
        <v>17166.04</v>
      </c>
      <c r="D329">
        <f>VLOOKUP(A329,VIX!$A$2:B5327,2,0)</f>
        <v>28.45</v>
      </c>
      <c r="E329">
        <f>VLOOKUP(A329,'10년'!$A$2:$B$5000,2,0)</f>
        <v>4.3840000000000003</v>
      </c>
      <c r="F329">
        <f>VLOOKUP(A329,'5년'!$A$2:$B$5000,2,0)</f>
        <v>4.0170000000000003</v>
      </c>
      <c r="G329">
        <v>78</v>
      </c>
      <c r="H329">
        <v>94.34</v>
      </c>
    </row>
    <row r="330" spans="1:8" x14ac:dyDescent="0.4">
      <c r="A330" s="1">
        <v>45771</v>
      </c>
      <c r="B330" s="3">
        <f>'S&amp;P500'!B331</f>
        <v>5525.21</v>
      </c>
      <c r="C330" s="3">
        <f>나스닥!B331</f>
        <v>17382.939999999999</v>
      </c>
      <c r="D330">
        <f>VLOOKUP(A330,VIX!$A$2:B5328,2,0)</f>
        <v>26.47</v>
      </c>
      <c r="E330">
        <f>VLOOKUP(A330,'10년'!$A$2:$B$5000,2,0)</f>
        <v>4.3140000000000001</v>
      </c>
      <c r="F330">
        <f>VLOOKUP(A330,'5년'!$A$2:$B$5000,2,0)</f>
        <v>3.931</v>
      </c>
      <c r="G330">
        <v>78.7</v>
      </c>
      <c r="H330">
        <v>94.85</v>
      </c>
    </row>
    <row r="331" spans="1:8" x14ac:dyDescent="0.4">
      <c r="A331" s="1">
        <v>45772</v>
      </c>
      <c r="B331" s="3">
        <f>'S&amp;P500'!B332</f>
        <v>5528.75</v>
      </c>
      <c r="C331" s="3">
        <f>나스닥!B332</f>
        <v>17366.13</v>
      </c>
      <c r="D331">
        <f>VLOOKUP(A331,VIX!$A$2:B5329,2,0)</f>
        <v>24.84</v>
      </c>
      <c r="E331">
        <f>VLOOKUP(A331,'10년'!$A$2:$B$5000,2,0)</f>
        <v>4.2539999999999996</v>
      </c>
      <c r="F331">
        <f>VLOOKUP(A331,'5년'!$A$2:$B$5000,2,0)</f>
        <v>3.8759999999999999</v>
      </c>
      <c r="G331">
        <v>78.77</v>
      </c>
      <c r="H331">
        <v>95.21</v>
      </c>
    </row>
    <row r="332" spans="1:8" x14ac:dyDescent="0.4">
      <c r="A332" s="1">
        <v>45775</v>
      </c>
      <c r="B332" s="3">
        <f>'S&amp;P500'!B333</f>
        <v>5560.83</v>
      </c>
      <c r="C332" s="3">
        <f>나스닥!B333</f>
        <v>17461.32</v>
      </c>
      <c r="D332">
        <f>VLOOKUP(A332,VIX!$A$2:B5330,2,0)</f>
        <v>25.15</v>
      </c>
      <c r="E332">
        <f>VLOOKUP(A332,'10년'!$A$2:$B$5000,2,0)</f>
        <v>4.2050000000000001</v>
      </c>
      <c r="F332">
        <f>VLOOKUP(A332,'5년'!$A$2:$B$5000,2,0)</f>
        <v>3.8069999999999999</v>
      </c>
      <c r="G332">
        <v>78.81</v>
      </c>
      <c r="H332">
        <v>95.59</v>
      </c>
    </row>
    <row r="333" spans="1:8" x14ac:dyDescent="0.4">
      <c r="A333" s="1">
        <v>45776</v>
      </c>
      <c r="B333" s="3">
        <f>'S&amp;P500'!B334</f>
        <v>5569.06</v>
      </c>
      <c r="C333" s="3">
        <f>나스닥!B334</f>
        <v>17446.34</v>
      </c>
      <c r="D333">
        <f>VLOOKUP(A333,VIX!$A$2:B5331,2,0)</f>
        <v>24.17</v>
      </c>
      <c r="E333">
        <f>VLOOKUP(A333,'10년'!$A$2:$B$5000,2,0)</f>
        <v>4.1710000000000003</v>
      </c>
      <c r="F333">
        <f>VLOOKUP(A333,'5년'!$A$2:$B$5000,2,0)</f>
        <v>3.7679999999999998</v>
      </c>
      <c r="G333">
        <v>79.02</v>
      </c>
      <c r="H333">
        <v>95.92</v>
      </c>
    </row>
    <row r="334" spans="1:8" x14ac:dyDescent="0.4">
      <c r="A334" s="1">
        <v>45777</v>
      </c>
      <c r="B334" s="3">
        <f>'S&amp;P500'!B335</f>
        <v>5604.14</v>
      </c>
      <c r="C334" s="3">
        <f>나스닥!B335</f>
        <v>17710.740000000002</v>
      </c>
      <c r="D334">
        <f>VLOOKUP(A334,VIX!$A$2:B5332,2,0)</f>
        <v>24.7</v>
      </c>
      <c r="E334">
        <f>VLOOKUP(A334,'10년'!$A$2:$B$5000,2,0)</f>
        <v>4.1669999999999998</v>
      </c>
      <c r="F334">
        <f>VLOOKUP(A334,'5년'!$A$2:$B$5000,2,0)</f>
        <v>3.7320000000000002</v>
      </c>
      <c r="G334">
        <v>78.599999999999994</v>
      </c>
      <c r="H334">
        <v>96.07</v>
      </c>
    </row>
    <row r="335" spans="1:8" x14ac:dyDescent="0.4">
      <c r="A335" s="1">
        <v>45778</v>
      </c>
      <c r="B335" s="3">
        <f>'S&amp;P500'!B336</f>
        <v>5686.67</v>
      </c>
      <c r="C335" s="3">
        <f>나스닥!B336</f>
        <v>17977.73</v>
      </c>
      <c r="D335">
        <f>VLOOKUP(A335,VIX!$A$2:B5333,2,0)</f>
        <v>24.6</v>
      </c>
      <c r="E335">
        <f>VLOOKUP(A335,'10년'!$A$2:$B$5000,2,0)</f>
        <v>4.2149999999999999</v>
      </c>
      <c r="F335">
        <f>VLOOKUP(A335,'5년'!$A$2:$B$5000,2,0)</f>
        <v>3.798</v>
      </c>
      <c r="G335">
        <v>78.3</v>
      </c>
      <c r="H335">
        <v>95.34</v>
      </c>
    </row>
    <row r="336" spans="1:8" x14ac:dyDescent="0.4">
      <c r="A336" s="1">
        <v>45779</v>
      </c>
      <c r="B336" s="3">
        <f>'S&amp;P500'!B337</f>
        <v>5650.38</v>
      </c>
      <c r="C336" s="3">
        <f>나스닥!B337</f>
        <v>17844.240000000002</v>
      </c>
      <c r="D336">
        <f>VLOOKUP(A336,VIX!$A$2:B5334,2,0)</f>
        <v>22.68</v>
      </c>
      <c r="E336">
        <f>VLOOKUP(A336,'10년'!$A$2:$B$5000,2,0)</f>
        <v>4.3070000000000004</v>
      </c>
      <c r="F336">
        <f>VLOOKUP(A336,'5년'!$A$2:$B$5000,2,0)</f>
        <v>3.9159999999999999</v>
      </c>
      <c r="G336">
        <v>78.540000000000006</v>
      </c>
      <c r="H336">
        <v>94.7</v>
      </c>
    </row>
    <row r="337" spans="1:8" x14ac:dyDescent="0.4">
      <c r="A337" s="1">
        <v>45782</v>
      </c>
      <c r="B337" s="3">
        <f>'S&amp;P500'!B338</f>
        <v>5606.84</v>
      </c>
      <c r="C337" s="3">
        <f>나스닥!B338</f>
        <v>17689.66</v>
      </c>
      <c r="D337">
        <f>VLOOKUP(A337,VIX!$A$2:B5335,2,0)</f>
        <v>23.64</v>
      </c>
      <c r="E337">
        <f>VLOOKUP(A337,'10년'!$A$2:$B$5000,2,0)</f>
        <v>4.3479999999999999</v>
      </c>
      <c r="F337">
        <f>VLOOKUP(A337,'5년'!$A$2:$B$5000,2,0)</f>
        <v>3.9449999999999998</v>
      </c>
      <c r="G337">
        <v>78.510000000000005</v>
      </c>
      <c r="H337">
        <v>94.53</v>
      </c>
    </row>
    <row r="338" spans="1:8" x14ac:dyDescent="0.4">
      <c r="A338" s="1">
        <v>45783</v>
      </c>
      <c r="B338" s="3">
        <f>'S&amp;P500'!B339</f>
        <v>5629.67</v>
      </c>
      <c r="C338" s="3">
        <f>나스닥!B339</f>
        <v>17738.16</v>
      </c>
      <c r="D338">
        <f>VLOOKUP(A338,VIX!$A$2:B5336,2,0)</f>
        <v>24.76</v>
      </c>
      <c r="E338">
        <f>VLOOKUP(A338,'10년'!$A$2:$B$5000,2,0)</f>
        <v>4.298</v>
      </c>
      <c r="F338">
        <f>VLOOKUP(A338,'5년'!$A$2:$B$5000,2,0)</f>
        <v>3.8940000000000001</v>
      </c>
      <c r="G338">
        <v>78.44</v>
      </c>
      <c r="H338">
        <v>94.77</v>
      </c>
    </row>
    <row r="339" spans="1:8" x14ac:dyDescent="0.4">
      <c r="A339" s="1">
        <v>45784</v>
      </c>
      <c r="B339" s="3">
        <f>'S&amp;P500'!B340</f>
        <v>5663.95</v>
      </c>
      <c r="C339" s="3">
        <f>나스닥!B340</f>
        <v>17928.14</v>
      </c>
      <c r="D339">
        <f>VLOOKUP(A339,VIX!$A$2:B5337,2,0)</f>
        <v>23.55</v>
      </c>
      <c r="E339">
        <f>VLOOKUP(A339,'10년'!$A$2:$B$5000,2,0)</f>
        <v>4.2679999999999998</v>
      </c>
      <c r="F339">
        <f>VLOOKUP(A339,'5년'!$A$2:$B$5000,2,0)</f>
        <v>3.8639999999999999</v>
      </c>
      <c r="G339">
        <f>VLOOKUP(A339,HYG!$A$2:$B$5000,2,0)</f>
        <v>78.52</v>
      </c>
      <c r="H339">
        <f>VLOOKUP(A339,IEF!$A$2:$B$5000,2,0)</f>
        <v>95.02</v>
      </c>
    </row>
    <row r="340" spans="1:8" x14ac:dyDescent="0.4">
      <c r="A340" s="1">
        <v>45785</v>
      </c>
      <c r="B340" s="3">
        <f>'S&amp;P500'!B341</f>
        <v>5659.91</v>
      </c>
      <c r="C340" s="3">
        <f>나스닥!B341</f>
        <v>17928.919999999998</v>
      </c>
      <c r="D340">
        <f>VLOOKUP(A340,VIX!$A$2:B5338,2,0)</f>
        <v>22.45</v>
      </c>
      <c r="E340">
        <f>VLOOKUP(A340,'10년'!$A$2:$B$5000,2,0)</f>
        <v>4.3819999999999997</v>
      </c>
      <c r="F340">
        <f>VLOOKUP(A340,'5년'!$A$2:$B$5000,2,0)</f>
        <v>3.988</v>
      </c>
      <c r="G340">
        <f>VLOOKUP(A340,HYG!$A$2:$B$5000,2,0)</f>
        <v>78.5</v>
      </c>
      <c r="H340">
        <f>VLOOKUP(A340,IEF!$A$2:$B$5000,2,0)</f>
        <v>94.27</v>
      </c>
    </row>
    <row r="341" spans="1:8" x14ac:dyDescent="0.4">
      <c r="A341" s="1">
        <v>45786</v>
      </c>
      <c r="B341" s="3">
        <f>'S&amp;P500'!B342</f>
        <v>5834.11</v>
      </c>
      <c r="C341" s="3">
        <f>나스닥!B342</f>
        <v>18705.84</v>
      </c>
      <c r="D341">
        <f>VLOOKUP(A341,VIX!$A$2:B5339,2,0)</f>
        <v>21.9</v>
      </c>
      <c r="E341">
        <f>VLOOKUP(A341,'10년'!$A$2:$B$5000,2,0)</f>
        <v>4.3810000000000002</v>
      </c>
      <c r="F341">
        <f>VLOOKUP(A341,'5년'!$A$2:$B$5000,2,0)</f>
        <v>4</v>
      </c>
      <c r="G341">
        <f>VLOOKUP(A341,HYG!$A$2:$B$5000,2,0)</f>
        <v>78.55</v>
      </c>
      <c r="H341">
        <f>VLOOKUP(A341,IEF!$A$2:$B$5000,2,0)</f>
        <v>94.35</v>
      </c>
    </row>
    <row r="342" spans="1:8" x14ac:dyDescent="0.4">
      <c r="A342" s="1">
        <v>45789</v>
      </c>
      <c r="B342" s="3">
        <f>'S&amp;P500'!B343</f>
        <v>5901.18</v>
      </c>
      <c r="C342" s="3">
        <f>나스닥!B343</f>
        <v>19010.09</v>
      </c>
      <c r="D342">
        <f>VLOOKUP(A342,VIX!$A$2:B5340,2,0)</f>
        <v>18.350000000000001</v>
      </c>
      <c r="E342">
        <f>VLOOKUP(A342,'10년'!$A$2:$B$5000,2,0)</f>
        <v>4.46</v>
      </c>
      <c r="F342">
        <f>VLOOKUP(A342,'5년'!$A$2:$B$5000,2,0)</f>
        <v>4.1059999999999999</v>
      </c>
      <c r="G342">
        <f>VLOOKUP(A342,HYG!$A$2:$B$5000,2,0)</f>
        <v>79.36</v>
      </c>
      <c r="H342">
        <f>VLOOKUP(A342,IEF!$A$2:$B$5000,2,0)</f>
        <v>93.75</v>
      </c>
    </row>
    <row r="343" spans="1:8" x14ac:dyDescent="0.4">
      <c r="A343" s="1">
        <v>45790</v>
      </c>
      <c r="B343" s="3">
        <f>'S&amp;P500'!B344</f>
        <v>5892.58</v>
      </c>
      <c r="C343" s="3">
        <f>나스닥!B344</f>
        <v>19146.810000000001</v>
      </c>
      <c r="D343">
        <f>VLOOKUP(A343,VIX!$A$2:B5341,2,0)</f>
        <v>18.22</v>
      </c>
      <c r="E343">
        <f>VLOOKUP(A343,'10년'!$A$2:$B$5000,2,0)</f>
        <v>4.4800000000000004</v>
      </c>
      <c r="F343">
        <f>VLOOKUP(A343,'5년'!$A$2:$B$5000,2,0)</f>
        <v>4.101</v>
      </c>
      <c r="G343">
        <f>VLOOKUP(A343,HYG!$A$2:$B$5000,2,0)</f>
        <v>79.44</v>
      </c>
      <c r="H343">
        <f>VLOOKUP(A343,IEF!$A$2:$B$5000,2,0)</f>
        <v>93.68</v>
      </c>
    </row>
    <row r="344" spans="1:8" x14ac:dyDescent="0.4">
      <c r="A344" s="1">
        <v>45791</v>
      </c>
      <c r="B344" s="3">
        <f>'S&amp;P500'!B345</f>
        <v>5916.93</v>
      </c>
      <c r="C344" s="3">
        <f>나스닥!B345</f>
        <v>19112.32</v>
      </c>
      <c r="D344">
        <f>VLOOKUP(A344,VIX!$A$2:B5342,2,0)</f>
        <v>18.62</v>
      </c>
      <c r="E344">
        <f>VLOOKUP(A344,'10년'!$A$2:$B$5000,2,0)</f>
        <v>4.5419999999999998</v>
      </c>
      <c r="F344">
        <f>VLOOKUP(A344,'5년'!$A$2:$B$5000,2,0)</f>
        <v>4.1719999999999997</v>
      </c>
      <c r="G344">
        <f>VLOOKUP(A344,HYG!$A$2:$B$5000,2,0)</f>
        <v>79.180000000000007</v>
      </c>
      <c r="H344">
        <f>VLOOKUP(A344,IEF!$A$2:$B$5000,2,0)</f>
        <v>93.33</v>
      </c>
    </row>
    <row r="345" spans="1:8" x14ac:dyDescent="0.4">
      <c r="A345" s="1">
        <v>45792</v>
      </c>
      <c r="B345" s="3">
        <f>'S&amp;P500'!B346</f>
        <v>5958.38</v>
      </c>
      <c r="C345" s="3">
        <f>나스닥!B346</f>
        <v>19211.099999999999</v>
      </c>
      <c r="D345">
        <f>VLOOKUP(A345,VIX!$A$2:B5343,2,0)</f>
        <v>17.82</v>
      </c>
      <c r="E345">
        <f>VLOOKUP(A345,'10년'!$A$2:$B$5000,2,0)</f>
        <v>4.4379999999999997</v>
      </c>
      <c r="F345">
        <f>VLOOKUP(A345,'5년'!$A$2:$B$5000,2,0)</f>
        <v>4.0570000000000004</v>
      </c>
      <c r="G345">
        <f>VLOOKUP(A345,HYG!$A$2:$B$5000,2,0)</f>
        <v>79.33</v>
      </c>
      <c r="H345">
        <f>VLOOKUP(A345,IEF!$A$2:$B$5000,2,0)</f>
        <v>93.94</v>
      </c>
    </row>
    <row r="346" spans="1:8" x14ac:dyDescent="0.4">
      <c r="A346" s="1">
        <v>45793</v>
      </c>
      <c r="B346" s="3">
        <f>'S&amp;P500'!B347</f>
        <v>5963.59</v>
      </c>
      <c r="C346" s="3">
        <f>나스닥!B347</f>
        <v>19191.060000000001</v>
      </c>
      <c r="D346">
        <f>VLOOKUP(A346,VIX!$A$2:B5344,2,0)</f>
        <v>17.239999999999998</v>
      </c>
      <c r="E346">
        <f>VLOOKUP(A346,'10년'!$A$2:$B$5000,2,0)</f>
        <v>4.4429999999999996</v>
      </c>
      <c r="F346">
        <f>VLOOKUP(A346,'5년'!$A$2:$B$5000,2,0)</f>
        <v>4.069</v>
      </c>
      <c r="G346">
        <f>VLOOKUP(A346,HYG!$A$2:$B$5000,2,0)</f>
        <v>79.42</v>
      </c>
      <c r="H346">
        <f>VLOOKUP(A346,IEF!$A$2:$B$5000,2,0)</f>
        <v>93.97</v>
      </c>
    </row>
    <row r="347" spans="1:8" x14ac:dyDescent="0.4">
      <c r="A347" s="1">
        <v>45796</v>
      </c>
      <c r="B347" s="3">
        <f>'S&amp;P500'!B348</f>
        <v>5940.46</v>
      </c>
      <c r="C347" s="3">
        <f>나스닥!B348</f>
        <v>19142.71</v>
      </c>
      <c r="D347">
        <f>VLOOKUP(A347,VIX!$A$2:B5345,2,0)</f>
        <v>18.149999999999999</v>
      </c>
      <c r="E347">
        <f>VLOOKUP(A347,'10년'!$A$2:$B$5000,2,0)</f>
        <v>4.4509999999999996</v>
      </c>
      <c r="F347">
        <f>VLOOKUP(A347,'5년'!$A$2:$B$5000,2,0)</f>
        <v>4.0609999999999999</v>
      </c>
      <c r="G347">
        <f>VLOOKUP(A347,HYG!$A$2:$B$5000,2,0)</f>
        <v>79.38</v>
      </c>
      <c r="H347">
        <f>VLOOKUP(A347,IEF!$A$2:$B$5000,2,0)</f>
        <v>93.91</v>
      </c>
    </row>
    <row r="348" spans="1:8" x14ac:dyDescent="0.4">
      <c r="A348" s="1">
        <v>45797</v>
      </c>
      <c r="B348" s="3">
        <f>'S&amp;P500'!B349</f>
        <v>5849.47</v>
      </c>
      <c r="C348" s="3">
        <f>나스닥!B349</f>
        <v>18872.64</v>
      </c>
      <c r="D348">
        <f>VLOOKUP(A348,VIX!$A$2:B5346,2,0)</f>
        <v>18.100000000000001</v>
      </c>
      <c r="E348">
        <f>VLOOKUP(A348,'10년'!$A$2:$B$5000,2,0)</f>
        <v>4.4820000000000002</v>
      </c>
      <c r="F348">
        <f>VLOOKUP(A348,'5년'!$A$2:$B$5000,2,0)</f>
        <v>4.0679999999999996</v>
      </c>
      <c r="G348">
        <f>VLOOKUP(A348,HYG!$A$2:$B$5000,2,0)</f>
        <v>79.34</v>
      </c>
      <c r="H348">
        <f>VLOOKUP(A348,IEF!$A$2:$B$5000,2,0)</f>
        <v>93.8</v>
      </c>
    </row>
    <row r="349" spans="1:8" x14ac:dyDescent="0.4">
      <c r="A349" s="1">
        <v>45798</v>
      </c>
      <c r="B349" s="3">
        <f>'S&amp;P500'!B350</f>
        <v>5842.88</v>
      </c>
      <c r="C349" s="3">
        <f>나스닥!B350</f>
        <v>19026.41</v>
      </c>
      <c r="D349">
        <f>VLOOKUP(A349,VIX!$A$2:B5347,2,0)</f>
        <v>20.88</v>
      </c>
      <c r="E349">
        <f>VLOOKUP(A349,'10년'!$A$2:$B$5000,2,0)</f>
        <v>4.5940000000000003</v>
      </c>
      <c r="F349">
        <f>VLOOKUP(A349,'5년'!$A$2:$B$5000,2,0)</f>
        <v>4.1580000000000004</v>
      </c>
      <c r="G349">
        <f>VLOOKUP(A349,HYG!$A$2:$B$5000,2,0)</f>
        <v>78.81</v>
      </c>
      <c r="H349">
        <f>VLOOKUP(A349,IEF!$A$2:$B$5000,2,0)</f>
        <v>93.15</v>
      </c>
    </row>
    <row r="350" spans="1:8" x14ac:dyDescent="0.4">
      <c r="A350" s="1">
        <v>45799</v>
      </c>
      <c r="B350" s="3">
        <f>'S&amp;P500'!B351</f>
        <v>5802.83</v>
      </c>
      <c r="C350" s="3">
        <f>나스닥!B351</f>
        <v>18737.21</v>
      </c>
      <c r="D350">
        <f>VLOOKUP(A350,VIX!$A$2:B5348,2,0)</f>
        <v>19.73</v>
      </c>
      <c r="E350">
        <f>VLOOKUP(A350,'10년'!$A$2:$B$5000,2,0)</f>
        <v>4.5410000000000004</v>
      </c>
      <c r="F350">
        <f>VLOOKUP(A350,'5년'!$A$2:$B$5000,2,0)</f>
        <v>4.09</v>
      </c>
      <c r="G350">
        <f>VLOOKUP(A350,HYG!$A$2:$B$5000,2,0)</f>
        <v>78.959999999999994</v>
      </c>
      <c r="H350">
        <f>VLOOKUP(A350,IEF!$A$2:$B$5000,2,0)</f>
        <v>93.5</v>
      </c>
    </row>
    <row r="351" spans="1:8" x14ac:dyDescent="0.4">
      <c r="A351" s="1">
        <v>45800</v>
      </c>
      <c r="B351" s="3">
        <f>'S&amp;P500'!B352</f>
        <v>5921.54</v>
      </c>
      <c r="C351" s="3">
        <f>나스닥!B352</f>
        <v>19199.16</v>
      </c>
      <c r="D351">
        <f>VLOOKUP(A351,VIX!$A$2:B5349,2,0)</f>
        <v>22.29</v>
      </c>
      <c r="E351">
        <f>VLOOKUP(A351,'10년'!$A$2:$B$5000,2,0)</f>
        <v>4.5209999999999999</v>
      </c>
      <c r="F351">
        <f>VLOOKUP(A351,'5년'!$A$2:$B$5000,2,0)</f>
        <v>4.077</v>
      </c>
      <c r="G351">
        <f>VLOOKUP(A351,HYG!$A$2:$B$5000,2,0)</f>
        <v>78.95</v>
      </c>
      <c r="H351">
        <f>VLOOKUP(A351,IEF!$A$2:$B$5000,2,0)</f>
        <v>93.77</v>
      </c>
    </row>
    <row r="352" spans="1:8" x14ac:dyDescent="0.4">
      <c r="A352" s="1">
        <v>45804</v>
      </c>
      <c r="B352" s="3">
        <f>'S&amp;P500'!B353</f>
        <v>5888.56</v>
      </c>
      <c r="C352" s="3">
        <f>나스닥!B353</f>
        <v>19100.939999999999</v>
      </c>
      <c r="D352">
        <f>VLOOKUP(A352,VIX!$A$2:B5350,2,0)</f>
        <v>18.98</v>
      </c>
      <c r="E352">
        <f>VLOOKUP(A352,'10년'!$A$2:$B$5000,2,0)</f>
        <v>4.4450000000000003</v>
      </c>
      <c r="F352">
        <f>VLOOKUP(A352,'5년'!$A$2:$B$5000,2,0)</f>
        <v>4.032</v>
      </c>
      <c r="G352">
        <f>VLOOKUP(A352,HYG!$A$2:$B$5000,2,0)</f>
        <v>79.430000000000007</v>
      </c>
      <c r="H352">
        <f>VLOOKUP(A352,IEF!$A$2:$B$5000,2,0)</f>
        <v>94.16</v>
      </c>
    </row>
    <row r="353" spans="1:8" x14ac:dyDescent="0.4">
      <c r="A353" s="1">
        <v>45805</v>
      </c>
      <c r="B353" s="3">
        <f>'S&amp;P500'!B354</f>
        <v>5912.17</v>
      </c>
      <c r="C353" s="3">
        <f>나스닥!B354</f>
        <v>19175.87</v>
      </c>
      <c r="D353">
        <f>VLOOKUP(A353,VIX!$A$2:B5351,2,0)</f>
        <v>19.3</v>
      </c>
      <c r="E353">
        <f>VLOOKUP(A353,'10년'!$A$2:$B$5000,2,0)</f>
        <v>4.4740000000000002</v>
      </c>
      <c r="F353">
        <f>VLOOKUP(A353,'5년'!$A$2:$B$5000,2,0)</f>
        <v>4.0609999999999999</v>
      </c>
      <c r="G353">
        <f>VLOOKUP(A353,HYG!$A$2:$B$5000,2,0)</f>
        <v>79.38</v>
      </c>
      <c r="H353">
        <f>VLOOKUP(A353,IEF!$A$2:$B$5000,2,0)</f>
        <v>93.9</v>
      </c>
    </row>
    <row r="354" spans="1:8" x14ac:dyDescent="0.4">
      <c r="A354" s="1">
        <v>45806</v>
      </c>
      <c r="B354" s="3">
        <f>'S&amp;P500'!B355</f>
        <v>5911.69</v>
      </c>
      <c r="C354" s="3">
        <f>나스닥!B355</f>
        <v>19113.77</v>
      </c>
      <c r="D354">
        <f>VLOOKUP(A354,VIX!$A$2:B5352,2,0)</f>
        <v>19.18</v>
      </c>
      <c r="E354">
        <f>VLOOKUP(A354,'10년'!$A$2:$B$5000,2,0)</f>
        <v>4.4240000000000004</v>
      </c>
      <c r="F354">
        <f>VLOOKUP(A354,'5년'!$A$2:$B$5000,2,0)</f>
        <v>4.0019999999999998</v>
      </c>
      <c r="G354">
        <f>VLOOKUP(A354,HYG!$A$2:$B$5000,2,0)</f>
        <v>79.5</v>
      </c>
      <c r="H354">
        <f>VLOOKUP(A354,IEF!$A$2:$B$5000,2,0)</f>
        <v>94.29</v>
      </c>
    </row>
    <row r="355" spans="1:8" x14ac:dyDescent="0.4">
      <c r="A355" s="1">
        <v>45807</v>
      </c>
      <c r="B355" s="3">
        <f>'S&amp;P500'!B356</f>
        <v>5935.94</v>
      </c>
      <c r="C355" s="3">
        <f>나스닥!B356</f>
        <v>19242.61</v>
      </c>
      <c r="D355">
        <f>VLOOKUP(A355,VIX!$A$2:B5353,2,0)</f>
        <v>18.57</v>
      </c>
      <c r="E355">
        <f>VLOOKUP(A355,'10년'!$A$2:$B$5000,2,0)</f>
        <v>4.3970000000000002</v>
      </c>
      <c r="F355">
        <f>VLOOKUP(A355,'5년'!$A$2:$B$5000,2,0)</f>
        <v>3.9590000000000001</v>
      </c>
      <c r="G355">
        <f>VLOOKUP(A355,HYG!$A$2:$B$5000,2,0)</f>
        <v>79.569999999999993</v>
      </c>
      <c r="H355">
        <f>VLOOKUP(A355,IEF!$A$2:$B$5000,2,0)</f>
        <v>94.57</v>
      </c>
    </row>
    <row r="356" spans="1:8" x14ac:dyDescent="0.4">
      <c r="A356" s="1">
        <v>45810</v>
      </c>
      <c r="B356" s="3">
        <f>'S&amp;P500'!B357</f>
        <v>5970.38</v>
      </c>
      <c r="C356" s="3">
        <f>나스닥!B357</f>
        <v>19378.330000000002</v>
      </c>
      <c r="D356">
        <f>VLOOKUP(A356,VIX!$A$2:B5354,2,0)</f>
        <v>18.36</v>
      </c>
      <c r="E356">
        <f>VLOOKUP(A356,'10년'!$A$2:$B$5000,2,0)</f>
        <v>4.4390000000000001</v>
      </c>
      <c r="F356">
        <f>VLOOKUP(A356,'5년'!$A$2:$B$5000,2,0)</f>
        <v>4.0030000000000001</v>
      </c>
      <c r="G356">
        <f>VLOOKUP(A356,HYG!$A$2:$B$5000,2,0)</f>
        <v>79.180000000000007</v>
      </c>
      <c r="H356">
        <f>VLOOKUP(A356,IEF!$A$2:$B$5000,2,0)</f>
        <v>93.95</v>
      </c>
    </row>
    <row r="357" spans="1:8" x14ac:dyDescent="0.4">
      <c r="A357" s="1">
        <v>45811</v>
      </c>
      <c r="B357" s="3">
        <f>'S&amp;P500'!B358</f>
        <v>5970.81</v>
      </c>
      <c r="C357" s="3">
        <f>나스닥!B358</f>
        <v>19460.490000000002</v>
      </c>
      <c r="D357">
        <f>VLOOKUP(A357,VIX!$A$2:B5355,2,0)</f>
        <v>17.690000000000001</v>
      </c>
      <c r="E357">
        <f>VLOOKUP(A357,'10년'!$A$2:$B$5000,2,0)</f>
        <v>4.45</v>
      </c>
      <c r="F357">
        <f>VLOOKUP(A357,'5년'!$A$2:$B$5000,2,0)</f>
        <v>4.024</v>
      </c>
      <c r="G357">
        <f>VLOOKUP(A357,HYG!$A$2:$B$5000,2,0)</f>
        <v>79.33</v>
      </c>
      <c r="H357">
        <f>VLOOKUP(A357,IEF!$A$2:$B$5000,2,0)</f>
        <v>93.85</v>
      </c>
    </row>
    <row r="358" spans="1:8" x14ac:dyDescent="0.4">
      <c r="A358" s="1">
        <v>45812</v>
      </c>
      <c r="B358" s="3">
        <f>'S&amp;P500'!B359</f>
        <v>5939.3</v>
      </c>
      <c r="C358" s="3">
        <f>나스닥!B359</f>
        <v>19298.45</v>
      </c>
      <c r="D358">
        <f>VLOOKUP(A358,VIX!$A$2:B5356,2,0)</f>
        <v>17.600000000000001</v>
      </c>
      <c r="E358">
        <f>VLOOKUP(A358,'10년'!$A$2:$B$5000,2,0)</f>
        <v>4.3559999999999999</v>
      </c>
      <c r="F358">
        <f>VLOOKUP(A358,'5년'!$A$2:$B$5000,2,0)</f>
        <v>3.923</v>
      </c>
      <c r="G358">
        <f>VLOOKUP(A358,HYG!$A$2:$B$5000,2,0)</f>
        <v>79.48</v>
      </c>
      <c r="H358">
        <f>VLOOKUP(A358,IEF!$A$2:$B$5000,2,0)</f>
        <v>94.53</v>
      </c>
    </row>
    <row r="359" spans="1:8" x14ac:dyDescent="0.4">
      <c r="A359" s="1">
        <v>45813</v>
      </c>
      <c r="B359" s="3">
        <f>'S&amp;P500'!B360</f>
        <v>6000.36</v>
      </c>
      <c r="C359" s="3">
        <f>나스닥!B360</f>
        <v>19529.95</v>
      </c>
      <c r="D359">
        <f>VLOOKUP(A359,VIX!$A$2:B5357,2,0)</f>
        <v>18.48</v>
      </c>
      <c r="E359">
        <f>VLOOKUP(A359,'10년'!$A$2:$B$5000,2,0)</f>
        <v>4.3890000000000002</v>
      </c>
      <c r="F359">
        <f>VLOOKUP(A359,'5년'!$A$2:$B$5000,2,0)</f>
        <v>3.9889999999999999</v>
      </c>
      <c r="G359">
        <f>VLOOKUP(A359,HYG!$A$2:$B$5000,2,0)</f>
        <v>79.31</v>
      </c>
      <c r="H359">
        <f>VLOOKUP(A359,IEF!$A$2:$B$5000,2,0)</f>
        <v>94.26</v>
      </c>
    </row>
    <row r="360" spans="1:8" x14ac:dyDescent="0.4">
      <c r="A360" s="1">
        <v>45814</v>
      </c>
      <c r="B360" s="3">
        <f>'S&amp;P500'!B361</f>
        <v>6005.88</v>
      </c>
      <c r="C360" s="3">
        <f>나스닥!B361</f>
        <v>19591.240000000002</v>
      </c>
      <c r="D360">
        <f>VLOOKUP(A360,VIX!$A$2:B5358,2,0)</f>
        <v>16.77</v>
      </c>
      <c r="E360">
        <f>VLOOKUP(A360,'10년'!$A$2:$B$5000,2,0)</f>
        <v>4.5049999999999999</v>
      </c>
      <c r="F360">
        <f>VLOOKUP(A360,'5년'!$A$2:$B$5000,2,0)</f>
        <v>4.1180000000000003</v>
      </c>
      <c r="G360">
        <f>VLOOKUP(A360,HYG!$A$2:$B$5000,2,0)</f>
        <v>79.3</v>
      </c>
      <c r="H360">
        <f>VLOOKUP(A360,IEF!$A$2:$B$5000,2,0)</f>
        <v>93.51</v>
      </c>
    </row>
    <row r="361" spans="1:8" x14ac:dyDescent="0.4">
      <c r="A361" s="1">
        <v>45817</v>
      </c>
      <c r="B361" s="3">
        <f>'S&amp;P500'!B362</f>
        <v>6040.16</v>
      </c>
      <c r="C361" s="3">
        <f>나스닥!B362</f>
        <v>19714.990000000002</v>
      </c>
      <c r="D361">
        <f>VLOOKUP(A361,VIX!$A$2:B5359,2,0)</f>
        <v>17.170000000000002</v>
      </c>
      <c r="E361">
        <f>VLOOKUP(A361,'10년'!$A$2:$B$5000,2,0)</f>
        <v>4.4829999999999997</v>
      </c>
      <c r="F361">
        <f>VLOOKUP(A361,'5년'!$A$2:$B$5000,2,0)</f>
        <v>4.0819999999999999</v>
      </c>
      <c r="G361">
        <f>VLOOKUP(A361,HYG!$A$2:$B$5000,2,0)</f>
        <v>79.34</v>
      </c>
      <c r="H361">
        <f>VLOOKUP(A361,IEF!$A$2:$B$5000,2,0)</f>
        <v>93.68</v>
      </c>
    </row>
    <row r="362" spans="1:8" x14ac:dyDescent="0.4">
      <c r="A362" s="1">
        <v>45818</v>
      </c>
      <c r="B362" s="3">
        <f>'S&amp;P500'!B363</f>
        <v>6024.67</v>
      </c>
      <c r="C362" s="3">
        <f>나스닥!B363</f>
        <v>19578.37</v>
      </c>
      <c r="D362">
        <f>VLOOKUP(A362,VIX!$A$2:B5360,2,0)</f>
        <v>16.87</v>
      </c>
      <c r="E362">
        <f>VLOOKUP(A362,'10년'!$A$2:$B$5000,2,0)</f>
        <v>4.47</v>
      </c>
      <c r="F362">
        <f>VLOOKUP(A362,'5년'!$A$2:$B$5000,2,0)</f>
        <v>4.0860000000000003</v>
      </c>
      <c r="G362">
        <f>VLOOKUP(A362,HYG!$A$2:$B$5000,2,0)</f>
        <v>79.53</v>
      </c>
      <c r="H362">
        <f>VLOOKUP(A362,IEF!$A$2:$B$5000,2,0)</f>
        <v>93.83</v>
      </c>
    </row>
    <row r="363" spans="1:8" x14ac:dyDescent="0.4">
      <c r="A363" s="1">
        <v>45819</v>
      </c>
      <c r="B363" s="3">
        <f>'S&amp;P500'!B364</f>
        <v>6045.94</v>
      </c>
      <c r="C363" s="3">
        <f>나스닥!B364</f>
        <v>19662.490000000002</v>
      </c>
      <c r="D363">
        <f>VLOOKUP(A363,VIX!$A$2:B5361,2,0)</f>
        <v>17.25</v>
      </c>
      <c r="E363">
        <f>VLOOKUP(A363,'10년'!$A$2:$B$5000,2,0)</f>
        <v>4.4219999999999997</v>
      </c>
      <c r="F363">
        <f>VLOOKUP(A363,'5년'!$A$2:$B$5000,2,0)</f>
        <v>4.0190000000000001</v>
      </c>
      <c r="G363">
        <f>VLOOKUP(A363,HYG!$A$2:$B$5000,2,0)</f>
        <v>79.510000000000005</v>
      </c>
      <c r="H363">
        <f>VLOOKUP(A363,IEF!$A$2:$B$5000,2,0)</f>
        <v>94.23</v>
      </c>
    </row>
    <row r="364" spans="1:8" x14ac:dyDescent="0.4">
      <c r="A364" s="1">
        <v>45820</v>
      </c>
      <c r="B364" s="3">
        <f>'S&amp;P500'!B365</f>
        <v>5976.97</v>
      </c>
      <c r="C364" s="3">
        <f>나스닥!B365</f>
        <v>19406.830000000002</v>
      </c>
      <c r="D364">
        <f>VLOOKUP(A364,VIX!$A$2:B5362,2,0)</f>
        <v>17.940000000000001</v>
      </c>
      <c r="E364">
        <f>VLOOKUP(A364,'10년'!$A$2:$B$5000,2,0)</f>
        <v>4.3559999999999999</v>
      </c>
      <c r="F364">
        <f>VLOOKUP(A364,'5년'!$A$2:$B$5000,2,0)</f>
        <v>3.9649999999999999</v>
      </c>
      <c r="G364">
        <f>VLOOKUP(A364,HYG!$A$2:$B$5000,2,0)</f>
        <v>79.58</v>
      </c>
      <c r="H364">
        <f>VLOOKUP(A364,IEF!$A$2:$B$5000,2,0)</f>
        <v>94.64</v>
      </c>
    </row>
    <row r="365" spans="1:8" x14ac:dyDescent="0.4">
      <c r="A365" s="1">
        <v>45821</v>
      </c>
      <c r="B365" s="3">
        <f>'S&amp;P500'!B366</f>
        <v>6033.11</v>
      </c>
      <c r="C365" s="3">
        <f>나스닥!B366</f>
        <v>19701.21</v>
      </c>
      <c r="D365">
        <f>VLOOKUP(A365,VIX!$A$2:B5363,2,0)</f>
        <v>20.82</v>
      </c>
      <c r="E365">
        <f>VLOOKUP(A365,'10년'!$A$2:$B$5000,2,0)</f>
        <v>4.4059999999999997</v>
      </c>
      <c r="F365">
        <f>VLOOKUP(A365,'5년'!$A$2:$B$5000,2,0)</f>
        <v>4.0049999999999999</v>
      </c>
      <c r="G365">
        <f>VLOOKUP(A365,HYG!$A$2:$B$5000,2,0)</f>
        <v>79.36</v>
      </c>
      <c r="H365">
        <f>VLOOKUP(A365,IEF!$A$2:$B$5000,2,0)</f>
        <v>94.29</v>
      </c>
    </row>
    <row r="366" spans="1:8" x14ac:dyDescent="0.4">
      <c r="A366" s="1">
        <v>45824</v>
      </c>
      <c r="B366" s="3">
        <f>'S&amp;P500'!B367</f>
        <v>5982.72</v>
      </c>
      <c r="C366" s="3">
        <f>나스닥!B367</f>
        <v>19521.09</v>
      </c>
      <c r="D366">
        <f>VLOOKUP(A366,VIX!$A$2:B5364,2,0)</f>
        <v>19.149999999999999</v>
      </c>
      <c r="E366">
        <f>VLOOKUP(A366,'10년'!$A$2:$B$5000,2,0)</f>
        <v>4.4539999999999997</v>
      </c>
      <c r="F366">
        <f>VLOOKUP(A366,'5년'!$A$2:$B$5000,2,0)</f>
        <v>4.0359999999999996</v>
      </c>
      <c r="G366">
        <f>VLOOKUP(A366,HYG!$A$2:$B$5000,2,0)</f>
        <v>79.52</v>
      </c>
      <c r="H366">
        <f>VLOOKUP(A366,IEF!$A$2:$B$5000,2,0)</f>
        <v>94.02</v>
      </c>
    </row>
    <row r="367" spans="1:8" x14ac:dyDescent="0.4">
      <c r="A367" s="1">
        <v>45825</v>
      </c>
      <c r="B367" s="3">
        <f>'S&amp;P500'!B368</f>
        <v>5980.86</v>
      </c>
      <c r="C367" s="3">
        <f>나스닥!B368</f>
        <v>19546.27</v>
      </c>
      <c r="D367">
        <f>VLOOKUP(A367,VIX!$A$2:B5365,2,0)</f>
        <v>21.62</v>
      </c>
      <c r="E367">
        <f>VLOOKUP(A367,'10년'!$A$2:$B$5000,2,0)</f>
        <v>4.3899999999999997</v>
      </c>
      <c r="F367">
        <f>VLOOKUP(A367,'5년'!$A$2:$B$5000,2,0)</f>
        <v>3.9870000000000001</v>
      </c>
      <c r="G367">
        <f>VLOOKUP(A367,HYG!$A$2:$B$5000,2,0)</f>
        <v>79.430000000000007</v>
      </c>
      <c r="H367">
        <f>VLOOKUP(A367,IEF!$A$2:$B$5000,2,0)</f>
        <v>94.47</v>
      </c>
    </row>
    <row r="368" spans="1:8" x14ac:dyDescent="0.4">
      <c r="A368" s="1">
        <v>45826</v>
      </c>
      <c r="B368" s="3">
        <f>'S&amp;P500'!B369</f>
        <v>5967.82</v>
      </c>
      <c r="C368" s="3">
        <f>나스닥!B369</f>
        <v>19447.41</v>
      </c>
      <c r="D368">
        <f>VLOOKUP(A368,VIX!$A$2:B5366,2,0)</f>
        <v>20.149999999999999</v>
      </c>
      <c r="E368">
        <f>VLOOKUP(A368,'10년'!$A$2:$B$5000,2,0)</f>
        <v>4.3920000000000003</v>
      </c>
      <c r="F368">
        <f>VLOOKUP(A368,'5년'!$A$2:$B$5000,2,0)</f>
        <v>3.9860000000000002</v>
      </c>
      <c r="G368">
        <f>VLOOKUP(A368,HYG!$A$2:$B$5000,2,0)</f>
        <v>79.55</v>
      </c>
      <c r="H368">
        <f>VLOOKUP(A368,IEF!$A$2:$B$5000,2,0)</f>
        <v>94.54</v>
      </c>
    </row>
    <row r="369" spans="1:8" x14ac:dyDescent="0.4">
      <c r="A369" s="1">
        <v>45828</v>
      </c>
      <c r="B369" s="3">
        <f>'S&amp;P500'!B370</f>
        <v>6025.19</v>
      </c>
      <c r="C369" s="3">
        <f>나스닥!B370</f>
        <v>19607.23</v>
      </c>
      <c r="D369">
        <f>VLOOKUP(A369,VIX!$A$2:B5367,2,0)</f>
        <v>20.62</v>
      </c>
      <c r="E369">
        <f>VLOOKUP(A369,'10년'!$A$2:$B$5000,2,0)</f>
        <v>4.3780000000000001</v>
      </c>
      <c r="F369">
        <f>VLOOKUP(A369,'5년'!$A$2:$B$5000,2,0)</f>
        <v>3.9590000000000001</v>
      </c>
      <c r="G369">
        <f>VLOOKUP(A369,HYG!$A$2:$B$5000,2,0)</f>
        <v>79.8</v>
      </c>
      <c r="H369">
        <f>VLOOKUP(A369,IEF!$A$2:$B$5000,2,0)</f>
        <v>94.6</v>
      </c>
    </row>
    <row r="370" spans="1:8" x14ac:dyDescent="0.4">
      <c r="A370" s="1">
        <v>45831</v>
      </c>
      <c r="B370" s="3">
        <f>'S&amp;P500'!B371</f>
        <v>6092.23</v>
      </c>
      <c r="C370" s="3">
        <f>나스닥!B371</f>
        <v>19912.53</v>
      </c>
      <c r="D370">
        <f>VLOOKUP(A370,VIX!$A$2:B5368,2,0)</f>
        <v>19.850000000000001</v>
      </c>
      <c r="E370">
        <f>VLOOKUP(A370,'10년'!$A$2:$B$5000,2,0)</f>
        <v>4.3410000000000002</v>
      </c>
      <c r="F370">
        <f>VLOOKUP(A370,'5년'!$A$2:$B$5000,2,0)</f>
        <v>3.9060000000000001</v>
      </c>
      <c r="G370">
        <f>VLOOKUP(A370,HYG!$A$2:$B$5000,2,0)</f>
        <v>79.95</v>
      </c>
      <c r="H370">
        <f>VLOOKUP(A370,IEF!$A$2:$B$5000,2,0)</f>
        <v>94.93</v>
      </c>
    </row>
    <row r="371" spans="1:8" x14ac:dyDescent="0.4">
      <c r="A371" s="1">
        <v>45832</v>
      </c>
      <c r="B371" s="3">
        <f>'S&amp;P500'!B372</f>
        <v>6093.86</v>
      </c>
      <c r="C371" s="3">
        <f>나스닥!B372</f>
        <v>19973.55</v>
      </c>
      <c r="D371">
        <f>VLOOKUP(A371,VIX!$A$2:B5369,2,0)</f>
        <v>17.48</v>
      </c>
      <c r="E371">
        <f>VLOOKUP(A371,'10년'!$A$2:$B$5000,2,0)</f>
        <v>4.2960000000000003</v>
      </c>
      <c r="F371">
        <f>VLOOKUP(A371,'5년'!$A$2:$B$5000,2,0)</f>
        <v>3.8610000000000002</v>
      </c>
      <c r="G371">
        <f>VLOOKUP(A371,HYG!$A$2:$B$5000,2,0)</f>
        <v>80.16</v>
      </c>
      <c r="H371">
        <f>VLOOKUP(A371,IEF!$A$2:$B$5000,2,0)</f>
        <v>95.25</v>
      </c>
    </row>
    <row r="372" spans="1:8" x14ac:dyDescent="0.4">
      <c r="A372" s="1">
        <v>45833</v>
      </c>
      <c r="B372" s="3">
        <f>'S&amp;P500'!B373</f>
        <v>6141.02</v>
      </c>
      <c r="C372" s="3">
        <f>나스닥!B373</f>
        <v>20167.91</v>
      </c>
      <c r="D372">
        <f>VLOOKUP(A372,VIX!$A$2:B5370,2,0)</f>
        <v>16.77</v>
      </c>
      <c r="E372">
        <f>VLOOKUP(A372,'10년'!$A$2:$B$5000,2,0)</f>
        <v>4.2850000000000001</v>
      </c>
      <c r="F372">
        <f>VLOOKUP(A372,'5년'!$A$2:$B$5000,2,0)</f>
        <v>3.85</v>
      </c>
      <c r="G372">
        <f>VLOOKUP(A372,HYG!$A$2:$B$5000,2,0)</f>
        <v>80.150000000000006</v>
      </c>
      <c r="H372">
        <f>VLOOKUP(A372,IEF!$A$2:$B$5000,2,0)</f>
        <v>95.32</v>
      </c>
    </row>
    <row r="373" spans="1:8" x14ac:dyDescent="0.4">
      <c r="A373" s="1">
        <v>45834</v>
      </c>
      <c r="B373" s="3">
        <f>'S&amp;P500'!B374</f>
        <v>6173.13</v>
      </c>
      <c r="C373" s="3">
        <f>나스닥!B374</f>
        <v>20273.46</v>
      </c>
      <c r="D373">
        <f>VLOOKUP(A373,VIX!$A$2:B5371,2,0)</f>
        <v>16.52</v>
      </c>
      <c r="E373">
        <f>VLOOKUP(A373,'10년'!$A$2:$B$5000,2,0)</f>
        <v>4.2469999999999999</v>
      </c>
      <c r="F373">
        <f>VLOOKUP(A373,'5년'!$A$2:$B$5000,2,0)</f>
        <v>3.7989999999999999</v>
      </c>
      <c r="G373">
        <f>VLOOKUP(A373,HYG!$A$2:$B$5000,2,0)</f>
        <v>80.38</v>
      </c>
      <c r="H373">
        <f>VLOOKUP(A373,IEF!$A$2:$B$5000,2,0)</f>
        <v>95.64</v>
      </c>
    </row>
    <row r="374" spans="1:8" x14ac:dyDescent="0.4">
      <c r="A374" s="1">
        <v>45835</v>
      </c>
      <c r="B374" s="3">
        <f>'S&amp;P500'!B375</f>
        <v>6204.35</v>
      </c>
      <c r="C374" s="3">
        <f>나스닥!B375</f>
        <v>20384.12</v>
      </c>
      <c r="D374">
        <f>VLOOKUP(A374,VIX!$A$2:B5372,2,0)</f>
        <v>16.32</v>
      </c>
      <c r="E374">
        <f>VLOOKUP(A374,'10년'!$A$2:$B$5000,2,0)</f>
        <v>4.28</v>
      </c>
      <c r="F374">
        <f>VLOOKUP(A374,'5년'!$A$2:$B$5000,2,0)</f>
        <v>3.8260000000000001</v>
      </c>
      <c r="G374">
        <f>VLOOKUP(A374,HYG!$A$2:$B$5000,2,0)</f>
        <v>80.34</v>
      </c>
      <c r="H374">
        <f>VLOOKUP(A374,IEF!$A$2:$B$5000,2,0)</f>
        <v>95.39</v>
      </c>
    </row>
    <row r="375" spans="1:8" x14ac:dyDescent="0.4">
      <c r="A375" s="1">
        <v>45838</v>
      </c>
      <c r="B375" s="3">
        <f>'S&amp;P500'!B376</f>
        <v>6197.24</v>
      </c>
      <c r="C375" s="3">
        <f>나스닥!B376</f>
        <v>20202.89</v>
      </c>
      <c r="D375">
        <f>VLOOKUP(A375,VIX!$A$2:B5373,2,0)</f>
        <v>16.73</v>
      </c>
      <c r="E375">
        <f>VLOOKUP(A375,'10년'!$A$2:$B$5000,2,0)</f>
        <v>4.2309999999999999</v>
      </c>
      <c r="F375">
        <f>VLOOKUP(A375,'5년'!$A$2:$B$5000,2,0)</f>
        <v>3.7949999999999999</v>
      </c>
      <c r="G375">
        <f>VLOOKUP(A375,HYG!$A$2:$B$5000,2,0)</f>
        <v>80.64</v>
      </c>
      <c r="H375">
        <f>VLOOKUP(A375,IEF!$A$2:$B$5000,2,0)</f>
        <v>95.77</v>
      </c>
    </row>
    <row r="376" spans="1:8" x14ac:dyDescent="0.4">
      <c r="A376" s="1">
        <v>45839</v>
      </c>
      <c r="B376" s="3">
        <f>'S&amp;P500'!B377</f>
        <v>6227.42</v>
      </c>
      <c r="C376" s="3">
        <f>나스닥!B377</f>
        <v>20393.13</v>
      </c>
      <c r="D376">
        <f>VLOOKUP(A376,VIX!$A$2:B5374,2,0)</f>
        <v>16.829999999999998</v>
      </c>
      <c r="E376">
        <f>VLOOKUP(A376,'10년'!$A$2:$B$5000,2,0)</f>
        <v>4.25</v>
      </c>
      <c r="F376">
        <f>VLOOKUP(A376,'5년'!$A$2:$B$5000,2,0)</f>
        <v>3.835</v>
      </c>
      <c r="G376">
        <f>VLOOKUP(A376,HYG!$A$2:$B$5000,2,0)</f>
        <v>80.2</v>
      </c>
      <c r="H376">
        <f>VLOOKUP(A376,IEF!$A$2:$B$5000,2,0)</f>
        <v>95.29</v>
      </c>
    </row>
    <row r="377" spans="1:8" x14ac:dyDescent="0.4">
      <c r="A377" s="1">
        <v>45840</v>
      </c>
      <c r="B377" s="3">
        <f>'S&amp;P500'!B378</f>
        <v>6279.35</v>
      </c>
      <c r="C377" s="3">
        <f>나스닥!B378</f>
        <v>20601.099999999999</v>
      </c>
      <c r="D377">
        <f>VLOOKUP(A377,VIX!$A$2:B5375,2,0)</f>
        <v>16.63</v>
      </c>
      <c r="E377">
        <f>VLOOKUP(A377,'10년'!$A$2:$B$5000,2,0)</f>
        <v>4.2850000000000001</v>
      </c>
      <c r="F377">
        <f>VLOOKUP(A377,'5년'!$A$2:$B$5000,2,0)</f>
        <v>3.8660000000000001</v>
      </c>
      <c r="G377">
        <f>VLOOKUP(A377,HYG!$A$2:$B$5000,2,0)</f>
        <v>80.319999999999993</v>
      </c>
      <c r="H377">
        <f>VLOOKUP(A377,IEF!$A$2:$B$5000,2,0)</f>
        <v>95.09</v>
      </c>
    </row>
    <row r="378" spans="1:8" x14ac:dyDescent="0.4">
      <c r="A378" s="1">
        <v>45841</v>
      </c>
      <c r="B378" s="3">
        <f>'S&amp;P500'!B379</f>
        <v>6229.98</v>
      </c>
      <c r="C378" s="3">
        <f>나스닥!B379</f>
        <v>20412.52</v>
      </c>
      <c r="D378">
        <f>VLOOKUP(A378,VIX!$A$2:B5376,2,0)</f>
        <v>16.38</v>
      </c>
      <c r="E378">
        <f>VLOOKUP(A378,'10년'!$A$2:$B$5000,2,0)</f>
        <v>4.3369999999999997</v>
      </c>
      <c r="F378">
        <f>VLOOKUP(A378,'5년'!$A$2:$B$5000,2,0)</f>
        <v>3.9390000000000001</v>
      </c>
      <c r="G378">
        <f>VLOOKUP(A378,HYG!$A$2:$B$5000,2,0)</f>
        <v>80.37</v>
      </c>
      <c r="H378">
        <f>VLOOKUP(A378,IEF!$A$2:$B$5000,2,0)</f>
        <v>94.76</v>
      </c>
    </row>
    <row r="379" spans="1:8" x14ac:dyDescent="0.4">
      <c r="A379" s="1">
        <v>45845</v>
      </c>
      <c r="B379" s="3">
        <f>'S&amp;P500'!B380</f>
        <v>6225.32</v>
      </c>
      <c r="C379" s="3">
        <f>나스닥!B380</f>
        <v>20418.46</v>
      </c>
      <c r="D379">
        <f>VLOOKUP(A379,VIX!$A$2:B5377,2,0)</f>
        <v>17.79</v>
      </c>
      <c r="E379">
        <f>VLOOKUP(A379,'10년'!$A$2:$B$5000,2,0)</f>
        <v>4.3860000000000001</v>
      </c>
      <c r="F379">
        <f>VLOOKUP(A379,'5년'!$A$2:$B$5000,2,0)</f>
        <v>3.96</v>
      </c>
      <c r="G379">
        <f>VLOOKUP(A379,HYG!$A$2:$B$5000,2,0)</f>
        <v>80.11</v>
      </c>
      <c r="H379">
        <f>VLOOKUP(A379,IEF!$A$2:$B$5000,2,0)</f>
        <v>94.46</v>
      </c>
    </row>
    <row r="380" spans="1:8" x14ac:dyDescent="0.4">
      <c r="A380" s="1">
        <v>45846</v>
      </c>
      <c r="B380" s="3">
        <f>'S&amp;P500'!B381</f>
        <v>6263.28</v>
      </c>
      <c r="C380" s="3">
        <f>나스닥!B381</f>
        <v>20611.34</v>
      </c>
      <c r="D380">
        <f>VLOOKUP(A380,VIX!$A$2:B5378,2,0)</f>
        <v>16.809999999999999</v>
      </c>
      <c r="E380">
        <f>VLOOKUP(A380,'10년'!$A$2:$B$5000,2,0)</f>
        <v>4.4050000000000002</v>
      </c>
      <c r="F380">
        <f>VLOOKUP(A380,'5년'!$A$2:$B$5000,2,0)</f>
        <v>3.976</v>
      </c>
      <c r="G380">
        <f>VLOOKUP(A380,HYG!$A$2:$B$5000,2,0)</f>
        <v>79.989999999999995</v>
      </c>
      <c r="H380">
        <f>VLOOKUP(A380,IEF!$A$2:$B$5000,2,0)</f>
        <v>94.32</v>
      </c>
    </row>
    <row r="381" spans="1:8" x14ac:dyDescent="0.4">
      <c r="A381" s="1">
        <v>45847</v>
      </c>
      <c r="B381" s="3">
        <f>'S&amp;P500'!B382</f>
        <v>6280.12</v>
      </c>
      <c r="C381" s="3">
        <f>나스닥!B382</f>
        <v>20630.669999999998</v>
      </c>
      <c r="D381">
        <f>VLOOKUP(A381,VIX!$A$2:B5379,2,0)</f>
        <v>15.92</v>
      </c>
      <c r="E381">
        <f>VLOOKUP(A381,'10년'!$A$2:$B$5000,2,0)</f>
        <v>4.335</v>
      </c>
      <c r="F381">
        <f>VLOOKUP(A381,'5년'!$A$2:$B$5000,2,0)</f>
        <v>3.915</v>
      </c>
      <c r="G381">
        <f>VLOOKUP(A381,HYG!$A$2:$B$5000,2,0)</f>
        <v>80.22</v>
      </c>
      <c r="H381">
        <f>VLOOKUP(A381,IEF!$A$2:$B$5000,2,0)</f>
        <v>94.81</v>
      </c>
    </row>
    <row r="382" spans="1:8" x14ac:dyDescent="0.4">
      <c r="A382" s="1">
        <v>45848</v>
      </c>
      <c r="B382" s="3">
        <f>'S&amp;P500'!B383</f>
        <v>6259.75</v>
      </c>
      <c r="C382" s="3">
        <f>나스닥!B383</f>
        <v>20585.53</v>
      </c>
      <c r="D382">
        <f>VLOOKUP(A382,VIX!$A$2:B5380,2,0)</f>
        <v>15.79</v>
      </c>
      <c r="E382">
        <f>VLOOKUP(A382,'10년'!$A$2:$B$5000,2,0)</f>
        <v>4.3460000000000001</v>
      </c>
      <c r="F382">
        <f>VLOOKUP(A382,'5년'!$A$2:$B$5000,2,0)</f>
        <v>3.931</v>
      </c>
      <c r="G382">
        <f>VLOOKUP(A382,HYG!$A$2:$B$5000,2,0)</f>
        <v>80.13</v>
      </c>
      <c r="H382">
        <f>VLOOKUP(A382,IEF!$A$2:$B$5000,2,0)</f>
        <v>94.76</v>
      </c>
    </row>
    <row r="383" spans="1:8" x14ac:dyDescent="0.4">
      <c r="A383" s="1">
        <v>45849</v>
      </c>
      <c r="B383" s="3">
        <f>'S&amp;P500'!B384</f>
        <v>6268.44</v>
      </c>
      <c r="C383" s="3">
        <f>나스닥!B384</f>
        <v>20640.330000000002</v>
      </c>
      <c r="D383">
        <f>VLOOKUP(A383,VIX!$A$2:B5381,2,0)</f>
        <v>16.399999999999999</v>
      </c>
      <c r="E383">
        <f>VLOOKUP(A383,'10년'!$A$2:$B$5000,2,0)</f>
        <v>4.4119999999999999</v>
      </c>
      <c r="F383">
        <f>VLOOKUP(A383,'5년'!$A$2:$B$5000,2,0)</f>
        <v>3.98</v>
      </c>
      <c r="G383">
        <f>VLOOKUP(A383,HYG!$A$2:$B$5000,2,0)</f>
        <v>80.03</v>
      </c>
      <c r="H383">
        <f>VLOOKUP(A383,IEF!$A$2:$B$5000,2,0)</f>
        <v>94.32</v>
      </c>
    </row>
    <row r="384" spans="1:8" x14ac:dyDescent="0.4">
      <c r="A384" s="1">
        <v>45852</v>
      </c>
      <c r="B384" s="3">
        <f>'S&amp;P500'!B385</f>
        <v>6243.71</v>
      </c>
      <c r="C384" s="3">
        <f>나스닥!B385</f>
        <v>20677.8</v>
      </c>
      <c r="D384">
        <f>VLOOKUP(A384,VIX!$A$2:B5382,2,0)</f>
        <v>17.25</v>
      </c>
      <c r="E384">
        <f>VLOOKUP(A384,'10년'!$A$2:$B$5000,2,0)</f>
        <v>4.431</v>
      </c>
      <c r="F384">
        <f>VLOOKUP(A384,'5년'!$A$2:$B$5000,2,0)</f>
        <v>3.99</v>
      </c>
      <c r="G384">
        <f>VLOOKUP(A384,HYG!$A$2:$B$5000,2,0)</f>
        <v>80.09</v>
      </c>
      <c r="H384">
        <f>VLOOKUP(A384,IEF!$A$2:$B$5000,2,0)</f>
        <v>94.28</v>
      </c>
    </row>
    <row r="385" spans="1:13" x14ac:dyDescent="0.4">
      <c r="A385" s="1">
        <v>45853</v>
      </c>
      <c r="B385" s="3">
        <f>'S&amp;P500'!B386</f>
        <v>6263.69</v>
      </c>
      <c r="C385" s="3">
        <f>나스닥!B386</f>
        <v>20743.419999999998</v>
      </c>
      <c r="D385">
        <f>VLOOKUP(A385,VIX!$A$2:B5383,2,0)</f>
        <v>17.350000000000001</v>
      </c>
      <c r="E385">
        <f>VLOOKUP(A385,'10년'!$A$2:$B$5000,2,0)</f>
        <v>4.4880000000000004</v>
      </c>
      <c r="F385">
        <f>VLOOKUP(A385,'5년'!$A$2:$B$5000,2,0)</f>
        <v>4.0430000000000001</v>
      </c>
      <c r="G385">
        <f>VLOOKUP(A385,HYG!$A$2:$B$5000,2,0)</f>
        <v>79.849999999999994</v>
      </c>
      <c r="H385">
        <f>VLOOKUP(A385,IEF!$A$2:$B$5000,2,0)</f>
        <v>93.93</v>
      </c>
    </row>
    <row r="386" spans="1:13" x14ac:dyDescent="0.4">
      <c r="A386" s="1">
        <v>45854</v>
      </c>
      <c r="B386" s="3">
        <f>'S&amp;P500'!B387</f>
        <v>6297.48</v>
      </c>
      <c r="C386" s="3">
        <f>나스닥!B387</f>
        <v>20884.27</v>
      </c>
      <c r="D386">
        <f>VLOOKUP(A386,VIX!$A$2:B5384,2,0)</f>
        <v>17.16</v>
      </c>
      <c r="E386">
        <f>VLOOKUP(A386,'10년'!$A$2:$B$5000,2,0)</f>
        <v>4.4530000000000003</v>
      </c>
      <c r="F386">
        <f>VLOOKUP(A386,'5년'!$A$2:$B$5000,2,0)</f>
        <v>3.9870000000000001</v>
      </c>
      <c r="G386">
        <f>VLOOKUP(A386,HYG!$A$2:$B$5000,2,0)</f>
        <v>80.06</v>
      </c>
      <c r="H386">
        <f>VLOOKUP(A386,IEF!$A$2:$B$5000,2,0)</f>
        <v>94.18</v>
      </c>
    </row>
    <row r="387" spans="1:13" x14ac:dyDescent="0.4">
      <c r="A387" s="1">
        <v>45855</v>
      </c>
      <c r="B387" s="3">
        <f>'S&amp;P500'!B388</f>
        <v>6296.79</v>
      </c>
      <c r="C387" s="3">
        <f>나스닥!B388</f>
        <v>20895.650000000001</v>
      </c>
      <c r="D387">
        <f>VLOOKUP(A387,VIX!$A$2:B5385,2,0)</f>
        <v>16.53</v>
      </c>
      <c r="E387">
        <f>VLOOKUP(A387,'10년'!$A$2:$B$5000,2,0)</f>
        <v>4.4530000000000003</v>
      </c>
      <c r="F387">
        <f>VLOOKUP(A387,'5년'!$A$2:$B$5000,2,0)</f>
        <v>3.99</v>
      </c>
      <c r="G387">
        <f>VLOOKUP(A387,HYG!$A$2:$B$5000,2,0)</f>
        <v>80.14</v>
      </c>
      <c r="H387">
        <f>VLOOKUP(A387,IEF!$A$2:$B$5000,2,0)</f>
        <v>94.14</v>
      </c>
    </row>
    <row r="388" spans="1:13" x14ac:dyDescent="0.4">
      <c r="A388" s="1">
        <v>45856</v>
      </c>
      <c r="B388" s="3">
        <f>'S&amp;P500'!B389</f>
        <v>6305.6</v>
      </c>
      <c r="C388" s="3">
        <f>나스닥!B389</f>
        <v>20974.18</v>
      </c>
      <c r="D388">
        <f>VLOOKUP(A388,VIX!$A$2:B5386,2,0)</f>
        <v>16.41</v>
      </c>
      <c r="E388">
        <f>VLOOKUP(A388,'10년'!$A$2:$B$5000,2,0)</f>
        <v>4.431</v>
      </c>
      <c r="F388">
        <f>VLOOKUP(A388,'5년'!$A$2:$B$5000,2,0)</f>
        <v>3.9609999999999999</v>
      </c>
      <c r="G388">
        <f>VLOOKUP(A388,HYG!$A$2:$B$5000,2,0)</f>
        <v>80.25</v>
      </c>
      <c r="H388">
        <f>VLOOKUP(A388,IEF!$A$2:$B$5000,2,0)</f>
        <v>94.4</v>
      </c>
    </row>
    <row r="389" spans="1:13" x14ac:dyDescent="0.4">
      <c r="A389" s="1">
        <v>45859</v>
      </c>
      <c r="B389" s="3">
        <f>'S&amp;P500'!B390</f>
        <v>6309.59</v>
      </c>
      <c r="C389" s="3">
        <f>나스닥!B390</f>
        <v>20892.689999999999</v>
      </c>
      <c r="D389">
        <f>VLOOKUP(A389,VIX!$A$2:B5387,2,0)</f>
        <v>16.649999999999999</v>
      </c>
      <c r="E389">
        <f>VLOOKUP(A389,'10년'!$A$2:$B$5000,2,0)</f>
        <v>4.3789999999999996</v>
      </c>
      <c r="F389">
        <f>VLOOKUP(A389,'5년'!$A$2:$B$5000,2,0)</f>
        <v>3.9169999999999998</v>
      </c>
      <c r="G389">
        <f>VLOOKUP(A389,HYG!$A$2:$B$5000,2,0)</f>
        <v>80.36</v>
      </c>
      <c r="H389">
        <f>VLOOKUP(A389,IEF!$A$2:$B$5000,2,0)</f>
        <v>94.73</v>
      </c>
    </row>
    <row r="390" spans="1:13" x14ac:dyDescent="0.4">
      <c r="A390" s="1">
        <v>45860</v>
      </c>
      <c r="B390" s="3">
        <f>'S&amp;P500'!B391</f>
        <v>6358.97</v>
      </c>
      <c r="C390" s="3">
        <f>나스닥!B391</f>
        <v>21020.02</v>
      </c>
      <c r="D390">
        <f>VLOOKUP(A390,VIX!$A$2:B5388,2,0)</f>
        <v>16.53</v>
      </c>
      <c r="E390">
        <f>VLOOKUP(A390,'10년'!$A$2:$B$5000,2,0)</f>
        <v>4.3470000000000004</v>
      </c>
      <c r="F390">
        <f>VLOOKUP(A390,'5년'!$A$2:$B$5000,2,0)</f>
        <v>3.8849999999999998</v>
      </c>
      <c r="G390">
        <f>VLOOKUP(A390,HYG!$A$2:$B$5000,2,0)</f>
        <v>80.489999999999995</v>
      </c>
      <c r="H390">
        <f>VLOOKUP(A390,IEF!$A$2:$B$5000,2,0)</f>
        <v>94.98</v>
      </c>
    </row>
    <row r="391" spans="1:13" x14ac:dyDescent="0.4">
      <c r="A391" s="1">
        <v>45861</v>
      </c>
      <c r="B391" s="3">
        <f>'S&amp;P500'!B392</f>
        <v>6363.39</v>
      </c>
      <c r="C391" s="3">
        <f>나스닥!B392</f>
        <v>21057.96</v>
      </c>
      <c r="D391">
        <f>VLOOKUP(A391,VIX!$A$2:B5389,2,0)</f>
        <v>15.38</v>
      </c>
      <c r="E391">
        <f>VLOOKUP(A391,'10년'!$A$2:$B$5000,2,0)</f>
        <v>4.3849999999999998</v>
      </c>
      <c r="F391">
        <f>VLOOKUP(A391,'5년'!$A$2:$B$5000,2,0)</f>
        <v>3.9359999999999999</v>
      </c>
      <c r="G391">
        <f>VLOOKUP(A391,HYG!$A$2:$B$5000,2,0)</f>
        <v>80.540000000000006</v>
      </c>
      <c r="H391">
        <f>VLOOKUP(A391,IEF!$A$2:$B$5000,2,0)</f>
        <v>94.66</v>
      </c>
    </row>
    <row r="392" spans="1:13" ht="28.2" x14ac:dyDescent="0.4">
      <c r="A392" s="1">
        <v>45862</v>
      </c>
      <c r="B392" s="3">
        <f>'S&amp;P500'!B393</f>
        <v>6388.64</v>
      </c>
      <c r="C392" s="3">
        <f>나스닥!B393</f>
        <v>21108.32</v>
      </c>
      <c r="D392">
        <f>VLOOKUP(A392,VIX!$A$2:B5390,2,0)</f>
        <v>15.43</v>
      </c>
      <c r="E392">
        <f>VLOOKUP(A392,'10년'!$A$2:$B$5000,2,0)</f>
        <v>4.3970000000000002</v>
      </c>
      <c r="F392">
        <f>VLOOKUP(A392,'5년'!$A$2:$B$5000,2,0)</f>
        <v>3.9609999999999999</v>
      </c>
      <c r="G392">
        <f>VLOOKUP(A392,HYG!$A$2:$B$5000,2,0)</f>
        <v>80.44</v>
      </c>
      <c r="H392">
        <f>VLOOKUP(A392,IEF!$A$2:$B$5000,2,0)</f>
        <v>94.52</v>
      </c>
      <c r="L392" ph="1"/>
      <c r="M392" ph="1"/>
    </row>
    <row r="393" spans="1:13" x14ac:dyDescent="0.4">
      <c r="A393" s="1">
        <v>45863</v>
      </c>
      <c r="B393" s="3">
        <f>'S&amp;P500'!B394</f>
        <v>6370.89</v>
      </c>
      <c r="C393" s="3">
        <f>나스닥!B394</f>
        <v>21098.29</v>
      </c>
      <c r="D393">
        <f>VLOOKUP(A393,VIX!$A$2:B5391,2,0)</f>
        <v>14.93</v>
      </c>
      <c r="E393">
        <f>VLOOKUP(A393,'10년'!$A$2:$B$5000,2,0)</f>
        <v>4.3860000000000001</v>
      </c>
      <c r="F393">
        <f>VLOOKUP(A393,'5년'!$A$2:$B$5000,2,0)</f>
        <v>3.952</v>
      </c>
      <c r="G393">
        <f>VLOOKUP(A393,HYG!$A$2:$B$5000,2,0)</f>
        <v>80.489999999999995</v>
      </c>
      <c r="H393">
        <f>VLOOKUP(A393,IEF!$A$2:$B$5000,2,0)</f>
        <v>94.74</v>
      </c>
    </row>
    <row r="394" spans="1:13" x14ac:dyDescent="0.4">
      <c r="A394" s="1">
        <v>45867</v>
      </c>
      <c r="B394" s="3">
        <f>'S&amp;P500'!B395</f>
        <v>6362.95</v>
      </c>
      <c r="C394" s="3">
        <f>나스닥!B395</f>
        <v>21129.67</v>
      </c>
      <c r="D394">
        <f>VLOOKUP(A394,VIX!$A$2:B5392,2,0)</f>
        <v>15.98</v>
      </c>
      <c r="E394">
        <f>VLOOKUP(A394,'10년'!$A$2:$B$5000,2,0)</f>
        <v>4.3220000000000001</v>
      </c>
      <c r="F394">
        <f>VLOOKUP(A394,'5년'!$A$2:$B$5000,2,0)</f>
        <v>3.9009999999999998</v>
      </c>
      <c r="G394">
        <f>VLOOKUP(A394,HYG!$A$2:$B$5000,2,0)</f>
        <v>80.48</v>
      </c>
      <c r="H394">
        <f>VLOOKUP(A394,IEF!$A$2:$B$5000,2,0)</f>
        <v>95.15</v>
      </c>
    </row>
    <row r="395" spans="1:13" x14ac:dyDescent="0.4">
      <c r="A395" s="1">
        <v>45868</v>
      </c>
      <c r="B395" s="3">
        <f>'S&amp;P500'!B396</f>
        <v>6340.85</v>
      </c>
      <c r="C395" s="3">
        <f>나스닥!B396</f>
        <v>21122.45</v>
      </c>
      <c r="D395">
        <f>VLOOKUP(A395,VIX!$A$2:B5393,2,0)</f>
        <v>15.6</v>
      </c>
      <c r="E395">
        <f>VLOOKUP(A395,'10년'!$A$2:$B$5000,2,0)</f>
        <v>4.367</v>
      </c>
      <c r="F395">
        <f>VLOOKUP(A395,'5년'!$A$2:$B$5000,2,0)</f>
        <v>3.96</v>
      </c>
      <c r="G395">
        <f>VLOOKUP(A395,HYG!$A$2:$B$5000,2,0)</f>
        <v>80.33</v>
      </c>
      <c r="H395">
        <f>VLOOKUP(A395,IEF!$A$2:$B$5000,2,0)</f>
        <v>94.83</v>
      </c>
    </row>
    <row r="396" spans="1:13" x14ac:dyDescent="0.4">
      <c r="A396" s="1">
        <v>45869</v>
      </c>
      <c r="B396" s="3">
        <f>'S&amp;P500'!B397</f>
        <v>6238.01</v>
      </c>
      <c r="C396" s="3">
        <f>나스닥!B397</f>
        <v>20650.13</v>
      </c>
      <c r="D396">
        <f>VLOOKUP(A396,VIX!$A$2:B5394,2,0)</f>
        <v>16.75</v>
      </c>
      <c r="E396">
        <f>VLOOKUP(A396,'10년'!$A$2:$B$5000,2,0)</f>
        <v>4.375</v>
      </c>
      <c r="F396">
        <f>VLOOKUP(A396,'5년'!$A$2:$B$5000,2,0)</f>
        <v>3.9780000000000002</v>
      </c>
      <c r="G396">
        <f>VLOOKUP(A396,HYG!$A$2:$B$5000,2,0)</f>
        <v>80.38</v>
      </c>
      <c r="H396">
        <f>VLOOKUP(A396,IEF!$A$2:$B$5000,2,0)</f>
        <v>100.09</v>
      </c>
    </row>
    <row r="397" spans="1:13" x14ac:dyDescent="0.4">
      <c r="A397" s="1">
        <v>45870</v>
      </c>
      <c r="B397" s="3">
        <f>'S&amp;P500'!B398</f>
        <v>6329.94</v>
      </c>
      <c r="C397" s="3">
        <f>나스닥!B398</f>
        <v>21053.58</v>
      </c>
      <c r="D397">
        <f>VLOOKUP(A397,VIX!$A$2:B5395,2,0)</f>
        <v>20.41</v>
      </c>
      <c r="E397">
        <f>VLOOKUP(A397,'10년'!$A$2:$B$5000,2,0)</f>
        <v>4.2149999999999999</v>
      </c>
      <c r="F397">
        <f>VLOOKUP(A397,'5년'!$A$2:$B$5000,2,0)</f>
        <v>3.7570000000000001</v>
      </c>
      <c r="G397">
        <f>VLOOKUP(A397,HYG!$A$2:$B$5000,2,0)</f>
        <v>79.98</v>
      </c>
      <c r="H397">
        <f>VLOOKUP(A397,IEF!$A$2:$B$5000,2,0)</f>
        <v>95.68</v>
      </c>
    </row>
    <row r="398" spans="1:13" x14ac:dyDescent="0.4">
      <c r="A398" s="1">
        <v>45873</v>
      </c>
      <c r="B398" s="3">
        <f>'S&amp;P500'!B399</f>
        <v>6299.19</v>
      </c>
      <c r="C398" s="3">
        <f>나스닥!B399</f>
        <v>20916.55</v>
      </c>
      <c r="D398">
        <f>VLOOKUP(A398,VIX!$A$2:B5396,2,0)</f>
        <v>17.52</v>
      </c>
      <c r="E398">
        <f>VLOOKUP(A398,'10년'!$A$2:$B$5000,2,0)</f>
        <v>4.1980000000000004</v>
      </c>
      <c r="F398">
        <f>VLOOKUP(A398,'5년'!$A$2:$B$5000,2,0)</f>
        <v>3.742</v>
      </c>
      <c r="G398">
        <f>VLOOKUP(A398,HYG!$A$2:$B$5000,2,0)</f>
        <v>80.25</v>
      </c>
      <c r="H398">
        <f>VLOOKUP(A398,IEF!$A$2:$B$5000,2,0)</f>
        <v>95.81</v>
      </c>
    </row>
    <row r="399" spans="1:13" x14ac:dyDescent="0.4">
      <c r="A399" s="1">
        <v>45874</v>
      </c>
      <c r="B399" s="3">
        <f>'S&amp;P500'!B400</f>
        <v>6345.08</v>
      </c>
      <c r="C399" s="3">
        <f>나스닥!B400</f>
        <v>21169.42</v>
      </c>
      <c r="D399">
        <f>VLOOKUP(A399,VIX!$A$2:B5397,2,0)</f>
        <v>17.850000000000001</v>
      </c>
      <c r="E399">
        <f>VLOOKUP(A399,'10년'!$A$2:$B$5000,2,0)</f>
        <v>4.1959999999999997</v>
      </c>
      <c r="F399">
        <f>VLOOKUP(A399,'5년'!$A$2:$B$5000,2,0)</f>
        <v>3.762</v>
      </c>
      <c r="G399">
        <f>VLOOKUP(A399,HYG!$A$2:$B$5000,2,0)</f>
        <v>80.209999999999994</v>
      </c>
      <c r="H399">
        <f>VLOOKUP(A399,IEF!$A$2:$B$5000,2,0)</f>
        <v>95.74</v>
      </c>
    </row>
    <row r="400" spans="1:13" x14ac:dyDescent="0.4">
      <c r="A400" s="1">
        <v>45875</v>
      </c>
      <c r="B400" s="3">
        <f>'S&amp;P500'!B401</f>
        <v>6340</v>
      </c>
      <c r="C400" s="3">
        <f>나스닥!B401</f>
        <v>21242.7</v>
      </c>
      <c r="D400">
        <f>VLOOKUP(A400,VIX!$A$2:B5398,2,0)</f>
        <v>16.71</v>
      </c>
      <c r="E400">
        <f>VLOOKUP(A400,'10년'!$A$2:$B$5000,2,0)</f>
        <v>4.2279999999999998</v>
      </c>
      <c r="F400">
        <f>VLOOKUP(A400,'5년'!$A$2:$B$5000,2,0)</f>
        <v>3.7730000000000001</v>
      </c>
      <c r="G400">
        <f>VLOOKUP(A400,HYG!$A$2:$B$5000,2,0)</f>
        <v>80.28</v>
      </c>
      <c r="H400">
        <f>VLOOKUP(A400,IEF!$A$2:$B$5000,2,0)</f>
        <v>95.67</v>
      </c>
    </row>
    <row r="401" spans="1:8" x14ac:dyDescent="0.4">
      <c r="A401" s="1">
        <v>45876</v>
      </c>
      <c r="B401" s="3">
        <f>'S&amp;P500'!B402</f>
        <v>6389.47</v>
      </c>
      <c r="C401" s="3">
        <f>나스닥!B402</f>
        <v>21450.02</v>
      </c>
      <c r="D401">
        <f>VLOOKUP(A401,VIX!$A$2:B5399,2,0)</f>
        <v>16.57</v>
      </c>
      <c r="E401">
        <f>VLOOKUP(A401,'10년'!$A$2:$B$5000,2,0)</f>
        <v>4.2439999999999998</v>
      </c>
      <c r="F401">
        <f>VLOOKUP(A401,'5년'!$A$2:$B$5000,2,0)</f>
        <v>3.7930000000000001</v>
      </c>
      <c r="G401">
        <f>VLOOKUP(A401,HYG!$A$2:$B$5000,2,0)</f>
        <v>80.23</v>
      </c>
      <c r="H401">
        <f>VLOOKUP(A401,IEF!$A$2:$B$5000,2,0)</f>
        <v>95.59</v>
      </c>
    </row>
    <row r="402" spans="1:8" x14ac:dyDescent="0.4">
      <c r="A402" s="1">
        <v>45877</v>
      </c>
      <c r="B402" s="3">
        <f>'S&amp;P500'!B403</f>
        <v>6373.51</v>
      </c>
      <c r="C402" s="3">
        <f>나스닥!B403</f>
        <v>21385.4</v>
      </c>
      <c r="D402">
        <f>VLOOKUP(A402,VIX!$A$2:B5400,2,0)</f>
        <v>15.15</v>
      </c>
      <c r="E402">
        <f>VLOOKUP(A402,'10년'!$A$2:$B$5000,2,0)</f>
        <v>4.2830000000000004</v>
      </c>
      <c r="F402">
        <f>VLOOKUP(A402,'5년'!$A$2:$B$5000,2,0)</f>
        <v>3.831</v>
      </c>
      <c r="G402">
        <f>VLOOKUP(A402,HYG!$A$2:$B$5000,2,0)</f>
        <v>80.22</v>
      </c>
      <c r="H402">
        <f>VLOOKUP(A402,IEF!$A$2:$B$5000,2,0)</f>
        <v>95.37</v>
      </c>
    </row>
    <row r="403" spans="1:8" x14ac:dyDescent="0.4">
      <c r="A403" s="1">
        <v>45880</v>
      </c>
      <c r="B403" s="3">
        <f>'S&amp;P500'!B404</f>
        <v>6445.82</v>
      </c>
      <c r="C403" s="3">
        <f>나스닥!B404</f>
        <v>21681.9</v>
      </c>
      <c r="D403">
        <f>VLOOKUP(A403,VIX!$A$2:B5401,2,0)</f>
        <v>16.12</v>
      </c>
      <c r="E403">
        <f>VLOOKUP(A403,'10년'!$A$2:$B$5000,2,0)</f>
        <v>4.28</v>
      </c>
      <c r="F403">
        <f>VLOOKUP(A403,'5년'!$A$2:$B$5000,2,0)</f>
        <v>3.8330000000000002</v>
      </c>
      <c r="G403">
        <f>VLOOKUP(A403,HYG!$A$2:$B$5000,2,0)</f>
        <v>80.22</v>
      </c>
      <c r="H403">
        <f>VLOOKUP(A403,IEF!$A$2:$B$5000,2,0)</f>
        <v>95.42</v>
      </c>
    </row>
    <row r="404" spans="1:8" x14ac:dyDescent="0.4">
      <c r="A404" s="1">
        <v>45881</v>
      </c>
      <c r="B404" s="3">
        <f>'S&amp;P500'!B405</f>
        <v>6466.58</v>
      </c>
      <c r="C404" s="3">
        <f>나스닥!B405</f>
        <v>21713.14</v>
      </c>
      <c r="D404">
        <f>VLOOKUP(A404,VIX!$A$2:B5402,2,0)</f>
        <v>14.79</v>
      </c>
      <c r="E404">
        <f>VLOOKUP(A404,'10년'!$A$2:$B$5000,2,0)</f>
        <v>4.2869999999999999</v>
      </c>
      <c r="F404">
        <f>VLOOKUP(A404,'5년'!$A$2:$B$5000,2,0)</f>
        <v>3.8210000000000002</v>
      </c>
      <c r="G404">
        <f>VLOOKUP(A404,HYG!$A$2:$B$5000,2,0)</f>
        <v>80.400000000000006</v>
      </c>
      <c r="H404">
        <f>VLOOKUP(A404,IEF!$A$2:$B$5000,2,0)</f>
        <v>95.38</v>
      </c>
    </row>
    <row r="405" spans="1:8" x14ac:dyDescent="0.4">
      <c r="A405" s="1">
        <v>45882</v>
      </c>
      <c r="B405" s="3">
        <f>'S&amp;P500'!B406</f>
        <v>6467.32</v>
      </c>
      <c r="C405" s="3">
        <f>나스닥!B406</f>
        <v>21710.67</v>
      </c>
      <c r="D405">
        <f>VLOOKUP(A405,VIX!$A$2:B5403,2,0)</f>
        <v>14.48</v>
      </c>
      <c r="E405">
        <f>VLOOKUP(A405,'10년'!$A$2:$B$5000,2,0)</f>
        <v>4.2350000000000003</v>
      </c>
      <c r="F405">
        <f>VLOOKUP(A405,'5년'!$A$2:$B$5000,2,0)</f>
        <v>3.7650000000000001</v>
      </c>
      <c r="G405">
        <f>VLOOKUP(A405,HYG!$A$2:$B$5000,2,0)</f>
        <v>80.61</v>
      </c>
      <c r="H405">
        <f>VLOOKUP(A405,IEF!$A$2:$B$5000,2,0)</f>
        <v>95.73</v>
      </c>
    </row>
    <row r="406" spans="1:8" x14ac:dyDescent="0.4">
      <c r="A406" s="1">
        <v>45883</v>
      </c>
      <c r="B406" s="3">
        <f>'S&amp;P500'!B407</f>
        <v>6449.8</v>
      </c>
      <c r="C406" s="3">
        <f>나스닥!B407</f>
        <v>21622.98</v>
      </c>
      <c r="D406">
        <f>VLOOKUP(A406,VIX!$A$2:B5404,2,0)</f>
        <v>14.84</v>
      </c>
      <c r="E406">
        <f>VLOOKUP(A406,'10년'!$A$2:$B$5000,2,0)</f>
        <v>4.2889999999999997</v>
      </c>
      <c r="F406">
        <f>VLOOKUP(A406,'5년'!$A$2:$B$5000,2,0)</f>
        <v>3.8119999999999998</v>
      </c>
      <c r="G406">
        <f>VLOOKUP(A406,HYG!$A$2:$B$5000,2,0)</f>
        <v>80.400000000000006</v>
      </c>
      <c r="H406">
        <f>VLOOKUP(A406,IEF!$A$2:$B$5000,2,0)</f>
        <v>95.43</v>
      </c>
    </row>
    <row r="407" spans="1:8" x14ac:dyDescent="0.4">
      <c r="A407" s="1">
        <v>45884</v>
      </c>
      <c r="B407" s="3">
        <f>'S&amp;P500'!B408</f>
        <v>6448.46</v>
      </c>
      <c r="C407" s="3">
        <f>나스닥!B408</f>
        <v>21629.77</v>
      </c>
      <c r="D407">
        <f>VLOOKUP(A407,VIX!$A$2:B5405,2,0)</f>
        <v>15.09</v>
      </c>
      <c r="E407">
        <f>VLOOKUP(A407,'10년'!$A$2:$B$5000,2,0)</f>
        <v>4.3280000000000003</v>
      </c>
      <c r="F407">
        <f>VLOOKUP(A407,'5년'!$A$2:$B$5000,2,0)</f>
        <v>3.8450000000000002</v>
      </c>
      <c r="G407">
        <f>VLOOKUP(A407,HYG!$A$2:$B$5000,2,0)</f>
        <v>80.459999999999994</v>
      </c>
      <c r="H407">
        <f>VLOOKUP(A407,IEF!$A$2:$B$5000,2,0)</f>
        <v>95.23</v>
      </c>
    </row>
    <row r="408" spans="1:8" x14ac:dyDescent="0.4">
      <c r="A408" s="1">
        <v>45887</v>
      </c>
      <c r="B408" s="3">
        <f>'S&amp;P500'!B409</f>
        <v>6412.35</v>
      </c>
      <c r="C408" s="3">
        <f>나스닥!B409</f>
        <v>21314.95</v>
      </c>
      <c r="D408">
        <f>VLOOKUP(A408,VIX!$A$2:B5406,2,0)</f>
        <v>15.08</v>
      </c>
      <c r="E408">
        <f>VLOOKUP(A408,'10년'!$A$2:$B$5000,2,0)</f>
        <v>4.3360000000000003</v>
      </c>
      <c r="F408">
        <f>VLOOKUP(A408,'5년'!$A$2:$B$5000,2,0)</f>
        <v>3.85</v>
      </c>
      <c r="G408">
        <f>VLOOKUP(A408,HYG!$A$2:$B$5000,2,0)</f>
        <v>80.39</v>
      </c>
      <c r="H408">
        <f>VLOOKUP(A408,IEF!$A$2:$B$5000,2,0)</f>
        <v>95.14</v>
      </c>
    </row>
    <row r="409" spans="1:8" x14ac:dyDescent="0.4">
      <c r="A409" s="1">
        <v>45888</v>
      </c>
      <c r="B409" s="3">
        <f>'S&amp;P500'!B410</f>
        <v>6395.79</v>
      </c>
      <c r="C409" s="3">
        <f>나스닥!B410</f>
        <v>21172.86</v>
      </c>
      <c r="D409">
        <f>VLOOKUP(A409,VIX!$A$2:B5407,2,0)</f>
        <v>15.57</v>
      </c>
      <c r="E409">
        <f>VLOOKUP(A409,'10년'!$A$2:$B$5000,2,0)</f>
        <v>4.3070000000000004</v>
      </c>
      <c r="F409">
        <f>VLOOKUP(A409,'5년'!$A$2:$B$5000,2,0)</f>
        <v>3.827</v>
      </c>
      <c r="G409">
        <f>VLOOKUP(A409,HYG!$A$2:$B$5000,2,0)</f>
        <v>80.39</v>
      </c>
      <c r="H409">
        <f>VLOOKUP(A409,IEF!$A$2:$B$5000,2,0)</f>
        <v>95.38</v>
      </c>
    </row>
    <row r="410" spans="1:8" x14ac:dyDescent="0.4">
      <c r="A410" s="1">
        <v>45889</v>
      </c>
      <c r="B410" s="3">
        <f>'S&amp;P500'!B411</f>
        <v>6370.16</v>
      </c>
      <c r="C410" s="3">
        <f>나스닥!B411</f>
        <v>21100.31</v>
      </c>
      <c r="D410">
        <f>VLOOKUP(A410,VIX!$A$2:B5408,2,0)</f>
        <v>15.72</v>
      </c>
      <c r="E410">
        <f>VLOOKUP(A410,'10년'!$A$2:$B$5000,2,0)</f>
        <v>4.2910000000000004</v>
      </c>
      <c r="F410">
        <f>VLOOKUP(A410,'5년'!$A$2:$B$5000,2,0)</f>
        <v>3.8119999999999998</v>
      </c>
      <c r="G410">
        <f>VLOOKUP(A410,HYG!$A$2:$B$5000,2,0)</f>
        <v>80.349999999999994</v>
      </c>
      <c r="H410">
        <f>VLOOKUP(A410,IEF!$A$2:$B$5000,2,0)</f>
        <v>95.52</v>
      </c>
    </row>
    <row r="411" spans="1:8" x14ac:dyDescent="0.4">
      <c r="A411" s="1">
        <v>45890</v>
      </c>
      <c r="B411" s="3">
        <f>'S&amp;P500'!B412</f>
        <v>6466.92</v>
      </c>
      <c r="C411" s="3">
        <f>나스닥!B412</f>
        <v>21496.54</v>
      </c>
      <c r="D411">
        <f>VLOOKUP(A411,VIX!$A$2:B5409,2,0)</f>
        <v>16.61</v>
      </c>
      <c r="E411">
        <f>VLOOKUP(A411,'10년'!$A$2:$B$5000,2,0)</f>
        <v>4.3289999999999997</v>
      </c>
      <c r="F411">
        <f>VLOOKUP(A411,'5년'!$A$2:$B$5000,2,0)</f>
        <v>3.8570000000000002</v>
      </c>
      <c r="G411">
        <f>VLOOKUP(A411,HYG!$A$2:$B$5000,2,0)</f>
        <v>80.2</v>
      </c>
      <c r="H411">
        <f>VLOOKUP(A411,IEF!$A$2:$B$5000,2,0)</f>
        <v>95.23</v>
      </c>
    </row>
    <row r="412" spans="1:8" x14ac:dyDescent="0.4">
      <c r="A412" s="1">
        <v>45891</v>
      </c>
      <c r="B412" s="3">
        <f>'S&amp;P500'!B413</f>
        <v>6439.32</v>
      </c>
      <c r="C412" s="3">
        <f>나스닥!B413</f>
        <v>21449.29</v>
      </c>
      <c r="D412">
        <f>VLOOKUP(A412,VIX!$A$2:B5410,2,0)</f>
        <v>14.23</v>
      </c>
      <c r="E412">
        <f>VLOOKUP(A412,'10년'!$A$2:$B$5000,2,0)</f>
        <v>4.26</v>
      </c>
      <c r="F412">
        <f>VLOOKUP(A412,'5년'!$A$2:$B$5000,2,0)</f>
        <v>3.7610000000000001</v>
      </c>
      <c r="G412">
        <f>VLOOKUP(A412,HYG!$A$2:$B$5000,2,0)</f>
        <v>80.849999999999994</v>
      </c>
      <c r="H412">
        <f>VLOOKUP(A412,IEF!$A$2:$B$5000,2,0)</f>
        <v>95.76</v>
      </c>
    </row>
    <row r="413" spans="1:8" x14ac:dyDescent="0.4">
      <c r="A413" s="1">
        <v>45894</v>
      </c>
      <c r="B413" s="3">
        <f>'S&amp;P500'!B414</f>
        <v>6465.89</v>
      </c>
      <c r="C413" s="3">
        <f>나스닥!B414</f>
        <v>21544.27</v>
      </c>
      <c r="D413">
        <f>VLOOKUP(A413,VIX!$A$2:B5411,2,0)</f>
        <v>14.79</v>
      </c>
      <c r="E413">
        <f>VLOOKUP(A413,'10년'!$A$2:$B$5000,2,0)</f>
        <v>4.28</v>
      </c>
      <c r="F413">
        <f>VLOOKUP(A413,'5년'!$A$2:$B$5000,2,0)</f>
        <v>3.7850000000000001</v>
      </c>
      <c r="G413">
        <f>VLOOKUP(A413,HYG!$A$2:$B$5000,2,0)</f>
        <v>80.709999999999994</v>
      </c>
      <c r="H413">
        <f>VLOOKUP(A413,IEF!$A$2:$B$5000,2,0)</f>
        <v>95.58</v>
      </c>
    </row>
    <row r="414" spans="1:8" x14ac:dyDescent="0.4">
      <c r="A414" s="1">
        <v>45895</v>
      </c>
      <c r="B414" s="3">
        <f>'S&amp;P500'!B415</f>
        <v>6479.76</v>
      </c>
      <c r="C414" s="3">
        <f>나스닥!B415</f>
        <v>21590.14</v>
      </c>
      <c r="D414">
        <f>VLOOKUP(A414,VIX!$A$2:B5412,2,0)</f>
        <v>14.62</v>
      </c>
      <c r="E414">
        <f>VLOOKUP(A414,'10년'!$A$2:$B$5000,2,0)</f>
        <v>4.26</v>
      </c>
      <c r="F414">
        <f>VLOOKUP(A414,'5년'!$A$2:$B$5000,2,0)</f>
        <v>3.7469999999999999</v>
      </c>
      <c r="G414">
        <f>VLOOKUP(A414,HYG!$A$2:$B$5000,2,0)</f>
        <v>80.87</v>
      </c>
      <c r="H414">
        <f>VLOOKUP(A414,IEF!$A$2:$B$5000,2,0)</f>
        <v>95.84</v>
      </c>
    </row>
    <row r="415" spans="1:8" x14ac:dyDescent="0.4">
      <c r="A415" s="1">
        <v>45896</v>
      </c>
      <c r="B415" s="3">
        <f>'S&amp;P500'!B416</f>
        <v>6501.86</v>
      </c>
      <c r="C415" s="3">
        <f>나스닥!B416</f>
        <v>21705.16</v>
      </c>
      <c r="D415">
        <f>VLOOKUP(A415,VIX!$A$2:B5413,2,0)</f>
        <v>14.87</v>
      </c>
      <c r="E415">
        <f>VLOOKUP(A415,'10년'!$A$2:$B$5000,2,0)</f>
        <v>4.234</v>
      </c>
      <c r="F415">
        <f>VLOOKUP(A415,'5년'!$A$2:$B$5000,2,0)</f>
        <v>3.7</v>
      </c>
      <c r="G415">
        <f>VLOOKUP(A415,HYG!$A$2:$B$5000,2,0)</f>
        <v>80.97</v>
      </c>
      <c r="H415">
        <f>VLOOKUP(A415,IEF!$A$2:$B$5000,2,0)</f>
        <v>96.01</v>
      </c>
    </row>
    <row r="416" spans="1:8" x14ac:dyDescent="0.4">
      <c r="A416" s="1">
        <v>45897</v>
      </c>
      <c r="B416" s="3">
        <f>'S&amp;P500'!B417</f>
        <v>6460.26</v>
      </c>
      <c r="C416" s="3">
        <f>나스닥!B417</f>
        <v>21455.55</v>
      </c>
      <c r="D416">
        <f>VLOOKUP(A416,VIX!$A$2:B5414,2,0)</f>
        <v>14.43</v>
      </c>
      <c r="E416">
        <f>VLOOKUP(A416,'10년'!$A$2:$B$5000,2,0)</f>
        <v>4.2009999999999996</v>
      </c>
      <c r="F416">
        <f>VLOOKUP(A416,'5년'!$A$2:$B$5000,2,0)</f>
        <v>3.6920000000000002</v>
      </c>
      <c r="G416">
        <f>VLOOKUP(A416,HYG!$A$2:$B$5000,2,0)</f>
        <v>81.010000000000005</v>
      </c>
      <c r="H416">
        <f>VLOOKUP(A416,IEF!$A$2:$B$5000,2,0)</f>
        <v>96.22</v>
      </c>
    </row>
    <row r="417" spans="1:8" x14ac:dyDescent="0.4">
      <c r="A417" s="1">
        <v>45898</v>
      </c>
      <c r="B417" s="3">
        <f>'S&amp;P500'!B418</f>
        <v>6413.1</v>
      </c>
      <c r="C417" s="3">
        <f>나스닥!B418</f>
        <v>21279.63</v>
      </c>
      <c r="D417">
        <f>VLOOKUP(A417,VIX!$A$2:B5415,2,0)</f>
        <v>15.36</v>
      </c>
      <c r="E417">
        <f>VLOOKUP(A417,'10년'!$A$2:$B$5000,2,0)</f>
        <v>4.226</v>
      </c>
      <c r="F417">
        <f>VLOOKUP(A417,'5년'!$A$2:$B$5000,2,0)</f>
        <v>3.6989999999999998</v>
      </c>
      <c r="G417">
        <f>VLOOKUP(A417,HYG!$A$2:$B$5000,2,0)</f>
        <v>80.86</v>
      </c>
      <c r="H417">
        <f>VLOOKUP(A417,IEF!$A$2:$B$5000,2,0)</f>
        <v>96.15</v>
      </c>
    </row>
    <row r="418" spans="1:8" x14ac:dyDescent="0.4">
      <c r="A418" s="1">
        <v>45902</v>
      </c>
      <c r="B418" s="3">
        <f>'S&amp;P500'!B419</f>
        <v>6448.18</v>
      </c>
      <c r="C418" s="3">
        <f>나스닥!B419</f>
        <v>21497.73</v>
      </c>
      <c r="D418">
        <f>VLOOKUP(A418,VIX!$A$2:B5416,2,0)</f>
        <v>17.53</v>
      </c>
      <c r="E418">
        <f>VLOOKUP(A418,'10년'!$A$2:$B$5000,2,0)</f>
        <v>4.2770000000000001</v>
      </c>
      <c r="F418">
        <f>VLOOKUP(A418,'5년'!$A$2:$B$5000,2,0)</f>
        <v>3.7360000000000002</v>
      </c>
      <c r="G418">
        <f>VLOOKUP(A418,HYG!$A$2:$B$5000,2,0)</f>
        <v>80.39</v>
      </c>
      <c r="H418">
        <f>VLOOKUP(A418,IEF!$A$2:$B$5000,2,0)</f>
        <v>95.56</v>
      </c>
    </row>
    <row r="419" spans="1:8" x14ac:dyDescent="0.4">
      <c r="A419" s="1">
        <v>45903</v>
      </c>
      <c r="B419" s="3">
        <f>'S&amp;P500'!B420</f>
        <v>6502.08</v>
      </c>
      <c r="C419" s="3">
        <f>나스닥!B420</f>
        <v>21707.69</v>
      </c>
      <c r="D419">
        <f>VLOOKUP(A419,VIX!$A$2:B5417,2,0)</f>
        <v>16.38</v>
      </c>
      <c r="E419">
        <f>VLOOKUP(A419,'10년'!$A$2:$B$5000,2,0)</f>
        <v>4.22</v>
      </c>
      <c r="F419">
        <f>VLOOKUP(A419,'5년'!$A$2:$B$5000,2,0)</f>
        <v>3.6960000000000002</v>
      </c>
      <c r="G419">
        <f>VLOOKUP(A419,HYG!$A$2:$B$5000,2,0)</f>
        <v>80.61</v>
      </c>
      <c r="H419">
        <f>VLOOKUP(A419,IEF!$A$2:$B$5000,2,0)</f>
        <v>95.88</v>
      </c>
    </row>
    <row r="420" spans="1:8" x14ac:dyDescent="0.4">
      <c r="A420" s="1">
        <v>45904</v>
      </c>
      <c r="B420" s="3">
        <f>'S&amp;P500'!B421</f>
        <v>6481.52</v>
      </c>
      <c r="C420" s="3">
        <f>나스닥!B421</f>
        <v>21700.39</v>
      </c>
      <c r="D420">
        <f>VLOOKUP(A420,VIX!$A$2:B5418,2,0)</f>
        <v>15.37</v>
      </c>
      <c r="E420">
        <f>VLOOKUP(A420,'10년'!$A$2:$B$5000,2,0)</f>
        <v>4.1580000000000004</v>
      </c>
      <c r="F420">
        <f>VLOOKUP(A420,'5년'!$A$2:$B$5000,2,0)</f>
        <v>3.6459999999999999</v>
      </c>
      <c r="G420">
        <f>VLOOKUP(A420,HYG!$A$2:$B$5000,2,0)</f>
        <v>80.83</v>
      </c>
      <c r="H420">
        <f>VLOOKUP(A420,IEF!$A$2:$B$5000,2,0)</f>
        <v>96.31</v>
      </c>
    </row>
    <row r="421" spans="1:8" x14ac:dyDescent="0.4">
      <c r="A421" s="1">
        <v>45905</v>
      </c>
      <c r="B421" s="3">
        <f>'S&amp;P500'!B422</f>
        <v>6495.15</v>
      </c>
      <c r="C421" s="3">
        <f>나스닥!B422</f>
        <v>21798.7</v>
      </c>
      <c r="D421">
        <f>VLOOKUP(A421,VIX!$A$2:B5419,2,0)</f>
        <v>15.18</v>
      </c>
      <c r="E421">
        <f>VLOOKUP(A421,'10년'!$A$2:$B$5000,2,0)</f>
        <v>4.0720000000000001</v>
      </c>
      <c r="F421">
        <f>VLOOKUP(A421,'5년'!$A$2:$B$5000,2,0)</f>
        <v>3.589</v>
      </c>
      <c r="G421">
        <f>VLOOKUP(A421,HYG!$A$2:$B$5000,2,0)</f>
        <v>80.87</v>
      </c>
      <c r="H421">
        <f>VLOOKUP(A421,IEF!$A$2:$B$5000,2,0)</f>
        <v>96.79</v>
      </c>
    </row>
    <row r="422" spans="1:8" x14ac:dyDescent="0.4">
      <c r="A422" s="1">
        <v>45908</v>
      </c>
      <c r="B422" s="3">
        <f>'S&amp;P500'!B423</f>
        <v>6512.66</v>
      </c>
      <c r="C422" s="3">
        <f>나스닥!B423</f>
        <v>21879.49</v>
      </c>
      <c r="D422">
        <f>VLOOKUP(A422,VIX!$A$2:B5420,2,0)</f>
        <v>15.13</v>
      </c>
      <c r="E422">
        <f>VLOOKUP(A422,'10년'!$A$2:$B$5000,2,0)</f>
        <v>4.04</v>
      </c>
      <c r="F422">
        <f>VLOOKUP(A422,'5년'!$A$2:$B$5000,2,0)</f>
        <v>3.5640000000000001</v>
      </c>
      <c r="G422">
        <f>VLOOKUP(A422,HYG!$A$2:$B$5000,2,0)</f>
        <v>80.87</v>
      </c>
      <c r="H422">
        <f>VLOOKUP(A422,IEF!$A$2:$B$5000,2,0)</f>
        <v>97.08</v>
      </c>
    </row>
    <row r="423" spans="1:8" x14ac:dyDescent="0.4">
      <c r="A423" s="1">
        <v>45909</v>
      </c>
      <c r="B423" s="3">
        <f>'S&amp;P500'!B424</f>
        <v>6533.06</v>
      </c>
      <c r="C423" s="3">
        <f>나스닥!B424</f>
        <v>21886.06</v>
      </c>
      <c r="D423">
        <f>VLOOKUP(A423,VIX!$A$2:B5421,2,0)</f>
        <v>15.17</v>
      </c>
      <c r="E423">
        <f>VLOOKUP(A423,'10년'!$A$2:$B$5000,2,0)</f>
        <v>4.0819999999999999</v>
      </c>
      <c r="F423">
        <f>VLOOKUP(A423,'5년'!$A$2:$B$5000,2,0)</f>
        <v>3.613</v>
      </c>
      <c r="G423">
        <f>VLOOKUP(A423,HYG!$A$2:$B$5000,2,0)</f>
        <v>80.78</v>
      </c>
      <c r="H423">
        <f>VLOOKUP(A423,IEF!$A$2:$B$5000,2,0)</f>
        <v>96.85</v>
      </c>
    </row>
    <row r="424" spans="1:8" x14ac:dyDescent="0.4">
      <c r="A424" s="1">
        <v>45910</v>
      </c>
      <c r="B424" s="3">
        <f>'S&amp;P500'!B425</f>
        <v>6585.11</v>
      </c>
      <c r="C424" s="3">
        <f>나스닥!B425</f>
        <v>22043.08</v>
      </c>
      <c r="D424">
        <f>VLOOKUP(A424,VIX!$A$2:B5422,2,0)</f>
        <v>15.37</v>
      </c>
      <c r="E424">
        <f>VLOOKUP(A424,'10년'!$A$2:$B$5000,2,0)</f>
        <v>4.04</v>
      </c>
      <c r="F424">
        <f>VLOOKUP(A424,'5년'!$A$2:$B$5000,2,0)</f>
        <v>3.5939999999999999</v>
      </c>
      <c r="G424">
        <f>VLOOKUP(A424,HYG!$A$2:$B$5000,2,0)</f>
        <v>80.84</v>
      </c>
      <c r="H424">
        <f>VLOOKUP(A424,IEF!$A$2:$B$5000,2,0)</f>
        <v>97.11</v>
      </c>
    </row>
    <row r="425" spans="1:8" x14ac:dyDescent="0.4">
      <c r="A425" s="1">
        <v>45911</v>
      </c>
      <c r="B425" s="3">
        <f>'S&amp;P500'!B426</f>
        <v>6584.29</v>
      </c>
      <c r="C425" s="3">
        <f>나스닥!B426</f>
        <v>22141.1</v>
      </c>
      <c r="D425">
        <f>VLOOKUP(A425,VIX!$A$2:B5423,2,0)</f>
        <v>14.71</v>
      </c>
      <c r="E425">
        <f>VLOOKUP(A425,'10년'!$A$2:$B$5000,2,0)</f>
        <v>4.0229999999999997</v>
      </c>
      <c r="F425">
        <f>VLOOKUP(A425,'5년'!$A$2:$B$5000,2,0)</f>
        <v>3.5939999999999999</v>
      </c>
      <c r="G425">
        <f>VLOOKUP(A425,HYG!$A$2:$B$5000,2,0)</f>
        <v>81.040000000000006</v>
      </c>
      <c r="H425">
        <f>VLOOKUP(A425,IEF!$A$2:$B$5000,2,0)</f>
        <v>97.25</v>
      </c>
    </row>
    <row r="426" spans="1:8" x14ac:dyDescent="0.4">
      <c r="A426" s="1">
        <v>45912</v>
      </c>
      <c r="B426" s="3">
        <f>'S&amp;P500'!B427</f>
        <v>6615.31</v>
      </c>
      <c r="C426" s="3">
        <f>나스닥!B427</f>
        <v>22348.75</v>
      </c>
      <c r="D426">
        <f>VLOOKUP(A426,VIX!$A$2:B5424,2,0)</f>
        <v>14.76</v>
      </c>
      <c r="E426">
        <f>VLOOKUP(A426,'10년'!$A$2:$B$5000,2,0)</f>
        <v>4.0599999999999996</v>
      </c>
      <c r="F426">
        <f>VLOOKUP(A426,'5년'!$A$2:$B$5000,2,0)</f>
        <v>3.625</v>
      </c>
      <c r="G426">
        <f>VLOOKUP(A426,HYG!$A$2:$B$5000,2,0)</f>
        <v>80.959999999999994</v>
      </c>
      <c r="H426">
        <f>VLOOKUP(A426,IEF!$A$2:$B$5000,2,0)</f>
        <v>96.98</v>
      </c>
    </row>
    <row r="427" spans="1:8" x14ac:dyDescent="0.4">
      <c r="A427" s="1">
        <v>45915</v>
      </c>
      <c r="B427" s="3">
        <f>'S&amp;P500'!B428</f>
        <v>6606.79</v>
      </c>
      <c r="C427" s="3">
        <f>나스닥!B428</f>
        <v>22333.96</v>
      </c>
      <c r="D427">
        <f>VLOOKUP(A427,VIX!$A$2:B5425,2,0)</f>
        <v>15.69</v>
      </c>
      <c r="E427">
        <f>VLOOKUP(A427,'10년'!$A$2:$B$5000,2,0)</f>
        <v>4.0359999999999996</v>
      </c>
      <c r="F427">
        <f>VLOOKUP(A427,'5년'!$A$2:$B$5000,2,0)</f>
        <v>3.6070000000000002</v>
      </c>
      <c r="G427">
        <f>VLOOKUP(A427,HYG!$A$2:$B$5000,2,0)</f>
        <v>81.19</v>
      </c>
      <c r="H427">
        <f>VLOOKUP(A427,IEF!$A$2:$B$5000,2,0)</f>
        <v>97.15</v>
      </c>
    </row>
    <row r="428" spans="1:8" x14ac:dyDescent="0.4">
      <c r="A428" s="1">
        <v>45916</v>
      </c>
      <c r="B428" s="3">
        <f>'S&amp;P500'!B429</f>
        <v>6600.43</v>
      </c>
      <c r="C428" s="3">
        <f>나스닥!B429</f>
        <v>22261.33</v>
      </c>
      <c r="D428">
        <f>VLOOKUP(A428,VIX!$A$2:B5426,2,0)</f>
        <v>16.29</v>
      </c>
      <c r="E428">
        <f>VLOOKUP(A428,'10년'!$A$2:$B$5000,2,0)</f>
        <v>4.0330000000000004</v>
      </c>
      <c r="F428">
        <f>VLOOKUP(A428,'5년'!$A$2:$B$5000,2,0)</f>
        <v>3.5859999999999999</v>
      </c>
      <c r="G428">
        <f>VLOOKUP(A428,HYG!$A$2:$B$5000,2,0)</f>
        <v>81.13</v>
      </c>
      <c r="H428">
        <f>VLOOKUP(A428,IEF!$A$2:$B$5000,2,0)</f>
        <v>97.21</v>
      </c>
    </row>
    <row r="429" spans="1:8" x14ac:dyDescent="0.4">
      <c r="A429" s="1">
        <v>45917</v>
      </c>
      <c r="B429" s="3">
        <f>'S&amp;P500'!B430</f>
        <v>6631.95</v>
      </c>
      <c r="C429" s="3">
        <f>나스닥!B430</f>
        <v>22470.73</v>
      </c>
      <c r="D429">
        <f>VLOOKUP(A429,VIX!$A$2:B5427,2,0)</f>
        <v>15.72</v>
      </c>
      <c r="E429">
        <f>VLOOKUP(A429,'10년'!$A$2:$B$5000,2,0)</f>
        <v>4.0839999999999996</v>
      </c>
      <c r="F429">
        <f>VLOOKUP(A429,'5년'!$A$2:$B$5000,2,0)</f>
        <v>3.6509999999999998</v>
      </c>
      <c r="G429">
        <f>VLOOKUP(A429,HYG!$A$2:$B$5000,2,0)</f>
        <v>81.05</v>
      </c>
      <c r="H429">
        <f>VLOOKUP(A429,IEF!$A$2:$B$5000,2,0)</f>
        <v>96.99</v>
      </c>
    </row>
    <row r="430" spans="1:8" x14ac:dyDescent="0.4">
      <c r="A430" s="1">
        <v>45918</v>
      </c>
      <c r="B430" s="3">
        <f>'S&amp;P500'!B431</f>
        <v>6664.36</v>
      </c>
      <c r="C430" s="3">
        <f>나스닥!B431</f>
        <v>22631.48</v>
      </c>
      <c r="D430">
        <f>VLOOKUP(A430,VIX!$A$2:B5428,2,0)</f>
        <v>15.7</v>
      </c>
      <c r="E430">
        <f>VLOOKUP(A430,'10년'!$A$2:$B$5000,2,0)</f>
        <v>4.1130000000000004</v>
      </c>
      <c r="F430">
        <f>VLOOKUP(A430,'5년'!$A$2:$B$5000,2,0)</f>
        <v>3.6659999999999999</v>
      </c>
      <c r="G430">
        <f>VLOOKUP(A430,HYG!$A$2:$B$5000,2,0)</f>
        <v>81.23</v>
      </c>
      <c r="H430">
        <f>VLOOKUP(A430,IEF!$A$2:$B$5000,2,0)</f>
        <v>96.66</v>
      </c>
    </row>
    <row r="431" spans="1:8" x14ac:dyDescent="0.4">
      <c r="A431" s="1">
        <v>45922</v>
      </c>
      <c r="B431" s="3">
        <f>'S&amp;P500'!B432</f>
        <v>6692.59</v>
      </c>
      <c r="C431" s="3">
        <f>나스닥!B432</f>
        <v>22788.98</v>
      </c>
      <c r="D431">
        <f>VLOOKUP(A431,VIX!$A$2:B5429,2,0)</f>
        <v>16.11</v>
      </c>
      <c r="E431">
        <f>VLOOKUP(A431,'10년'!$A$2:$B$5000,2,0)</f>
        <v>4.1539999999999999</v>
      </c>
      <c r="F431">
        <f>VLOOKUP(A431,'5년'!$A$2:$B$5000,2,0)</f>
        <v>3.7029999999999998</v>
      </c>
      <c r="G431">
        <f>VLOOKUP(A431,HYG!$A$2:$B$5000,2,0)</f>
        <v>81.31</v>
      </c>
      <c r="H431">
        <f>VLOOKUP(A431,IEF!$A$2:$B$5000,2,0)</f>
        <v>96.47</v>
      </c>
    </row>
    <row r="432" spans="1:8" x14ac:dyDescent="0.4">
      <c r="A432" s="1">
        <v>45923</v>
      </c>
      <c r="B432" s="3">
        <f>'S&amp;P500'!B433</f>
        <v>6657.71</v>
      </c>
      <c r="C432" s="3">
        <f>나스닥!B433</f>
        <v>22573.47</v>
      </c>
      <c r="D432">
        <f>VLOOKUP(A432,VIX!$A$2:B5430,2,0)</f>
        <v>16.649999999999999</v>
      </c>
      <c r="E432">
        <f>VLOOKUP(A432,'10년'!$A$2:$B$5000,2,0)</f>
        <v>4.1100000000000003</v>
      </c>
      <c r="F432">
        <f>VLOOKUP(A432,'5년'!$A$2:$B$5000,2,0)</f>
        <v>3.673</v>
      </c>
      <c r="G432">
        <f>VLOOKUP(A432,HYG!$A$2:$B$5000,2,0)</f>
        <v>81.260000000000005</v>
      </c>
      <c r="H432">
        <f>VLOOKUP(A432,IEF!$A$2:$B$5000,2,0)</f>
        <v>96.74</v>
      </c>
    </row>
    <row r="433" spans="1:8" x14ac:dyDescent="0.4">
      <c r="A433" s="1">
        <v>45924</v>
      </c>
      <c r="B433" s="3">
        <f>'S&amp;P500'!B434</f>
        <v>6634.04</v>
      </c>
      <c r="C433" s="3">
        <f>나스닥!B434</f>
        <v>22497.86</v>
      </c>
      <c r="D433">
        <f>VLOOKUP(A433,VIX!$A$2:B5431,2,0)</f>
        <v>16.510000000000002</v>
      </c>
      <c r="E433">
        <f>VLOOKUP(A433,'10년'!$A$2:$B$5000,2,0)</f>
        <v>4.1509999999999998</v>
      </c>
      <c r="F433">
        <f>VLOOKUP(A433,'5년'!$A$2:$B$5000,2,0)</f>
        <v>3.7160000000000002</v>
      </c>
      <c r="G433">
        <f>VLOOKUP(A433,HYG!$A$2:$B$5000,2,0)</f>
        <v>81.150000000000006</v>
      </c>
      <c r="H433">
        <f>VLOOKUP(A433,IEF!$A$2:$B$5000,2,0)</f>
        <v>96.48</v>
      </c>
    </row>
    <row r="434" spans="1:8" x14ac:dyDescent="0.4">
      <c r="A434" s="1">
        <v>45925</v>
      </c>
      <c r="B434" s="3">
        <f>'S&amp;P500'!B435</f>
        <v>6604.8</v>
      </c>
      <c r="C434" s="3">
        <f>나스닥!B435</f>
        <v>22384.7</v>
      </c>
      <c r="D434">
        <f>VLOOKUP(A434,VIX!$A$2:B5432,2,0)</f>
        <v>16.739999999999998</v>
      </c>
      <c r="E434">
        <f>VLOOKUP(A434,'10년'!$A$2:$B$5000,2,0)</f>
        <v>4.1760000000000002</v>
      </c>
      <c r="F434">
        <f>VLOOKUP(A434,'5년'!$A$2:$B$5000,2,0)</f>
        <v>3.7669999999999999</v>
      </c>
      <c r="G434">
        <f>VLOOKUP(A434,HYG!$A$2:$B$5000,2,0)</f>
        <v>80.92</v>
      </c>
      <c r="H434">
        <f>VLOOKUP(A434,IEF!$A$2:$B$5000,2,0)</f>
        <v>96.27</v>
      </c>
    </row>
    <row r="435" spans="1:8" x14ac:dyDescent="0.4">
      <c r="A435" s="1">
        <v>45926</v>
      </c>
      <c r="B435" s="3">
        <f>'S&amp;P500'!B436</f>
        <v>6643.7</v>
      </c>
      <c r="C435" s="3">
        <f>나스닥!B436</f>
        <v>22484.07</v>
      </c>
      <c r="D435">
        <f>VLOOKUP(A435,VIX!$A$2:B5433,2,0)</f>
        <v>15.29</v>
      </c>
      <c r="E435">
        <f>VLOOKUP(A435,'10년'!$A$2:$B$5000,2,0)</f>
        <v>4.1689999999999996</v>
      </c>
      <c r="F435">
        <f>VLOOKUP(A435,'5년'!$A$2:$B$5000,2,0)</f>
        <v>3.7559999999999998</v>
      </c>
      <c r="G435">
        <f>VLOOKUP(A435,HYG!$A$2:$B$5000,2,0)</f>
        <v>81.08</v>
      </c>
      <c r="H435">
        <f>VLOOKUP(A435,IEF!$A$2:$B$5000,2,0)</f>
        <v>96.22</v>
      </c>
    </row>
    <row r="436" spans="1:8" x14ac:dyDescent="0.4">
      <c r="A436" s="1">
        <v>45929</v>
      </c>
      <c r="B436" s="3">
        <f>'S&amp;P500'!B437</f>
        <v>6661.21</v>
      </c>
      <c r="C436" s="3">
        <f>나스닥!B437</f>
        <v>22591.15</v>
      </c>
      <c r="D436">
        <f>VLOOKUP(A436,VIX!$A$2:B5434,2,0)</f>
        <v>16.11</v>
      </c>
      <c r="E436">
        <f>VLOOKUP(A436,'10년'!$A$2:$B$5000,2,0)</f>
        <v>4.1429999999999998</v>
      </c>
      <c r="F436">
        <f>VLOOKUP(A436,'5년'!$A$2:$B$5000,2,0)</f>
        <v>3.7389999999999999</v>
      </c>
      <c r="G436">
        <f>VLOOKUP(A436,HYG!$A$2:$B$5000,2,0)</f>
        <v>81.22</v>
      </c>
      <c r="H436">
        <f>VLOOKUP(A436,IEF!$A$2:$B$5000,2,0)</f>
        <v>96.5</v>
      </c>
    </row>
    <row r="437" spans="1:8" x14ac:dyDescent="0.4">
      <c r="A437" s="1">
        <v>45930</v>
      </c>
      <c r="B437" s="3">
        <f>'S&amp;P500'!B438</f>
        <v>6688.44</v>
      </c>
      <c r="C437" s="3">
        <f>나스닥!B438</f>
        <v>22660.01</v>
      </c>
      <c r="D437">
        <f>VLOOKUP(A437,VIX!$A$2:B5435,2,0)</f>
        <v>16.28</v>
      </c>
      <c r="E437">
        <f>VLOOKUP(A437,'10년'!$A$2:$B$5000,2,0)</f>
        <v>4.1550000000000002</v>
      </c>
      <c r="F437">
        <f>VLOOKUP(A437,'5년'!$A$2:$B$5000,2,0)</f>
        <v>3.746</v>
      </c>
      <c r="G437">
        <f>VLOOKUP(A437,HYG!$A$2:$B$5000,2,0)</f>
        <v>81.19</v>
      </c>
      <c r="H437">
        <f>VLOOKUP(A437,IEF!$A$2:$B$5000,2,0)</f>
        <v>96.46</v>
      </c>
    </row>
    <row r="438" spans="1:8" x14ac:dyDescent="0.4">
      <c r="A438" s="1">
        <v>45931</v>
      </c>
      <c r="B438" s="3">
        <f>'S&amp;P500'!B439</f>
        <v>6708.06</v>
      </c>
      <c r="C438" s="3">
        <f>나스닥!B439</f>
        <v>22755.16</v>
      </c>
      <c r="D438">
        <f>VLOOKUP(A438,VIX!$A$2:B5436,2,0)</f>
        <v>16.28</v>
      </c>
      <c r="E438">
        <f>VLOOKUP(A438,'10년'!$A$2:$B$5000,2,0)</f>
        <v>4.101</v>
      </c>
      <c r="F438">
        <f>VLOOKUP(A438,'5년'!$A$2:$B$5000,2,0)</f>
        <v>3.673</v>
      </c>
      <c r="G438">
        <f>VLOOKUP(A438,HYG!$A$2:$B$5000,2,0)</f>
        <v>80.959999999999994</v>
      </c>
      <c r="H438">
        <f>VLOOKUP(A438,IEF!$A$2:$B$5000,2,0)</f>
        <v>96.49</v>
      </c>
    </row>
    <row r="439" spans="1:8" x14ac:dyDescent="0.4">
      <c r="A439" s="1">
        <v>45932</v>
      </c>
      <c r="B439" s="3">
        <f>'S&amp;P500'!B440</f>
        <v>6715.38</v>
      </c>
      <c r="C439" s="3">
        <f>나스닥!B440</f>
        <v>22844.05</v>
      </c>
      <c r="D439">
        <f>VLOOKUP(A439,VIX!$A$2:B5437,2,0)</f>
        <v>16.63</v>
      </c>
      <c r="E439">
        <f>VLOOKUP(A439,'10년'!$A$2:$B$5000,2,0)</f>
        <v>4.085</v>
      </c>
      <c r="F439">
        <f>VLOOKUP(A439,'5년'!$A$2:$B$5000,2,0)</f>
        <v>3.6720000000000002</v>
      </c>
      <c r="G439">
        <f>VLOOKUP(A439,HYG!$A$2:$B$5000,2,0)</f>
        <v>80.92</v>
      </c>
      <c r="H439">
        <f>VLOOKUP(A439,IEF!$A$2:$B$5000,2,0)</f>
        <v>96.59</v>
      </c>
    </row>
    <row r="440" spans="1:8" x14ac:dyDescent="0.4">
      <c r="A440" s="1">
        <v>45933</v>
      </c>
      <c r="B440" s="3">
        <f>'S&amp;P500'!B441</f>
        <v>6715.79</v>
      </c>
      <c r="C440" s="3">
        <f>나스닥!B441</f>
        <v>22780.51</v>
      </c>
      <c r="D440">
        <f>VLOOKUP(A440,VIX!$A$2:B5438,2,0)</f>
        <v>16.649999999999999</v>
      </c>
      <c r="E440">
        <f>VLOOKUP(A440,'10년'!$A$2:$B$5000,2,0)</f>
        <v>4.1239999999999997</v>
      </c>
      <c r="F440">
        <f>VLOOKUP(A440,'5년'!$A$2:$B$5000,2,0)</f>
        <v>3.7149999999999999</v>
      </c>
      <c r="G440">
        <f>VLOOKUP(A440,HYG!$A$2:$B$5000,2,0)</f>
        <v>80.84</v>
      </c>
      <c r="H440">
        <f>VLOOKUP(A440,IEF!$A$2:$B$5000,2,0)</f>
        <v>96.41</v>
      </c>
    </row>
    <row r="441" spans="1:8" x14ac:dyDescent="0.4">
      <c r="A441" s="1">
        <v>45936</v>
      </c>
      <c r="B441" s="3">
        <f>'S&amp;P500'!B442</f>
        <v>6740.18</v>
      </c>
      <c r="C441" s="3">
        <f>나스닥!B442</f>
        <v>22942</v>
      </c>
      <c r="D441">
        <f>VLOOKUP(A441,VIX!$A$2:B5439,2,0)</f>
        <v>16.329999999999998</v>
      </c>
      <c r="E441">
        <f>VLOOKUP(A441,'10년'!$A$2:$B$5000,2,0)</f>
        <v>4.1630000000000003</v>
      </c>
      <c r="F441">
        <f>VLOOKUP(A441,'5년'!$A$2:$B$5000,2,0)</f>
        <v>3.7389999999999999</v>
      </c>
      <c r="G441">
        <f>VLOOKUP(A441,HYG!$A$2:$B$5000,2,0)</f>
        <v>80.86</v>
      </c>
      <c r="H441">
        <f>VLOOKUP(A441,IEF!$A$2:$B$5000,2,0)</f>
        <v>96.13</v>
      </c>
    </row>
    <row r="442" spans="1:8" x14ac:dyDescent="0.4">
      <c r="A442" s="1">
        <v>45937</v>
      </c>
      <c r="B442" s="3">
        <f>'S&amp;P500'!B443</f>
        <v>6714.7</v>
      </c>
      <c r="C442" s="3">
        <f>나스닥!B443</f>
        <v>22788.36</v>
      </c>
      <c r="D442">
        <f>VLOOKUP(A442,VIX!$A$2:B5440,2,0)</f>
        <v>17.25</v>
      </c>
      <c r="E442">
        <f>VLOOKUP(A442,'10년'!$A$2:$B$5000,2,0)</f>
        <v>4.1310000000000002</v>
      </c>
      <c r="F442">
        <f>VLOOKUP(A442,'5년'!$A$2:$B$5000,2,0)</f>
        <v>3.706</v>
      </c>
      <c r="G442">
        <f>VLOOKUP(A442,HYG!$A$2:$B$5000,2,0)</f>
        <v>80.77</v>
      </c>
      <c r="H442">
        <f>VLOOKUP(A442,IEF!$A$2:$B$5000,2,0)</f>
        <v>96.36</v>
      </c>
    </row>
    <row r="443" spans="1:8" x14ac:dyDescent="0.4">
      <c r="A443" s="1">
        <v>45938</v>
      </c>
      <c r="B443" s="3">
        <f>'S&amp;P500'!B444</f>
        <v>6753.72</v>
      </c>
      <c r="C443" s="3">
        <f>나스닥!B444</f>
        <v>23043.38</v>
      </c>
      <c r="D443">
        <f>VLOOKUP(A443,VIX!$A$2:B5441,2,0)</f>
        <v>16.3</v>
      </c>
      <c r="E443">
        <f>VLOOKUP(A443,'10년'!$A$2:$B$5000,2,0)</f>
        <v>4.117</v>
      </c>
      <c r="F443">
        <f>VLOOKUP(A443,'5년'!$A$2:$B$5000,2,0)</f>
        <v>3.706</v>
      </c>
      <c r="G443">
        <f>VLOOKUP(A443,HYG!$A$2:$B$5000,2,0)</f>
        <v>80.66</v>
      </c>
      <c r="H443">
        <f>VLOOKUP(A443,IEF!$A$2:$B$5000,2,0)</f>
        <v>96.38</v>
      </c>
    </row>
    <row r="444" spans="1:8" x14ac:dyDescent="0.4">
      <c r="A444" s="1">
        <v>45939</v>
      </c>
      <c r="B444" s="3">
        <f>'S&amp;P500'!B445</f>
        <v>6734.91</v>
      </c>
      <c r="C444" s="3">
        <f>나스닥!B445</f>
        <v>23004.18</v>
      </c>
      <c r="D444">
        <f>VLOOKUP(A444,VIX!$A$2:B5442,2,0)</f>
        <v>16.43</v>
      </c>
      <c r="E444">
        <f>VLOOKUP(A444,'10년'!$A$2:$B$5000,2,0)</f>
        <v>4.1520000000000001</v>
      </c>
      <c r="F444">
        <f>VLOOKUP(A444,'5년'!$A$2:$B$5000,2,0)</f>
        <v>3.738</v>
      </c>
      <c r="G444">
        <f>VLOOKUP(A444,HYG!$A$2:$B$5000,2,0)</f>
        <v>80.45</v>
      </c>
      <c r="H444">
        <f>VLOOKUP(A444,IEF!$A$2:$B$5000,2,0)</f>
        <v>96.29</v>
      </c>
    </row>
    <row r="445" spans="1:8" x14ac:dyDescent="0.4">
      <c r="A445" s="1">
        <v>45940</v>
      </c>
      <c r="B445" s="3">
        <f>'S&amp;P500'!B446</f>
        <v>6552.5</v>
      </c>
      <c r="C445" s="3">
        <f>나스닥!B446</f>
        <v>22204.43</v>
      </c>
      <c r="D445">
        <f>VLOOKUP(A445,VIX!$A$2:B5443,2,0)</f>
        <v>21.63</v>
      </c>
      <c r="E445">
        <f>VLOOKUP(A445,'10년'!$A$2:$B$5000,2,0)</f>
        <v>4.0339999999999998</v>
      </c>
      <c r="F445">
        <f>VLOOKUP(A445,'5년'!$A$2:$B$5000,2,0)</f>
        <v>3.6539999999999999</v>
      </c>
      <c r="G445">
        <f>VLOOKUP(A445,HYG!$A$2:$B$5000,2,0)</f>
        <v>79.95</v>
      </c>
      <c r="H445">
        <f>VLOOKUP(A445,IEF!$A$2:$B$5000,2,0)</f>
        <v>96.91</v>
      </c>
    </row>
    <row r="446" spans="1:8" x14ac:dyDescent="0.4">
      <c r="A446" s="1">
        <v>45943</v>
      </c>
      <c r="B446" s="3">
        <f>'S&amp;P500'!B447</f>
        <v>6654.69</v>
      </c>
      <c r="C446" s="3">
        <f>나스닥!B447</f>
        <v>22694.61</v>
      </c>
      <c r="D446">
        <f>VLOOKUP(A446,VIX!$A$2:B5444,2,0)</f>
        <v>19.04</v>
      </c>
      <c r="E446">
        <f>VLOOKUP(A446,'10년'!$A$2:$B$5000,2,0)</f>
        <v>4.0519999999999996</v>
      </c>
      <c r="F446">
        <f>VLOOKUP(A446,'5년'!$A$2:$B$5000,2,0)</f>
        <v>3.6469999999999998</v>
      </c>
      <c r="G446">
        <f>VLOOKUP(A446,HYG!$A$2:$B$5000,2,0)</f>
        <v>80.44</v>
      </c>
      <c r="H446">
        <f>VLOOKUP(A446,IEF!$A$2:$B$5000,2,0)</f>
        <v>96.96</v>
      </c>
    </row>
    <row r="447" spans="1:8" x14ac:dyDescent="0.4">
      <c r="A447" s="1">
        <v>45944</v>
      </c>
      <c r="B447" s="3">
        <f>'S&amp;P500'!B448</f>
        <v>6644.31</v>
      </c>
      <c r="C447" s="3">
        <f>나스닥!B448</f>
        <v>22521.7</v>
      </c>
      <c r="D447">
        <f>VLOOKUP(A447,VIX!$A$2:B5445,2,0)</f>
        <v>20.8</v>
      </c>
      <c r="E447">
        <f>VLOOKUP(A447,'10년'!$A$2:$B$5000,2,0)</f>
        <v>4.0339999999999998</v>
      </c>
      <c r="F447">
        <f>VLOOKUP(A447,'5년'!$A$2:$B$5000,2,0)</f>
        <v>3.609</v>
      </c>
      <c r="G447">
        <f>VLOOKUP(A447,HYG!$A$2:$B$5000,2,0)</f>
        <v>80.540000000000006</v>
      </c>
      <c r="H447">
        <f>VLOOKUP(A447,IEF!$A$2:$B$5000,2,0)</f>
        <v>97.21</v>
      </c>
    </row>
    <row r="448" spans="1:8" x14ac:dyDescent="0.4">
      <c r="A448" s="1">
        <v>45945</v>
      </c>
      <c r="B448" s="3">
        <f>'S&amp;P500'!B449</f>
        <v>6671.04</v>
      </c>
      <c r="C448" s="3">
        <f>나스닥!B449</f>
        <v>22670.080000000002</v>
      </c>
      <c r="D448">
        <f>VLOOKUP(A448,VIX!$A$2:B5446,2,0)</f>
        <v>20.64</v>
      </c>
      <c r="E448">
        <f>VLOOKUP(A448,'10년'!$A$2:$B$5000,2,0)</f>
        <v>4.032</v>
      </c>
      <c r="F448">
        <f>VLOOKUP(A448,'5년'!$A$2:$B$5000,2,0)</f>
        <v>3.6179999999999999</v>
      </c>
      <c r="G448">
        <f>VLOOKUP(A448,HYG!$A$2:$B$5000,2,0)</f>
        <v>80.8</v>
      </c>
      <c r="H448">
        <f>VLOOKUP(A448,IEF!$A$2:$B$5000,2,0)</f>
        <v>97.1</v>
      </c>
    </row>
    <row r="449" spans="1:8" x14ac:dyDescent="0.4">
      <c r="A449" s="1">
        <v>45946</v>
      </c>
      <c r="B449" s="3">
        <f>'S&amp;P500'!B450</f>
        <v>6629.07</v>
      </c>
      <c r="C449" s="3">
        <f>나스닥!B450</f>
        <v>22562.54</v>
      </c>
      <c r="D449">
        <f>VLOOKUP(A449,VIX!$A$2:B5447,2,0)</f>
        <v>25.3</v>
      </c>
      <c r="E449">
        <f>VLOOKUP(A449,'10년'!$A$2:$B$5000,2,0)</f>
        <v>3.976</v>
      </c>
      <c r="F449">
        <f>VLOOKUP(A449,'5년'!$A$2:$B$5000,2,0)</f>
        <v>3.5470000000000002</v>
      </c>
      <c r="G449">
        <f>VLOOKUP(A449,HYG!$A$2:$B$5000,2,0)</f>
        <v>80.540000000000006</v>
      </c>
      <c r="H449">
        <f>VLOOKUP(A449,IEF!$A$2:$B$5000,2,0)</f>
        <v>97.54</v>
      </c>
    </row>
    <row r="450" spans="1:8" x14ac:dyDescent="0.4">
      <c r="A450" s="1">
        <v>45947</v>
      </c>
      <c r="B450" s="3">
        <f>'S&amp;P500'!B451</f>
        <v>6664.01</v>
      </c>
      <c r="C450" s="3">
        <f>나스닥!B451</f>
        <v>22679.97</v>
      </c>
      <c r="D450">
        <f>VLOOKUP(A450,VIX!$A$2:B5448,2,0)</f>
        <v>20.78</v>
      </c>
      <c r="E450">
        <f>VLOOKUP(A450,'10년'!$A$2:$B$5000,2,0)</f>
        <v>4.0129999999999999</v>
      </c>
      <c r="F450">
        <f>VLOOKUP(A450,'5년'!$A$2:$B$5000,2,0)</f>
        <v>3.593</v>
      </c>
      <c r="G450">
        <f>VLOOKUP(A450,HYG!$A$2:$B$5000,2,0)</f>
        <v>80.72</v>
      </c>
      <c r="H450">
        <f>VLOOKUP(A450,IEF!$A$2:$B$5000,2,0)</f>
        <v>97.38</v>
      </c>
    </row>
    <row r="451" spans="1:8" x14ac:dyDescent="0.4">
      <c r="A451" s="1">
        <v>45950</v>
      </c>
      <c r="B451" s="3">
        <f>'S&amp;P500'!B452</f>
        <v>6735.13</v>
      </c>
      <c r="C451" s="3">
        <f>나스닥!B452</f>
        <v>22990.54</v>
      </c>
      <c r="D451">
        <f>VLOOKUP(A451,VIX!$A$2:B5449,2,0)</f>
        <v>18.23</v>
      </c>
      <c r="E451">
        <f>VLOOKUP(A451,'10년'!$A$2:$B$5000,2,0)</f>
        <v>3.98</v>
      </c>
      <c r="F451">
        <f>VLOOKUP(A451,'5년'!$A$2:$B$5000,2,0)</f>
        <v>3.5739999999999998</v>
      </c>
      <c r="G451">
        <f>VLOOKUP(A451,HYG!$A$2:$B$5000,2,0)</f>
        <v>80.88</v>
      </c>
      <c r="H451">
        <f>VLOOKUP(A451,IEF!$A$2:$B$5000,2,0)</f>
        <v>97.52</v>
      </c>
    </row>
    <row r="452" spans="1:8" x14ac:dyDescent="0.4">
      <c r="A452" s="1">
        <v>45951</v>
      </c>
      <c r="B452" s="3">
        <f>'S&amp;P500'!B453</f>
        <v>6735.33</v>
      </c>
      <c r="C452" s="3">
        <f>나스닥!B453</f>
        <v>22953.67</v>
      </c>
      <c r="D452">
        <f>VLOOKUP(A452,VIX!$A$2:B5450,2,0)</f>
        <v>17.87</v>
      </c>
      <c r="E452">
        <f>VLOOKUP(A452,'10년'!$A$2:$B$5000,2,0)</f>
        <v>3.964</v>
      </c>
      <c r="F452">
        <f>VLOOKUP(A452,'5년'!$A$2:$B$5000,2,0)</f>
        <v>3.5619999999999998</v>
      </c>
      <c r="G452">
        <f>VLOOKUP(A452,HYG!$A$2:$B$5000,2,0)</f>
        <v>80.760000000000005</v>
      </c>
      <c r="H452">
        <f>VLOOKUP(A452,IEF!$A$2:$B$5000,2,0)</f>
        <v>97.7</v>
      </c>
    </row>
    <row r="453" spans="1:8" x14ac:dyDescent="0.4">
      <c r="A453" s="1">
        <v>45952</v>
      </c>
      <c r="B453" s="3">
        <f>'S&amp;P500'!B454</f>
        <v>6699.44</v>
      </c>
      <c r="C453" s="3">
        <f>나스닥!B454</f>
        <v>22740.400000000001</v>
      </c>
      <c r="D453">
        <f>VLOOKUP(A453,VIX!$A$2:B5451,2,0)</f>
        <v>18.600000000000001</v>
      </c>
      <c r="E453">
        <f>VLOOKUP(A453,'10년'!$A$2:$B$5000,2,0)</f>
        <v>3.952</v>
      </c>
      <c r="F453">
        <f>VLOOKUP(A453,'5년'!$A$2:$B$5000,2,0)</f>
        <v>3.5550000000000002</v>
      </c>
      <c r="G453">
        <f>VLOOKUP(A453,HYG!$A$2:$B$5000,2,0)</f>
        <v>80.709999999999994</v>
      </c>
      <c r="H453">
        <f>VLOOKUP(A453,IEF!$A$2:$B$5000,2,0)</f>
        <v>97.71</v>
      </c>
    </row>
    <row r="454" spans="1:8" x14ac:dyDescent="0.4">
      <c r="A454" s="1">
        <v>45953</v>
      </c>
      <c r="B454" s="3">
        <f>'S&amp;P500'!B455</f>
        <v>6738.41</v>
      </c>
      <c r="C454" s="3">
        <f>나스닥!B455</f>
        <v>22941.8</v>
      </c>
      <c r="D454">
        <f>VLOOKUP(A454,VIX!$A$2:B5452,2,0)</f>
        <v>17.28</v>
      </c>
      <c r="E454">
        <f>VLOOKUP(A454,'10년'!$A$2:$B$5000,2,0)</f>
        <v>4.008</v>
      </c>
      <c r="F454">
        <f>VLOOKUP(A454,'5년'!$A$2:$B$5000,2,0)</f>
        <v>3.6110000000000002</v>
      </c>
      <c r="G454">
        <f>VLOOKUP(A454,HYG!$A$2:$B$5000,2,0)</f>
        <v>80.84</v>
      </c>
      <c r="H454">
        <f>VLOOKUP(A454,IEF!$A$2:$B$5000,2,0)</f>
        <v>97.4</v>
      </c>
    </row>
    <row r="455" spans="1:8" x14ac:dyDescent="0.4">
      <c r="A455" s="1">
        <v>45954</v>
      </c>
      <c r="B455" s="3">
        <f>'S&amp;P500'!B456</f>
        <v>6791.73</v>
      </c>
      <c r="C455" s="3">
        <f>나스닥!B456</f>
        <v>23204.87</v>
      </c>
      <c r="D455">
        <f>VLOOKUP(A455,VIX!$A$2:B5453,2,0)</f>
        <v>16.37</v>
      </c>
      <c r="E455">
        <f>VLOOKUP(A455,'10년'!$A$2:$B$5000,2,0)</f>
        <v>4.0039999999999996</v>
      </c>
      <c r="F455">
        <f>VLOOKUP(A455,'5년'!$A$2:$B$5000,2,0)</f>
        <v>3.605</v>
      </c>
      <c r="G455">
        <f>VLOOKUP(A455,HYG!$A$2:$B$5000,2,0)</f>
        <v>81.08</v>
      </c>
      <c r="H455">
        <f>VLOOKUP(A455,IEF!$A$2:$B$5000,2,0)</f>
        <v>97.49</v>
      </c>
    </row>
    <row r="456" spans="1:8" x14ac:dyDescent="0.4">
      <c r="A456" s="1">
        <v>45957</v>
      </c>
      <c r="B456" s="3">
        <f>'S&amp;P500'!B457</f>
        <v>6875.14</v>
      </c>
      <c r="C456" s="3">
        <f>나스닥!B457</f>
        <v>23637.46</v>
      </c>
      <c r="D456">
        <f>VLOOKUP(A456,VIX!$A$2:B5454,2,0)</f>
        <v>15.79</v>
      </c>
      <c r="E456">
        <f>VLOOKUP(A456,'10년'!$A$2:$B$5000,2,0)</f>
        <v>3.9870000000000001</v>
      </c>
      <c r="F456">
        <f>VLOOKUP(A456,'5년'!$A$2:$B$5000,2,0)</f>
        <v>3.6110000000000002</v>
      </c>
      <c r="G456">
        <f>VLOOKUP(A456,HYG!$A$2:$B$5000,2,0)</f>
        <v>81.27</v>
      </c>
      <c r="H456">
        <f>VLOOKUP(A456,IEF!$A$2:$B$5000,2,0)</f>
        <v>97.49</v>
      </c>
    </row>
    <row r="457" spans="1:8" x14ac:dyDescent="0.4">
      <c r="A457" s="1">
        <v>45958</v>
      </c>
      <c r="B457" s="3">
        <f>'S&amp;P500'!B458</f>
        <v>6891.41</v>
      </c>
      <c r="C457" s="3">
        <f>나스닥!B458</f>
        <v>23827.49</v>
      </c>
      <c r="D457">
        <f>VLOOKUP(A457,VIX!$A$2:B5455,2,0)</f>
        <v>16.420000000000002</v>
      </c>
      <c r="E457">
        <f>VLOOKUP(A457,'10년'!$A$2:$B$5000,2,0)</f>
        <v>3.9780000000000002</v>
      </c>
      <c r="F457">
        <f>VLOOKUP(A457,'5년'!$A$2:$B$5000,2,0)</f>
        <v>3.6110000000000002</v>
      </c>
      <c r="G457">
        <f>VLOOKUP(A457,HYG!$A$2:$B$5000,2,0)</f>
        <v>81.2</v>
      </c>
      <c r="H457">
        <f>VLOOKUP(A457,IEF!$A$2:$B$5000,2,0)</f>
        <v>97.58</v>
      </c>
    </row>
    <row r="458" spans="1:8" x14ac:dyDescent="0.4">
      <c r="A458" s="1">
        <v>45959</v>
      </c>
      <c r="B458" s="3">
        <f>'S&amp;P500'!B459</f>
        <v>6891.12</v>
      </c>
      <c r="C458" s="3">
        <f>나스닥!B459</f>
        <v>23958.47</v>
      </c>
      <c r="D458">
        <f>VLOOKUP(A458,VIX!$A$2:B5456,2,0)</f>
        <v>16.93</v>
      </c>
      <c r="E458">
        <f>VLOOKUP(A458,'10년'!$A$2:$B$5000,2,0)</f>
        <v>4.0759999999999996</v>
      </c>
      <c r="F458">
        <f>VLOOKUP(A458,'5년'!$A$2:$B$5000,2,0)</f>
        <v>3.7149999999999999</v>
      </c>
      <c r="G458">
        <f>VLOOKUP(A458,HYG!$A$2:$B$5000,2,0)</f>
        <v>80.95</v>
      </c>
      <c r="H458">
        <f>VLOOKUP(A458,IEF!$A$2:$B$5000,2,0)</f>
        <v>96.94</v>
      </c>
    </row>
    <row r="459" spans="1:8" x14ac:dyDescent="0.4">
      <c r="A459" s="1">
        <v>45960</v>
      </c>
      <c r="B459" s="3">
        <f>'S&amp;P500'!B460</f>
        <v>6822.11</v>
      </c>
      <c r="C459" s="3">
        <f>나스닥!B460</f>
        <v>23581.14</v>
      </c>
      <c r="D459">
        <f>VLOOKUP(A459,VIX!$A$2:B5457,2,0)</f>
        <v>16.95</v>
      </c>
      <c r="E459">
        <f>VLOOKUP(A459,'10년'!$A$2:$B$5000,2,0)</f>
        <v>4.1029999999999998</v>
      </c>
      <c r="F459">
        <f>VLOOKUP(A459,'5년'!$A$2:$B$5000,2,0)</f>
        <v>3.722</v>
      </c>
      <c r="G459">
        <f>VLOOKUP(A459,HYG!$A$2:$B$5000,2,0)</f>
        <v>80.8</v>
      </c>
      <c r="H459">
        <f>VLOOKUP(A459,IEF!$A$2:$B$5000,2,0)</f>
        <v>96.81</v>
      </c>
    </row>
    <row r="460" spans="1:8" x14ac:dyDescent="0.4">
      <c r="A460" s="1">
        <v>45961</v>
      </c>
      <c r="B460" s="3">
        <f>'S&amp;P500'!B461</f>
        <v>6840.24</v>
      </c>
      <c r="C460" s="3">
        <f>나스닥!B461</f>
        <v>23724.959999999999</v>
      </c>
      <c r="D460">
        <f>VLOOKUP(A460,VIX!$A$2:B5458,2,0)</f>
        <v>17.440000000000001</v>
      </c>
      <c r="E460">
        <f>VLOOKUP(A460,'10년'!$A$2:$B$5000,2,0)</f>
        <v>4.0789999999999997</v>
      </c>
      <c r="F460">
        <f>VLOOKUP(A460,'5년'!$A$2:$B$5000,2,0)</f>
        <v>3.722</v>
      </c>
      <c r="G460">
        <f>VLOOKUP(A460,HYG!$A$2:$B$5000,2,0)</f>
        <v>80.8</v>
      </c>
      <c r="H460">
        <f>VLOOKUP(A460,IEF!$A$2:$B$5000,2,0)</f>
        <v>96.85</v>
      </c>
    </row>
    <row r="461" spans="1:8" x14ac:dyDescent="0.4">
      <c r="A461" s="1">
        <v>45964</v>
      </c>
      <c r="B461" s="3">
        <f>'S&amp;P500'!B462</f>
        <v>6852.41</v>
      </c>
      <c r="C461" s="3">
        <f>나스닥!B462</f>
        <v>23811.14</v>
      </c>
      <c r="D461">
        <f>VLOOKUP(A461,VIX!$A$2:B5459,2,0)</f>
        <v>17.18</v>
      </c>
      <c r="E461">
        <f>VLOOKUP(A461,'10년'!$A$2:$B$5000,2,0)</f>
        <v>4.1040000000000001</v>
      </c>
      <c r="F461">
        <f>VLOOKUP(A461,'5년'!$A$2:$B$5000,2,0)</f>
        <v>3.7149999999999999</v>
      </c>
      <c r="G461">
        <f>VLOOKUP(A461,HYG!$A$2:$B$5000,2,0)</f>
        <v>80.16</v>
      </c>
      <c r="H461">
        <f>VLOOKUP(A461,IEF!$A$2:$B$5000,2,0)</f>
        <v>96.5</v>
      </c>
    </row>
    <row r="462" spans="1:8" x14ac:dyDescent="0.4">
      <c r="A462" s="1">
        <v>45965</v>
      </c>
      <c r="B462" s="3">
        <f>'S&amp;P500'!B463</f>
        <v>6783.86</v>
      </c>
      <c r="C462" s="3">
        <f>나스닥!B463</f>
        <v>23348.639999999999</v>
      </c>
      <c r="D462">
        <f>VLOOKUP(A462,VIX!$A$2:B5460,2,0)</f>
        <v>17.18</v>
      </c>
      <c r="E462">
        <f>VLOOKUP(A462,'10년'!$A$2:$B$5000,2,0)</f>
        <v>4.0860000000000003</v>
      </c>
      <c r="F462">
        <f>VLOOKUP(A462,'5년'!$A$2:$B$5000,2,0)</f>
        <v>3.694</v>
      </c>
      <c r="G462">
        <f>VLOOKUP(A462,HYG!$A$2:$B$5000,2,0)</f>
        <v>80.150000000000006</v>
      </c>
      <c r="H462">
        <f>VLOOKUP(A462,IEF!$A$2:$B$5000,2,0)</f>
        <v>96.63</v>
      </c>
    </row>
    <row r="463" spans="1:8" x14ac:dyDescent="0.4">
      <c r="A463" s="1">
        <v>45966</v>
      </c>
      <c r="B463" s="3">
        <f>'S&amp;P500'!B464</f>
        <v>6795.98</v>
      </c>
      <c r="C463" s="3">
        <f>나스닥!B464</f>
        <v>23499.8</v>
      </c>
      <c r="D463">
        <f>VLOOKUP(A463,VIX!$A$2:B5461,2,0)</f>
        <v>17.97</v>
      </c>
      <c r="E463">
        <f>VLOOKUP(A463,'10년'!$A$2:$B$5000,2,0)</f>
        <v>4.0860000000000003</v>
      </c>
      <c r="F463">
        <f>VLOOKUP(A463,'5년'!$A$2:$B$5000,2,0)</f>
        <v>3.7669999999999999</v>
      </c>
      <c r="G463">
        <f>VLOOKUP(A463,HYG!$A$2:$B$5000,2,0)</f>
        <v>80.23</v>
      </c>
      <c r="H463">
        <f>VLOOKUP(A463,IEF!$A$2:$B$5000,2,0)</f>
        <v>96.16</v>
      </c>
    </row>
    <row r="464" spans="1:8" x14ac:dyDescent="0.4">
      <c r="A464" s="1">
        <v>45967</v>
      </c>
      <c r="B464" s="3">
        <f>'S&amp;P500'!B465</f>
        <v>6722.06</v>
      </c>
      <c r="C464" s="3">
        <f>나스닥!B465</f>
        <v>23053.99</v>
      </c>
      <c r="D464">
        <f>VLOOKUP(A464,VIX!$A$2:B5462,2,0)</f>
        <v>19.52</v>
      </c>
      <c r="E464">
        <f>VLOOKUP(A464,'10년'!$A$2:$B$5000,2,0)</f>
        <v>4.0880000000000001</v>
      </c>
      <c r="F464">
        <f>VLOOKUP(A464,'5년'!$A$2:$B$5000,2,0)</f>
        <v>3.6819999999999999</v>
      </c>
      <c r="G464">
        <f>VLOOKUP(A464,HYG!$A$2:$B$5000,2,0)</f>
        <v>80.260000000000005</v>
      </c>
      <c r="H464">
        <f>VLOOKUP(A464,IEF!$A$2:$B$5000,2,0)</f>
        <v>96.65</v>
      </c>
    </row>
    <row r="465" spans="1:8" x14ac:dyDescent="0.4">
      <c r="A465" s="1">
        <v>45968</v>
      </c>
      <c r="B465" s="3">
        <f>'S&amp;P500'!B466</f>
        <v>6728.81</v>
      </c>
      <c r="C465" s="3">
        <f>나스닥!B466</f>
        <v>23004.54</v>
      </c>
      <c r="D465">
        <f>VLOOKUP(A465,VIX!$A$2:B5463,2,0)</f>
        <v>19.079999999999998</v>
      </c>
      <c r="E465">
        <f>VLOOKUP(A465,'10년'!$A$2:$B$5000,2,0)</f>
        <v>4.0970000000000004</v>
      </c>
      <c r="F465">
        <f>VLOOKUP(A465,'5년'!$A$2:$B$5000,2,0)</f>
        <v>3.6819999999999999</v>
      </c>
      <c r="G465">
        <f>VLOOKUP(A465,HYG!$A$2:$B$5000,2,0)</f>
        <v>80.33</v>
      </c>
      <c r="H465">
        <f>VLOOKUP(A465,IEF!$A$2:$B$5000,2,0)</f>
        <v>96.69</v>
      </c>
    </row>
    <row r="466" spans="1:8" x14ac:dyDescent="0.4">
      <c r="A466" s="1">
        <v>45971</v>
      </c>
      <c r="B466" s="3">
        <f>'S&amp;P500'!B467</f>
        <v>6832.21</v>
      </c>
      <c r="C466" s="3">
        <f>나스닥!B467</f>
        <v>23527.17</v>
      </c>
      <c r="D466">
        <f>VLOOKUP(A466,VIX!$A$2:B5464,2,0)</f>
        <v>17.600000000000001</v>
      </c>
      <c r="E466">
        <f>VLOOKUP(A466,'10년'!$A$2:$B$5000,2,0)</f>
        <v>4.12</v>
      </c>
      <c r="F466">
        <f>VLOOKUP(A466,'5년'!$A$2:$B$5000,2,0)</f>
        <v>3.72</v>
      </c>
      <c r="G466">
        <f>VLOOKUP(A466,HYG!$A$2:$B$5000,2,0)</f>
        <v>80.599999999999994</v>
      </c>
      <c r="H466">
        <f>VLOOKUP(A466,IEF!$A$2:$B$5000,2,0)</f>
        <v>96.56</v>
      </c>
    </row>
    <row r="467" spans="1:8" x14ac:dyDescent="0.4">
      <c r="A467" s="1">
        <v>45972</v>
      </c>
      <c r="B467" s="3">
        <f>'S&amp;P500'!B468</f>
        <v>6847.36</v>
      </c>
      <c r="C467" s="3">
        <f>나스닥!B468</f>
        <v>23468.3</v>
      </c>
      <c r="D467">
        <f>VLOOKUP(A467,VIX!$A$2:B5465,2,0)</f>
        <v>17.28</v>
      </c>
      <c r="E467">
        <f>VLOOKUP(A467,'10년'!$A$2:$B$5000,2,0)</f>
        <v>4.0670000000000002</v>
      </c>
      <c r="F467">
        <f>VLOOKUP(A467,'5년'!$A$2:$B$5000,2,0)</f>
        <v>3.7189999999999999</v>
      </c>
      <c r="G467">
        <f>VLOOKUP(A467,HYG!$A$2:$B$5000,2,0)</f>
        <v>80.69</v>
      </c>
      <c r="H467">
        <f>VLOOKUP(A467,IEF!$A$2:$B$5000,2,0)</f>
        <v>96.86</v>
      </c>
    </row>
    <row r="468" spans="1:8" x14ac:dyDescent="0.4">
      <c r="A468" s="1">
        <v>45973</v>
      </c>
      <c r="B468" s="3">
        <f>'S&amp;P500'!B469</f>
        <v>6857.41</v>
      </c>
      <c r="C468" s="3">
        <f>나스닥!B469</f>
        <v>23406.46</v>
      </c>
      <c r="D468">
        <f>VLOOKUP(A468,VIX!$A$2:B5466,2,0)</f>
        <v>17.52</v>
      </c>
      <c r="E468">
        <f>VLOOKUP(A468,'10년'!$A$2:$B$5000,2,0)</f>
        <v>4.0650000000000004</v>
      </c>
      <c r="F468">
        <f>VLOOKUP(A468,'5년'!$A$2:$B$5000,2,0)</f>
        <v>3.6680000000000001</v>
      </c>
      <c r="G468">
        <f>VLOOKUP(A468,HYG!$A$2:$B$5000,2,0)</f>
        <v>80.55</v>
      </c>
      <c r="H468">
        <f>VLOOKUP(A468,IEF!$A$2:$B$5000,2,0)</f>
        <v>96.88</v>
      </c>
    </row>
    <row r="469" spans="1:8" x14ac:dyDescent="0.4">
      <c r="A469" s="1">
        <v>45974</v>
      </c>
      <c r="B469" s="3">
        <f>'S&amp;P500'!B470</f>
        <v>6735.8</v>
      </c>
      <c r="C469" s="3">
        <f>나스닥!B470</f>
        <v>22870.36</v>
      </c>
      <c r="D469">
        <f>VLOOKUP(A469,VIX!$A$2:B5467,2,0)</f>
        <v>20.68</v>
      </c>
      <c r="E469">
        <f>VLOOKUP(A469,'10년'!$A$2:$B$5000,2,0)</f>
        <v>4.1070000000000002</v>
      </c>
      <c r="F469">
        <f>VLOOKUP(A469,'5년'!$A$2:$B$5000,2,0)</f>
        <v>3.7050000000000001</v>
      </c>
      <c r="G469">
        <f>VLOOKUP(A469,HYG!$A$2:$B$5000,2,0)</f>
        <v>80.2</v>
      </c>
      <c r="H469">
        <f>VLOOKUP(A469,IEF!$A$2:$B$5000,2,0)</f>
        <v>96.61</v>
      </c>
    </row>
    <row r="470" spans="1:8" x14ac:dyDescent="0.4">
      <c r="A470" s="1">
        <v>45975</v>
      </c>
      <c r="B470" s="3">
        <f>'S&amp;P500'!B471</f>
        <v>6734.11</v>
      </c>
      <c r="C470" s="3">
        <f>나스닥!B471</f>
        <v>22900.59</v>
      </c>
      <c r="D470">
        <f>VLOOKUP(A470,VIX!$A$2:B5468,2,0)</f>
        <v>19.829999999999998</v>
      </c>
      <c r="E470">
        <f>VLOOKUP(A470,'10년'!$A$2:$B$5000,2,0)</f>
        <v>4.1500000000000004</v>
      </c>
      <c r="F470">
        <f>VLOOKUP(A470,'5년'!$A$2:$B$5000,2,0)</f>
        <v>3.7290000000000001</v>
      </c>
      <c r="G470">
        <f>VLOOKUP(A470,HYG!$A$2:$B$5000,2,0)</f>
        <v>80.22</v>
      </c>
      <c r="H470">
        <f>VLOOKUP(A470,IEF!$A$2:$B$5000,2,0)</f>
        <v>96.46</v>
      </c>
    </row>
    <row r="471" spans="1:8" x14ac:dyDescent="0.4">
      <c r="A471" s="1">
        <v>45978</v>
      </c>
      <c r="B471" s="3">
        <f>'S&amp;P500'!B472</f>
        <v>6672.5</v>
      </c>
      <c r="C471" s="3">
        <f>나스닥!B472</f>
        <v>22708.080000000002</v>
      </c>
      <c r="D471">
        <f>VLOOKUP(A471,VIX!$A$2:B5469,2,0)</f>
        <v>22.38</v>
      </c>
      <c r="E471">
        <f>VLOOKUP(A471,'10년'!$A$2:$B$5000,2,0)</f>
        <v>4.133</v>
      </c>
      <c r="F471">
        <f>VLOOKUP(A471,'5년'!$A$2:$B$5000,2,0)</f>
        <v>3.7290000000000001</v>
      </c>
      <c r="G471">
        <f>VLOOKUP(A471,HYG!$A$2:$B$5000,2,0)</f>
        <v>80.09</v>
      </c>
      <c r="H471">
        <f>VLOOKUP(A471,IEF!$A$2:$B$5000,2,0)</f>
        <v>96.55</v>
      </c>
    </row>
    <row r="472" spans="1:8" x14ac:dyDescent="0.4">
      <c r="A472" s="1">
        <v>45979</v>
      </c>
      <c r="B472" s="3">
        <f>'S&amp;P500'!B473</f>
        <v>6629.85</v>
      </c>
      <c r="C472" s="3">
        <f>나스닥!B473</f>
        <v>22432.85</v>
      </c>
      <c r="D472">
        <f>VLOOKUP(A472,VIX!$A$2:B5470,2,0)</f>
        <v>23.93</v>
      </c>
      <c r="E472">
        <f>VLOOKUP(A472,'10년'!$A$2:$B$5000,2,0)</f>
        <v>4.1189999999999998</v>
      </c>
      <c r="F472">
        <f>VLOOKUP(A472,'5년'!$A$2:$B$5000,2,0)</f>
        <v>3.6890000000000001</v>
      </c>
      <c r="G472">
        <f>VLOOKUP(A472,HYG!$A$2:$B$5000,2,0)</f>
        <v>80.11</v>
      </c>
      <c r="H472">
        <f>VLOOKUP(A472,IEF!$A$2:$B$5000,2,0)</f>
        <v>96.7</v>
      </c>
    </row>
    <row r="473" spans="1:8" x14ac:dyDescent="0.4">
      <c r="A473" s="1">
        <v>45980</v>
      </c>
      <c r="B473" s="3">
        <f>'S&amp;P500'!B474</f>
        <v>6629.85</v>
      </c>
      <c r="C473" s="3">
        <f>나스닥!B474</f>
        <v>22432.85</v>
      </c>
      <c r="D473">
        <f>VLOOKUP(A473,VIX!$A$2:B5471,2,0)</f>
        <v>23.69</v>
      </c>
      <c r="E473">
        <f>VLOOKUP(A473,'10년'!$A$2:$B$5000,2,0)</f>
        <v>4.1360000000000001</v>
      </c>
      <c r="F473">
        <f>VLOOKUP(A473,'5년'!$A$2:$B$5000,2,0)</f>
        <v>3.71</v>
      </c>
      <c r="G473">
        <f>VLOOKUP(A473,HYG!$A$2:$B$5000,2,0)</f>
        <v>80.11</v>
      </c>
      <c r="H473">
        <f>VLOOKUP(A473,IEF!$A$2:$B$5000,2,0)</f>
        <v>96.65</v>
      </c>
    </row>
    <row r="474" spans="1:8" x14ac:dyDescent="0.4">
      <c r="A474" s="1">
        <v>45981</v>
      </c>
      <c r="B474" s="3">
        <f>'S&amp;P500'!B475</f>
        <v>6541.86</v>
      </c>
      <c r="C474" s="3">
        <f>나스닥!B475</f>
        <v>22078.05</v>
      </c>
      <c r="D474">
        <f>VLOOKUP(A474,VIX!$A$2:B5472,2,0)</f>
        <v>26.52</v>
      </c>
      <c r="E474">
        <f>VLOOKUP(A474,'10년'!$A$2:$B$5000,2,0)</f>
        <v>4.0960000000000001</v>
      </c>
      <c r="F474">
        <f>VLOOKUP(A474,'5년'!$A$2:$B$5000,2,0)</f>
        <v>3.6469999999999998</v>
      </c>
      <c r="G474">
        <f>VLOOKUP(A474,HYG!$A$2:$B$5000,2,0)</f>
        <v>80.099999999999994</v>
      </c>
      <c r="H474">
        <f>VLOOKUP(A474,IEF!$A$2:$B$5000,2,0)</f>
        <v>96.88</v>
      </c>
    </row>
    <row r="475" spans="1:8" x14ac:dyDescent="0.4">
      <c r="A475" s="1">
        <v>45982</v>
      </c>
      <c r="B475" s="3">
        <f>'S&amp;P500'!B476</f>
        <v>6602.96</v>
      </c>
      <c r="C475" s="3">
        <f>나스닥!B476</f>
        <v>22273.08</v>
      </c>
      <c r="D475">
        <f>VLOOKUP(A475,VIX!$A$2:B5473,2,0)</f>
        <v>23.43</v>
      </c>
      <c r="E475">
        <f>VLOOKUP(A475,'10년'!$A$2:$B$5000,2,0)</f>
        <v>4.0629999999999997</v>
      </c>
      <c r="F475">
        <f>VLOOKUP(A475,'5년'!$A$2:$B$5000,2,0)</f>
        <v>3.6190000000000002</v>
      </c>
      <c r="G475">
        <f>VLOOKUP(A475,HYG!$A$2:$B$5000,2,0)</f>
        <v>80.37</v>
      </c>
      <c r="H475">
        <f>VLOOKUP(A475,IEF!$A$2:$B$5000,2,0)</f>
        <v>97.18</v>
      </c>
    </row>
    <row r="476" spans="1:8" x14ac:dyDescent="0.4">
      <c r="A476" s="1">
        <v>45985</v>
      </c>
      <c r="B476" s="3">
        <f>'S&amp;P500'!B477</f>
        <v>6704.67</v>
      </c>
      <c r="C476" s="3">
        <f>나스닥!B477</f>
        <v>22868.28</v>
      </c>
      <c r="D476">
        <f>VLOOKUP(A476,VIX!$A$2:B5474,2,0)</f>
        <v>20.69</v>
      </c>
      <c r="E476">
        <f>VLOOKUP(A476,'10년'!$A$2:$B$5000,2,0)</f>
        <v>4.0359999999999996</v>
      </c>
      <c r="F476">
        <f>VLOOKUP(A476,'5년'!$A$2:$B$5000,2,0)</f>
        <v>3.6040000000000001</v>
      </c>
      <c r="G476">
        <f>VLOOKUP(A476,HYG!$A$2:$B$5000,2,0)</f>
        <v>80.58</v>
      </c>
      <c r="H476">
        <f>VLOOKUP(A476,IEF!$A$2:$B$5000,2,0)</f>
        <v>97.33</v>
      </c>
    </row>
    <row r="477" spans="1:8" x14ac:dyDescent="0.4">
      <c r="A477" s="1">
        <v>45986</v>
      </c>
      <c r="B477" s="3">
        <f>'S&amp;P500'!B478</f>
        <v>6764.73</v>
      </c>
      <c r="C477" s="3">
        <f>나스닥!B478</f>
        <v>23025.59</v>
      </c>
      <c r="D477">
        <f>VLOOKUP(A477,VIX!$A$2:B5475,2,0)</f>
        <v>18.55</v>
      </c>
      <c r="E477">
        <f>VLOOKUP(A477,'10년'!$A$2:$B$5000,2,0)</f>
        <v>4</v>
      </c>
      <c r="F477">
        <f>VLOOKUP(A477,'5년'!$A$2:$B$5000,2,0)</f>
        <v>3.5619999999999998</v>
      </c>
      <c r="G477">
        <f>VLOOKUP(A477,HYG!$A$2:$B$5000,2,0)</f>
        <v>80.87</v>
      </c>
      <c r="H477">
        <f>VLOOKUP(A477,IEF!$A$2:$B$5000,2,0)</f>
        <v>97.59</v>
      </c>
    </row>
    <row r="478" spans="1:8" x14ac:dyDescent="0.4">
      <c r="A478" s="1">
        <v>45987</v>
      </c>
      <c r="B478" s="3">
        <f>'S&amp;P500'!B479</f>
        <v>6817.16</v>
      </c>
      <c r="C478" s="3">
        <f>나스닥!B479</f>
        <v>23214.69</v>
      </c>
      <c r="D478">
        <f>VLOOKUP(A478,VIX!$A$2:B5476,2,0)</f>
        <v>17.14</v>
      </c>
      <c r="E478">
        <f>VLOOKUP(A478,'10년'!$A$2:$B$5000,2,0)</f>
        <v>3.9940000000000002</v>
      </c>
      <c r="F478">
        <f>VLOOKUP(A478,'5년'!$A$2:$B$5000,2,0)</f>
        <v>3.57</v>
      </c>
      <c r="G478">
        <f>VLOOKUP(A478,HYG!$A$2:$B$5000,2,0)</f>
        <v>80.95</v>
      </c>
      <c r="H478">
        <f>VLOOKUP(A478,IEF!$A$2:$B$5000,2,0)</f>
        <v>97.67</v>
      </c>
    </row>
    <row r="479" spans="1:8" x14ac:dyDescent="0.4">
      <c r="A479" s="1">
        <v>45989</v>
      </c>
      <c r="B479" s="3">
        <f>'S&amp;P500'!B480</f>
        <v>6849.09</v>
      </c>
      <c r="C479" s="3">
        <f>나스닥!B480</f>
        <v>23365.69</v>
      </c>
      <c r="D479">
        <f>VLOOKUP(A479,VIX!$A$2:B5477,2,0)</f>
        <v>16.350000000000001</v>
      </c>
      <c r="E479">
        <f>VLOOKUP(A479,'10년'!$A$2:$B$5000,2,0)</f>
        <v>4.024</v>
      </c>
      <c r="F479">
        <f>VLOOKUP(A479,'5년'!$A$2:$B$5000,2,0)</f>
        <v>3.6</v>
      </c>
      <c r="G479">
        <f>VLOOKUP(A479,HYG!$A$2:$B$5000,2,0)</f>
        <v>80.989999999999995</v>
      </c>
      <c r="H479">
        <f>VLOOKUP(A479,IEF!$A$2:$B$5000,2,0)</f>
        <v>97.5</v>
      </c>
    </row>
    <row r="480" spans="1:8" x14ac:dyDescent="0.4">
      <c r="A480" s="1">
        <v>45992</v>
      </c>
      <c r="B480" s="3">
        <f>'S&amp;P500'!B481</f>
        <v>6812.63</v>
      </c>
      <c r="C480" s="3">
        <f>나스닥!B481</f>
        <v>23275.919999999998</v>
      </c>
      <c r="D480">
        <f>VLOOKUP(A480,VIX!$A$2:B5478,2,0)</f>
        <v>17.239999999999998</v>
      </c>
      <c r="E480">
        <f>VLOOKUP(A480,'10년'!$A$2:$B$5000,2,0)</f>
        <v>4.0960000000000001</v>
      </c>
      <c r="F480">
        <f>VLOOKUP(A480,'5년'!$A$2:$B$5000,2,0)</f>
        <v>3.673</v>
      </c>
      <c r="G480">
        <f>VLOOKUP(A480,HYG!$A$2:$B$5000,2,0)</f>
        <v>80.47</v>
      </c>
      <c r="H480">
        <f>VLOOKUP(A480,IEF!$A$2:$B$5000,2,0)</f>
        <v>96.69</v>
      </c>
    </row>
    <row r="481" spans="1:8" x14ac:dyDescent="0.4">
      <c r="A481" s="1">
        <v>45993</v>
      </c>
      <c r="B481" s="3">
        <f>'S&amp;P500'!B482</f>
        <v>6829.08</v>
      </c>
      <c r="C481" s="3">
        <f>나스닥!B482</f>
        <v>23413.67</v>
      </c>
      <c r="D481">
        <f>VLOOKUP(A481,VIX!$A$2:B5479,2,0)</f>
        <v>16.59</v>
      </c>
      <c r="E481">
        <f>VLOOKUP(A481,'10년'!$A$2:$B$5000,2,0)</f>
        <v>4.0860000000000003</v>
      </c>
      <c r="F481">
        <f>VLOOKUP(A481,'5년'!$A$2:$B$5000,2,0)</f>
        <v>3.6589999999999998</v>
      </c>
      <c r="G481">
        <f>VLOOKUP(A481,HYG!$A$2:$B$5000,2,0)</f>
        <v>80.599999999999994</v>
      </c>
      <c r="H481">
        <f>VLOOKUP(A481,IEF!$A$2:$B$5000,2,0)</f>
        <v>96.78</v>
      </c>
    </row>
    <row r="482" spans="1:8" x14ac:dyDescent="0.4">
      <c r="A482" s="1">
        <v>45994</v>
      </c>
      <c r="B482" s="3">
        <f>'S&amp;P500'!B483</f>
        <v>6849.72</v>
      </c>
      <c r="C482" s="3">
        <f>나스닥!B483</f>
        <v>23454.09</v>
      </c>
      <c r="D482">
        <f>VLOOKUP(A482,VIX!$A$2:B5480,2,0)</f>
        <v>16.079999999999998</v>
      </c>
      <c r="E482">
        <f>VLOOKUP(A482,'10년'!$A$2:$B$5000,2,0)</f>
        <v>4.0579999999999998</v>
      </c>
      <c r="F482">
        <f>VLOOKUP(A482,'5년'!$A$2:$B$5000,2,0)</f>
        <v>3.6240000000000001</v>
      </c>
      <c r="G482">
        <f>VLOOKUP(A482,HYG!$A$2:$B$5000,2,0)</f>
        <v>80.69</v>
      </c>
      <c r="H482">
        <f>VLOOKUP(A482,IEF!$A$2:$B$5000,2,0)</f>
        <v>96.97</v>
      </c>
    </row>
    <row r="483" spans="1:8" x14ac:dyDescent="0.4">
      <c r="A483" s="1">
        <v>45995</v>
      </c>
      <c r="B483" s="3">
        <f>'S&amp;P500'!B484</f>
        <v>6857.12</v>
      </c>
      <c r="C483" s="3">
        <f>나스닥!B484</f>
        <v>23505.14</v>
      </c>
      <c r="D483">
        <f>VLOOKUP(A483,VIX!$A$2:B5481,2,0)</f>
        <v>15.78</v>
      </c>
      <c r="E483">
        <f>VLOOKUP(A483,'10년'!$A$2:$B$5000,2,0)</f>
        <v>4.1079999999999997</v>
      </c>
      <c r="F483">
        <f>VLOOKUP(A483,'5년'!$A$2:$B$5000,2,0)</f>
        <v>3.6829999999999998</v>
      </c>
      <c r="G483">
        <f>VLOOKUP(A483,HYG!$A$2:$B$5000,2,0)</f>
        <v>80.75</v>
      </c>
      <c r="H483">
        <f>VLOOKUP(A483,IEF!$A$2:$B$5000,2,0)</f>
        <v>96.67</v>
      </c>
    </row>
    <row r="484" spans="1:8" x14ac:dyDescent="0.4">
      <c r="A484" s="1">
        <v>45996</v>
      </c>
      <c r="B484" s="3">
        <f>'S&amp;P500'!B485</f>
        <v>6870.4</v>
      </c>
      <c r="C484" s="3">
        <f>나스닥!B485</f>
        <v>23578.13</v>
      </c>
      <c r="D484">
        <f>VLOOKUP(A484,VIX!$A$2:B5482,2,0)</f>
        <v>15.41</v>
      </c>
      <c r="E484">
        <f>VLOOKUP(A484,'10년'!$A$2:$B$5000,2,0)</f>
        <v>4.1390000000000002</v>
      </c>
      <c r="F484">
        <f>VLOOKUP(A484,'5년'!$A$2:$B$5000,2,0)</f>
        <v>3.7149999999999999</v>
      </c>
      <c r="G484">
        <f>VLOOKUP(A484,HYG!$A$2:$B$5000,2,0)</f>
        <v>80.75</v>
      </c>
      <c r="H484">
        <f>VLOOKUP(A484,IEF!$A$2:$B$5000,2,0)</f>
        <v>96.47</v>
      </c>
    </row>
    <row r="485" spans="1:8" x14ac:dyDescent="0.4">
      <c r="A485" s="1">
        <v>45999</v>
      </c>
      <c r="B485" s="3">
        <f>'S&amp;P500'!B486</f>
        <v>6846.51</v>
      </c>
      <c r="C485" s="3">
        <f>나스닥!B486</f>
        <v>23545.9</v>
      </c>
      <c r="D485">
        <f>VLOOKUP(A485,VIX!$A$2:B5483,2,0)</f>
        <v>16.66</v>
      </c>
      <c r="E485">
        <f>VLOOKUP(A485,'10년'!$A$2:$B$5000,2,0)</f>
        <v>4.1719999999999997</v>
      </c>
      <c r="F485">
        <f>VLOOKUP(A485,'5년'!$A$2:$B$5000,2,0)</f>
        <v>3.7519999999999998</v>
      </c>
      <c r="G485">
        <f>VLOOKUP(A485,HYG!$A$2:$B$5000,2,0)</f>
        <v>80.55</v>
      </c>
      <c r="H485">
        <f>VLOOKUP(A485,IEF!$A$2:$B$5000,2,0)</f>
        <v>96.27</v>
      </c>
    </row>
    <row r="486" spans="1:8" x14ac:dyDescent="0.4">
      <c r="A486" s="1">
        <v>46000</v>
      </c>
      <c r="B486" s="3">
        <f>'S&amp;P500'!B487</f>
        <v>6840.51</v>
      </c>
      <c r="C486" s="3">
        <f>나스닥!B487</f>
        <v>23576.49</v>
      </c>
      <c r="D486">
        <f>VLOOKUP(A486,VIX!$A$2:B5484,2,0)</f>
        <v>16.93</v>
      </c>
      <c r="E486">
        <f>VLOOKUP(A486,'10년'!$A$2:$B$5000,2,0)</f>
        <v>4.1859999999999999</v>
      </c>
      <c r="F486">
        <f>VLOOKUP(A486,'5년'!$A$2:$B$5000,2,0)</f>
        <v>3.78</v>
      </c>
      <c r="G486">
        <f>VLOOKUP(A486,HYG!$A$2:$B$5000,2,0)</f>
        <v>80.459999999999994</v>
      </c>
      <c r="H486">
        <f>VLOOKUP(A486,IEF!$A$2:$B$5000,2,0)</f>
        <v>96.13</v>
      </c>
    </row>
    <row r="487" spans="1:8" x14ac:dyDescent="0.4">
      <c r="A487" s="1">
        <v>46001</v>
      </c>
      <c r="B487" s="3">
        <f>'S&amp;P500'!B488</f>
        <v>6886.68</v>
      </c>
      <c r="C487" s="3">
        <f>나스닥!B488</f>
        <v>23654.15</v>
      </c>
      <c r="D487">
        <f>VLOOKUP(A487,VIX!$A$2:B5485,2,0)</f>
        <v>15.77</v>
      </c>
      <c r="E487">
        <f>VLOOKUP(A487,'10년'!$A$2:$B$5000,2,0)</f>
        <v>4.1639999999999997</v>
      </c>
      <c r="F487">
        <f>VLOOKUP(A487,'5년'!$A$2:$B$5000,2,0)</f>
        <v>3.7549999999999999</v>
      </c>
      <c r="G487">
        <f>VLOOKUP(A487,HYG!$A$2:$B$5000,2,0)</f>
        <v>80.73</v>
      </c>
      <c r="H487">
        <f>VLOOKUP(A487,IEF!$A$2:$B$5000,2,0)</f>
        <v>96.44</v>
      </c>
    </row>
    <row r="488" spans="1:8" x14ac:dyDescent="0.4">
      <c r="A488" s="1">
        <v>46002</v>
      </c>
      <c r="B488" s="3">
        <f>'S&amp;P500'!B489</f>
        <v>6901</v>
      </c>
      <c r="C488" s="3">
        <f>나스닥!B489</f>
        <v>23593.86</v>
      </c>
      <c r="D488">
        <f>VLOOKUP(A488,VIX!$A$2:B5486,2,0)</f>
        <v>14.85</v>
      </c>
      <c r="E488">
        <f>VLOOKUP(A488,'10년'!$A$2:$B$5000,2,0)</f>
        <v>4.141</v>
      </c>
      <c r="F488">
        <f>VLOOKUP(A488,'5년'!$A$2:$B$5000,2,0)</f>
        <v>3.7149999999999999</v>
      </c>
      <c r="G488">
        <f>VLOOKUP(A488,HYG!$A$2:$B$5000,2,0)</f>
        <v>80.72</v>
      </c>
      <c r="H488">
        <f>VLOOKUP(A488,IEF!$A$2:$B$5000,2,0)</f>
        <v>96.45</v>
      </c>
    </row>
    <row r="489" spans="1:8" x14ac:dyDescent="0.4">
      <c r="A489" s="1">
        <v>46003</v>
      </c>
      <c r="B489" s="3">
        <f>'S&amp;P500'!B490</f>
        <v>6827.41</v>
      </c>
      <c r="C489" s="3">
        <f>나스닥!B490</f>
        <v>23195.17</v>
      </c>
      <c r="D489">
        <f>VLOOKUP(A489,VIX!$A$2:B5487,2,0)</f>
        <v>15.74</v>
      </c>
      <c r="E489">
        <f>VLOOKUP(A489,'10년'!$A$2:$B$5000,2,0)</f>
        <v>4.1959999999999997</v>
      </c>
      <c r="F489">
        <f>VLOOKUP(A489,'5년'!$A$2:$B$5000,2,0)</f>
        <v>3.75</v>
      </c>
      <c r="G489">
        <f>VLOOKUP(A489,HYG!$A$2:$B$5000,2,0)</f>
        <v>80.569999999999993</v>
      </c>
      <c r="H489">
        <f>VLOOKUP(A489,IEF!$A$2:$B$5000,2,0)</f>
        <v>96.19</v>
      </c>
    </row>
    <row r="490" spans="1:8" x14ac:dyDescent="0.4">
      <c r="A490" s="1">
        <v>46006</v>
      </c>
      <c r="B490" s="3">
        <f>'S&amp;P500'!B491</f>
        <v>6816.52</v>
      </c>
      <c r="C490" s="3">
        <f>나스닥!B491</f>
        <v>23057.41</v>
      </c>
      <c r="D490">
        <f>VLOOKUP(A490,VIX!$A$2:B5488,2,0)</f>
        <v>16.52</v>
      </c>
      <c r="E490">
        <f>VLOOKUP(A490,'10년'!$A$2:$B$5000,2,0)</f>
        <v>4.1769999999999996</v>
      </c>
      <c r="F490">
        <f>VLOOKUP(A490,'5년'!$A$2:$B$5000,2,0)</f>
        <v>3.726</v>
      </c>
      <c r="G490">
        <f>VLOOKUP(A490,HYG!$A$2:$B$5000,2,0)</f>
        <v>80.61</v>
      </c>
      <c r="H490">
        <f>VLOOKUP(A490,IEF!$A$2:$B$5000,2,0)</f>
        <v>96.28</v>
      </c>
    </row>
    <row r="491" spans="1:8" x14ac:dyDescent="0.4">
      <c r="A491" s="1">
        <v>46007</v>
      </c>
      <c r="B491" s="3">
        <f>'S&amp;P500'!B492</f>
        <v>6800.21</v>
      </c>
      <c r="C491" s="3">
        <f>나스닥!B492</f>
        <v>23111.46</v>
      </c>
      <c r="D491">
        <f>VLOOKUP(A491,VIX!$A$2:B5489,2,0)</f>
        <v>16.5</v>
      </c>
      <c r="E491">
        <f>VLOOKUP(A491,'10년'!$A$2:$B$5000,2,0)</f>
        <v>4.1470000000000002</v>
      </c>
      <c r="F491">
        <f>VLOOKUP(A491,'5년'!$A$2:$B$5000,2,0)</f>
        <v>3.6960000000000002</v>
      </c>
      <c r="G491">
        <f>VLOOKUP(A491,HYG!$A$2:$B$5000,2,0)</f>
        <v>80.66</v>
      </c>
      <c r="H491">
        <f>VLOOKUP(A491,IEF!$A$2:$B$5000,2,0)</f>
        <v>96.54</v>
      </c>
    </row>
    <row r="492" spans="1:8" x14ac:dyDescent="0.4">
      <c r="A492" s="1">
        <v>46008</v>
      </c>
      <c r="B492" s="3">
        <f>'S&amp;P500'!B493</f>
        <v>6721.51</v>
      </c>
      <c r="C492" s="3">
        <f>나스닥!B493</f>
        <v>22693.32</v>
      </c>
      <c r="D492">
        <f>VLOOKUP(A492,VIX!$A$2:B5490,2,0)</f>
        <v>17.62</v>
      </c>
      <c r="E492">
        <f>VLOOKUP(A492,'10년'!$A$2:$B$5000,2,0)</f>
        <v>4.1539999999999999</v>
      </c>
      <c r="F492">
        <f>VLOOKUP(A492,'5년'!$A$2:$B$5000,2,0)</f>
        <v>3.7</v>
      </c>
      <c r="G492">
        <f>VLOOKUP(A492,HYG!$A$2:$B$5000,2,0)</f>
        <v>80.56</v>
      </c>
      <c r="H492">
        <f>VLOOKUP(A492,IEF!$A$2:$B$5000,2,0)</f>
        <v>96.52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3"/>
  <sheetViews>
    <sheetView topLeftCell="A476" workbookViewId="0">
      <selection activeCell="B494" sqref="B494"/>
    </sheetView>
  </sheetViews>
  <sheetFormatPr defaultRowHeight="17.399999999999999" x14ac:dyDescent="0.4"/>
  <cols>
    <col min="1" max="1" width="11.0976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45293</v>
      </c>
      <c r="B2" s="3">
        <v>4742.83</v>
      </c>
      <c r="C2" s="3">
        <v>4745.2</v>
      </c>
      <c r="D2" s="3">
        <v>4754.33</v>
      </c>
      <c r="E2" s="3">
        <v>4722.67</v>
      </c>
      <c r="G2" s="2">
        <v>-5.7000000000000002E-3</v>
      </c>
    </row>
    <row r="3" spans="1:7" x14ac:dyDescent="0.4">
      <c r="A3" s="1">
        <v>45294</v>
      </c>
      <c r="B3" s="3">
        <v>4704.8100000000004</v>
      </c>
      <c r="C3" s="3">
        <v>4725.07</v>
      </c>
      <c r="D3" s="3">
        <v>4729.29</v>
      </c>
      <c r="E3" s="3">
        <v>4699.71</v>
      </c>
      <c r="G3" s="2">
        <v>-8.0000000000000002E-3</v>
      </c>
    </row>
    <row r="4" spans="1:7" x14ac:dyDescent="0.4">
      <c r="A4" s="1">
        <v>45295</v>
      </c>
      <c r="B4" s="3">
        <v>4688.68</v>
      </c>
      <c r="C4" s="3">
        <v>4697.42</v>
      </c>
      <c r="D4" s="3">
        <v>4726.78</v>
      </c>
      <c r="E4" s="3">
        <v>4687.53</v>
      </c>
      <c r="G4" s="2">
        <v>-3.3999999999999998E-3</v>
      </c>
    </row>
    <row r="5" spans="1:7" x14ac:dyDescent="0.4">
      <c r="A5" s="1">
        <v>45296</v>
      </c>
      <c r="B5" s="3">
        <v>4697.24</v>
      </c>
      <c r="C5" s="3">
        <v>4690.57</v>
      </c>
      <c r="D5" s="3">
        <v>4721.49</v>
      </c>
      <c r="E5" s="3">
        <v>4682.1099999999997</v>
      </c>
      <c r="G5" s="2">
        <v>1.8E-3</v>
      </c>
    </row>
    <row r="6" spans="1:7" x14ac:dyDescent="0.4">
      <c r="A6" s="1">
        <v>45299</v>
      </c>
      <c r="B6" s="3">
        <v>4763.54</v>
      </c>
      <c r="C6" s="3">
        <v>4703.7</v>
      </c>
      <c r="D6" s="3">
        <v>4764.54</v>
      </c>
      <c r="E6" s="3">
        <v>4699.82</v>
      </c>
      <c r="G6" s="2">
        <v>1.41E-2</v>
      </c>
    </row>
    <row r="7" spans="1:7" x14ac:dyDescent="0.4">
      <c r="A7" s="1">
        <v>45300</v>
      </c>
      <c r="B7" s="3">
        <v>4756.5</v>
      </c>
      <c r="C7" s="3">
        <v>4741.93</v>
      </c>
      <c r="D7" s="3">
        <v>4765.47</v>
      </c>
      <c r="E7" s="3">
        <v>4730.3500000000004</v>
      </c>
      <c r="G7" s="2">
        <v>-1.5E-3</v>
      </c>
    </row>
    <row r="8" spans="1:7" x14ac:dyDescent="0.4">
      <c r="A8" s="1">
        <v>45301</v>
      </c>
      <c r="B8" s="3">
        <v>4783.45</v>
      </c>
      <c r="C8" s="3">
        <v>4759.9399999999996</v>
      </c>
      <c r="D8" s="3">
        <v>4790.8</v>
      </c>
      <c r="E8" s="3">
        <v>4756.2</v>
      </c>
      <c r="G8" s="2">
        <v>5.7000000000000002E-3</v>
      </c>
    </row>
    <row r="9" spans="1:7" x14ac:dyDescent="0.4">
      <c r="A9" s="1">
        <v>45302</v>
      </c>
      <c r="B9" s="3">
        <v>4780.24</v>
      </c>
      <c r="C9" s="3">
        <v>4792.13</v>
      </c>
      <c r="D9" s="3">
        <v>4798.5</v>
      </c>
      <c r="E9" s="3">
        <v>4739.58</v>
      </c>
      <c r="G9" s="2">
        <v>-6.9999999999999999E-4</v>
      </c>
    </row>
    <row r="10" spans="1:7" x14ac:dyDescent="0.4">
      <c r="A10" s="1">
        <v>45303</v>
      </c>
      <c r="B10" s="3">
        <v>4783.83</v>
      </c>
      <c r="C10" s="3">
        <v>4791.18</v>
      </c>
      <c r="D10" s="3">
        <v>4802.3999999999996</v>
      </c>
      <c r="E10" s="3">
        <v>4768.9799999999996</v>
      </c>
      <c r="G10" s="2">
        <v>8.0000000000000004E-4</v>
      </c>
    </row>
    <row r="11" spans="1:7" x14ac:dyDescent="0.4">
      <c r="A11" s="1">
        <v>45307</v>
      </c>
      <c r="B11" s="3">
        <v>4765.9799999999996</v>
      </c>
      <c r="C11" s="3">
        <v>4772.3500000000004</v>
      </c>
      <c r="D11" s="3">
        <v>4782.34</v>
      </c>
      <c r="E11" s="3">
        <v>4747.12</v>
      </c>
      <c r="G11" s="2">
        <v>-3.7000000000000002E-3</v>
      </c>
    </row>
    <row r="12" spans="1:7" x14ac:dyDescent="0.4">
      <c r="A12" s="1">
        <v>45308</v>
      </c>
      <c r="B12" s="3">
        <v>4739.21</v>
      </c>
      <c r="C12" s="3">
        <v>4739.13</v>
      </c>
      <c r="D12" s="3">
        <v>4744.2299999999996</v>
      </c>
      <c r="E12" s="3">
        <v>4714.82</v>
      </c>
      <c r="G12" s="2">
        <v>-5.5999999999999999E-3</v>
      </c>
    </row>
    <row r="13" spans="1:7" x14ac:dyDescent="0.4">
      <c r="A13" s="1">
        <v>45309</v>
      </c>
      <c r="B13" s="3">
        <v>4780.9399999999996</v>
      </c>
      <c r="C13" s="3">
        <v>4760.1000000000004</v>
      </c>
      <c r="D13" s="3">
        <v>4785.79</v>
      </c>
      <c r="E13" s="3">
        <v>4740.57</v>
      </c>
      <c r="G13" s="2">
        <v>8.8000000000000005E-3</v>
      </c>
    </row>
    <row r="14" spans="1:7" x14ac:dyDescent="0.4">
      <c r="A14" s="1">
        <v>45310</v>
      </c>
      <c r="B14" s="3">
        <v>4839.8100000000004</v>
      </c>
      <c r="C14" s="3">
        <v>4796.28</v>
      </c>
      <c r="D14" s="3">
        <v>4842.07</v>
      </c>
      <c r="E14" s="3">
        <v>4785.87</v>
      </c>
      <c r="G14" s="2">
        <v>1.23E-2</v>
      </c>
    </row>
    <row r="15" spans="1:7" x14ac:dyDescent="0.4">
      <c r="A15" s="1">
        <v>45313</v>
      </c>
      <c r="B15" s="3">
        <v>4850.43</v>
      </c>
      <c r="C15" s="3">
        <v>4853.42</v>
      </c>
      <c r="D15" s="3">
        <v>4868.41</v>
      </c>
      <c r="E15" s="3">
        <v>4844.05</v>
      </c>
      <c r="G15" s="2">
        <v>2.2000000000000001E-3</v>
      </c>
    </row>
    <row r="16" spans="1:7" x14ac:dyDescent="0.4">
      <c r="A16" s="1">
        <v>45314</v>
      </c>
      <c r="B16" s="3">
        <v>4864.6000000000004</v>
      </c>
      <c r="C16" s="3">
        <v>4856.8</v>
      </c>
      <c r="D16" s="3">
        <v>4866.4799999999996</v>
      </c>
      <c r="E16" s="3">
        <v>4844.37</v>
      </c>
      <c r="G16" s="2">
        <v>2.8999999999999998E-3</v>
      </c>
    </row>
    <row r="17" spans="1:7" x14ac:dyDescent="0.4">
      <c r="A17" s="1">
        <v>45315</v>
      </c>
      <c r="B17" s="3">
        <v>4868.55</v>
      </c>
      <c r="C17" s="3">
        <v>4888.5600000000004</v>
      </c>
      <c r="D17" s="3">
        <v>4903.68</v>
      </c>
      <c r="E17" s="3">
        <v>4865.9399999999996</v>
      </c>
      <c r="G17" s="2">
        <v>8.0000000000000004E-4</v>
      </c>
    </row>
    <row r="18" spans="1:7" x14ac:dyDescent="0.4">
      <c r="A18" s="1">
        <v>45316</v>
      </c>
      <c r="B18" s="3">
        <v>4894.16</v>
      </c>
      <c r="C18" s="3">
        <v>4886.66</v>
      </c>
      <c r="D18" s="3">
        <v>4898.1499999999996</v>
      </c>
      <c r="E18" s="3">
        <v>4869.34</v>
      </c>
      <c r="G18" s="2">
        <v>5.3E-3</v>
      </c>
    </row>
    <row r="19" spans="1:7" x14ac:dyDescent="0.4">
      <c r="A19" s="1">
        <v>45317</v>
      </c>
      <c r="B19" s="3">
        <v>4890.97</v>
      </c>
      <c r="C19" s="3">
        <v>4888.91</v>
      </c>
      <c r="D19" s="3">
        <v>4906.6899999999996</v>
      </c>
      <c r="E19" s="3">
        <v>4881.47</v>
      </c>
      <c r="G19" s="2">
        <v>-6.9999999999999999E-4</v>
      </c>
    </row>
    <row r="20" spans="1:7" x14ac:dyDescent="0.4">
      <c r="A20" s="1">
        <v>45320</v>
      </c>
      <c r="B20" s="3">
        <v>4927.93</v>
      </c>
      <c r="C20" s="3">
        <v>4892.95</v>
      </c>
      <c r="D20" s="3">
        <v>4929.3100000000004</v>
      </c>
      <c r="E20" s="3">
        <v>4887.3999999999996</v>
      </c>
      <c r="G20" s="2">
        <v>7.6E-3</v>
      </c>
    </row>
    <row r="21" spans="1:7" x14ac:dyDescent="0.4">
      <c r="A21" s="1">
        <v>45321</v>
      </c>
      <c r="B21" s="3">
        <v>4924.97</v>
      </c>
      <c r="C21" s="3">
        <v>4925.8900000000003</v>
      </c>
      <c r="D21" s="3">
        <v>4931.09</v>
      </c>
      <c r="E21" s="3">
        <v>4916.2700000000004</v>
      </c>
      <c r="G21" s="2">
        <v>-5.9999999999999995E-4</v>
      </c>
    </row>
    <row r="22" spans="1:7" x14ac:dyDescent="0.4">
      <c r="A22" s="1">
        <v>45322</v>
      </c>
      <c r="B22" s="3">
        <v>4845.6499999999996</v>
      </c>
      <c r="C22" s="3">
        <v>4899.1899999999996</v>
      </c>
      <c r="D22" s="3">
        <v>4906.75</v>
      </c>
      <c r="E22" s="3">
        <v>4845.1499999999996</v>
      </c>
      <c r="G22" s="2">
        <v>-1.61E-2</v>
      </c>
    </row>
    <row r="23" spans="1:7" x14ac:dyDescent="0.4">
      <c r="A23" s="1">
        <v>45323</v>
      </c>
      <c r="B23" s="3">
        <v>4906.1899999999996</v>
      </c>
      <c r="C23" s="3">
        <v>4861.1099999999997</v>
      </c>
      <c r="D23" s="3">
        <v>4906.97</v>
      </c>
      <c r="E23" s="3">
        <v>4853.5200000000004</v>
      </c>
      <c r="G23" s="2">
        <v>1.2500000000000001E-2</v>
      </c>
    </row>
    <row r="24" spans="1:7" x14ac:dyDescent="0.4">
      <c r="A24" s="1">
        <v>45324</v>
      </c>
      <c r="B24" s="3">
        <v>4958.6099999999997</v>
      </c>
      <c r="C24" s="3">
        <v>4916.0600000000004</v>
      </c>
      <c r="D24" s="3">
        <v>4975.29</v>
      </c>
      <c r="E24" s="3">
        <v>4907.99</v>
      </c>
      <c r="G24" s="2">
        <v>1.0699999999999999E-2</v>
      </c>
    </row>
    <row r="25" spans="1:7" x14ac:dyDescent="0.4">
      <c r="A25" s="1">
        <v>45327</v>
      </c>
      <c r="B25" s="3">
        <v>4942.8100000000004</v>
      </c>
      <c r="C25" s="3">
        <v>4957.1899999999996</v>
      </c>
      <c r="D25" s="3">
        <v>4957.1899999999996</v>
      </c>
      <c r="E25" s="3">
        <v>4918.09</v>
      </c>
      <c r="G25" s="2">
        <v>-3.2000000000000002E-3</v>
      </c>
    </row>
    <row r="26" spans="1:7" x14ac:dyDescent="0.4">
      <c r="A26" s="1">
        <v>45328</v>
      </c>
      <c r="B26" s="3">
        <v>4954.2299999999996</v>
      </c>
      <c r="C26" s="3">
        <v>4950.16</v>
      </c>
      <c r="D26" s="3">
        <v>4957.7700000000004</v>
      </c>
      <c r="E26" s="3">
        <v>4934.88</v>
      </c>
      <c r="G26" s="2">
        <v>2.3E-3</v>
      </c>
    </row>
    <row r="27" spans="1:7" x14ac:dyDescent="0.4">
      <c r="A27" s="1">
        <v>45329</v>
      </c>
      <c r="B27" s="3">
        <v>4995.0600000000004</v>
      </c>
      <c r="C27" s="3">
        <v>4973.05</v>
      </c>
      <c r="D27" s="3">
        <v>4999.8900000000003</v>
      </c>
      <c r="E27" s="3">
        <v>4969.05</v>
      </c>
      <c r="G27" s="2">
        <v>8.2000000000000007E-3</v>
      </c>
    </row>
    <row r="28" spans="1:7" x14ac:dyDescent="0.4">
      <c r="A28" s="1">
        <v>45330</v>
      </c>
      <c r="B28" s="3">
        <v>4997.91</v>
      </c>
      <c r="C28" s="3">
        <v>4995.16</v>
      </c>
      <c r="D28" s="3">
        <v>5000.3999999999996</v>
      </c>
      <c r="E28" s="3">
        <v>4987.09</v>
      </c>
      <c r="G28" s="2">
        <v>5.9999999999999995E-4</v>
      </c>
    </row>
    <row r="29" spans="1:7" x14ac:dyDescent="0.4">
      <c r="A29" s="1">
        <v>45331</v>
      </c>
      <c r="B29" s="3">
        <v>5026.6099999999997</v>
      </c>
      <c r="C29" s="3">
        <v>5004.17</v>
      </c>
      <c r="D29" s="3">
        <v>5030.0600000000004</v>
      </c>
      <c r="E29" s="3">
        <v>5000.34</v>
      </c>
      <c r="G29" s="2">
        <v>5.7000000000000002E-3</v>
      </c>
    </row>
    <row r="30" spans="1:7" x14ac:dyDescent="0.4">
      <c r="A30" s="1">
        <v>45334</v>
      </c>
      <c r="B30" s="3">
        <v>5021.84</v>
      </c>
      <c r="C30" s="3">
        <v>5026.83</v>
      </c>
      <c r="D30" s="3">
        <v>5048.3900000000003</v>
      </c>
      <c r="E30" s="3">
        <v>5016.83</v>
      </c>
      <c r="G30" s="2">
        <v>-8.9999999999999998E-4</v>
      </c>
    </row>
    <row r="31" spans="1:7" x14ac:dyDescent="0.4">
      <c r="A31" s="1">
        <v>45335</v>
      </c>
      <c r="B31" s="3">
        <v>4953.17</v>
      </c>
      <c r="C31" s="3">
        <v>4967.9399999999996</v>
      </c>
      <c r="D31" s="3">
        <v>4971.3</v>
      </c>
      <c r="E31" s="3">
        <v>4920.3100000000004</v>
      </c>
      <c r="G31" s="2">
        <v>-1.37E-2</v>
      </c>
    </row>
    <row r="32" spans="1:7" x14ac:dyDescent="0.4">
      <c r="A32" s="1">
        <v>45336</v>
      </c>
      <c r="B32" s="3">
        <v>5000.62</v>
      </c>
      <c r="C32" s="3">
        <v>4976.4399999999996</v>
      </c>
      <c r="D32" s="3">
        <v>5002.5200000000004</v>
      </c>
      <c r="E32" s="3">
        <v>4956.45</v>
      </c>
      <c r="G32" s="2">
        <v>9.5999999999999992E-3</v>
      </c>
    </row>
    <row r="33" spans="1:7" x14ac:dyDescent="0.4">
      <c r="A33" s="1">
        <v>45337</v>
      </c>
      <c r="B33" s="3">
        <v>5029.7299999999996</v>
      </c>
      <c r="C33" s="3">
        <v>5003.1400000000003</v>
      </c>
      <c r="D33" s="3">
        <v>5032.72</v>
      </c>
      <c r="E33" s="3">
        <v>4999.4399999999996</v>
      </c>
      <c r="G33" s="2">
        <v>5.7999999999999996E-3</v>
      </c>
    </row>
    <row r="34" spans="1:7" x14ac:dyDescent="0.4">
      <c r="A34" s="1">
        <v>45338</v>
      </c>
      <c r="B34" s="3">
        <v>5005.57</v>
      </c>
      <c r="C34" s="3">
        <v>5031.13</v>
      </c>
      <c r="D34" s="3">
        <v>5038.7</v>
      </c>
      <c r="E34" s="3">
        <v>4999.5200000000004</v>
      </c>
      <c r="G34" s="2">
        <v>-4.7999999999999996E-3</v>
      </c>
    </row>
    <row r="35" spans="1:7" x14ac:dyDescent="0.4">
      <c r="A35" s="1">
        <v>45342</v>
      </c>
      <c r="B35" s="3">
        <v>4975.51</v>
      </c>
      <c r="C35" s="3">
        <v>4989.32</v>
      </c>
      <c r="D35" s="3">
        <v>4993.71</v>
      </c>
      <c r="E35" s="3">
        <v>4955.0200000000004</v>
      </c>
      <c r="G35" s="2">
        <v>-6.0000000000000001E-3</v>
      </c>
    </row>
    <row r="36" spans="1:7" x14ac:dyDescent="0.4">
      <c r="A36" s="1">
        <v>45343</v>
      </c>
      <c r="B36" s="3">
        <v>4981.8</v>
      </c>
      <c r="C36" s="3">
        <v>4963.03</v>
      </c>
      <c r="D36" s="3">
        <v>4983.21</v>
      </c>
      <c r="E36" s="3">
        <v>4946</v>
      </c>
      <c r="G36" s="2">
        <v>1.2999999999999999E-3</v>
      </c>
    </row>
    <row r="37" spans="1:7" x14ac:dyDescent="0.4">
      <c r="A37" s="1">
        <v>45344</v>
      </c>
      <c r="B37" s="3">
        <v>5087.03</v>
      </c>
      <c r="C37" s="3">
        <v>5038.83</v>
      </c>
      <c r="D37" s="3">
        <v>5094.3900000000003</v>
      </c>
      <c r="E37" s="3">
        <v>5038.83</v>
      </c>
      <c r="G37" s="2">
        <v>2.1100000000000001E-2</v>
      </c>
    </row>
    <row r="38" spans="1:7" x14ac:dyDescent="0.4">
      <c r="A38" s="1">
        <v>45345</v>
      </c>
      <c r="B38" s="3">
        <v>5088.8</v>
      </c>
      <c r="C38" s="3">
        <v>5100.92</v>
      </c>
      <c r="D38" s="3">
        <v>5111.0600000000004</v>
      </c>
      <c r="E38" s="3">
        <v>5081.46</v>
      </c>
      <c r="G38" s="2">
        <v>2.9999999999999997E-4</v>
      </c>
    </row>
    <row r="39" spans="1:7" x14ac:dyDescent="0.4">
      <c r="A39" s="1">
        <v>45348</v>
      </c>
      <c r="B39" s="3">
        <v>5069.53</v>
      </c>
      <c r="C39" s="3">
        <v>5093</v>
      </c>
      <c r="D39" s="3">
        <v>5097.66</v>
      </c>
      <c r="E39" s="3">
        <v>5068.91</v>
      </c>
      <c r="G39" s="2">
        <v>-3.8E-3</v>
      </c>
    </row>
    <row r="40" spans="1:7" x14ac:dyDescent="0.4">
      <c r="A40" s="1">
        <v>45349</v>
      </c>
      <c r="B40" s="3">
        <v>5078.18</v>
      </c>
      <c r="C40" s="3">
        <v>5074.6000000000004</v>
      </c>
      <c r="D40" s="3">
        <v>5080.6899999999996</v>
      </c>
      <c r="E40" s="3">
        <v>5057.29</v>
      </c>
      <c r="G40" s="2">
        <v>1.6999999999999999E-3</v>
      </c>
    </row>
    <row r="41" spans="1:7" x14ac:dyDescent="0.4">
      <c r="A41" s="1">
        <v>45350</v>
      </c>
      <c r="B41" s="3">
        <v>5069.76</v>
      </c>
      <c r="C41" s="3">
        <v>5067.2</v>
      </c>
      <c r="D41" s="3">
        <v>5077.37</v>
      </c>
      <c r="E41" s="3">
        <v>5058.3500000000004</v>
      </c>
      <c r="G41" s="2">
        <v>-1.6999999999999999E-3</v>
      </c>
    </row>
    <row r="42" spans="1:7" x14ac:dyDescent="0.4">
      <c r="A42" s="1">
        <v>45351</v>
      </c>
      <c r="B42" s="3">
        <v>5096.2700000000004</v>
      </c>
      <c r="C42" s="3">
        <v>5085.3599999999997</v>
      </c>
      <c r="D42" s="3">
        <v>5104.99</v>
      </c>
      <c r="E42" s="3">
        <v>5061.8900000000003</v>
      </c>
      <c r="G42" s="2">
        <v>5.1999999999999998E-3</v>
      </c>
    </row>
    <row r="43" spans="1:7" x14ac:dyDescent="0.4">
      <c r="A43" s="1">
        <v>45352</v>
      </c>
      <c r="B43" s="3">
        <v>5137.08</v>
      </c>
      <c r="C43" s="3">
        <v>5098.51</v>
      </c>
      <c r="D43" s="3">
        <v>5140.33</v>
      </c>
      <c r="E43" s="3">
        <v>5094.16</v>
      </c>
      <c r="G43" s="2">
        <v>8.0000000000000002E-3</v>
      </c>
    </row>
    <row r="44" spans="1:7" x14ac:dyDescent="0.4">
      <c r="A44" s="1">
        <v>45355</v>
      </c>
      <c r="B44" s="3">
        <v>5130.95</v>
      </c>
      <c r="C44" s="3">
        <v>5130.99</v>
      </c>
      <c r="D44" s="3">
        <v>5149.67</v>
      </c>
      <c r="E44" s="3">
        <v>5127.18</v>
      </c>
      <c r="G44" s="2">
        <v>-1.1999999999999999E-3</v>
      </c>
    </row>
    <row r="45" spans="1:7" x14ac:dyDescent="0.4">
      <c r="A45" s="1">
        <v>45356</v>
      </c>
      <c r="B45" s="3">
        <v>5078.6499999999996</v>
      </c>
      <c r="C45" s="3">
        <v>5110.5200000000004</v>
      </c>
      <c r="D45" s="3">
        <v>5114.54</v>
      </c>
      <c r="E45" s="3">
        <v>5056.82</v>
      </c>
      <c r="G45" s="2">
        <v>-1.0200000000000001E-2</v>
      </c>
    </row>
    <row r="46" spans="1:7" x14ac:dyDescent="0.4">
      <c r="A46" s="1">
        <v>45357</v>
      </c>
      <c r="B46" s="3">
        <v>5104.76</v>
      </c>
      <c r="C46" s="3">
        <v>5108.03</v>
      </c>
      <c r="D46" s="3">
        <v>5127.97</v>
      </c>
      <c r="E46" s="3">
        <v>5092.22</v>
      </c>
      <c r="G46" s="2">
        <v>5.1000000000000004E-3</v>
      </c>
    </row>
    <row r="47" spans="1:7" x14ac:dyDescent="0.4">
      <c r="A47" s="1">
        <v>45358</v>
      </c>
      <c r="B47" s="3">
        <v>5157.3599999999997</v>
      </c>
      <c r="C47" s="3">
        <v>5132.38</v>
      </c>
      <c r="D47" s="3">
        <v>5165.62</v>
      </c>
      <c r="E47" s="3">
        <v>5128.21</v>
      </c>
      <c r="G47" s="2">
        <v>1.03E-2</v>
      </c>
    </row>
    <row r="48" spans="1:7" x14ac:dyDescent="0.4">
      <c r="A48" s="1">
        <v>45359</v>
      </c>
      <c r="B48" s="3">
        <v>5123.6899999999996</v>
      </c>
      <c r="C48" s="3">
        <v>5164.46</v>
      </c>
      <c r="D48" s="3">
        <v>5189.26</v>
      </c>
      <c r="E48" s="3">
        <v>5117.5</v>
      </c>
      <c r="G48" s="2">
        <v>-6.4999999999999997E-3</v>
      </c>
    </row>
    <row r="49" spans="1:7" x14ac:dyDescent="0.4">
      <c r="A49" s="1">
        <v>45362</v>
      </c>
      <c r="B49" s="3">
        <v>5117.9399999999996</v>
      </c>
      <c r="C49" s="3">
        <v>5111.96</v>
      </c>
      <c r="D49" s="3">
        <v>5124.66</v>
      </c>
      <c r="E49" s="3">
        <v>5091.1400000000003</v>
      </c>
      <c r="G49" s="2">
        <v>-1.1000000000000001E-3</v>
      </c>
    </row>
    <row r="50" spans="1:7" x14ac:dyDescent="0.4">
      <c r="A50" s="1">
        <v>45363</v>
      </c>
      <c r="B50" s="3">
        <v>5175.2700000000004</v>
      </c>
      <c r="C50" s="3">
        <v>5134.3</v>
      </c>
      <c r="D50" s="3">
        <v>5179.87</v>
      </c>
      <c r="E50" s="3">
        <v>5114.4799999999996</v>
      </c>
      <c r="G50" s="2">
        <v>1.12E-2</v>
      </c>
    </row>
    <row r="51" spans="1:7" x14ac:dyDescent="0.4">
      <c r="A51" s="1">
        <v>45364</v>
      </c>
      <c r="B51" s="3">
        <v>5165.3100000000004</v>
      </c>
      <c r="C51" s="3">
        <v>5173.49</v>
      </c>
      <c r="D51" s="3">
        <v>5179.1400000000003</v>
      </c>
      <c r="E51" s="3">
        <v>5151.88</v>
      </c>
      <c r="G51" s="2">
        <v>-1.9E-3</v>
      </c>
    </row>
    <row r="52" spans="1:7" x14ac:dyDescent="0.4">
      <c r="A52" s="1">
        <v>45365</v>
      </c>
      <c r="B52" s="3">
        <v>5150.4799999999996</v>
      </c>
      <c r="C52" s="3">
        <v>5175.1400000000003</v>
      </c>
      <c r="D52" s="3">
        <v>5176.8500000000004</v>
      </c>
      <c r="E52" s="3">
        <v>5123.3</v>
      </c>
      <c r="G52" s="2">
        <v>-2.8999999999999998E-3</v>
      </c>
    </row>
    <row r="53" spans="1:7" x14ac:dyDescent="0.4">
      <c r="A53" s="1">
        <v>45366</v>
      </c>
      <c r="B53" s="3">
        <v>5117.09</v>
      </c>
      <c r="C53" s="3">
        <v>5123.3100000000004</v>
      </c>
      <c r="D53" s="3">
        <v>5136.8599999999997</v>
      </c>
      <c r="E53" s="3">
        <v>5104.3500000000004</v>
      </c>
      <c r="G53" s="2">
        <v>-6.4999999999999997E-3</v>
      </c>
    </row>
    <row r="54" spans="1:7" x14ac:dyDescent="0.4">
      <c r="A54" s="1">
        <v>45369</v>
      </c>
      <c r="B54" s="3">
        <v>5149.42</v>
      </c>
      <c r="C54" s="3">
        <v>5154.7700000000004</v>
      </c>
      <c r="D54" s="3">
        <v>5175.6000000000004</v>
      </c>
      <c r="E54" s="3">
        <v>5145.47</v>
      </c>
      <c r="G54" s="2">
        <v>6.3E-3</v>
      </c>
    </row>
    <row r="55" spans="1:7" x14ac:dyDescent="0.4">
      <c r="A55" s="1">
        <v>45370</v>
      </c>
      <c r="B55" s="3">
        <v>5178.51</v>
      </c>
      <c r="C55" s="3">
        <v>5139.09</v>
      </c>
      <c r="D55" s="3">
        <v>5180.3100000000004</v>
      </c>
      <c r="E55" s="3">
        <v>5131.59</v>
      </c>
      <c r="G55" s="2">
        <v>5.5999999999999999E-3</v>
      </c>
    </row>
    <row r="56" spans="1:7" x14ac:dyDescent="0.4">
      <c r="A56" s="1">
        <v>45371</v>
      </c>
      <c r="B56" s="3">
        <v>5224.62</v>
      </c>
      <c r="C56" s="3">
        <v>5181.6899999999996</v>
      </c>
      <c r="D56" s="3">
        <v>5226.1899999999996</v>
      </c>
      <c r="E56" s="3">
        <v>5171.55</v>
      </c>
      <c r="G56" s="2">
        <v>8.8999999999999999E-3</v>
      </c>
    </row>
    <row r="57" spans="1:7" x14ac:dyDescent="0.4">
      <c r="A57" s="1">
        <v>45372</v>
      </c>
      <c r="B57" s="3">
        <v>5241.53</v>
      </c>
      <c r="C57" s="3">
        <v>5253.43</v>
      </c>
      <c r="D57" s="3">
        <v>5261.1</v>
      </c>
      <c r="E57" s="3">
        <v>5240.66</v>
      </c>
      <c r="G57" s="2">
        <v>3.2000000000000002E-3</v>
      </c>
    </row>
    <row r="58" spans="1:7" x14ac:dyDescent="0.4">
      <c r="A58" s="1">
        <v>45373</v>
      </c>
      <c r="B58" s="3">
        <v>5234.18</v>
      </c>
      <c r="C58" s="3">
        <v>5242.4799999999996</v>
      </c>
      <c r="D58" s="3">
        <v>5246.09</v>
      </c>
      <c r="E58" s="3">
        <v>5229.87</v>
      </c>
      <c r="G58" s="2">
        <v>-1.4E-3</v>
      </c>
    </row>
    <row r="59" spans="1:7" x14ac:dyDescent="0.4">
      <c r="A59" s="1">
        <v>45376</v>
      </c>
      <c r="B59" s="3">
        <v>5218.1899999999996</v>
      </c>
      <c r="C59" s="3">
        <v>5219.5200000000004</v>
      </c>
      <c r="D59" s="3">
        <v>5229.09</v>
      </c>
      <c r="E59" s="3">
        <v>5216.09</v>
      </c>
      <c r="G59" s="2">
        <v>-3.0999999999999999E-3</v>
      </c>
    </row>
    <row r="60" spans="1:7" x14ac:dyDescent="0.4">
      <c r="A60" s="1">
        <v>45377</v>
      </c>
      <c r="B60" s="3">
        <v>5203.58</v>
      </c>
      <c r="C60" s="3">
        <v>5228.8500000000004</v>
      </c>
      <c r="D60" s="3">
        <v>5235.16</v>
      </c>
      <c r="E60" s="3">
        <v>5203.42</v>
      </c>
      <c r="G60" s="2">
        <v>-2.8E-3</v>
      </c>
    </row>
    <row r="61" spans="1:7" x14ac:dyDescent="0.4">
      <c r="A61" s="1">
        <v>45378</v>
      </c>
      <c r="B61" s="3">
        <v>5248.49</v>
      </c>
      <c r="C61" s="3">
        <v>5226.3100000000004</v>
      </c>
      <c r="D61" s="3">
        <v>5249.26</v>
      </c>
      <c r="E61" s="3">
        <v>5213.92</v>
      </c>
      <c r="G61" s="2">
        <v>8.6E-3</v>
      </c>
    </row>
    <row r="62" spans="1:7" x14ac:dyDescent="0.4">
      <c r="A62" s="1">
        <v>45379</v>
      </c>
      <c r="B62" s="3">
        <v>5254.35</v>
      </c>
      <c r="C62" s="3">
        <v>5248.03</v>
      </c>
      <c r="D62" s="3">
        <v>5264.85</v>
      </c>
      <c r="E62" s="3">
        <v>5245.82</v>
      </c>
      <c r="G62" s="2">
        <v>1.1000000000000001E-3</v>
      </c>
    </row>
    <row r="63" spans="1:7" x14ac:dyDescent="0.4">
      <c r="A63" s="1">
        <v>45383</v>
      </c>
      <c r="B63" s="3">
        <v>5243.77</v>
      </c>
      <c r="C63" s="3">
        <v>5257.97</v>
      </c>
      <c r="D63" s="3">
        <v>5263.95</v>
      </c>
      <c r="E63" s="3">
        <v>5229.2</v>
      </c>
      <c r="G63" s="2">
        <v>-2E-3</v>
      </c>
    </row>
    <row r="64" spans="1:7" x14ac:dyDescent="0.4">
      <c r="A64" s="1">
        <v>45384</v>
      </c>
      <c r="B64" s="3">
        <v>5205.8100000000004</v>
      </c>
      <c r="C64" s="3">
        <v>5204.29</v>
      </c>
      <c r="D64" s="3">
        <v>5208.34</v>
      </c>
      <c r="E64" s="3">
        <v>5184.05</v>
      </c>
      <c r="G64" s="2">
        <v>-7.1999999999999998E-3</v>
      </c>
    </row>
    <row r="65" spans="1:7" x14ac:dyDescent="0.4">
      <c r="A65" s="1">
        <v>45385</v>
      </c>
      <c r="B65" s="3">
        <v>5211.49</v>
      </c>
      <c r="C65" s="3">
        <v>5194.37</v>
      </c>
      <c r="D65" s="3">
        <v>5228.75</v>
      </c>
      <c r="E65" s="3">
        <v>5194.37</v>
      </c>
      <c r="G65" s="2">
        <v>1.1000000000000001E-3</v>
      </c>
    </row>
    <row r="66" spans="1:7" x14ac:dyDescent="0.4">
      <c r="A66" s="1">
        <v>45386</v>
      </c>
      <c r="B66" s="3">
        <v>5147.21</v>
      </c>
      <c r="C66" s="3">
        <v>5244.05</v>
      </c>
      <c r="D66" s="3">
        <v>5256.59</v>
      </c>
      <c r="E66" s="3">
        <v>5146.0600000000004</v>
      </c>
      <c r="G66" s="2">
        <v>-1.23E-2</v>
      </c>
    </row>
    <row r="67" spans="1:7" x14ac:dyDescent="0.4">
      <c r="A67" s="1">
        <v>45387</v>
      </c>
      <c r="B67" s="3">
        <v>5204.34</v>
      </c>
      <c r="C67" s="3">
        <v>5158.95</v>
      </c>
      <c r="D67" s="3">
        <v>5222.18</v>
      </c>
      <c r="E67" s="3">
        <v>5157.21</v>
      </c>
      <c r="G67" s="2">
        <v>1.11E-2</v>
      </c>
    </row>
    <row r="68" spans="1:7" x14ac:dyDescent="0.4">
      <c r="A68" s="1">
        <v>45390</v>
      </c>
      <c r="B68" s="3">
        <v>5202.3900000000003</v>
      </c>
      <c r="C68" s="3">
        <v>5211.37</v>
      </c>
      <c r="D68" s="3">
        <v>5219.57</v>
      </c>
      <c r="E68" s="3">
        <v>5197.3500000000004</v>
      </c>
      <c r="G68" s="2">
        <v>-4.0000000000000002E-4</v>
      </c>
    </row>
    <row r="69" spans="1:7" x14ac:dyDescent="0.4">
      <c r="A69" s="1">
        <v>45391</v>
      </c>
      <c r="B69" s="3">
        <v>5209.91</v>
      </c>
      <c r="C69" s="3">
        <v>5217.03</v>
      </c>
      <c r="D69" s="3">
        <v>5224.8100000000004</v>
      </c>
      <c r="E69" s="3">
        <v>5160.78</v>
      </c>
      <c r="G69" s="2">
        <v>1.4E-3</v>
      </c>
    </row>
    <row r="70" spans="1:7" x14ac:dyDescent="0.4">
      <c r="A70" s="1">
        <v>45392</v>
      </c>
      <c r="B70" s="3">
        <v>5160.6400000000003</v>
      </c>
      <c r="C70" s="3">
        <v>5167.88</v>
      </c>
      <c r="D70" s="3">
        <v>5178.43</v>
      </c>
      <c r="E70" s="3">
        <v>5138.7</v>
      </c>
      <c r="G70" s="2">
        <v>-9.4999999999999998E-3</v>
      </c>
    </row>
    <row r="71" spans="1:7" x14ac:dyDescent="0.4">
      <c r="A71" s="1">
        <v>45393</v>
      </c>
      <c r="B71" s="3">
        <v>5199.0600000000004</v>
      </c>
      <c r="C71" s="3">
        <v>5172.95</v>
      </c>
      <c r="D71" s="3">
        <v>5211.78</v>
      </c>
      <c r="E71" s="3">
        <v>5138.7700000000004</v>
      </c>
      <c r="G71" s="2">
        <v>7.4000000000000003E-3</v>
      </c>
    </row>
    <row r="72" spans="1:7" x14ac:dyDescent="0.4">
      <c r="A72" s="1">
        <v>45394</v>
      </c>
      <c r="B72" s="3">
        <v>5123.41</v>
      </c>
      <c r="C72" s="3">
        <v>5171.51</v>
      </c>
      <c r="D72" s="3">
        <v>5175.03</v>
      </c>
      <c r="E72" s="3">
        <v>5107.9399999999996</v>
      </c>
      <c r="G72" s="2">
        <v>-1.46E-2</v>
      </c>
    </row>
    <row r="73" spans="1:7" x14ac:dyDescent="0.4">
      <c r="A73" s="1">
        <v>45397</v>
      </c>
      <c r="B73" s="3">
        <v>5061.82</v>
      </c>
      <c r="C73" s="3">
        <v>5149.67</v>
      </c>
      <c r="D73" s="3">
        <v>5168.43</v>
      </c>
      <c r="E73" s="3">
        <v>5052.47</v>
      </c>
      <c r="G73" s="2">
        <v>-1.2E-2</v>
      </c>
    </row>
    <row r="74" spans="1:7" x14ac:dyDescent="0.4">
      <c r="A74" s="1">
        <v>45398</v>
      </c>
      <c r="B74" s="3">
        <v>5051.41</v>
      </c>
      <c r="C74" s="3">
        <v>5064.59</v>
      </c>
      <c r="D74" s="3">
        <v>5079.84</v>
      </c>
      <c r="E74" s="3">
        <v>5039.83</v>
      </c>
      <c r="G74" s="2">
        <v>-2.0999999999999999E-3</v>
      </c>
    </row>
    <row r="75" spans="1:7" x14ac:dyDescent="0.4">
      <c r="A75" s="1">
        <v>45399</v>
      </c>
      <c r="B75" s="3">
        <v>5022.21</v>
      </c>
      <c r="C75" s="3">
        <v>5068.97</v>
      </c>
      <c r="D75" s="3">
        <v>5077.96</v>
      </c>
      <c r="E75" s="3">
        <v>5007.25</v>
      </c>
      <c r="G75" s="2">
        <v>-5.7999999999999996E-3</v>
      </c>
    </row>
    <row r="76" spans="1:7" x14ac:dyDescent="0.4">
      <c r="A76" s="1">
        <v>45400</v>
      </c>
      <c r="B76" s="3">
        <v>5011.12</v>
      </c>
      <c r="C76" s="3">
        <v>5031.5200000000004</v>
      </c>
      <c r="D76" s="3">
        <v>5056.66</v>
      </c>
      <c r="E76" s="3">
        <v>5001.8900000000003</v>
      </c>
      <c r="G76" s="2">
        <v>-2.2000000000000001E-3</v>
      </c>
    </row>
    <row r="77" spans="1:7" x14ac:dyDescent="0.4">
      <c r="A77" s="1">
        <v>45401</v>
      </c>
      <c r="B77" s="3">
        <v>4967.2299999999996</v>
      </c>
      <c r="C77" s="3">
        <v>5005.4399999999996</v>
      </c>
      <c r="D77" s="3">
        <v>5019.0200000000004</v>
      </c>
      <c r="E77" s="3">
        <v>4953.5600000000004</v>
      </c>
      <c r="G77" s="2">
        <v>-8.8000000000000005E-3</v>
      </c>
    </row>
    <row r="78" spans="1:7" x14ac:dyDescent="0.4">
      <c r="A78" s="1">
        <v>45404</v>
      </c>
      <c r="B78" s="3">
        <v>5010.6000000000004</v>
      </c>
      <c r="C78" s="3">
        <v>4987.33</v>
      </c>
      <c r="D78" s="3">
        <v>5038.84</v>
      </c>
      <c r="E78" s="3">
        <v>4969.3999999999996</v>
      </c>
      <c r="G78" s="2">
        <v>8.6999999999999994E-3</v>
      </c>
    </row>
    <row r="79" spans="1:7" x14ac:dyDescent="0.4">
      <c r="A79" s="1">
        <v>45405</v>
      </c>
      <c r="B79" s="3">
        <v>5070.55</v>
      </c>
      <c r="C79" s="3">
        <v>5028.8500000000004</v>
      </c>
      <c r="D79" s="3">
        <v>5076.12</v>
      </c>
      <c r="E79" s="3">
        <v>5027.96</v>
      </c>
      <c r="G79" s="2">
        <v>1.2E-2</v>
      </c>
    </row>
    <row r="80" spans="1:7" x14ac:dyDescent="0.4">
      <c r="A80" s="1">
        <v>45406</v>
      </c>
      <c r="B80" s="3">
        <v>5071.63</v>
      </c>
      <c r="C80" s="3">
        <v>5084.8599999999997</v>
      </c>
      <c r="D80" s="3">
        <v>5089.4799999999996</v>
      </c>
      <c r="E80" s="3">
        <v>5047.0200000000004</v>
      </c>
      <c r="G80" s="2">
        <v>2.0000000000000001E-4</v>
      </c>
    </row>
    <row r="81" spans="1:7" x14ac:dyDescent="0.4">
      <c r="A81" s="1">
        <v>45407</v>
      </c>
      <c r="B81" s="3">
        <v>5048.42</v>
      </c>
      <c r="C81" s="3">
        <v>5019.88</v>
      </c>
      <c r="D81" s="3">
        <v>5057.75</v>
      </c>
      <c r="E81" s="3">
        <v>4990.58</v>
      </c>
      <c r="G81" s="2">
        <v>-4.5999999999999999E-3</v>
      </c>
    </row>
    <row r="82" spans="1:7" x14ac:dyDescent="0.4">
      <c r="A82" s="1">
        <v>45408</v>
      </c>
      <c r="B82" s="3">
        <v>5099.96</v>
      </c>
      <c r="C82" s="3">
        <v>5084.6499999999996</v>
      </c>
      <c r="D82" s="3">
        <v>5114.62</v>
      </c>
      <c r="E82" s="3">
        <v>5073.1400000000003</v>
      </c>
      <c r="G82" s="2">
        <v>1.0200000000000001E-2</v>
      </c>
    </row>
    <row r="83" spans="1:7" x14ac:dyDescent="0.4">
      <c r="A83" s="1">
        <v>45411</v>
      </c>
      <c r="B83" s="3">
        <v>5116.17</v>
      </c>
      <c r="C83" s="3">
        <v>5114.13</v>
      </c>
      <c r="D83" s="3">
        <v>5123.49</v>
      </c>
      <c r="E83" s="3">
        <v>5088.6499999999996</v>
      </c>
      <c r="G83" s="2">
        <v>3.2000000000000002E-3</v>
      </c>
    </row>
    <row r="84" spans="1:7" x14ac:dyDescent="0.4">
      <c r="A84" s="1">
        <v>45412</v>
      </c>
      <c r="B84" s="3">
        <v>5035.6899999999996</v>
      </c>
      <c r="C84" s="3">
        <v>5103.78</v>
      </c>
      <c r="D84" s="3">
        <v>5110.83</v>
      </c>
      <c r="E84" s="3">
        <v>5035.3100000000004</v>
      </c>
      <c r="G84" s="2">
        <v>-1.5699999999999999E-2</v>
      </c>
    </row>
    <row r="85" spans="1:7" x14ac:dyDescent="0.4">
      <c r="A85" s="1">
        <v>45413</v>
      </c>
      <c r="B85" s="3">
        <v>5018.3900000000003</v>
      </c>
      <c r="C85" s="3">
        <v>5029.03</v>
      </c>
      <c r="D85" s="3">
        <v>5096.12</v>
      </c>
      <c r="E85" s="3">
        <v>5013.45</v>
      </c>
      <c r="G85" s="2">
        <v>-3.3999999999999998E-3</v>
      </c>
    </row>
    <row r="86" spans="1:7" x14ac:dyDescent="0.4">
      <c r="A86" s="1">
        <v>45414</v>
      </c>
      <c r="B86" s="3">
        <v>5064.2</v>
      </c>
      <c r="C86" s="3">
        <v>5049.32</v>
      </c>
      <c r="D86" s="3">
        <v>5073.21</v>
      </c>
      <c r="E86" s="3">
        <v>5011.05</v>
      </c>
      <c r="G86" s="2">
        <v>9.1000000000000004E-3</v>
      </c>
    </row>
    <row r="87" spans="1:7" x14ac:dyDescent="0.4">
      <c r="A87" s="1">
        <v>45415</v>
      </c>
      <c r="B87" s="3">
        <v>5127.79</v>
      </c>
      <c r="C87" s="3">
        <v>5122.78</v>
      </c>
      <c r="D87" s="3">
        <v>5139.12</v>
      </c>
      <c r="E87" s="3">
        <v>5101.22</v>
      </c>
      <c r="G87" s="2">
        <v>1.26E-2</v>
      </c>
    </row>
    <row r="88" spans="1:7" x14ac:dyDescent="0.4">
      <c r="A88" s="1">
        <v>45418</v>
      </c>
      <c r="B88" s="3">
        <v>5180.74</v>
      </c>
      <c r="C88" s="3">
        <v>5142.42</v>
      </c>
      <c r="D88" s="3">
        <v>5181</v>
      </c>
      <c r="E88" s="3">
        <v>5142.42</v>
      </c>
      <c r="G88" s="2">
        <v>1.03E-2</v>
      </c>
    </row>
    <row r="89" spans="1:7" x14ac:dyDescent="0.4">
      <c r="A89" s="1">
        <v>45419</v>
      </c>
      <c r="B89" s="3">
        <v>5187.7</v>
      </c>
      <c r="C89" s="3">
        <v>5187.2</v>
      </c>
      <c r="D89" s="3">
        <v>5200.2299999999996</v>
      </c>
      <c r="E89" s="3">
        <v>5178.96</v>
      </c>
      <c r="G89" s="2">
        <v>1.2999999999999999E-3</v>
      </c>
    </row>
    <row r="90" spans="1:7" x14ac:dyDescent="0.4">
      <c r="A90" s="1">
        <v>45420</v>
      </c>
      <c r="B90" s="3">
        <v>5187.67</v>
      </c>
      <c r="C90" s="3">
        <v>5168.9799999999996</v>
      </c>
      <c r="D90" s="3">
        <v>5191.95</v>
      </c>
      <c r="E90" s="3">
        <v>5165.8599999999997</v>
      </c>
      <c r="G90" s="2">
        <v>0</v>
      </c>
    </row>
    <row r="91" spans="1:7" x14ac:dyDescent="0.4">
      <c r="A91" s="1">
        <v>45421</v>
      </c>
      <c r="B91" s="3">
        <v>5214.08</v>
      </c>
      <c r="C91" s="3">
        <v>5189.03</v>
      </c>
      <c r="D91" s="3">
        <v>5215.3</v>
      </c>
      <c r="E91" s="3">
        <v>5180.41</v>
      </c>
      <c r="G91" s="2">
        <v>5.1000000000000004E-3</v>
      </c>
    </row>
    <row r="92" spans="1:7" x14ac:dyDescent="0.4">
      <c r="A92" s="1">
        <v>45422</v>
      </c>
      <c r="B92" s="3">
        <v>5222.68</v>
      </c>
      <c r="C92" s="3">
        <v>5225.49</v>
      </c>
      <c r="D92" s="3">
        <v>5239.66</v>
      </c>
      <c r="E92" s="3">
        <v>5209.68</v>
      </c>
      <c r="G92" s="2">
        <v>1.6000000000000001E-3</v>
      </c>
    </row>
    <row r="93" spans="1:7" x14ac:dyDescent="0.4">
      <c r="A93" s="1">
        <v>45425</v>
      </c>
      <c r="B93" s="3">
        <v>5221.42</v>
      </c>
      <c r="C93" s="3">
        <v>5233.08</v>
      </c>
      <c r="D93" s="3">
        <v>5237.26</v>
      </c>
      <c r="E93" s="3">
        <v>5211.16</v>
      </c>
      <c r="G93" s="2">
        <v>-2.0000000000000001E-4</v>
      </c>
    </row>
    <row r="94" spans="1:7" x14ac:dyDescent="0.4">
      <c r="A94" s="1">
        <v>45426</v>
      </c>
      <c r="B94" s="3">
        <v>5246.68</v>
      </c>
      <c r="C94" s="3">
        <v>5221.1000000000004</v>
      </c>
      <c r="D94" s="3">
        <v>5250.37</v>
      </c>
      <c r="E94" s="3">
        <v>5217.9799999999996</v>
      </c>
      <c r="G94" s="2">
        <v>4.7999999999999996E-3</v>
      </c>
    </row>
    <row r="95" spans="1:7" x14ac:dyDescent="0.4">
      <c r="A95" s="1">
        <v>45427</v>
      </c>
      <c r="B95" s="3">
        <v>5308.15</v>
      </c>
      <c r="C95" s="3">
        <v>5263.26</v>
      </c>
      <c r="D95" s="3">
        <v>5311.76</v>
      </c>
      <c r="E95" s="3">
        <v>5263.26</v>
      </c>
      <c r="G95" s="2">
        <v>1.17E-2</v>
      </c>
    </row>
    <row r="96" spans="1:7" x14ac:dyDescent="0.4">
      <c r="A96" s="1">
        <v>45428</v>
      </c>
      <c r="B96" s="3">
        <v>5297.1</v>
      </c>
      <c r="C96" s="3">
        <v>5310.07</v>
      </c>
      <c r="D96" s="3">
        <v>5325.49</v>
      </c>
      <c r="E96" s="3">
        <v>5296.19</v>
      </c>
      <c r="G96" s="2">
        <v>-2.0999999999999999E-3</v>
      </c>
    </row>
    <row r="97" spans="1:7" x14ac:dyDescent="0.4">
      <c r="A97" s="1">
        <v>45429</v>
      </c>
      <c r="B97" s="3">
        <v>5303.27</v>
      </c>
      <c r="C97" s="3">
        <v>5303.1</v>
      </c>
      <c r="D97" s="3">
        <v>5305.45</v>
      </c>
      <c r="E97" s="3">
        <v>5283.59</v>
      </c>
      <c r="G97" s="2">
        <v>1.1999999999999999E-3</v>
      </c>
    </row>
    <row r="98" spans="1:7" x14ac:dyDescent="0.4">
      <c r="A98" s="1">
        <v>45432</v>
      </c>
      <c r="B98" s="3">
        <v>5308.13</v>
      </c>
      <c r="C98" s="3">
        <v>5305.35</v>
      </c>
      <c r="D98" s="3">
        <v>5325.32</v>
      </c>
      <c r="E98" s="3">
        <v>5302.4</v>
      </c>
      <c r="G98" s="2">
        <v>8.9999999999999998E-4</v>
      </c>
    </row>
    <row r="99" spans="1:7" x14ac:dyDescent="0.4">
      <c r="A99" s="1">
        <v>45433</v>
      </c>
      <c r="B99" s="3">
        <v>5321.41</v>
      </c>
      <c r="C99" s="3">
        <v>5298.69</v>
      </c>
      <c r="D99" s="3">
        <v>5324.32</v>
      </c>
      <c r="E99" s="3">
        <v>5297.87</v>
      </c>
      <c r="G99" s="2">
        <v>2.5000000000000001E-3</v>
      </c>
    </row>
    <row r="100" spans="1:7" x14ac:dyDescent="0.4">
      <c r="A100" s="1">
        <v>45434</v>
      </c>
      <c r="B100" s="3">
        <v>5307.01</v>
      </c>
      <c r="C100" s="3">
        <v>5319.28</v>
      </c>
      <c r="D100" s="3">
        <v>5323.18</v>
      </c>
      <c r="E100" s="3">
        <v>5286.01</v>
      </c>
      <c r="G100" s="2">
        <v>-2.7000000000000001E-3</v>
      </c>
    </row>
    <row r="101" spans="1:7" x14ac:dyDescent="0.4">
      <c r="A101" s="1">
        <v>45435</v>
      </c>
      <c r="B101" s="3">
        <v>5267.84</v>
      </c>
      <c r="C101" s="3">
        <v>5340.26</v>
      </c>
      <c r="D101" s="3">
        <v>5341.88</v>
      </c>
      <c r="E101" s="3">
        <v>5256.93</v>
      </c>
      <c r="G101" s="2">
        <v>-7.4000000000000003E-3</v>
      </c>
    </row>
    <row r="102" spans="1:7" x14ac:dyDescent="0.4">
      <c r="A102" s="1">
        <v>45436</v>
      </c>
      <c r="B102" s="3">
        <v>5304.72</v>
      </c>
      <c r="C102" s="3">
        <v>5281.45</v>
      </c>
      <c r="D102" s="3">
        <v>5311.65</v>
      </c>
      <c r="E102" s="3">
        <v>5278.39</v>
      </c>
      <c r="G102" s="2">
        <v>7.0000000000000001E-3</v>
      </c>
    </row>
    <row r="103" spans="1:7" x14ac:dyDescent="0.4">
      <c r="A103" s="1">
        <v>45440</v>
      </c>
      <c r="B103" s="3">
        <v>5306.04</v>
      </c>
      <c r="C103" s="3">
        <v>5315.91</v>
      </c>
      <c r="D103" s="3">
        <v>5315.91</v>
      </c>
      <c r="E103" s="3">
        <v>5280.89</v>
      </c>
      <c r="G103" s="2">
        <v>2.0000000000000001E-4</v>
      </c>
    </row>
    <row r="104" spans="1:7" x14ac:dyDescent="0.4">
      <c r="A104" s="1">
        <v>45441</v>
      </c>
      <c r="B104" s="3">
        <v>5266.95</v>
      </c>
      <c r="C104" s="3">
        <v>5278.73</v>
      </c>
      <c r="D104" s="3">
        <v>5282.27</v>
      </c>
      <c r="E104" s="3">
        <v>5262.7</v>
      </c>
      <c r="G104" s="2">
        <v>-7.4000000000000003E-3</v>
      </c>
    </row>
    <row r="105" spans="1:7" x14ac:dyDescent="0.4">
      <c r="A105" s="1">
        <v>45442</v>
      </c>
      <c r="B105" s="3">
        <v>5235.4799999999996</v>
      </c>
      <c r="C105" s="3">
        <v>5259.77</v>
      </c>
      <c r="D105" s="3">
        <v>5260.21</v>
      </c>
      <c r="E105" s="3">
        <v>5222.1000000000004</v>
      </c>
      <c r="G105" s="2">
        <v>-6.0000000000000001E-3</v>
      </c>
    </row>
    <row r="106" spans="1:7" x14ac:dyDescent="0.4">
      <c r="A106" s="1">
        <v>45443</v>
      </c>
      <c r="B106" s="3">
        <v>5277.51</v>
      </c>
      <c r="C106" s="3">
        <v>5243.21</v>
      </c>
      <c r="D106" s="3">
        <v>5280.33</v>
      </c>
      <c r="E106" s="3">
        <v>5191.68</v>
      </c>
      <c r="G106" s="2">
        <v>8.0000000000000002E-3</v>
      </c>
    </row>
    <row r="107" spans="1:7" x14ac:dyDescent="0.4">
      <c r="A107" s="1">
        <v>45446</v>
      </c>
      <c r="B107" s="3">
        <v>5283.4</v>
      </c>
      <c r="C107" s="3">
        <v>5297.15</v>
      </c>
      <c r="D107" s="3">
        <v>5302.11</v>
      </c>
      <c r="E107" s="3">
        <v>5234.32</v>
      </c>
      <c r="G107" s="2">
        <v>1.1000000000000001E-3</v>
      </c>
    </row>
    <row r="108" spans="1:7" x14ac:dyDescent="0.4">
      <c r="A108" s="1">
        <v>45447</v>
      </c>
      <c r="B108" s="3">
        <v>5291.34</v>
      </c>
      <c r="C108" s="3">
        <v>5278.24</v>
      </c>
      <c r="D108" s="3">
        <v>5298.8</v>
      </c>
      <c r="E108" s="3">
        <v>5257.63</v>
      </c>
      <c r="G108" s="2">
        <v>1.5E-3</v>
      </c>
    </row>
    <row r="109" spans="1:7" x14ac:dyDescent="0.4">
      <c r="A109" s="1">
        <v>45448</v>
      </c>
      <c r="B109" s="3">
        <v>5354.03</v>
      </c>
      <c r="C109" s="3">
        <v>5314.48</v>
      </c>
      <c r="D109" s="3">
        <v>5354.16</v>
      </c>
      <c r="E109" s="3">
        <v>5297.64</v>
      </c>
      <c r="G109" s="2">
        <v>1.18E-2</v>
      </c>
    </row>
    <row r="110" spans="1:7" x14ac:dyDescent="0.4">
      <c r="A110" s="1">
        <v>45449</v>
      </c>
      <c r="B110" s="3">
        <v>5352.96</v>
      </c>
      <c r="C110" s="3">
        <v>5357.8</v>
      </c>
      <c r="D110" s="3">
        <v>5362.35</v>
      </c>
      <c r="E110" s="3">
        <v>5335.36</v>
      </c>
      <c r="G110" s="2">
        <v>-2.0000000000000001E-4</v>
      </c>
    </row>
    <row r="111" spans="1:7" x14ac:dyDescent="0.4">
      <c r="A111" s="1">
        <v>45450</v>
      </c>
      <c r="B111" s="3">
        <v>5346.99</v>
      </c>
      <c r="C111" s="3">
        <v>5343.81</v>
      </c>
      <c r="D111" s="3">
        <v>5375.08</v>
      </c>
      <c r="E111" s="3">
        <v>5331.33</v>
      </c>
      <c r="G111" s="2">
        <v>-1.1000000000000001E-3</v>
      </c>
    </row>
    <row r="112" spans="1:7" x14ac:dyDescent="0.4">
      <c r="A112" s="1">
        <v>45453</v>
      </c>
      <c r="B112" s="3">
        <v>5360.79</v>
      </c>
      <c r="C112" s="3">
        <v>5341.22</v>
      </c>
      <c r="D112" s="3">
        <v>5365.79</v>
      </c>
      <c r="E112" s="3">
        <v>5331.52</v>
      </c>
      <c r="G112" s="2">
        <v>2.5999999999999999E-3</v>
      </c>
    </row>
    <row r="113" spans="1:7" x14ac:dyDescent="0.4">
      <c r="A113" s="1">
        <v>45454</v>
      </c>
      <c r="B113" s="3">
        <v>5375.32</v>
      </c>
      <c r="C113" s="3">
        <v>5353</v>
      </c>
      <c r="D113" s="3">
        <v>5375.95</v>
      </c>
      <c r="E113" s="3">
        <v>5327.25</v>
      </c>
      <c r="G113" s="2">
        <v>2.7000000000000001E-3</v>
      </c>
    </row>
    <row r="114" spans="1:7" x14ac:dyDescent="0.4">
      <c r="A114" s="1">
        <v>45455</v>
      </c>
      <c r="B114" s="3">
        <v>5421.03</v>
      </c>
      <c r="C114" s="3">
        <v>5409.13</v>
      </c>
      <c r="D114" s="3">
        <v>5447.25</v>
      </c>
      <c r="E114" s="3">
        <v>5409.13</v>
      </c>
      <c r="G114" s="2">
        <v>8.5000000000000006E-3</v>
      </c>
    </row>
    <row r="115" spans="1:7" x14ac:dyDescent="0.4">
      <c r="A115" s="1">
        <v>45456</v>
      </c>
      <c r="B115" s="3">
        <v>5433.74</v>
      </c>
      <c r="C115" s="3">
        <v>5441.93</v>
      </c>
      <c r="D115" s="3">
        <v>5441.93</v>
      </c>
      <c r="E115" s="3">
        <v>5402.51</v>
      </c>
      <c r="G115" s="2">
        <v>2.3E-3</v>
      </c>
    </row>
    <row r="116" spans="1:7" x14ac:dyDescent="0.4">
      <c r="A116" s="1">
        <v>45457</v>
      </c>
      <c r="B116" s="3">
        <v>5431.6</v>
      </c>
      <c r="C116" s="3">
        <v>5424.08</v>
      </c>
      <c r="D116" s="3">
        <v>5432.39</v>
      </c>
      <c r="E116" s="3">
        <v>5403.75</v>
      </c>
      <c r="G116" s="2">
        <v>-4.0000000000000002E-4</v>
      </c>
    </row>
    <row r="117" spans="1:7" x14ac:dyDescent="0.4">
      <c r="A117" s="1">
        <v>45460</v>
      </c>
      <c r="B117" s="3">
        <v>5473.23</v>
      </c>
      <c r="C117" s="3">
        <v>5431.11</v>
      </c>
      <c r="D117" s="3">
        <v>5488.5</v>
      </c>
      <c r="E117" s="3">
        <v>5420.4</v>
      </c>
      <c r="G117" s="2">
        <v>7.7000000000000002E-3</v>
      </c>
    </row>
    <row r="118" spans="1:7" x14ac:dyDescent="0.4">
      <c r="A118" s="1">
        <v>45461</v>
      </c>
      <c r="B118" s="3">
        <v>5487.03</v>
      </c>
      <c r="C118" s="3">
        <v>5476.15</v>
      </c>
      <c r="D118" s="3">
        <v>5490.38</v>
      </c>
      <c r="E118" s="3">
        <v>5471.32</v>
      </c>
      <c r="G118" s="2">
        <v>2.5000000000000001E-3</v>
      </c>
    </row>
    <row r="119" spans="1:7" x14ac:dyDescent="0.4">
      <c r="A119" s="1">
        <v>45463</v>
      </c>
      <c r="B119" s="3">
        <v>5473.17</v>
      </c>
      <c r="C119" s="3">
        <v>5499.99</v>
      </c>
      <c r="D119" s="3">
        <v>5505.53</v>
      </c>
      <c r="E119" s="3">
        <v>5455.56</v>
      </c>
      <c r="G119" s="2">
        <v>-2.5000000000000001E-3</v>
      </c>
    </row>
    <row r="120" spans="1:7" x14ac:dyDescent="0.4">
      <c r="A120" s="1">
        <v>45464</v>
      </c>
      <c r="B120" s="3">
        <v>5464.62</v>
      </c>
      <c r="C120" s="3">
        <v>5466.77</v>
      </c>
      <c r="D120" s="3">
        <v>5478.31</v>
      </c>
      <c r="E120" s="3">
        <v>5452.03</v>
      </c>
      <c r="G120" s="2">
        <v>-1.6000000000000001E-3</v>
      </c>
    </row>
    <row r="121" spans="1:7" x14ac:dyDescent="0.4">
      <c r="A121" s="1">
        <v>45467</v>
      </c>
      <c r="B121" s="3">
        <v>5447.87</v>
      </c>
      <c r="C121" s="3">
        <v>5459.58</v>
      </c>
      <c r="D121" s="3">
        <v>5490.66</v>
      </c>
      <c r="E121" s="3">
        <v>5447.59</v>
      </c>
      <c r="G121" s="2">
        <v>-3.0999999999999999E-3</v>
      </c>
    </row>
    <row r="122" spans="1:7" x14ac:dyDescent="0.4">
      <c r="A122" s="1">
        <v>45468</v>
      </c>
      <c r="B122" s="3">
        <v>5469.3</v>
      </c>
      <c r="C122" s="3">
        <v>5460.73</v>
      </c>
      <c r="D122" s="3">
        <v>5472.88</v>
      </c>
      <c r="E122" s="3">
        <v>5446.56</v>
      </c>
      <c r="G122" s="2">
        <v>3.8999999999999998E-3</v>
      </c>
    </row>
    <row r="123" spans="1:7" x14ac:dyDescent="0.4">
      <c r="A123" s="1">
        <v>45469</v>
      </c>
      <c r="B123" s="3">
        <v>5477.9</v>
      </c>
      <c r="C123" s="3">
        <v>5460.71</v>
      </c>
      <c r="D123" s="3">
        <v>5483.14</v>
      </c>
      <c r="E123" s="3">
        <v>5451.87</v>
      </c>
      <c r="G123" s="2">
        <v>1.6000000000000001E-3</v>
      </c>
    </row>
    <row r="124" spans="1:7" x14ac:dyDescent="0.4">
      <c r="A124" s="1">
        <v>45470</v>
      </c>
      <c r="B124" s="3">
        <v>5482.87</v>
      </c>
      <c r="C124" s="3">
        <v>5473.59</v>
      </c>
      <c r="D124" s="3">
        <v>5490.81</v>
      </c>
      <c r="E124" s="3">
        <v>5467.54</v>
      </c>
      <c r="G124" s="2">
        <v>8.9999999999999998E-4</v>
      </c>
    </row>
    <row r="125" spans="1:7" x14ac:dyDescent="0.4">
      <c r="A125" s="1">
        <v>45471</v>
      </c>
      <c r="B125" s="3">
        <v>5460.48</v>
      </c>
      <c r="C125" s="3">
        <v>5488.48</v>
      </c>
      <c r="D125" s="3">
        <v>5523.64</v>
      </c>
      <c r="E125" s="3">
        <v>5451.12</v>
      </c>
      <c r="G125" s="2">
        <v>-4.1000000000000003E-3</v>
      </c>
    </row>
    <row r="126" spans="1:7" x14ac:dyDescent="0.4">
      <c r="A126" s="1">
        <v>45474</v>
      </c>
      <c r="B126" s="3">
        <v>5475.09</v>
      </c>
      <c r="C126" s="3">
        <v>5471.08</v>
      </c>
      <c r="D126" s="3">
        <v>5479.55</v>
      </c>
      <c r="E126" s="3">
        <v>5446.53</v>
      </c>
      <c r="G126" s="2">
        <v>2.7000000000000001E-3</v>
      </c>
    </row>
    <row r="127" spans="1:7" x14ac:dyDescent="0.4">
      <c r="A127" s="1">
        <v>45475</v>
      </c>
      <c r="B127" s="3">
        <v>5509.01</v>
      </c>
      <c r="C127" s="3">
        <v>5461.84</v>
      </c>
      <c r="D127" s="3">
        <v>5509.69</v>
      </c>
      <c r="E127" s="3">
        <v>5458.43</v>
      </c>
      <c r="G127" s="2">
        <v>6.1999999999999998E-3</v>
      </c>
    </row>
    <row r="128" spans="1:7" x14ac:dyDescent="0.4">
      <c r="A128" s="1">
        <v>45476</v>
      </c>
      <c r="B128" s="3">
        <v>5537.02</v>
      </c>
      <c r="C128" s="3">
        <v>5507.44</v>
      </c>
      <c r="D128" s="3">
        <v>5539.27</v>
      </c>
      <c r="E128" s="3">
        <v>5507.42</v>
      </c>
      <c r="G128" s="2">
        <v>5.1000000000000004E-3</v>
      </c>
    </row>
    <row r="129" spans="1:7" x14ac:dyDescent="0.4">
      <c r="A129" s="1">
        <v>45478</v>
      </c>
      <c r="B129" s="3">
        <v>5567.19</v>
      </c>
      <c r="C129" s="3">
        <v>5537.91</v>
      </c>
      <c r="D129" s="3">
        <v>5570.33</v>
      </c>
      <c r="E129" s="3">
        <v>5531.63</v>
      </c>
      <c r="G129" s="2">
        <v>5.4000000000000003E-3</v>
      </c>
    </row>
    <row r="130" spans="1:7" x14ac:dyDescent="0.4">
      <c r="A130" s="1">
        <v>45481</v>
      </c>
      <c r="B130" s="3">
        <v>5572.85</v>
      </c>
      <c r="C130" s="3">
        <v>5572.75</v>
      </c>
      <c r="D130" s="3">
        <v>5583.11</v>
      </c>
      <c r="E130" s="3">
        <v>5562.51</v>
      </c>
      <c r="G130" s="2">
        <v>1E-3</v>
      </c>
    </row>
    <row r="131" spans="1:7" x14ac:dyDescent="0.4">
      <c r="A131" s="1">
        <v>45482</v>
      </c>
      <c r="B131" s="3">
        <v>5576.98</v>
      </c>
      <c r="C131" s="3">
        <v>5584.24</v>
      </c>
      <c r="D131" s="3">
        <v>5590.75</v>
      </c>
      <c r="E131" s="3">
        <v>5574.57</v>
      </c>
      <c r="G131" s="2">
        <v>6.9999999999999999E-4</v>
      </c>
    </row>
    <row r="132" spans="1:7" x14ac:dyDescent="0.4">
      <c r="A132" s="1">
        <v>45483</v>
      </c>
      <c r="B132" s="3">
        <v>5633.91</v>
      </c>
      <c r="C132" s="3">
        <v>5591.26</v>
      </c>
      <c r="D132" s="3">
        <v>5635.39</v>
      </c>
      <c r="E132" s="3">
        <v>5586.44</v>
      </c>
      <c r="G132" s="2">
        <v>1.0200000000000001E-2</v>
      </c>
    </row>
    <row r="133" spans="1:7" x14ac:dyDescent="0.4">
      <c r="A133" s="1">
        <v>45484</v>
      </c>
      <c r="B133" s="3">
        <v>5584.54</v>
      </c>
      <c r="C133" s="3">
        <v>5635.21</v>
      </c>
      <c r="D133" s="3">
        <v>5642.45</v>
      </c>
      <c r="E133" s="3">
        <v>5576.53</v>
      </c>
      <c r="G133" s="2">
        <v>-8.8000000000000005E-3</v>
      </c>
    </row>
    <row r="134" spans="1:7" x14ac:dyDescent="0.4">
      <c r="A134" s="1">
        <v>45485</v>
      </c>
      <c r="B134" s="3">
        <v>5615.35</v>
      </c>
      <c r="C134" s="3">
        <v>5590.76</v>
      </c>
      <c r="D134" s="3">
        <v>5655.56</v>
      </c>
      <c r="E134" s="3">
        <v>5590.44</v>
      </c>
      <c r="G134" s="2">
        <v>5.4999999999999997E-3</v>
      </c>
    </row>
    <row r="135" spans="1:7" x14ac:dyDescent="0.4">
      <c r="A135" s="1">
        <v>45488</v>
      </c>
      <c r="B135" s="3">
        <v>5631.22</v>
      </c>
      <c r="C135" s="3">
        <v>5638.16</v>
      </c>
      <c r="D135" s="3">
        <v>5666.94</v>
      </c>
      <c r="E135" s="3">
        <v>5614.75</v>
      </c>
      <c r="G135" s="2">
        <v>2.8E-3</v>
      </c>
    </row>
    <row r="136" spans="1:7" x14ac:dyDescent="0.4">
      <c r="A136" s="1">
        <v>45489</v>
      </c>
      <c r="B136" s="3">
        <v>5667.2</v>
      </c>
      <c r="C136" s="3">
        <v>5644.09</v>
      </c>
      <c r="D136" s="3">
        <v>5669.67</v>
      </c>
      <c r="E136" s="3">
        <v>5639.02</v>
      </c>
      <c r="G136" s="2">
        <v>6.4000000000000003E-3</v>
      </c>
    </row>
    <row r="137" spans="1:7" x14ac:dyDescent="0.4">
      <c r="A137" s="1">
        <v>45490</v>
      </c>
      <c r="B137" s="3">
        <v>5588.27</v>
      </c>
      <c r="C137" s="3">
        <v>5610.07</v>
      </c>
      <c r="D137" s="3">
        <v>5622.49</v>
      </c>
      <c r="E137" s="3">
        <v>5584.81</v>
      </c>
      <c r="G137" s="2">
        <v>-1.3899999999999999E-2</v>
      </c>
    </row>
    <row r="138" spans="1:7" x14ac:dyDescent="0.4">
      <c r="A138" s="1">
        <v>45491</v>
      </c>
      <c r="B138" s="3">
        <v>5544.59</v>
      </c>
      <c r="C138" s="3">
        <v>5608.56</v>
      </c>
      <c r="D138" s="3">
        <v>5614.05</v>
      </c>
      <c r="E138" s="3">
        <v>5522.81</v>
      </c>
      <c r="G138" s="2">
        <v>-7.7999999999999996E-3</v>
      </c>
    </row>
    <row r="139" spans="1:7" x14ac:dyDescent="0.4">
      <c r="A139" s="1">
        <v>45492</v>
      </c>
      <c r="B139" s="3">
        <v>5505</v>
      </c>
      <c r="C139" s="3">
        <v>5543.37</v>
      </c>
      <c r="D139" s="3">
        <v>5557.5</v>
      </c>
      <c r="E139" s="3">
        <v>5497.04</v>
      </c>
      <c r="G139" s="2">
        <v>-7.1000000000000004E-3</v>
      </c>
    </row>
    <row r="140" spans="1:7" x14ac:dyDescent="0.4">
      <c r="A140" s="1">
        <v>45495</v>
      </c>
      <c r="B140" s="3">
        <v>5564.41</v>
      </c>
      <c r="C140" s="3">
        <v>5544.54</v>
      </c>
      <c r="D140" s="3">
        <v>5570.36</v>
      </c>
      <c r="E140" s="3">
        <v>5529.04</v>
      </c>
      <c r="G140" s="2">
        <v>1.0800000000000001E-2</v>
      </c>
    </row>
    <row r="141" spans="1:7" x14ac:dyDescent="0.4">
      <c r="A141" s="1">
        <v>45496</v>
      </c>
      <c r="B141" s="3">
        <v>5555.74</v>
      </c>
      <c r="C141" s="3">
        <v>5565.3</v>
      </c>
      <c r="D141" s="3">
        <v>5585.34</v>
      </c>
      <c r="E141" s="3">
        <v>5550.9</v>
      </c>
      <c r="G141" s="2">
        <v>-1.6000000000000001E-3</v>
      </c>
    </row>
    <row r="142" spans="1:7" x14ac:dyDescent="0.4">
      <c r="A142" s="1">
        <v>45497</v>
      </c>
      <c r="B142" s="3">
        <v>5427.13</v>
      </c>
      <c r="C142" s="3">
        <v>5505.84</v>
      </c>
      <c r="D142" s="3">
        <v>5508.04</v>
      </c>
      <c r="E142" s="3">
        <v>5419.98</v>
      </c>
      <c r="G142" s="2">
        <v>-2.3099999999999999E-2</v>
      </c>
    </row>
    <row r="143" spans="1:7" x14ac:dyDescent="0.4">
      <c r="A143" s="1">
        <v>45498</v>
      </c>
      <c r="B143" s="3">
        <v>5399.22</v>
      </c>
      <c r="C143" s="3">
        <v>5428.7</v>
      </c>
      <c r="D143" s="3">
        <v>5491.59</v>
      </c>
      <c r="E143" s="3">
        <v>5390.95</v>
      </c>
      <c r="G143" s="2">
        <v>-5.1000000000000004E-3</v>
      </c>
    </row>
    <row r="144" spans="1:7" x14ac:dyDescent="0.4">
      <c r="A144" s="1">
        <v>45499</v>
      </c>
      <c r="B144" s="3">
        <v>5459.1</v>
      </c>
      <c r="C144" s="3">
        <v>5433.67</v>
      </c>
      <c r="D144" s="3">
        <v>5488.32</v>
      </c>
      <c r="E144" s="3">
        <v>5430.7</v>
      </c>
      <c r="G144" s="2">
        <v>1.11E-2</v>
      </c>
    </row>
    <row r="145" spans="1:7" x14ac:dyDescent="0.4">
      <c r="A145" s="1">
        <v>45502</v>
      </c>
      <c r="B145" s="3">
        <v>5463.54</v>
      </c>
      <c r="C145" s="3">
        <v>5476.55</v>
      </c>
      <c r="D145" s="3">
        <v>5487.74</v>
      </c>
      <c r="E145" s="3">
        <v>5444.44</v>
      </c>
      <c r="G145" s="2">
        <v>8.0000000000000004E-4</v>
      </c>
    </row>
    <row r="146" spans="1:7" x14ac:dyDescent="0.4">
      <c r="A146" s="1">
        <v>45503</v>
      </c>
      <c r="B146" s="3">
        <v>5436.44</v>
      </c>
      <c r="C146" s="3">
        <v>5478.73</v>
      </c>
      <c r="D146" s="3">
        <v>5489.46</v>
      </c>
      <c r="E146" s="3">
        <v>5401.7</v>
      </c>
      <c r="G146" s="2">
        <v>-5.0000000000000001E-3</v>
      </c>
    </row>
    <row r="147" spans="1:7" x14ac:dyDescent="0.4">
      <c r="A147" s="1">
        <v>45504</v>
      </c>
      <c r="B147" s="3">
        <v>5522.3</v>
      </c>
      <c r="C147" s="3">
        <v>5505.59</v>
      </c>
      <c r="D147" s="3">
        <v>5551.51</v>
      </c>
      <c r="E147" s="3">
        <v>5493.75</v>
      </c>
      <c r="G147" s="2">
        <v>1.5800000000000002E-2</v>
      </c>
    </row>
    <row r="148" spans="1:7" x14ac:dyDescent="0.4">
      <c r="A148" s="1">
        <v>45505</v>
      </c>
      <c r="B148" s="3">
        <v>5446.68</v>
      </c>
      <c r="C148" s="3">
        <v>5537.84</v>
      </c>
      <c r="D148" s="3">
        <v>5566.16</v>
      </c>
      <c r="E148" s="3">
        <v>5410.42</v>
      </c>
      <c r="G148" s="2">
        <v>-1.37E-2</v>
      </c>
    </row>
    <row r="149" spans="1:7" x14ac:dyDescent="0.4">
      <c r="A149" s="1">
        <v>45506</v>
      </c>
      <c r="B149" s="3">
        <v>5346.56</v>
      </c>
      <c r="C149" s="3">
        <v>5376.63</v>
      </c>
      <c r="D149" s="3">
        <v>5383.89</v>
      </c>
      <c r="E149" s="3">
        <v>5302.03</v>
      </c>
      <c r="G149" s="2">
        <v>-1.84E-2</v>
      </c>
    </row>
    <row r="150" spans="1:7" x14ac:dyDescent="0.4">
      <c r="A150" s="1">
        <v>45509</v>
      </c>
      <c r="B150" s="3">
        <v>5186.33</v>
      </c>
      <c r="C150" s="3">
        <v>5151.1400000000003</v>
      </c>
      <c r="D150" s="3">
        <v>5250.89</v>
      </c>
      <c r="E150" s="3">
        <v>5119.26</v>
      </c>
      <c r="G150" s="2">
        <v>-0.03</v>
      </c>
    </row>
    <row r="151" spans="1:7" x14ac:dyDescent="0.4">
      <c r="A151" s="1">
        <v>45510</v>
      </c>
      <c r="B151" s="3">
        <v>5240.03</v>
      </c>
      <c r="C151" s="3">
        <v>5206.42</v>
      </c>
      <c r="D151" s="3">
        <v>5312.34</v>
      </c>
      <c r="E151" s="3">
        <v>5193.5600000000004</v>
      </c>
      <c r="G151" s="2">
        <v>1.04E-2</v>
      </c>
    </row>
    <row r="152" spans="1:7" x14ac:dyDescent="0.4">
      <c r="A152" s="1">
        <v>45511</v>
      </c>
      <c r="B152" s="3">
        <v>5199.5</v>
      </c>
      <c r="C152" s="3">
        <v>5293.13</v>
      </c>
      <c r="D152" s="3">
        <v>5330.64</v>
      </c>
      <c r="E152" s="3">
        <v>5195.54</v>
      </c>
      <c r="G152" s="2">
        <v>-7.7000000000000002E-3</v>
      </c>
    </row>
    <row r="153" spans="1:7" x14ac:dyDescent="0.4">
      <c r="A153" s="1">
        <v>45512</v>
      </c>
      <c r="B153" s="3">
        <v>5319.31</v>
      </c>
      <c r="C153" s="3">
        <v>5252.57</v>
      </c>
      <c r="D153" s="3">
        <v>5328.03</v>
      </c>
      <c r="E153" s="3">
        <v>5233.8500000000004</v>
      </c>
      <c r="G153" s="2">
        <v>2.3E-2</v>
      </c>
    </row>
    <row r="154" spans="1:7" x14ac:dyDescent="0.4">
      <c r="A154" s="1">
        <v>45513</v>
      </c>
      <c r="B154" s="3">
        <v>5344.16</v>
      </c>
      <c r="C154" s="3">
        <v>5314.66</v>
      </c>
      <c r="D154" s="3">
        <v>5358.67</v>
      </c>
      <c r="E154" s="3">
        <v>5300.84</v>
      </c>
      <c r="G154" s="2">
        <v>4.7000000000000002E-3</v>
      </c>
    </row>
    <row r="155" spans="1:7" x14ac:dyDescent="0.4">
      <c r="A155" s="1">
        <v>45516</v>
      </c>
      <c r="B155" s="3">
        <v>5344.39</v>
      </c>
      <c r="C155" s="3">
        <v>5351.88</v>
      </c>
      <c r="D155" s="3">
        <v>5371.2</v>
      </c>
      <c r="E155" s="3">
        <v>5324.37</v>
      </c>
      <c r="G155" s="2">
        <v>0</v>
      </c>
    </row>
    <row r="156" spans="1:7" x14ac:dyDescent="0.4">
      <c r="A156" s="1">
        <v>45517</v>
      </c>
      <c r="B156" s="3">
        <v>5434.43</v>
      </c>
      <c r="C156" s="3">
        <v>5376.98</v>
      </c>
      <c r="D156" s="3">
        <v>5436.5</v>
      </c>
      <c r="E156" s="3">
        <v>5376.98</v>
      </c>
      <c r="G156" s="2">
        <v>1.6799999999999999E-2</v>
      </c>
    </row>
    <row r="157" spans="1:7" x14ac:dyDescent="0.4">
      <c r="A157" s="1">
        <v>45518</v>
      </c>
      <c r="B157" s="3">
        <v>5455.21</v>
      </c>
      <c r="C157" s="3">
        <v>5442.36</v>
      </c>
      <c r="D157" s="3">
        <v>5463.22</v>
      </c>
      <c r="E157" s="3">
        <v>5415.91</v>
      </c>
      <c r="G157" s="2">
        <v>3.8E-3</v>
      </c>
    </row>
    <row r="158" spans="1:7" x14ac:dyDescent="0.4">
      <c r="A158" s="1">
        <v>45519</v>
      </c>
      <c r="B158" s="3">
        <v>5543.22</v>
      </c>
      <c r="C158" s="3">
        <v>5501.13</v>
      </c>
      <c r="D158" s="3">
        <v>5546.23</v>
      </c>
      <c r="E158" s="3">
        <v>5501.13</v>
      </c>
      <c r="G158" s="2">
        <v>1.61E-2</v>
      </c>
    </row>
    <row r="159" spans="1:7" x14ac:dyDescent="0.4">
      <c r="A159" s="1">
        <v>45520</v>
      </c>
      <c r="B159" s="3">
        <v>5554.25</v>
      </c>
      <c r="C159" s="3">
        <v>5530.5</v>
      </c>
      <c r="D159" s="3">
        <v>5561.98</v>
      </c>
      <c r="E159" s="3">
        <v>5525.17</v>
      </c>
      <c r="G159" s="2">
        <v>2E-3</v>
      </c>
    </row>
    <row r="160" spans="1:7" x14ac:dyDescent="0.4">
      <c r="A160" s="1">
        <v>45523</v>
      </c>
      <c r="B160" s="3">
        <v>5608.25</v>
      </c>
      <c r="C160" s="3">
        <v>5557.23</v>
      </c>
      <c r="D160" s="3">
        <v>5608.3</v>
      </c>
      <c r="E160" s="3">
        <v>5550.74</v>
      </c>
      <c r="G160" s="2">
        <v>9.7000000000000003E-3</v>
      </c>
    </row>
    <row r="161" spans="1:7" x14ac:dyDescent="0.4">
      <c r="A161" s="1">
        <v>45524</v>
      </c>
      <c r="B161" s="3">
        <v>5597.12</v>
      </c>
      <c r="C161" s="3">
        <v>5602.88</v>
      </c>
      <c r="D161" s="3">
        <v>5620.51</v>
      </c>
      <c r="E161" s="3">
        <v>5585.5</v>
      </c>
      <c r="G161" s="2">
        <v>-2E-3</v>
      </c>
    </row>
    <row r="162" spans="1:7" x14ac:dyDescent="0.4">
      <c r="A162" s="1">
        <v>45525</v>
      </c>
      <c r="B162" s="3">
        <v>5620.85</v>
      </c>
      <c r="C162" s="3">
        <v>5603.09</v>
      </c>
      <c r="D162" s="3">
        <v>5632.68</v>
      </c>
      <c r="E162" s="3">
        <v>5591.57</v>
      </c>
      <c r="G162" s="2">
        <v>4.1999999999999997E-3</v>
      </c>
    </row>
    <row r="163" spans="1:7" x14ac:dyDescent="0.4">
      <c r="A163" s="1">
        <v>45526</v>
      </c>
      <c r="B163" s="3">
        <v>5570.64</v>
      </c>
      <c r="C163" s="3">
        <v>5637.77</v>
      </c>
      <c r="D163" s="3">
        <v>5643.22</v>
      </c>
      <c r="E163" s="3">
        <v>5560.95</v>
      </c>
      <c r="G163" s="2">
        <v>-8.8999999999999999E-3</v>
      </c>
    </row>
    <row r="164" spans="1:7" x14ac:dyDescent="0.4">
      <c r="A164" s="1">
        <v>45527</v>
      </c>
      <c r="B164" s="3">
        <v>5634.61</v>
      </c>
      <c r="C164" s="3">
        <v>5602.49</v>
      </c>
      <c r="D164" s="3">
        <v>5641.82</v>
      </c>
      <c r="E164" s="3">
        <v>5585.16</v>
      </c>
      <c r="G164" s="2">
        <v>1.15E-2</v>
      </c>
    </row>
    <row r="165" spans="1:7" x14ac:dyDescent="0.4">
      <c r="A165" s="1">
        <v>45530</v>
      </c>
      <c r="B165" s="3">
        <v>5616.84</v>
      </c>
      <c r="C165" s="3">
        <v>5639.66</v>
      </c>
      <c r="D165" s="3">
        <v>5651.62</v>
      </c>
      <c r="E165" s="3">
        <v>5602.34</v>
      </c>
      <c r="G165" s="2">
        <v>-3.2000000000000002E-3</v>
      </c>
    </row>
    <row r="166" spans="1:7" x14ac:dyDescent="0.4">
      <c r="A166" s="1">
        <v>45531</v>
      </c>
      <c r="B166" s="3">
        <v>5625.8</v>
      </c>
      <c r="C166" s="3">
        <v>5602.89</v>
      </c>
      <c r="D166" s="3">
        <v>5631.18</v>
      </c>
      <c r="E166" s="3">
        <v>5593.48</v>
      </c>
      <c r="G166" s="2">
        <v>1.6000000000000001E-3</v>
      </c>
    </row>
    <row r="167" spans="1:7" x14ac:dyDescent="0.4">
      <c r="A167" s="1">
        <v>45532</v>
      </c>
      <c r="B167" s="3">
        <v>5592.18</v>
      </c>
      <c r="C167" s="3">
        <v>5624.51</v>
      </c>
      <c r="D167" s="3">
        <v>5627.03</v>
      </c>
      <c r="E167" s="3">
        <v>5560.95</v>
      </c>
      <c r="G167" s="2">
        <v>-6.0000000000000001E-3</v>
      </c>
    </row>
    <row r="168" spans="1:7" x14ac:dyDescent="0.4">
      <c r="A168" s="1">
        <v>45533</v>
      </c>
      <c r="B168" s="3">
        <v>5591.96</v>
      </c>
      <c r="C168" s="3">
        <v>5607.3</v>
      </c>
      <c r="D168" s="3">
        <v>5646.95</v>
      </c>
      <c r="E168" s="3">
        <v>5583.71</v>
      </c>
      <c r="G168" s="2">
        <v>0</v>
      </c>
    </row>
    <row r="169" spans="1:7" x14ac:dyDescent="0.4">
      <c r="A169" s="1">
        <v>45534</v>
      </c>
      <c r="B169" s="3">
        <v>5648.4</v>
      </c>
      <c r="C169" s="3">
        <v>5612.74</v>
      </c>
      <c r="D169" s="3">
        <v>5651.37</v>
      </c>
      <c r="E169" s="3">
        <v>5581.79</v>
      </c>
      <c r="G169" s="2">
        <v>1.01E-2</v>
      </c>
    </row>
    <row r="170" spans="1:7" x14ac:dyDescent="0.4">
      <c r="A170" s="1">
        <v>45538</v>
      </c>
      <c r="B170" s="3">
        <v>5528.93</v>
      </c>
      <c r="C170" s="3">
        <v>5623.89</v>
      </c>
      <c r="D170" s="3">
        <v>5623.89</v>
      </c>
      <c r="E170" s="3">
        <v>5504.33</v>
      </c>
      <c r="G170" s="2">
        <v>-2.12E-2</v>
      </c>
    </row>
    <row r="171" spans="1:7" x14ac:dyDescent="0.4">
      <c r="A171" s="1">
        <v>45539</v>
      </c>
      <c r="B171" s="3">
        <v>5520.07</v>
      </c>
      <c r="C171" s="3">
        <v>5506.68</v>
      </c>
      <c r="D171" s="3">
        <v>5552.99</v>
      </c>
      <c r="E171" s="3">
        <v>5503.66</v>
      </c>
      <c r="G171" s="2">
        <v>-1.6000000000000001E-3</v>
      </c>
    </row>
    <row r="172" spans="1:7" x14ac:dyDescent="0.4">
      <c r="A172" s="1">
        <v>45540</v>
      </c>
      <c r="B172" s="3">
        <v>5503.41</v>
      </c>
      <c r="C172" s="3">
        <v>5520.08</v>
      </c>
      <c r="D172" s="3">
        <v>5546.3</v>
      </c>
      <c r="E172" s="3">
        <v>5480.54</v>
      </c>
      <c r="G172" s="2">
        <v>-3.0000000000000001E-3</v>
      </c>
    </row>
    <row r="173" spans="1:7" x14ac:dyDescent="0.4">
      <c r="A173" s="1">
        <v>45541</v>
      </c>
      <c r="B173" s="3">
        <v>5408.42</v>
      </c>
      <c r="C173" s="3">
        <v>5507.33</v>
      </c>
      <c r="D173" s="3">
        <v>5522.47</v>
      </c>
      <c r="E173" s="3">
        <v>5402.62</v>
      </c>
      <c r="G173" s="2">
        <v>-1.7299999999999999E-2</v>
      </c>
    </row>
    <row r="174" spans="1:7" x14ac:dyDescent="0.4">
      <c r="A174" s="1">
        <v>45544</v>
      </c>
      <c r="B174" s="3">
        <v>5471.05</v>
      </c>
      <c r="C174" s="3">
        <v>5442.07</v>
      </c>
      <c r="D174" s="3">
        <v>5484.2</v>
      </c>
      <c r="E174" s="3">
        <v>5434.49</v>
      </c>
      <c r="G174" s="2">
        <v>1.1599999999999999E-2</v>
      </c>
    </row>
    <row r="175" spans="1:7" x14ac:dyDescent="0.4">
      <c r="A175" s="1">
        <v>45545</v>
      </c>
      <c r="B175" s="3">
        <v>5495.52</v>
      </c>
      <c r="C175" s="3">
        <v>5490.51</v>
      </c>
      <c r="D175" s="3">
        <v>5497.91</v>
      </c>
      <c r="E175" s="3">
        <v>5441.72</v>
      </c>
      <c r="G175" s="2">
        <v>4.4999999999999997E-3</v>
      </c>
    </row>
    <row r="176" spans="1:7" x14ac:dyDescent="0.4">
      <c r="A176" s="1">
        <v>45546</v>
      </c>
      <c r="B176" s="3">
        <v>5554.13</v>
      </c>
      <c r="C176" s="3">
        <v>5496.42</v>
      </c>
      <c r="D176" s="3">
        <v>5560.41</v>
      </c>
      <c r="E176" s="3">
        <v>5406.96</v>
      </c>
      <c r="G176" s="2">
        <v>1.0699999999999999E-2</v>
      </c>
    </row>
    <row r="177" spans="1:7" x14ac:dyDescent="0.4">
      <c r="A177" s="1">
        <v>45547</v>
      </c>
      <c r="B177" s="3">
        <v>5595.76</v>
      </c>
      <c r="C177" s="3">
        <v>5557.48</v>
      </c>
      <c r="D177" s="3">
        <v>5600.71</v>
      </c>
      <c r="E177" s="3">
        <v>5535.5</v>
      </c>
      <c r="G177" s="2">
        <v>7.4999999999999997E-3</v>
      </c>
    </row>
    <row r="178" spans="1:7" x14ac:dyDescent="0.4">
      <c r="A178" s="1">
        <v>45548</v>
      </c>
      <c r="B178" s="3">
        <v>5626.02</v>
      </c>
      <c r="C178" s="3">
        <v>5603.34</v>
      </c>
      <c r="D178" s="3">
        <v>5636.27</v>
      </c>
      <c r="E178" s="3">
        <v>5601.65</v>
      </c>
      <c r="G178" s="2">
        <v>5.4000000000000003E-3</v>
      </c>
    </row>
    <row r="179" spans="1:7" x14ac:dyDescent="0.4">
      <c r="A179" s="1">
        <v>45551</v>
      </c>
      <c r="B179" s="3">
        <v>5633.09</v>
      </c>
      <c r="C179" s="3">
        <v>5615.21</v>
      </c>
      <c r="D179" s="3">
        <v>5636.05</v>
      </c>
      <c r="E179" s="3">
        <v>5604.53</v>
      </c>
      <c r="G179" s="2">
        <v>1.2999999999999999E-3</v>
      </c>
    </row>
    <row r="180" spans="1:7" x14ac:dyDescent="0.4">
      <c r="A180" s="1">
        <v>45552</v>
      </c>
      <c r="B180" s="3">
        <v>5634.58</v>
      </c>
      <c r="C180" s="3">
        <v>5655.51</v>
      </c>
      <c r="D180" s="3">
        <v>5670.81</v>
      </c>
      <c r="E180" s="3">
        <v>5614.05</v>
      </c>
      <c r="G180" s="2">
        <v>2.9999999999999997E-4</v>
      </c>
    </row>
    <row r="181" spans="1:7" x14ac:dyDescent="0.4">
      <c r="A181" s="1">
        <v>45553</v>
      </c>
      <c r="B181" s="3">
        <v>5618.26</v>
      </c>
      <c r="C181" s="3">
        <v>5641.68</v>
      </c>
      <c r="D181" s="3">
        <v>5689.75</v>
      </c>
      <c r="E181" s="3">
        <v>5615.08</v>
      </c>
      <c r="G181" s="2">
        <v>-2.8999999999999998E-3</v>
      </c>
    </row>
    <row r="182" spans="1:7" x14ac:dyDescent="0.4">
      <c r="A182" s="1">
        <v>45554</v>
      </c>
      <c r="B182" s="3">
        <v>5713.64</v>
      </c>
      <c r="C182" s="3">
        <v>5702.63</v>
      </c>
      <c r="D182" s="3">
        <v>5733.57</v>
      </c>
      <c r="E182" s="3">
        <v>5686.42</v>
      </c>
      <c r="G182" s="2">
        <v>1.7000000000000001E-2</v>
      </c>
    </row>
    <row r="183" spans="1:7" x14ac:dyDescent="0.4">
      <c r="A183" s="1">
        <v>45555</v>
      </c>
      <c r="B183" s="3">
        <v>5702.55</v>
      </c>
      <c r="C183" s="3">
        <v>5709.64</v>
      </c>
      <c r="D183" s="3">
        <v>5715.14</v>
      </c>
      <c r="E183" s="3">
        <v>5674.49</v>
      </c>
      <c r="G183" s="2">
        <v>-1.9E-3</v>
      </c>
    </row>
    <row r="184" spans="1:7" x14ac:dyDescent="0.4">
      <c r="A184" s="1">
        <v>45558</v>
      </c>
      <c r="B184" s="3">
        <v>5718.57</v>
      </c>
      <c r="C184" s="3">
        <v>5711.9</v>
      </c>
      <c r="D184" s="3">
        <v>5725.36</v>
      </c>
      <c r="E184" s="3">
        <v>5704.22</v>
      </c>
      <c r="G184" s="2">
        <v>2.8E-3</v>
      </c>
    </row>
    <row r="185" spans="1:7" x14ac:dyDescent="0.4">
      <c r="A185" s="1">
        <v>45559</v>
      </c>
      <c r="B185" s="3">
        <v>5732.93</v>
      </c>
      <c r="C185" s="3">
        <v>5727.66</v>
      </c>
      <c r="D185" s="3">
        <v>5735.32</v>
      </c>
      <c r="E185" s="3">
        <v>5698.99</v>
      </c>
      <c r="G185" s="2">
        <v>2.5000000000000001E-3</v>
      </c>
    </row>
    <row r="186" spans="1:7" x14ac:dyDescent="0.4">
      <c r="A186" s="1">
        <v>45560</v>
      </c>
      <c r="B186" s="3">
        <v>5722.26</v>
      </c>
      <c r="C186" s="3">
        <v>5733.65</v>
      </c>
      <c r="D186" s="3">
        <v>5741.03</v>
      </c>
      <c r="E186" s="3">
        <v>5712.06</v>
      </c>
      <c r="G186" s="2">
        <v>-1.9E-3</v>
      </c>
    </row>
    <row r="187" spans="1:7" x14ac:dyDescent="0.4">
      <c r="A187" s="1">
        <v>45561</v>
      </c>
      <c r="B187" s="3">
        <v>5745.37</v>
      </c>
      <c r="C187" s="3">
        <v>5762.22</v>
      </c>
      <c r="D187" s="3">
        <v>5767.37</v>
      </c>
      <c r="E187" s="3">
        <v>5721.01</v>
      </c>
      <c r="G187" s="2">
        <v>4.0000000000000001E-3</v>
      </c>
    </row>
    <row r="188" spans="1:7" x14ac:dyDescent="0.4">
      <c r="A188" s="1">
        <v>45562</v>
      </c>
      <c r="B188" s="3">
        <v>5738.17</v>
      </c>
      <c r="C188" s="3">
        <v>5755.36</v>
      </c>
      <c r="D188" s="3">
        <v>5763.78</v>
      </c>
      <c r="E188" s="3">
        <v>5727.34</v>
      </c>
      <c r="G188" s="2">
        <v>-1.2999999999999999E-3</v>
      </c>
    </row>
    <row r="189" spans="1:7" x14ac:dyDescent="0.4">
      <c r="A189" s="1">
        <v>45565</v>
      </c>
      <c r="B189" s="3">
        <v>5762.48</v>
      </c>
      <c r="C189" s="3">
        <v>5726.52</v>
      </c>
      <c r="D189" s="3">
        <v>5765.14</v>
      </c>
      <c r="E189" s="3">
        <v>5703.53</v>
      </c>
      <c r="G189" s="2">
        <v>4.1999999999999997E-3</v>
      </c>
    </row>
    <row r="190" spans="1:7" x14ac:dyDescent="0.4">
      <c r="A190" s="1">
        <v>45566</v>
      </c>
      <c r="B190" s="3">
        <v>5708.75</v>
      </c>
      <c r="C190" s="3">
        <v>5757.73</v>
      </c>
      <c r="D190" s="3">
        <v>5757.73</v>
      </c>
      <c r="E190" s="3">
        <v>5681.28</v>
      </c>
      <c r="G190" s="2">
        <v>-9.2999999999999992E-3</v>
      </c>
    </row>
    <row r="191" spans="1:7" x14ac:dyDescent="0.4">
      <c r="A191" s="1">
        <v>45567</v>
      </c>
      <c r="B191" s="3">
        <v>5709.54</v>
      </c>
      <c r="C191" s="3">
        <v>5698.14</v>
      </c>
      <c r="D191" s="3">
        <v>5719.63</v>
      </c>
      <c r="E191" s="3">
        <v>5674</v>
      </c>
      <c r="G191" s="2">
        <v>1E-4</v>
      </c>
    </row>
    <row r="192" spans="1:7" x14ac:dyDescent="0.4">
      <c r="A192" s="1">
        <v>45568</v>
      </c>
      <c r="B192" s="3">
        <v>5699.94</v>
      </c>
      <c r="C192" s="3">
        <v>5698.19</v>
      </c>
      <c r="D192" s="3">
        <v>5718.78</v>
      </c>
      <c r="E192" s="3">
        <v>5677.37</v>
      </c>
      <c r="G192" s="2">
        <v>-1.6999999999999999E-3</v>
      </c>
    </row>
    <row r="193" spans="1:7" x14ac:dyDescent="0.4">
      <c r="A193" s="1">
        <v>45569</v>
      </c>
      <c r="B193" s="3">
        <v>5751.07</v>
      </c>
      <c r="C193" s="3">
        <v>5737.48</v>
      </c>
      <c r="D193" s="3">
        <v>5753.21</v>
      </c>
      <c r="E193" s="3">
        <v>5702.83</v>
      </c>
      <c r="G193" s="2">
        <v>8.9999999999999993E-3</v>
      </c>
    </row>
    <row r="194" spans="1:7" x14ac:dyDescent="0.4">
      <c r="A194" s="1">
        <v>45572</v>
      </c>
      <c r="B194" s="3">
        <v>5695.94</v>
      </c>
      <c r="C194" s="3">
        <v>5737.8</v>
      </c>
      <c r="D194" s="3">
        <v>5739.34</v>
      </c>
      <c r="E194" s="3">
        <v>5686.85</v>
      </c>
      <c r="G194" s="2">
        <v>-9.5999999999999992E-3</v>
      </c>
    </row>
    <row r="195" spans="1:7" x14ac:dyDescent="0.4">
      <c r="A195" s="1">
        <v>45573</v>
      </c>
      <c r="B195" s="3">
        <v>5751.13</v>
      </c>
      <c r="C195" s="3">
        <v>5719.14</v>
      </c>
      <c r="D195" s="3">
        <v>5757.6</v>
      </c>
      <c r="E195" s="3">
        <v>5714.56</v>
      </c>
      <c r="G195" s="2">
        <v>9.7000000000000003E-3</v>
      </c>
    </row>
    <row r="196" spans="1:7" x14ac:dyDescent="0.4">
      <c r="A196" s="1">
        <v>45574</v>
      </c>
      <c r="B196" s="3">
        <v>5792.04</v>
      </c>
      <c r="C196" s="3">
        <v>5751.8</v>
      </c>
      <c r="D196" s="3">
        <v>5796.8</v>
      </c>
      <c r="E196" s="3">
        <v>5745.02</v>
      </c>
      <c r="G196" s="2">
        <v>7.1000000000000004E-3</v>
      </c>
    </row>
    <row r="197" spans="1:7" x14ac:dyDescent="0.4">
      <c r="A197" s="1">
        <v>45575</v>
      </c>
      <c r="B197" s="3">
        <v>5780.05</v>
      </c>
      <c r="C197" s="3">
        <v>5778.36</v>
      </c>
      <c r="D197" s="3">
        <v>5795.03</v>
      </c>
      <c r="E197" s="3">
        <v>5764.76</v>
      </c>
      <c r="G197" s="2">
        <v>-2.0999999999999999E-3</v>
      </c>
    </row>
    <row r="198" spans="1:7" x14ac:dyDescent="0.4">
      <c r="A198" s="1">
        <v>45576</v>
      </c>
      <c r="B198" s="3">
        <v>5815.03</v>
      </c>
      <c r="C198" s="3">
        <v>5775.09</v>
      </c>
      <c r="D198" s="3">
        <v>5822.13</v>
      </c>
      <c r="E198" s="3">
        <v>5775.09</v>
      </c>
      <c r="G198" s="2">
        <v>6.1000000000000004E-3</v>
      </c>
    </row>
    <row r="199" spans="1:7" x14ac:dyDescent="0.4">
      <c r="A199" s="1">
        <v>45579</v>
      </c>
      <c r="B199" s="3">
        <v>5859.85</v>
      </c>
      <c r="C199" s="3">
        <v>5829.81</v>
      </c>
      <c r="D199" s="3">
        <v>5871.41</v>
      </c>
      <c r="E199" s="3">
        <v>5829.57</v>
      </c>
      <c r="G199" s="2">
        <v>7.7000000000000002E-3</v>
      </c>
    </row>
    <row r="200" spans="1:7" x14ac:dyDescent="0.4">
      <c r="A200" s="1">
        <v>45580</v>
      </c>
      <c r="B200" s="3">
        <v>5815.26</v>
      </c>
      <c r="C200" s="3">
        <v>5866.74</v>
      </c>
      <c r="D200" s="3">
        <v>5870.36</v>
      </c>
      <c r="E200" s="3">
        <v>5804.48</v>
      </c>
      <c r="G200" s="2">
        <v>-7.6E-3</v>
      </c>
    </row>
    <row r="201" spans="1:7" x14ac:dyDescent="0.4">
      <c r="A201" s="1">
        <v>45581</v>
      </c>
      <c r="B201" s="3">
        <v>5842.47</v>
      </c>
      <c r="C201" s="3">
        <v>5816.58</v>
      </c>
      <c r="D201" s="3">
        <v>5846.52</v>
      </c>
      <c r="E201" s="3">
        <v>5808.34</v>
      </c>
      <c r="G201" s="2">
        <v>4.7000000000000002E-3</v>
      </c>
    </row>
    <row r="202" spans="1:7" x14ac:dyDescent="0.4">
      <c r="A202" s="1">
        <v>45582</v>
      </c>
      <c r="B202" s="3">
        <v>5841.47</v>
      </c>
      <c r="C202" s="3">
        <v>5875.62</v>
      </c>
      <c r="D202" s="3">
        <v>5878.46</v>
      </c>
      <c r="E202" s="3">
        <v>5840.25</v>
      </c>
      <c r="G202" s="2">
        <v>-2.0000000000000001E-4</v>
      </c>
    </row>
    <row r="203" spans="1:7" x14ac:dyDescent="0.4">
      <c r="A203" s="1">
        <v>45583</v>
      </c>
      <c r="B203" s="3">
        <v>5864.67</v>
      </c>
      <c r="C203" s="3">
        <v>5859.43</v>
      </c>
      <c r="D203" s="3">
        <v>5872.17</v>
      </c>
      <c r="E203" s="3">
        <v>5846.11</v>
      </c>
      <c r="G203" s="2">
        <v>4.0000000000000001E-3</v>
      </c>
    </row>
    <row r="204" spans="1:7" x14ac:dyDescent="0.4">
      <c r="A204" s="1">
        <v>45586</v>
      </c>
      <c r="B204" s="3">
        <v>5853.98</v>
      </c>
      <c r="C204" s="3">
        <v>5857.82</v>
      </c>
      <c r="D204" s="3">
        <v>5866.92</v>
      </c>
      <c r="E204" s="3">
        <v>5824.79</v>
      </c>
      <c r="G204" s="2">
        <v>-1.8E-3</v>
      </c>
    </row>
    <row r="205" spans="1:7" x14ac:dyDescent="0.4">
      <c r="A205" s="1">
        <v>45587</v>
      </c>
      <c r="B205" s="3">
        <v>5851.2</v>
      </c>
      <c r="C205" s="3">
        <v>5832.7</v>
      </c>
      <c r="D205" s="3">
        <v>5863.04</v>
      </c>
      <c r="E205" s="3">
        <v>5821.17</v>
      </c>
      <c r="G205" s="2">
        <v>-5.0000000000000001E-4</v>
      </c>
    </row>
    <row r="206" spans="1:7" x14ac:dyDescent="0.4">
      <c r="A206" s="1">
        <v>45588</v>
      </c>
      <c r="B206" s="3">
        <v>5797.42</v>
      </c>
      <c r="C206" s="3">
        <v>5834.5</v>
      </c>
      <c r="D206" s="3">
        <v>5834.85</v>
      </c>
      <c r="E206" s="3">
        <v>5762.41</v>
      </c>
      <c r="G206" s="2">
        <v>-9.1999999999999998E-3</v>
      </c>
    </row>
    <row r="207" spans="1:7" x14ac:dyDescent="0.4">
      <c r="A207" s="1">
        <v>45589</v>
      </c>
      <c r="B207" s="3">
        <v>5809.86</v>
      </c>
      <c r="C207" s="3">
        <v>5817.8</v>
      </c>
      <c r="D207" s="3">
        <v>5817.8</v>
      </c>
      <c r="E207" s="3">
        <v>5784.92</v>
      </c>
      <c r="G207" s="2">
        <v>2.0999999999999999E-3</v>
      </c>
    </row>
    <row r="208" spans="1:7" x14ac:dyDescent="0.4">
      <c r="A208" s="1">
        <v>45590</v>
      </c>
      <c r="B208" s="3">
        <v>5808.12</v>
      </c>
      <c r="C208" s="3">
        <v>5826.75</v>
      </c>
      <c r="D208" s="3">
        <v>5862.82</v>
      </c>
      <c r="E208" s="3">
        <v>5799.98</v>
      </c>
      <c r="G208" s="2">
        <v>-2.9999999999999997E-4</v>
      </c>
    </row>
    <row r="209" spans="1:7" x14ac:dyDescent="0.4">
      <c r="A209" s="1">
        <v>45593</v>
      </c>
      <c r="B209" s="3">
        <v>5823.52</v>
      </c>
      <c r="C209" s="3">
        <v>5833.93</v>
      </c>
      <c r="D209" s="3">
        <v>5842.92</v>
      </c>
      <c r="E209" s="3">
        <v>5823.08</v>
      </c>
      <c r="G209" s="2">
        <v>2.7000000000000001E-3</v>
      </c>
    </row>
    <row r="210" spans="1:7" x14ac:dyDescent="0.4">
      <c r="A210" s="1">
        <v>45594</v>
      </c>
      <c r="B210" s="3">
        <v>5832.92</v>
      </c>
      <c r="C210" s="3">
        <v>5819.68</v>
      </c>
      <c r="D210" s="3">
        <v>5847.19</v>
      </c>
      <c r="E210" s="3">
        <v>5802.17</v>
      </c>
      <c r="G210" s="2">
        <v>1.6000000000000001E-3</v>
      </c>
    </row>
    <row r="211" spans="1:7" x14ac:dyDescent="0.4">
      <c r="A211" s="1">
        <v>45595</v>
      </c>
      <c r="B211" s="3">
        <v>5813.67</v>
      </c>
      <c r="C211" s="3">
        <v>5832.65</v>
      </c>
      <c r="D211" s="3">
        <v>5850.94</v>
      </c>
      <c r="E211" s="3">
        <v>5811.28</v>
      </c>
      <c r="G211" s="2">
        <v>-3.3E-3</v>
      </c>
    </row>
    <row r="212" spans="1:7" x14ac:dyDescent="0.4">
      <c r="A212" s="1">
        <v>45596</v>
      </c>
      <c r="B212" s="3">
        <v>5705.45</v>
      </c>
      <c r="C212" s="3">
        <v>5775.34</v>
      </c>
      <c r="D212" s="3">
        <v>5775.34</v>
      </c>
      <c r="E212" s="3">
        <v>5702.86</v>
      </c>
      <c r="G212" s="2">
        <v>-1.8599999999999998E-2</v>
      </c>
    </row>
    <row r="213" spans="1:7" x14ac:dyDescent="0.4">
      <c r="A213" s="1">
        <v>45597</v>
      </c>
      <c r="B213" s="3">
        <v>5728.8</v>
      </c>
      <c r="C213" s="3">
        <v>5723.22</v>
      </c>
      <c r="D213" s="3">
        <v>5772.52</v>
      </c>
      <c r="E213" s="3">
        <v>5723.22</v>
      </c>
      <c r="G213" s="2">
        <v>4.1000000000000003E-3</v>
      </c>
    </row>
    <row r="214" spans="1:7" x14ac:dyDescent="0.4">
      <c r="A214" s="1">
        <v>45600</v>
      </c>
      <c r="B214" s="3">
        <v>5712.69</v>
      </c>
      <c r="C214" s="3">
        <v>5725.15</v>
      </c>
      <c r="D214" s="3">
        <v>5741.43</v>
      </c>
      <c r="E214" s="3">
        <v>5696.51</v>
      </c>
      <c r="G214" s="2">
        <v>-2.8E-3</v>
      </c>
    </row>
    <row r="215" spans="1:7" x14ac:dyDescent="0.4">
      <c r="A215" s="1">
        <v>45601</v>
      </c>
      <c r="B215" s="3">
        <v>5782.76</v>
      </c>
      <c r="C215" s="3">
        <v>5722.43</v>
      </c>
      <c r="D215" s="3">
        <v>5783.44</v>
      </c>
      <c r="E215" s="3">
        <v>5722.1</v>
      </c>
      <c r="G215" s="2">
        <v>1.23E-2</v>
      </c>
    </row>
    <row r="216" spans="1:7" x14ac:dyDescent="0.4">
      <c r="A216" s="1">
        <v>45602</v>
      </c>
      <c r="B216" s="3">
        <v>5929.04</v>
      </c>
      <c r="C216" s="3">
        <v>5864.89</v>
      </c>
      <c r="D216" s="3">
        <v>5936.14</v>
      </c>
      <c r="E216" s="3">
        <v>5864.89</v>
      </c>
      <c r="G216" s="2">
        <v>2.53E-2</v>
      </c>
    </row>
    <row r="217" spans="1:7" x14ac:dyDescent="0.4">
      <c r="A217" s="1">
        <v>45603</v>
      </c>
      <c r="B217" s="3">
        <v>5973.1</v>
      </c>
      <c r="C217" s="3">
        <v>5947.21</v>
      </c>
      <c r="D217" s="3">
        <v>5983.84</v>
      </c>
      <c r="E217" s="3">
        <v>5947.21</v>
      </c>
      <c r="G217" s="2">
        <v>7.4000000000000003E-3</v>
      </c>
    </row>
    <row r="218" spans="1:7" x14ac:dyDescent="0.4">
      <c r="A218" s="1">
        <v>45604</v>
      </c>
      <c r="B218" s="3">
        <v>5995.54</v>
      </c>
      <c r="C218" s="3">
        <v>5976.76</v>
      </c>
      <c r="D218" s="3">
        <v>6012.45</v>
      </c>
      <c r="E218" s="3">
        <v>5976.76</v>
      </c>
      <c r="G218" s="2">
        <v>3.8E-3</v>
      </c>
    </row>
    <row r="219" spans="1:7" x14ac:dyDescent="0.4">
      <c r="A219" s="1">
        <v>45607</v>
      </c>
      <c r="B219" s="3">
        <v>6001.35</v>
      </c>
      <c r="C219" s="3">
        <v>6008.86</v>
      </c>
      <c r="D219" s="3">
        <v>6017.31</v>
      </c>
      <c r="E219" s="3">
        <v>5986.69</v>
      </c>
      <c r="G219" s="2">
        <v>1E-3</v>
      </c>
    </row>
    <row r="220" spans="1:7" x14ac:dyDescent="0.4">
      <c r="A220" s="1">
        <v>45608</v>
      </c>
      <c r="B220" s="3">
        <v>5983.99</v>
      </c>
      <c r="C220" s="3">
        <v>6003.6</v>
      </c>
      <c r="D220" s="3">
        <v>6009.92</v>
      </c>
      <c r="E220" s="3">
        <v>5960.08</v>
      </c>
      <c r="G220" s="2">
        <v>-2.8999999999999998E-3</v>
      </c>
    </row>
    <row r="221" spans="1:7" x14ac:dyDescent="0.4">
      <c r="A221" s="1">
        <v>45609</v>
      </c>
      <c r="B221" s="3">
        <v>5985.38</v>
      </c>
      <c r="C221" s="3">
        <v>5985.75</v>
      </c>
      <c r="D221" s="3">
        <v>6008.19</v>
      </c>
      <c r="E221" s="3">
        <v>5965.91</v>
      </c>
      <c r="G221" s="2">
        <v>2.0000000000000001E-4</v>
      </c>
    </row>
    <row r="222" spans="1:7" x14ac:dyDescent="0.4">
      <c r="A222" s="1">
        <v>45610</v>
      </c>
      <c r="B222" s="3">
        <v>5949.17</v>
      </c>
      <c r="C222" s="3">
        <v>5989.68</v>
      </c>
      <c r="D222" s="3">
        <v>5993.88</v>
      </c>
      <c r="E222" s="3">
        <v>5942.28</v>
      </c>
      <c r="G222" s="2">
        <v>-6.0000000000000001E-3</v>
      </c>
    </row>
    <row r="223" spans="1:7" x14ac:dyDescent="0.4">
      <c r="A223" s="1">
        <v>45611</v>
      </c>
      <c r="B223" s="3">
        <v>5870.62</v>
      </c>
      <c r="C223" s="3">
        <v>5912.79</v>
      </c>
      <c r="D223" s="3">
        <v>5915.32</v>
      </c>
      <c r="E223" s="3">
        <v>5853.01</v>
      </c>
      <c r="G223" s="2">
        <v>-1.32E-2</v>
      </c>
    </row>
    <row r="224" spans="1:7" x14ac:dyDescent="0.4">
      <c r="A224" s="1">
        <v>45614</v>
      </c>
      <c r="B224" s="3">
        <v>5893.62</v>
      </c>
      <c r="C224" s="3">
        <v>5874.17</v>
      </c>
      <c r="D224" s="3">
        <v>5908.12</v>
      </c>
      <c r="E224" s="3">
        <v>5865.95</v>
      </c>
      <c r="G224" s="2">
        <v>3.8999999999999998E-3</v>
      </c>
    </row>
    <row r="225" spans="1:7" x14ac:dyDescent="0.4">
      <c r="A225" s="1">
        <v>45615</v>
      </c>
      <c r="B225" s="3">
        <v>5916.98</v>
      </c>
      <c r="C225" s="3">
        <v>5870.05</v>
      </c>
      <c r="D225" s="3">
        <v>5923.51</v>
      </c>
      <c r="E225" s="3">
        <v>5855.29</v>
      </c>
      <c r="G225" s="2">
        <v>4.0000000000000001E-3</v>
      </c>
    </row>
    <row r="226" spans="1:7" x14ac:dyDescent="0.4">
      <c r="A226" s="1">
        <v>45616</v>
      </c>
      <c r="B226" s="3">
        <v>5917.11</v>
      </c>
      <c r="C226" s="3">
        <v>5914.34</v>
      </c>
      <c r="D226" s="3">
        <v>5920.67</v>
      </c>
      <c r="E226" s="3">
        <v>5860.56</v>
      </c>
      <c r="G226" s="2">
        <v>0</v>
      </c>
    </row>
    <row r="227" spans="1:7" x14ac:dyDescent="0.4">
      <c r="A227" s="1">
        <v>45617</v>
      </c>
      <c r="B227" s="3">
        <v>5948.71</v>
      </c>
      <c r="C227" s="3">
        <v>5940.58</v>
      </c>
      <c r="D227" s="3">
        <v>5963.32</v>
      </c>
      <c r="E227" s="3">
        <v>5887.26</v>
      </c>
      <c r="G227" s="2">
        <v>5.3E-3</v>
      </c>
    </row>
    <row r="228" spans="1:7" x14ac:dyDescent="0.4">
      <c r="A228" s="1">
        <v>45618</v>
      </c>
      <c r="B228" s="3">
        <v>5969.34</v>
      </c>
      <c r="C228" s="3">
        <v>5944.36</v>
      </c>
      <c r="D228" s="3">
        <v>5972.9</v>
      </c>
      <c r="E228" s="3">
        <v>5944.36</v>
      </c>
      <c r="G228" s="2">
        <v>3.5000000000000001E-3</v>
      </c>
    </row>
    <row r="229" spans="1:7" x14ac:dyDescent="0.4">
      <c r="A229" s="1">
        <v>45621</v>
      </c>
      <c r="B229" s="3">
        <v>5987.37</v>
      </c>
      <c r="C229" s="3">
        <v>5992.28</v>
      </c>
      <c r="D229" s="3">
        <v>6020.75</v>
      </c>
      <c r="E229" s="3">
        <v>5963.91</v>
      </c>
      <c r="G229" s="2">
        <v>3.0000000000000001E-3</v>
      </c>
    </row>
    <row r="230" spans="1:7" x14ac:dyDescent="0.4">
      <c r="A230" s="1">
        <v>45622</v>
      </c>
      <c r="B230" s="3">
        <v>6021.63</v>
      </c>
      <c r="C230" s="3">
        <v>6000.03</v>
      </c>
      <c r="D230" s="3">
        <v>6025.42</v>
      </c>
      <c r="E230" s="3">
        <v>5992.27</v>
      </c>
      <c r="G230" s="2">
        <v>5.7000000000000002E-3</v>
      </c>
    </row>
    <row r="231" spans="1:7" x14ac:dyDescent="0.4">
      <c r="A231" s="1">
        <v>45623</v>
      </c>
      <c r="B231" s="3">
        <v>5998.74</v>
      </c>
      <c r="C231" s="3">
        <v>6014.11</v>
      </c>
      <c r="D231" s="3">
        <v>6020.16</v>
      </c>
      <c r="E231" s="3">
        <v>5984.87</v>
      </c>
      <c r="G231" s="2">
        <v>-3.8E-3</v>
      </c>
    </row>
    <row r="232" spans="1:7" x14ac:dyDescent="0.4">
      <c r="A232" s="1">
        <v>45625</v>
      </c>
      <c r="B232" s="3">
        <v>6032.38</v>
      </c>
      <c r="C232" s="3">
        <v>6003.98</v>
      </c>
      <c r="D232" s="3">
        <v>6044.17</v>
      </c>
      <c r="E232" s="3">
        <v>6003.98</v>
      </c>
      <c r="G232" s="2">
        <v>5.5999999999999999E-3</v>
      </c>
    </row>
    <row r="233" spans="1:7" x14ac:dyDescent="0.4">
      <c r="A233" s="1">
        <v>45628</v>
      </c>
      <c r="B233" s="3">
        <v>6047.15</v>
      </c>
      <c r="C233" s="3">
        <v>6040.11</v>
      </c>
      <c r="D233" s="3">
        <v>6053.58</v>
      </c>
      <c r="E233" s="3">
        <v>6035.33</v>
      </c>
      <c r="G233" s="2">
        <v>2.3999999999999998E-3</v>
      </c>
    </row>
    <row r="234" spans="1:7" x14ac:dyDescent="0.4">
      <c r="A234" s="1">
        <v>45629</v>
      </c>
      <c r="B234" s="3">
        <v>6049.88</v>
      </c>
      <c r="C234" s="3">
        <v>6042.97</v>
      </c>
      <c r="D234" s="3">
        <v>6052.07</v>
      </c>
      <c r="E234" s="3">
        <v>6033.39</v>
      </c>
      <c r="G234" s="2">
        <v>5.0000000000000001E-4</v>
      </c>
    </row>
    <row r="235" spans="1:7" x14ac:dyDescent="0.4">
      <c r="A235" s="1">
        <v>45630</v>
      </c>
      <c r="B235" s="3">
        <v>6086.49</v>
      </c>
      <c r="C235" s="3">
        <v>6069.39</v>
      </c>
      <c r="D235" s="3">
        <v>6089.84</v>
      </c>
      <c r="E235" s="3">
        <v>6061.06</v>
      </c>
      <c r="G235" s="2">
        <v>6.1000000000000004E-3</v>
      </c>
    </row>
    <row r="236" spans="1:7" x14ac:dyDescent="0.4">
      <c r="A236" s="1">
        <v>45631</v>
      </c>
      <c r="B236" s="3">
        <v>6075.11</v>
      </c>
      <c r="C236" s="3">
        <v>6089.03</v>
      </c>
      <c r="D236" s="3">
        <v>6094.55</v>
      </c>
      <c r="E236" s="3">
        <v>6072.9</v>
      </c>
      <c r="G236" s="2">
        <v>-1.9E-3</v>
      </c>
    </row>
    <row r="237" spans="1:7" x14ac:dyDescent="0.4">
      <c r="A237" s="1">
        <v>45632</v>
      </c>
      <c r="B237" s="3">
        <v>6090.27</v>
      </c>
      <c r="C237" s="3">
        <v>6081.38</v>
      </c>
      <c r="D237" s="3">
        <v>6099.97</v>
      </c>
      <c r="E237" s="3">
        <v>6079.98</v>
      </c>
      <c r="G237" s="2">
        <v>2.5000000000000001E-3</v>
      </c>
    </row>
    <row r="238" spans="1:7" x14ac:dyDescent="0.4">
      <c r="A238" s="1">
        <v>45635</v>
      </c>
      <c r="B238" s="3">
        <v>6052.85</v>
      </c>
      <c r="C238" s="3">
        <v>6083.01</v>
      </c>
      <c r="D238" s="3">
        <v>6088.51</v>
      </c>
      <c r="E238" s="3">
        <v>6048.63</v>
      </c>
      <c r="G238" s="2">
        <v>-6.1000000000000004E-3</v>
      </c>
    </row>
    <row r="239" spans="1:7" x14ac:dyDescent="0.4">
      <c r="A239" s="1">
        <v>45636</v>
      </c>
      <c r="B239" s="3">
        <v>6034.91</v>
      </c>
      <c r="C239" s="3">
        <v>6057.59</v>
      </c>
      <c r="D239" s="3">
        <v>6065.4</v>
      </c>
      <c r="E239" s="3">
        <v>6029.89</v>
      </c>
      <c r="G239" s="2">
        <v>-3.0000000000000001E-3</v>
      </c>
    </row>
    <row r="240" spans="1:7" x14ac:dyDescent="0.4">
      <c r="A240" s="1">
        <v>45637</v>
      </c>
      <c r="B240" s="3">
        <v>6084.19</v>
      </c>
      <c r="C240" s="3">
        <v>6060.15</v>
      </c>
      <c r="D240" s="3">
        <v>6092.59</v>
      </c>
      <c r="E240" s="3">
        <v>6060.15</v>
      </c>
      <c r="G240" s="2">
        <v>8.2000000000000007E-3</v>
      </c>
    </row>
    <row r="241" spans="1:7" x14ac:dyDescent="0.4">
      <c r="A241" s="1">
        <v>45638</v>
      </c>
      <c r="B241" s="3">
        <v>6051.25</v>
      </c>
      <c r="C241" s="3">
        <v>6074.29</v>
      </c>
      <c r="D241" s="3">
        <v>6079.68</v>
      </c>
      <c r="E241" s="3">
        <v>6051.25</v>
      </c>
      <c r="G241" s="2">
        <v>-5.4000000000000003E-3</v>
      </c>
    </row>
    <row r="242" spans="1:7" x14ac:dyDescent="0.4">
      <c r="A242" s="1">
        <v>45639</v>
      </c>
      <c r="B242" s="3">
        <v>6051.09</v>
      </c>
      <c r="C242" s="3">
        <v>6068.17</v>
      </c>
      <c r="D242" s="3">
        <v>6078.58</v>
      </c>
      <c r="E242" s="3">
        <v>6035.77</v>
      </c>
      <c r="G242" s="2">
        <v>0</v>
      </c>
    </row>
    <row r="243" spans="1:7" x14ac:dyDescent="0.4">
      <c r="A243" s="1">
        <v>45642</v>
      </c>
      <c r="B243" s="3">
        <v>6074.08</v>
      </c>
      <c r="C243" s="3">
        <v>6063.79</v>
      </c>
      <c r="D243" s="3">
        <v>6085.19</v>
      </c>
      <c r="E243" s="3">
        <v>6059.14</v>
      </c>
      <c r="G243" s="2">
        <v>3.8E-3</v>
      </c>
    </row>
    <row r="244" spans="1:7" x14ac:dyDescent="0.4">
      <c r="A244" s="1">
        <v>45643</v>
      </c>
      <c r="B244" s="3">
        <v>6050.61</v>
      </c>
      <c r="C244" s="3">
        <v>6052.55</v>
      </c>
      <c r="D244" s="3">
        <v>6057.68</v>
      </c>
      <c r="E244" s="3">
        <v>6035.19</v>
      </c>
      <c r="G244" s="2">
        <v>-3.8999999999999998E-3</v>
      </c>
    </row>
    <row r="245" spans="1:7" x14ac:dyDescent="0.4">
      <c r="A245" s="1">
        <v>45644</v>
      </c>
      <c r="B245" s="3">
        <v>5872.16</v>
      </c>
      <c r="C245" s="3">
        <v>6047.65</v>
      </c>
      <c r="D245" s="3">
        <v>6070.67</v>
      </c>
      <c r="E245" s="3">
        <v>5867.79</v>
      </c>
      <c r="G245" s="2">
        <v>-2.9499999999999998E-2</v>
      </c>
    </row>
    <row r="246" spans="1:7" x14ac:dyDescent="0.4">
      <c r="A246" s="1">
        <v>45645</v>
      </c>
      <c r="B246" s="3">
        <v>5867.08</v>
      </c>
      <c r="C246" s="3">
        <v>5912.71</v>
      </c>
      <c r="D246" s="3">
        <v>5935.52</v>
      </c>
      <c r="E246" s="3">
        <v>5866.07</v>
      </c>
      <c r="G246" s="2">
        <v>-8.9999999999999998E-4</v>
      </c>
    </row>
    <row r="247" spans="1:7" x14ac:dyDescent="0.4">
      <c r="A247" s="1">
        <v>45646</v>
      </c>
      <c r="B247" s="3">
        <v>5930.85</v>
      </c>
      <c r="C247" s="3">
        <v>5842</v>
      </c>
      <c r="D247" s="3">
        <v>5982.06</v>
      </c>
      <c r="E247" s="3">
        <v>5832.3</v>
      </c>
      <c r="G247" s="2">
        <v>1.09E-2</v>
      </c>
    </row>
    <row r="248" spans="1:7" x14ac:dyDescent="0.4">
      <c r="A248" s="1">
        <v>45649</v>
      </c>
      <c r="B248" s="3">
        <v>5974.07</v>
      </c>
      <c r="C248" s="3">
        <v>5940.25</v>
      </c>
      <c r="D248" s="3">
        <v>5978.25</v>
      </c>
      <c r="E248" s="3">
        <v>5902.57</v>
      </c>
      <c r="G248" s="2">
        <v>7.3000000000000001E-3</v>
      </c>
    </row>
    <row r="249" spans="1:7" x14ac:dyDescent="0.4">
      <c r="A249" s="1">
        <v>45650</v>
      </c>
      <c r="B249" s="3">
        <v>6040.04</v>
      </c>
      <c r="C249" s="3">
        <v>5984.63</v>
      </c>
      <c r="D249" s="3">
        <v>6040.1</v>
      </c>
      <c r="E249" s="3">
        <v>5981.44</v>
      </c>
      <c r="G249" s="2">
        <v>1.0999999999999999E-2</v>
      </c>
    </row>
    <row r="250" spans="1:7" x14ac:dyDescent="0.4">
      <c r="A250" s="1">
        <v>45652</v>
      </c>
      <c r="B250" s="3">
        <v>6037.59</v>
      </c>
      <c r="C250" s="3">
        <v>6024.97</v>
      </c>
      <c r="D250" s="3">
        <v>6049.75</v>
      </c>
      <c r="E250" s="3">
        <v>6007.37</v>
      </c>
      <c r="G250" s="2">
        <v>-4.0000000000000002E-4</v>
      </c>
    </row>
    <row r="251" spans="1:7" x14ac:dyDescent="0.4">
      <c r="A251" s="1">
        <v>45653</v>
      </c>
      <c r="B251" s="3">
        <v>5970.84</v>
      </c>
      <c r="C251" s="3">
        <v>6006.17</v>
      </c>
      <c r="D251" s="3">
        <v>6006.17</v>
      </c>
      <c r="E251" s="3">
        <v>5932.95</v>
      </c>
      <c r="G251" s="2">
        <v>-1.11E-2</v>
      </c>
    </row>
    <row r="252" spans="1:7" x14ac:dyDescent="0.4">
      <c r="A252" s="1">
        <v>45656</v>
      </c>
      <c r="B252" s="3">
        <v>5906.94</v>
      </c>
      <c r="C252" s="3">
        <v>5920.67</v>
      </c>
      <c r="D252" s="3">
        <v>5940.79</v>
      </c>
      <c r="E252" s="3">
        <v>5869.16</v>
      </c>
      <c r="G252" s="2">
        <v>-1.0699999999999999E-2</v>
      </c>
    </row>
    <row r="253" spans="1:7" x14ac:dyDescent="0.4">
      <c r="A253" s="1">
        <v>45657</v>
      </c>
      <c r="B253" s="3">
        <v>5881.63</v>
      </c>
      <c r="C253" s="3">
        <v>5919.74</v>
      </c>
      <c r="D253" s="3">
        <v>5929.74</v>
      </c>
      <c r="E253" s="3">
        <v>5868.86</v>
      </c>
      <c r="G253" s="2">
        <v>-4.3E-3</v>
      </c>
    </row>
    <row r="254" spans="1:7" x14ac:dyDescent="0.4">
      <c r="A254" s="1">
        <v>45659</v>
      </c>
      <c r="B254" s="3">
        <v>5868.55</v>
      </c>
      <c r="C254" s="3">
        <v>5903.26</v>
      </c>
      <c r="D254" s="3">
        <v>5935.09</v>
      </c>
      <c r="E254" s="3">
        <v>5829.53</v>
      </c>
      <c r="G254" s="2">
        <v>-2.2000000000000001E-3</v>
      </c>
    </row>
    <row r="255" spans="1:7" x14ac:dyDescent="0.4">
      <c r="A255" s="1">
        <v>45660</v>
      </c>
      <c r="B255" s="3">
        <v>5942.47</v>
      </c>
      <c r="C255" s="3">
        <v>5891.07</v>
      </c>
      <c r="D255" s="3">
        <v>5949.34</v>
      </c>
      <c r="E255" s="3">
        <v>5888.66</v>
      </c>
      <c r="G255" s="2">
        <v>1.26E-2</v>
      </c>
    </row>
    <row r="256" spans="1:7" x14ac:dyDescent="0.4">
      <c r="A256" s="1">
        <v>45663</v>
      </c>
      <c r="B256" s="3">
        <v>5975.38</v>
      </c>
      <c r="C256" s="3">
        <v>5982.81</v>
      </c>
      <c r="D256" s="3">
        <v>6021.04</v>
      </c>
      <c r="E256" s="3">
        <v>5960.01</v>
      </c>
      <c r="G256" s="2">
        <v>5.4999999999999997E-3</v>
      </c>
    </row>
    <row r="257" spans="1:7" x14ac:dyDescent="0.4">
      <c r="A257" s="1">
        <v>45664</v>
      </c>
      <c r="B257" s="3">
        <v>5909.03</v>
      </c>
      <c r="C257" s="3">
        <v>5993.26</v>
      </c>
      <c r="D257" s="3">
        <v>6000.68</v>
      </c>
      <c r="E257" s="3">
        <v>5890.68</v>
      </c>
      <c r="G257" s="2">
        <v>-1.11E-2</v>
      </c>
    </row>
    <row r="258" spans="1:7" x14ac:dyDescent="0.4">
      <c r="A258" s="1">
        <v>45665</v>
      </c>
      <c r="B258" s="3">
        <v>5918.25</v>
      </c>
      <c r="C258" s="3">
        <v>5910.66</v>
      </c>
      <c r="D258" s="3">
        <v>5927.89</v>
      </c>
      <c r="E258" s="3">
        <v>5874.78</v>
      </c>
      <c r="G258" s="2">
        <v>1.6000000000000001E-3</v>
      </c>
    </row>
    <row r="259" spans="1:7" x14ac:dyDescent="0.4">
      <c r="A259" s="1">
        <v>45667</v>
      </c>
      <c r="B259" s="3">
        <v>5827.04</v>
      </c>
      <c r="C259" s="3">
        <v>5890.35</v>
      </c>
      <c r="D259" s="3">
        <v>5890.35</v>
      </c>
      <c r="E259" s="3">
        <v>5807.78</v>
      </c>
      <c r="G259" s="2">
        <v>-1.54E-2</v>
      </c>
    </row>
    <row r="260" spans="1:7" x14ac:dyDescent="0.4">
      <c r="A260" s="1">
        <v>45670</v>
      </c>
      <c r="B260" s="3">
        <v>5836.22</v>
      </c>
      <c r="C260" s="3">
        <v>5782.02</v>
      </c>
      <c r="D260" s="3">
        <v>5838.61</v>
      </c>
      <c r="E260" s="3">
        <v>5773.31</v>
      </c>
      <c r="G260" s="2">
        <v>1.6000000000000001E-3</v>
      </c>
    </row>
    <row r="261" spans="1:7" x14ac:dyDescent="0.4">
      <c r="A261" s="1">
        <v>45671</v>
      </c>
      <c r="B261" s="3">
        <v>5842.91</v>
      </c>
      <c r="C261" s="3">
        <v>5859.27</v>
      </c>
      <c r="D261" s="3">
        <v>5871.92</v>
      </c>
      <c r="E261" s="3">
        <v>5805.42</v>
      </c>
      <c r="G261" s="2">
        <v>1.1000000000000001E-3</v>
      </c>
    </row>
    <row r="262" spans="1:7" x14ac:dyDescent="0.4">
      <c r="A262" s="1">
        <v>45672</v>
      </c>
      <c r="B262" s="3">
        <v>5949.91</v>
      </c>
      <c r="C262" s="3">
        <v>5905.21</v>
      </c>
      <c r="D262" s="3">
        <v>5960.61</v>
      </c>
      <c r="E262" s="3">
        <v>5905.21</v>
      </c>
      <c r="G262" s="2">
        <v>1.83E-2</v>
      </c>
    </row>
    <row r="263" spans="1:7" x14ac:dyDescent="0.4">
      <c r="A263" s="1">
        <v>45673</v>
      </c>
      <c r="B263" s="3">
        <v>5937.34</v>
      </c>
      <c r="C263" s="3">
        <v>5963.61</v>
      </c>
      <c r="D263" s="3">
        <v>5964.69</v>
      </c>
      <c r="E263" s="3">
        <v>5930.72</v>
      </c>
      <c r="G263" s="2">
        <v>-2.0999999999999999E-3</v>
      </c>
    </row>
    <row r="264" spans="1:7" x14ac:dyDescent="0.4">
      <c r="A264" s="1">
        <v>45674</v>
      </c>
      <c r="B264" s="3">
        <v>5996.66</v>
      </c>
      <c r="C264" s="3">
        <v>5995.4</v>
      </c>
      <c r="D264" s="3">
        <v>6014.96</v>
      </c>
      <c r="E264" s="3">
        <v>5978.44</v>
      </c>
      <c r="G264" s="2">
        <v>0.01</v>
      </c>
    </row>
    <row r="265" spans="1:7" x14ac:dyDescent="0.4">
      <c r="A265" s="1">
        <v>45678</v>
      </c>
      <c r="B265" s="3">
        <v>6049.24</v>
      </c>
      <c r="C265" s="3">
        <v>6014.12</v>
      </c>
      <c r="D265" s="3">
        <v>6051.51</v>
      </c>
      <c r="E265" s="3">
        <v>6006.88</v>
      </c>
      <c r="G265" s="2">
        <v>8.8000000000000005E-3</v>
      </c>
    </row>
    <row r="266" spans="1:7" x14ac:dyDescent="0.4">
      <c r="A266" s="1">
        <v>45679</v>
      </c>
      <c r="B266" s="3">
        <v>6086.37</v>
      </c>
      <c r="C266" s="3">
        <v>6081.39</v>
      </c>
      <c r="D266" s="3">
        <v>6100.81</v>
      </c>
      <c r="E266" s="3">
        <v>6076.13</v>
      </c>
      <c r="G266" s="2">
        <v>6.1000000000000004E-3</v>
      </c>
    </row>
    <row r="267" spans="1:7" x14ac:dyDescent="0.4">
      <c r="A267" s="1">
        <v>45680</v>
      </c>
      <c r="B267" s="3">
        <v>6118.71</v>
      </c>
      <c r="C267" s="3">
        <v>6076.32</v>
      </c>
      <c r="D267" s="3">
        <v>6118.73</v>
      </c>
      <c r="E267" s="3">
        <v>6074.67</v>
      </c>
      <c r="G267" s="2">
        <v>5.3E-3</v>
      </c>
    </row>
    <row r="268" spans="1:7" x14ac:dyDescent="0.4">
      <c r="A268" s="1">
        <v>45681</v>
      </c>
      <c r="B268" s="3">
        <v>6101.24</v>
      </c>
      <c r="C268" s="3">
        <v>6121.43</v>
      </c>
      <c r="D268" s="3">
        <v>6128.18</v>
      </c>
      <c r="E268" s="3">
        <v>6088.74</v>
      </c>
      <c r="G268" s="2">
        <v>-2.8999999999999998E-3</v>
      </c>
    </row>
    <row r="269" spans="1:7" x14ac:dyDescent="0.4">
      <c r="A269" s="1">
        <v>45684</v>
      </c>
      <c r="B269" s="3">
        <v>6012.28</v>
      </c>
      <c r="C269" s="3">
        <v>5969.04</v>
      </c>
      <c r="D269" s="3">
        <v>6017.17</v>
      </c>
      <c r="E269" s="3">
        <v>5962.92</v>
      </c>
      <c r="G269" s="2">
        <v>-1.46E-2</v>
      </c>
    </row>
    <row r="270" spans="1:7" x14ac:dyDescent="0.4">
      <c r="A270" s="1">
        <v>45685</v>
      </c>
      <c r="B270" s="3">
        <v>6067.7</v>
      </c>
      <c r="C270" s="3">
        <v>6026.97</v>
      </c>
      <c r="D270" s="3">
        <v>6074.54</v>
      </c>
      <c r="E270" s="3">
        <v>5994.63</v>
      </c>
      <c r="G270" s="2">
        <v>9.1999999999999998E-3</v>
      </c>
    </row>
    <row r="271" spans="1:7" x14ac:dyDescent="0.4">
      <c r="A271" s="1">
        <v>45686</v>
      </c>
      <c r="B271" s="3">
        <v>6039.31</v>
      </c>
      <c r="C271" s="3">
        <v>6057.7</v>
      </c>
      <c r="D271" s="3">
        <v>6062.83</v>
      </c>
      <c r="E271" s="3">
        <v>6012.96</v>
      </c>
      <c r="G271" s="2">
        <v>-4.7000000000000002E-3</v>
      </c>
    </row>
    <row r="272" spans="1:7" x14ac:dyDescent="0.4">
      <c r="A272" s="1">
        <v>45687</v>
      </c>
      <c r="B272" s="3">
        <v>6071.17</v>
      </c>
      <c r="C272" s="3">
        <v>6050.75</v>
      </c>
      <c r="D272" s="3">
        <v>6086.64</v>
      </c>
      <c r="E272" s="3">
        <v>6027.46</v>
      </c>
      <c r="G272" s="2">
        <v>5.3E-3</v>
      </c>
    </row>
    <row r="273" spans="1:7" x14ac:dyDescent="0.4">
      <c r="A273" s="1">
        <v>45688</v>
      </c>
      <c r="B273" s="3">
        <v>6040.53</v>
      </c>
      <c r="C273" s="3">
        <v>6096.79</v>
      </c>
      <c r="D273" s="3">
        <v>6120.91</v>
      </c>
      <c r="E273" s="3">
        <v>6030.93</v>
      </c>
      <c r="G273" s="2">
        <v>-5.0000000000000001E-3</v>
      </c>
    </row>
    <row r="274" spans="1:7" x14ac:dyDescent="0.4">
      <c r="A274" s="1">
        <v>45691</v>
      </c>
      <c r="B274" s="3">
        <v>5994.57</v>
      </c>
      <c r="C274" s="3">
        <v>5969.65</v>
      </c>
      <c r="D274" s="3">
        <v>6022.13</v>
      </c>
      <c r="E274" s="3">
        <v>5923.93</v>
      </c>
      <c r="G274" s="2">
        <v>-7.6E-3</v>
      </c>
    </row>
    <row r="275" spans="1:7" x14ac:dyDescent="0.4">
      <c r="A275" s="1">
        <v>45692</v>
      </c>
      <c r="B275" s="3">
        <v>6037.88</v>
      </c>
      <c r="C275" s="3">
        <v>5998.14</v>
      </c>
      <c r="D275" s="3">
        <v>6042.48</v>
      </c>
      <c r="E275" s="3">
        <v>5990.87</v>
      </c>
      <c r="G275" s="2">
        <v>7.1999999999999998E-3</v>
      </c>
    </row>
    <row r="276" spans="1:7" x14ac:dyDescent="0.4">
      <c r="A276" s="1">
        <v>45693</v>
      </c>
      <c r="B276" s="3">
        <v>6061.48</v>
      </c>
      <c r="C276" s="3">
        <v>6020.45</v>
      </c>
      <c r="D276" s="3">
        <v>6062.86</v>
      </c>
      <c r="E276" s="3">
        <v>6007.06</v>
      </c>
      <c r="G276" s="2">
        <v>3.8999999999999998E-3</v>
      </c>
    </row>
    <row r="277" spans="1:7" x14ac:dyDescent="0.4">
      <c r="A277" s="1">
        <v>45694</v>
      </c>
      <c r="B277" s="3">
        <v>6083.57</v>
      </c>
      <c r="C277" s="3">
        <v>6072.22</v>
      </c>
      <c r="D277" s="3">
        <v>6084.03</v>
      </c>
      <c r="E277" s="3">
        <v>6046.83</v>
      </c>
      <c r="G277" s="2">
        <v>3.5999999999999999E-3</v>
      </c>
    </row>
    <row r="278" spans="1:7" x14ac:dyDescent="0.4">
      <c r="A278" s="1">
        <v>45695</v>
      </c>
      <c r="B278" s="3">
        <v>6025.99</v>
      </c>
      <c r="C278" s="3">
        <v>6083.13</v>
      </c>
      <c r="D278" s="3">
        <v>6101.28</v>
      </c>
      <c r="E278" s="3">
        <v>6019.96</v>
      </c>
      <c r="G278" s="2">
        <v>-9.4999999999999998E-3</v>
      </c>
    </row>
    <row r="279" spans="1:7" x14ac:dyDescent="0.4">
      <c r="A279" s="1">
        <v>45698</v>
      </c>
      <c r="B279" s="3">
        <v>6066.44</v>
      </c>
      <c r="C279" s="3">
        <v>6046.4</v>
      </c>
      <c r="D279" s="3">
        <v>6073.38</v>
      </c>
      <c r="E279" s="3">
        <v>6044.84</v>
      </c>
      <c r="G279" s="2">
        <v>6.7000000000000002E-3</v>
      </c>
    </row>
    <row r="280" spans="1:7" x14ac:dyDescent="0.4">
      <c r="A280" s="1">
        <v>45699</v>
      </c>
      <c r="B280" s="3">
        <v>6068.5</v>
      </c>
      <c r="C280" s="3">
        <v>6049.32</v>
      </c>
      <c r="D280" s="3">
        <v>6076.28</v>
      </c>
      <c r="E280" s="3">
        <v>6042.34</v>
      </c>
      <c r="G280" s="2">
        <v>2.9999999999999997E-4</v>
      </c>
    </row>
    <row r="281" spans="1:7" x14ac:dyDescent="0.4">
      <c r="A281" s="1">
        <v>45700</v>
      </c>
      <c r="B281" s="3">
        <v>6051.97</v>
      </c>
      <c r="C281" s="3">
        <v>6025.08</v>
      </c>
      <c r="D281" s="3">
        <v>6063</v>
      </c>
      <c r="E281" s="3">
        <v>6003</v>
      </c>
      <c r="G281" s="2">
        <v>-2.7000000000000001E-3</v>
      </c>
    </row>
    <row r="282" spans="1:7" x14ac:dyDescent="0.4">
      <c r="A282" s="1">
        <v>45701</v>
      </c>
      <c r="B282" s="3">
        <v>6115.07</v>
      </c>
      <c r="C282" s="3">
        <v>6060.59</v>
      </c>
      <c r="D282" s="3">
        <v>6116.91</v>
      </c>
      <c r="E282" s="3">
        <v>6050.95</v>
      </c>
      <c r="G282" s="2">
        <v>1.04E-2</v>
      </c>
    </row>
    <row r="283" spans="1:7" x14ac:dyDescent="0.4">
      <c r="A283" s="1">
        <v>45702</v>
      </c>
      <c r="B283" s="3">
        <v>6114.63</v>
      </c>
      <c r="C283" s="3">
        <v>6115.52</v>
      </c>
      <c r="D283" s="3">
        <v>6127.47</v>
      </c>
      <c r="E283" s="3">
        <v>6107.62</v>
      </c>
      <c r="G283" s="2">
        <v>-1E-4</v>
      </c>
    </row>
    <row r="284" spans="1:7" x14ac:dyDescent="0.4">
      <c r="A284" s="1">
        <v>45706</v>
      </c>
      <c r="B284" s="3">
        <v>6129.58</v>
      </c>
      <c r="C284" s="3">
        <v>6121.6</v>
      </c>
      <c r="D284" s="3">
        <v>6129.63</v>
      </c>
      <c r="E284" s="3">
        <v>6099.51</v>
      </c>
      <c r="G284" s="2">
        <v>2.3999999999999998E-3</v>
      </c>
    </row>
    <row r="285" spans="1:7" x14ac:dyDescent="0.4">
      <c r="A285" s="1">
        <v>45707</v>
      </c>
      <c r="B285" s="3">
        <v>6144.15</v>
      </c>
      <c r="C285" s="3">
        <v>6117.76</v>
      </c>
      <c r="D285" s="3">
        <v>6147.43</v>
      </c>
      <c r="E285" s="3">
        <v>6111.15</v>
      </c>
      <c r="G285" s="2">
        <v>2.3999999999999998E-3</v>
      </c>
    </row>
    <row r="286" spans="1:7" x14ac:dyDescent="0.4">
      <c r="A286" s="1">
        <v>45708</v>
      </c>
      <c r="B286" s="3">
        <v>6117.52</v>
      </c>
      <c r="C286" s="3">
        <v>6134.5</v>
      </c>
      <c r="D286" s="3">
        <v>6134.5</v>
      </c>
      <c r="E286" s="3">
        <v>6084.59</v>
      </c>
      <c r="G286" s="2">
        <v>-4.3E-3</v>
      </c>
    </row>
    <row r="287" spans="1:7" x14ac:dyDescent="0.4">
      <c r="A287" s="1">
        <v>45709</v>
      </c>
      <c r="B287" s="3">
        <v>6013.13</v>
      </c>
      <c r="C287" s="3">
        <v>6114.1</v>
      </c>
      <c r="D287" s="3">
        <v>6114.82</v>
      </c>
      <c r="E287" s="3">
        <v>6008.56</v>
      </c>
      <c r="G287" s="2">
        <v>-1.7100000000000001E-2</v>
      </c>
    </row>
    <row r="288" spans="1:7" x14ac:dyDescent="0.4">
      <c r="A288" s="1">
        <v>45712</v>
      </c>
      <c r="B288" s="3">
        <v>5983.25</v>
      </c>
      <c r="C288" s="3">
        <v>6026.69</v>
      </c>
      <c r="D288" s="3">
        <v>6043.65</v>
      </c>
      <c r="E288" s="3">
        <v>5977.83</v>
      </c>
      <c r="G288" s="2">
        <v>-5.0000000000000001E-3</v>
      </c>
    </row>
    <row r="289" spans="1:7" x14ac:dyDescent="0.4">
      <c r="A289" s="1">
        <v>45713</v>
      </c>
      <c r="B289" s="3">
        <v>5955.25</v>
      </c>
      <c r="C289" s="3">
        <v>5982.73</v>
      </c>
      <c r="D289" s="3">
        <v>5992.65</v>
      </c>
      <c r="E289" s="3">
        <v>5908.49</v>
      </c>
      <c r="G289" s="2">
        <v>-4.7000000000000002E-3</v>
      </c>
    </row>
    <row r="290" spans="1:7" x14ac:dyDescent="0.4">
      <c r="A290" s="1">
        <v>45714</v>
      </c>
      <c r="B290" s="3">
        <v>5956.06</v>
      </c>
      <c r="C290" s="3">
        <v>5970.87</v>
      </c>
      <c r="D290" s="3">
        <v>6009.82</v>
      </c>
      <c r="E290" s="3">
        <v>5932.69</v>
      </c>
      <c r="G290" s="2">
        <v>1E-4</v>
      </c>
    </row>
    <row r="291" spans="1:7" x14ac:dyDescent="0.4">
      <c r="A291" s="1">
        <v>45715</v>
      </c>
      <c r="B291" s="3">
        <v>5861.57</v>
      </c>
      <c r="C291" s="3">
        <v>5981.88</v>
      </c>
      <c r="D291" s="3">
        <v>5993.69</v>
      </c>
      <c r="E291" s="3">
        <v>5858.78</v>
      </c>
      <c r="G291" s="2">
        <v>-1.5900000000000001E-2</v>
      </c>
    </row>
    <row r="292" spans="1:7" x14ac:dyDescent="0.4">
      <c r="A292" s="1">
        <v>45716</v>
      </c>
      <c r="B292" s="3">
        <v>5954.5</v>
      </c>
      <c r="C292" s="3">
        <v>5856.74</v>
      </c>
      <c r="D292" s="3">
        <v>5959.4</v>
      </c>
      <c r="E292" s="3">
        <v>5837.66</v>
      </c>
      <c r="G292" s="2">
        <v>1.5900000000000001E-2</v>
      </c>
    </row>
    <row r="293" spans="1:7" x14ac:dyDescent="0.4">
      <c r="A293" s="1">
        <v>45719</v>
      </c>
      <c r="B293" s="3">
        <v>5849.72</v>
      </c>
      <c r="C293" s="3">
        <v>5968.33</v>
      </c>
      <c r="D293" s="3">
        <v>5986.09</v>
      </c>
      <c r="E293" s="3">
        <v>5810.91</v>
      </c>
      <c r="G293" s="2">
        <v>-1.7600000000000001E-2</v>
      </c>
    </row>
    <row r="294" spans="1:7" x14ac:dyDescent="0.4">
      <c r="A294" s="1">
        <v>45720</v>
      </c>
      <c r="B294" s="3">
        <v>5778.15</v>
      </c>
      <c r="C294" s="3">
        <v>5811.98</v>
      </c>
      <c r="D294" s="3">
        <v>5865.08</v>
      </c>
      <c r="E294" s="3">
        <v>5732.59</v>
      </c>
      <c r="G294" s="2">
        <v>-1.2200000000000001E-2</v>
      </c>
    </row>
    <row r="295" spans="1:7" x14ac:dyDescent="0.4">
      <c r="A295" s="1">
        <v>45721</v>
      </c>
      <c r="B295" s="3">
        <v>5842.63</v>
      </c>
      <c r="C295" s="3">
        <v>5781.36</v>
      </c>
      <c r="D295" s="3">
        <v>5860.59</v>
      </c>
      <c r="E295" s="3">
        <v>5742.35</v>
      </c>
      <c r="G295" s="2">
        <v>1.12E-2</v>
      </c>
    </row>
    <row r="296" spans="1:7" x14ac:dyDescent="0.4">
      <c r="A296" s="1">
        <v>45722</v>
      </c>
      <c r="B296" s="3">
        <v>5738.52</v>
      </c>
      <c r="C296" s="3">
        <v>5785.87</v>
      </c>
      <c r="D296" s="3">
        <v>5812.08</v>
      </c>
      <c r="E296" s="3">
        <v>5711.64</v>
      </c>
      <c r="G296" s="2">
        <v>-1.78E-2</v>
      </c>
    </row>
    <row r="297" spans="1:7" x14ac:dyDescent="0.4">
      <c r="A297" s="1">
        <v>45723</v>
      </c>
      <c r="B297" s="3">
        <v>5770.2</v>
      </c>
      <c r="C297" s="3">
        <v>5726.01</v>
      </c>
      <c r="D297" s="3">
        <v>5783.01</v>
      </c>
      <c r="E297" s="3">
        <v>5666.29</v>
      </c>
      <c r="G297" s="2">
        <v>5.4999999999999997E-3</v>
      </c>
    </row>
    <row r="298" spans="1:7" x14ac:dyDescent="0.4">
      <c r="A298" s="1">
        <v>45726</v>
      </c>
      <c r="B298" s="3">
        <v>5614.56</v>
      </c>
      <c r="C298" s="3">
        <v>5705.37</v>
      </c>
      <c r="D298" s="3">
        <v>5705.37</v>
      </c>
      <c r="E298" s="3">
        <v>5564.02</v>
      </c>
      <c r="G298" s="2">
        <v>-2.7E-2</v>
      </c>
    </row>
    <row r="299" spans="1:7" x14ac:dyDescent="0.4">
      <c r="A299" s="1">
        <v>45727</v>
      </c>
      <c r="B299" s="3">
        <v>5572.07</v>
      </c>
      <c r="C299" s="3">
        <v>5603.65</v>
      </c>
      <c r="D299" s="3">
        <v>5636.3</v>
      </c>
      <c r="E299" s="3">
        <v>5528.41</v>
      </c>
      <c r="G299" s="2">
        <v>-7.6E-3</v>
      </c>
    </row>
    <row r="300" spans="1:7" x14ac:dyDescent="0.4">
      <c r="A300" s="1">
        <v>45728</v>
      </c>
      <c r="B300" s="3">
        <v>5599.3</v>
      </c>
      <c r="C300" s="3">
        <v>5624.84</v>
      </c>
      <c r="D300" s="3">
        <v>5642.19</v>
      </c>
      <c r="E300" s="3">
        <v>5546.09</v>
      </c>
      <c r="G300" s="2">
        <v>4.8999999999999998E-3</v>
      </c>
    </row>
    <row r="301" spans="1:7" x14ac:dyDescent="0.4">
      <c r="A301" s="1">
        <v>45729</v>
      </c>
      <c r="B301" s="3">
        <v>5521.52</v>
      </c>
      <c r="C301" s="3">
        <v>5594.45</v>
      </c>
      <c r="D301" s="3">
        <v>5597.78</v>
      </c>
      <c r="E301" s="3">
        <v>5504.65</v>
      </c>
      <c r="G301" s="2">
        <v>-1.3899999999999999E-2</v>
      </c>
    </row>
    <row r="302" spans="1:7" x14ac:dyDescent="0.4">
      <c r="A302" s="1">
        <v>45730</v>
      </c>
      <c r="B302" s="3">
        <v>5638.94</v>
      </c>
      <c r="C302" s="3">
        <v>5563.85</v>
      </c>
      <c r="D302" s="3">
        <v>5645.27</v>
      </c>
      <c r="E302" s="3">
        <v>5563.85</v>
      </c>
      <c r="G302" s="2">
        <v>2.1299999999999999E-2</v>
      </c>
    </row>
    <row r="303" spans="1:7" x14ac:dyDescent="0.4">
      <c r="A303" s="1">
        <v>45733</v>
      </c>
      <c r="B303" s="3">
        <v>5675.12</v>
      </c>
      <c r="C303" s="3">
        <v>5635.6</v>
      </c>
      <c r="D303" s="3">
        <v>5703.52</v>
      </c>
      <c r="E303" s="3">
        <v>5631.12</v>
      </c>
      <c r="G303" s="2">
        <v>6.4000000000000003E-3</v>
      </c>
    </row>
    <row r="304" spans="1:7" x14ac:dyDescent="0.4">
      <c r="A304" s="1">
        <v>45734</v>
      </c>
      <c r="B304" s="3">
        <v>5614.66</v>
      </c>
      <c r="C304" s="3">
        <v>5654.53</v>
      </c>
      <c r="D304" s="3">
        <v>5654.53</v>
      </c>
      <c r="E304" s="3">
        <v>5597.76</v>
      </c>
      <c r="G304" s="2">
        <v>-1.0699999999999999E-2</v>
      </c>
    </row>
    <row r="305" spans="1:7" x14ac:dyDescent="0.4">
      <c r="A305" s="1">
        <v>45735</v>
      </c>
      <c r="B305" s="3">
        <v>5675.29</v>
      </c>
      <c r="C305" s="3">
        <v>5632.37</v>
      </c>
      <c r="D305" s="3">
        <v>5715.33</v>
      </c>
      <c r="E305" s="3">
        <v>5622.2</v>
      </c>
      <c r="G305" s="2">
        <v>1.0800000000000001E-2</v>
      </c>
    </row>
    <row r="306" spans="1:7" x14ac:dyDescent="0.4">
      <c r="A306" s="1">
        <v>45736</v>
      </c>
      <c r="B306" s="3">
        <v>5662.89</v>
      </c>
      <c r="C306" s="3">
        <v>5646.92</v>
      </c>
      <c r="D306" s="3">
        <v>5711.15</v>
      </c>
      <c r="E306" s="3">
        <v>5632.33</v>
      </c>
      <c r="G306" s="2">
        <v>-2.2000000000000001E-3</v>
      </c>
    </row>
    <row r="307" spans="1:7" x14ac:dyDescent="0.4">
      <c r="A307" s="1">
        <v>45737</v>
      </c>
      <c r="B307" s="3">
        <v>5667.56</v>
      </c>
      <c r="C307" s="3">
        <v>5630.73</v>
      </c>
      <c r="D307" s="3">
        <v>5670.84</v>
      </c>
      <c r="E307" s="3">
        <v>5603.1</v>
      </c>
      <c r="G307" s="2">
        <v>8.0000000000000004E-4</v>
      </c>
    </row>
    <row r="308" spans="1:7" x14ac:dyDescent="0.4">
      <c r="A308" s="1">
        <v>45740</v>
      </c>
      <c r="B308" s="3">
        <v>5767.57</v>
      </c>
      <c r="C308" s="3">
        <v>5718.08</v>
      </c>
      <c r="D308" s="3">
        <v>5775.14</v>
      </c>
      <c r="E308" s="3">
        <v>5718.08</v>
      </c>
      <c r="G308" s="2">
        <v>1.7600000000000001E-2</v>
      </c>
    </row>
    <row r="309" spans="1:7" x14ac:dyDescent="0.4">
      <c r="A309" s="1">
        <v>45741</v>
      </c>
      <c r="B309" s="3">
        <v>5776.65</v>
      </c>
      <c r="C309" s="3">
        <v>5775.96</v>
      </c>
      <c r="D309" s="3">
        <v>5786.95</v>
      </c>
      <c r="E309" s="3">
        <v>5760.42</v>
      </c>
      <c r="G309" s="2">
        <v>1.6000000000000001E-3</v>
      </c>
    </row>
    <row r="310" spans="1:7" x14ac:dyDescent="0.4">
      <c r="A310" s="1">
        <v>45742</v>
      </c>
      <c r="B310" s="3">
        <v>5712.2</v>
      </c>
      <c r="C310" s="3">
        <v>5771.66</v>
      </c>
      <c r="D310" s="3">
        <v>5783.62</v>
      </c>
      <c r="E310" s="3">
        <v>5694.41</v>
      </c>
      <c r="G310" s="2">
        <v>-1.12E-2</v>
      </c>
    </row>
    <row r="311" spans="1:7" x14ac:dyDescent="0.4">
      <c r="A311" s="1">
        <v>45743</v>
      </c>
      <c r="B311" s="3">
        <v>5693.31</v>
      </c>
      <c r="C311" s="3">
        <v>5695.64</v>
      </c>
      <c r="D311" s="3">
        <v>5732.28</v>
      </c>
      <c r="E311" s="3">
        <v>5670.94</v>
      </c>
      <c r="G311" s="2">
        <v>-3.3E-3</v>
      </c>
    </row>
    <row r="312" spans="1:7" x14ac:dyDescent="0.4">
      <c r="A312" s="1">
        <v>45744</v>
      </c>
      <c r="B312" s="3">
        <v>5580.94</v>
      </c>
      <c r="C312" s="3">
        <v>5679.2</v>
      </c>
      <c r="D312" s="3">
        <v>5685.89</v>
      </c>
      <c r="E312" s="3">
        <v>5572.42</v>
      </c>
      <c r="G312" s="2">
        <v>-1.9699999999999999E-2</v>
      </c>
    </row>
    <row r="313" spans="1:7" x14ac:dyDescent="0.4">
      <c r="A313" s="1">
        <v>45747</v>
      </c>
      <c r="B313" s="3">
        <v>5611.85</v>
      </c>
      <c r="C313" s="3">
        <v>5527.91</v>
      </c>
      <c r="D313" s="3">
        <v>5627.56</v>
      </c>
      <c r="E313" s="3">
        <v>5488.73</v>
      </c>
      <c r="G313" s="2">
        <v>5.4999999999999997E-3</v>
      </c>
    </row>
    <row r="314" spans="1:7" x14ac:dyDescent="0.4">
      <c r="A314" s="1">
        <v>45748</v>
      </c>
      <c r="B314" s="3">
        <v>5633.07</v>
      </c>
      <c r="C314" s="3">
        <v>5597.53</v>
      </c>
      <c r="D314" s="3">
        <v>5650.57</v>
      </c>
      <c r="E314" s="3">
        <v>5558.52</v>
      </c>
      <c r="G314" s="2">
        <v>3.8E-3</v>
      </c>
    </row>
    <row r="315" spans="1:7" x14ac:dyDescent="0.4">
      <c r="A315" s="1">
        <v>45749</v>
      </c>
      <c r="B315" s="3">
        <v>5670.97</v>
      </c>
      <c r="C315" s="3">
        <v>5580.76</v>
      </c>
      <c r="D315" s="3">
        <v>5695.31</v>
      </c>
      <c r="E315" s="3">
        <v>5571.48</v>
      </c>
      <c r="G315" s="2">
        <v>6.7000000000000002E-3</v>
      </c>
    </row>
    <row r="316" spans="1:7" x14ac:dyDescent="0.4">
      <c r="A316" s="1">
        <v>45750</v>
      </c>
      <c r="B316" s="3">
        <v>5396.52</v>
      </c>
      <c r="C316" s="3">
        <v>5492.74</v>
      </c>
      <c r="D316" s="3">
        <v>5499.53</v>
      </c>
      <c r="E316" s="3">
        <v>5390.83</v>
      </c>
      <c r="G316" s="2">
        <v>-4.8399999999999999E-2</v>
      </c>
    </row>
    <row r="317" spans="1:7" x14ac:dyDescent="0.4">
      <c r="A317" s="1">
        <v>45751</v>
      </c>
      <c r="B317" s="3">
        <v>5074.08</v>
      </c>
      <c r="C317" s="3">
        <v>5292.14</v>
      </c>
      <c r="D317" s="3">
        <v>5292.14</v>
      </c>
      <c r="E317" s="3">
        <v>5069.8999999999996</v>
      </c>
      <c r="G317" s="2">
        <v>-5.9700000000000003E-2</v>
      </c>
    </row>
    <row r="318" spans="1:7" x14ac:dyDescent="0.4">
      <c r="A318" s="1">
        <v>45754</v>
      </c>
      <c r="B318" s="3">
        <v>5062.25</v>
      </c>
      <c r="C318" s="3">
        <v>4953.79</v>
      </c>
      <c r="D318" s="3">
        <v>5246.57</v>
      </c>
      <c r="E318" s="3">
        <v>4835.04</v>
      </c>
      <c r="G318" s="2">
        <v>-2.3E-3</v>
      </c>
    </row>
    <row r="319" spans="1:7" x14ac:dyDescent="0.4">
      <c r="A319" s="1">
        <v>45755</v>
      </c>
      <c r="B319" s="3">
        <v>4982.7700000000004</v>
      </c>
      <c r="C319" s="3">
        <v>5193.57</v>
      </c>
      <c r="D319" s="3">
        <v>5267.47</v>
      </c>
      <c r="E319" s="3">
        <v>4910.42</v>
      </c>
      <c r="G319" s="2">
        <v>-1.5699999999999999E-2</v>
      </c>
    </row>
    <row r="320" spans="1:7" x14ac:dyDescent="0.4">
      <c r="A320" s="1">
        <v>45756</v>
      </c>
      <c r="B320" s="3">
        <v>5456.9</v>
      </c>
      <c r="C320" s="3">
        <v>4965.28</v>
      </c>
      <c r="D320" s="3">
        <v>5481.34</v>
      </c>
      <c r="E320" s="3">
        <v>4948.43</v>
      </c>
      <c r="G320" s="2">
        <v>9.5200000000000007E-2</v>
      </c>
    </row>
    <row r="321" spans="1:7" x14ac:dyDescent="0.4">
      <c r="A321" s="1">
        <v>45757</v>
      </c>
      <c r="B321" s="3">
        <v>5268.05</v>
      </c>
      <c r="C321" s="3">
        <v>5353.15</v>
      </c>
      <c r="D321" s="3">
        <v>5353.15</v>
      </c>
      <c r="E321" s="3">
        <v>5115.2700000000004</v>
      </c>
      <c r="G321" s="2">
        <v>-3.4599999999999999E-2</v>
      </c>
    </row>
    <row r="322" spans="1:7" x14ac:dyDescent="0.4">
      <c r="A322" s="1">
        <v>45758</v>
      </c>
      <c r="B322" s="3">
        <v>5363.36</v>
      </c>
      <c r="C322" s="3">
        <v>5255.56</v>
      </c>
      <c r="D322" s="3">
        <v>5381.46</v>
      </c>
      <c r="E322" s="3">
        <v>5220.7700000000004</v>
      </c>
      <c r="G322" s="2">
        <v>1.8100000000000002E-2</v>
      </c>
    </row>
    <row r="323" spans="1:7" x14ac:dyDescent="0.4">
      <c r="A323" s="1">
        <v>45761</v>
      </c>
      <c r="B323" s="3">
        <v>5405.97</v>
      </c>
      <c r="C323" s="3">
        <v>5441.96</v>
      </c>
      <c r="D323" s="3">
        <v>5459.46</v>
      </c>
      <c r="E323" s="3">
        <v>5358.02</v>
      </c>
      <c r="G323" s="2">
        <v>7.9000000000000008E-3</v>
      </c>
    </row>
    <row r="324" spans="1:7" x14ac:dyDescent="0.4">
      <c r="A324" s="1">
        <v>45762</v>
      </c>
      <c r="B324" s="3">
        <v>5396.63</v>
      </c>
      <c r="C324" s="3">
        <v>5411.99</v>
      </c>
      <c r="D324" s="3">
        <v>5450.41</v>
      </c>
      <c r="E324" s="3">
        <v>5386.44</v>
      </c>
      <c r="G324" s="2">
        <v>-1.6999999999999999E-3</v>
      </c>
    </row>
    <row r="325" spans="1:7" x14ac:dyDescent="0.4">
      <c r="A325" s="1">
        <v>45763</v>
      </c>
      <c r="B325" s="3">
        <v>5275.7</v>
      </c>
      <c r="C325" s="3">
        <v>5335.75</v>
      </c>
      <c r="D325" s="3">
        <v>5367.24</v>
      </c>
      <c r="E325" s="3">
        <v>5220.79</v>
      </c>
      <c r="G325" s="2">
        <v>-2.24E-2</v>
      </c>
    </row>
    <row r="326" spans="1:7" x14ac:dyDescent="0.4">
      <c r="A326" s="1">
        <v>45764</v>
      </c>
      <c r="B326" s="3">
        <v>5282.7</v>
      </c>
      <c r="C326" s="3">
        <v>5305.45</v>
      </c>
      <c r="D326" s="3">
        <v>5328.31</v>
      </c>
      <c r="E326" s="3">
        <v>5255.58</v>
      </c>
      <c r="G326" s="2">
        <v>1.2999999999999999E-3</v>
      </c>
    </row>
    <row r="327" spans="1:7" x14ac:dyDescent="0.4">
      <c r="A327" s="1">
        <v>45768</v>
      </c>
      <c r="B327" s="3">
        <v>5158.2</v>
      </c>
      <c r="C327" s="3">
        <v>5232.9399999999996</v>
      </c>
      <c r="D327" s="3">
        <v>5232.9399999999996</v>
      </c>
      <c r="E327" s="3">
        <v>5101.63</v>
      </c>
      <c r="G327" s="2">
        <v>-2.3599999999999999E-2</v>
      </c>
    </row>
    <row r="328" spans="1:7" x14ac:dyDescent="0.4">
      <c r="A328" s="1">
        <v>45769</v>
      </c>
      <c r="B328" s="3">
        <v>5287.76</v>
      </c>
      <c r="C328" s="3">
        <v>5207.67</v>
      </c>
      <c r="D328" s="3">
        <v>5309.61</v>
      </c>
      <c r="E328" s="3">
        <v>5207.67</v>
      </c>
      <c r="G328" s="2">
        <v>2.5100000000000001E-2</v>
      </c>
    </row>
    <row r="329" spans="1:7" x14ac:dyDescent="0.4">
      <c r="A329" s="1">
        <v>45770</v>
      </c>
      <c r="B329" s="3">
        <v>5375.86</v>
      </c>
      <c r="C329" s="3">
        <v>5395.92</v>
      </c>
      <c r="D329" s="3">
        <v>5469.69</v>
      </c>
      <c r="E329" s="3">
        <v>5356.17</v>
      </c>
      <c r="G329" s="2">
        <v>1.67E-2</v>
      </c>
    </row>
    <row r="330" spans="1:7" x14ac:dyDescent="0.4">
      <c r="A330" s="1">
        <v>45771</v>
      </c>
      <c r="B330" s="3">
        <v>5484.77</v>
      </c>
      <c r="C330" s="3">
        <v>5381.38</v>
      </c>
      <c r="D330" s="3">
        <v>5489.4</v>
      </c>
      <c r="E330" s="3">
        <v>5371.96</v>
      </c>
      <c r="G330" s="2">
        <v>2.0299999999999999E-2</v>
      </c>
    </row>
    <row r="331" spans="1:7" x14ac:dyDescent="0.4">
      <c r="A331" s="1">
        <v>45772</v>
      </c>
      <c r="B331" s="3">
        <v>5525.21</v>
      </c>
      <c r="C331" s="3">
        <v>5489.73</v>
      </c>
      <c r="D331" s="3">
        <v>5528.11</v>
      </c>
      <c r="E331" s="3">
        <v>5455.86</v>
      </c>
      <c r="G331" s="2">
        <v>7.4000000000000003E-3</v>
      </c>
    </row>
    <row r="332" spans="1:7" x14ac:dyDescent="0.4">
      <c r="A332" s="1">
        <v>45775</v>
      </c>
      <c r="B332" s="3">
        <v>5528.75</v>
      </c>
      <c r="C332" s="3">
        <v>5529.22</v>
      </c>
      <c r="D332" s="3">
        <v>5553.66</v>
      </c>
      <c r="E332" s="3">
        <v>5468.64</v>
      </c>
      <c r="G332" s="2">
        <v>5.9999999999999995E-4</v>
      </c>
    </row>
    <row r="333" spans="1:7" x14ac:dyDescent="0.4">
      <c r="A333" s="1">
        <v>45776</v>
      </c>
      <c r="B333" s="3">
        <v>5560.83</v>
      </c>
      <c r="C333" s="3">
        <v>5508.87</v>
      </c>
      <c r="D333" s="3">
        <v>5571.95</v>
      </c>
      <c r="E333" s="3">
        <v>5505.7</v>
      </c>
      <c r="G333" s="2">
        <v>5.7999999999999996E-3</v>
      </c>
    </row>
    <row r="334" spans="1:7" x14ac:dyDescent="0.4">
      <c r="A334" s="1">
        <v>45777</v>
      </c>
      <c r="B334" s="3">
        <v>5569.06</v>
      </c>
      <c r="C334" s="3">
        <v>5499.44</v>
      </c>
      <c r="D334" s="3">
        <v>5581.84</v>
      </c>
      <c r="E334" s="3">
        <v>5433.24</v>
      </c>
      <c r="G334" s="2">
        <v>1.5E-3</v>
      </c>
    </row>
    <row r="335" spans="1:7" x14ac:dyDescent="0.4">
      <c r="A335" s="1">
        <v>45778</v>
      </c>
      <c r="B335" s="3">
        <v>5604.14</v>
      </c>
      <c r="C335" s="3">
        <v>5625.14</v>
      </c>
      <c r="D335" s="3">
        <v>5658.91</v>
      </c>
      <c r="E335" s="3">
        <v>5597.35</v>
      </c>
      <c r="G335" s="2">
        <v>6.3E-3</v>
      </c>
    </row>
    <row r="336" spans="1:7" x14ac:dyDescent="0.4">
      <c r="A336" s="1">
        <v>45779</v>
      </c>
      <c r="B336" s="3">
        <v>5686.67</v>
      </c>
      <c r="C336" s="3">
        <v>5645.88</v>
      </c>
      <c r="D336" s="3">
        <v>5700.7</v>
      </c>
      <c r="E336" s="3">
        <v>5642.28</v>
      </c>
      <c r="G336" s="2">
        <v>1.47E-2</v>
      </c>
    </row>
    <row r="337" spans="1:7" x14ac:dyDescent="0.4">
      <c r="A337" s="1">
        <v>45782</v>
      </c>
      <c r="B337" s="3">
        <v>5650.38</v>
      </c>
      <c r="C337" s="3">
        <v>5655.32</v>
      </c>
      <c r="D337" s="3">
        <v>5683.38</v>
      </c>
      <c r="E337" s="3">
        <v>5634.48</v>
      </c>
      <c r="G337" s="2">
        <v>-6.4000000000000003E-3</v>
      </c>
    </row>
    <row r="338" spans="1:7" x14ac:dyDescent="0.4">
      <c r="A338" s="1">
        <v>45783</v>
      </c>
      <c r="B338" s="5">
        <v>5606.84</v>
      </c>
      <c r="C338" s="6">
        <v>5605.87</v>
      </c>
      <c r="D338" s="6">
        <v>5649.58</v>
      </c>
      <c r="E338" s="6">
        <v>5586.04</v>
      </c>
      <c r="F338" s="7"/>
      <c r="G338" s="8">
        <v>-7.7000000000000002E-3</v>
      </c>
    </row>
    <row r="339" spans="1:7" x14ac:dyDescent="0.4">
      <c r="A339" s="1">
        <v>45784</v>
      </c>
      <c r="B339" s="15">
        <v>5629.67</v>
      </c>
      <c r="C339" s="16">
        <v>5617.88</v>
      </c>
      <c r="D339" s="16">
        <v>5653.78</v>
      </c>
      <c r="E339" s="16">
        <v>5577.76</v>
      </c>
      <c r="F339" s="13"/>
      <c r="G339" s="17">
        <v>4.1000000000000003E-3</v>
      </c>
    </row>
    <row r="340" spans="1:7" x14ac:dyDescent="0.4">
      <c r="A340" s="1">
        <v>45785</v>
      </c>
      <c r="B340" s="18">
        <v>5663.95</v>
      </c>
      <c r="C340" s="6">
        <v>5663.6</v>
      </c>
      <c r="D340" s="6">
        <v>5720.1</v>
      </c>
      <c r="E340" s="6">
        <v>5635.38</v>
      </c>
      <c r="F340" s="7"/>
      <c r="G340" s="10">
        <v>5.7999999999999996E-3</v>
      </c>
    </row>
    <row r="341" spans="1:7" x14ac:dyDescent="0.4">
      <c r="A341" s="1">
        <v>45786</v>
      </c>
      <c r="B341" s="5">
        <v>5659.91</v>
      </c>
      <c r="C341" s="6">
        <v>5679.65</v>
      </c>
      <c r="D341" s="6">
        <v>5691.69</v>
      </c>
      <c r="E341" s="6">
        <v>5644.15</v>
      </c>
      <c r="F341" s="7"/>
      <c r="G341" s="8">
        <v>-6.9999999999999999E-4</v>
      </c>
    </row>
    <row r="342" spans="1:7" x14ac:dyDescent="0.4">
      <c r="A342" s="1">
        <v>45789</v>
      </c>
      <c r="B342" s="15">
        <v>5834.11</v>
      </c>
      <c r="C342" s="16">
        <v>5833.53</v>
      </c>
      <c r="D342" s="16">
        <v>5841.62</v>
      </c>
      <c r="E342" s="16">
        <v>5786.39</v>
      </c>
      <c r="F342" s="13"/>
      <c r="G342" s="17">
        <v>3.0800000000000001E-2</v>
      </c>
    </row>
    <row r="343" spans="1:7" x14ac:dyDescent="0.4">
      <c r="A343" s="1">
        <v>45790</v>
      </c>
      <c r="B343" s="15">
        <v>5901.18</v>
      </c>
      <c r="C343" s="16">
        <v>5848.58</v>
      </c>
      <c r="D343" s="16">
        <v>5906.88</v>
      </c>
      <c r="E343" s="16">
        <v>5844.45</v>
      </c>
      <c r="F343" s="13"/>
      <c r="G343" s="17">
        <v>9.7999999999999997E-3</v>
      </c>
    </row>
    <row r="344" spans="1:7" x14ac:dyDescent="0.4">
      <c r="A344" s="1">
        <v>45791</v>
      </c>
      <c r="B344" s="15">
        <v>5892.58</v>
      </c>
      <c r="C344" s="16">
        <v>5896.74</v>
      </c>
      <c r="D344" s="16">
        <v>5906.55</v>
      </c>
      <c r="E344" s="16">
        <v>5872.11</v>
      </c>
      <c r="F344" s="13"/>
      <c r="G344" s="17">
        <v>1E-3</v>
      </c>
    </row>
    <row r="345" spans="1:7" x14ac:dyDescent="0.4">
      <c r="A345" s="1">
        <v>45792</v>
      </c>
      <c r="B345" s="15">
        <v>5916.93</v>
      </c>
      <c r="C345" s="16">
        <v>5869.82</v>
      </c>
      <c r="D345" s="16">
        <v>5924.21</v>
      </c>
      <c r="E345" s="16">
        <v>5865.16</v>
      </c>
      <c r="F345" s="13"/>
    </row>
    <row r="346" spans="1:7" x14ac:dyDescent="0.4">
      <c r="A346" s="1">
        <v>45793</v>
      </c>
      <c r="B346" s="15">
        <v>5958.38</v>
      </c>
      <c r="C346" s="16">
        <v>5929.09</v>
      </c>
      <c r="D346" s="16">
        <v>5958.47</v>
      </c>
      <c r="E346" s="16">
        <v>5907.36</v>
      </c>
      <c r="F346" s="13"/>
    </row>
    <row r="347" spans="1:7" x14ac:dyDescent="0.4">
      <c r="A347" s="1">
        <v>45796</v>
      </c>
      <c r="B347" s="15">
        <v>5963.59</v>
      </c>
      <c r="C347" s="16">
        <v>5902.88</v>
      </c>
      <c r="D347" s="16">
        <v>5968.61</v>
      </c>
      <c r="E347" s="16">
        <v>5895.69</v>
      </c>
      <c r="F347" s="13"/>
    </row>
    <row r="348" spans="1:7" x14ac:dyDescent="0.4">
      <c r="A348" s="1">
        <v>45797</v>
      </c>
      <c r="B348" s="24">
        <v>5940.46</v>
      </c>
      <c r="C348" s="16">
        <v>5944.66</v>
      </c>
      <c r="D348" s="16">
        <v>5953.06</v>
      </c>
      <c r="E348" s="16">
        <v>5909.26</v>
      </c>
      <c r="F348" s="13"/>
    </row>
    <row r="349" spans="1:7" x14ac:dyDescent="0.4">
      <c r="A349" s="1">
        <v>45798</v>
      </c>
      <c r="B349" s="24">
        <v>5849.47</v>
      </c>
      <c r="C349" s="16">
        <v>5896.83</v>
      </c>
      <c r="D349" s="16">
        <v>5938.72</v>
      </c>
      <c r="E349" s="16">
        <v>5830.67</v>
      </c>
      <c r="F349" s="13"/>
      <c r="G349" s="23"/>
    </row>
    <row r="350" spans="1:7" x14ac:dyDescent="0.4">
      <c r="A350" s="1">
        <v>45799</v>
      </c>
      <c r="B350" s="24">
        <v>5842.88</v>
      </c>
      <c r="C350" s="16">
        <v>5838.83</v>
      </c>
      <c r="D350" s="16">
        <v>5878.41</v>
      </c>
      <c r="E350" s="16">
        <v>5826.19</v>
      </c>
      <c r="F350" s="13"/>
      <c r="G350" s="14">
        <v>-2.9999999999999997E-4</v>
      </c>
    </row>
    <row r="351" spans="1:7" x14ac:dyDescent="0.4">
      <c r="A351" s="1">
        <v>45800</v>
      </c>
      <c r="B351" s="24">
        <v>5802.83</v>
      </c>
      <c r="C351" s="16">
        <v>5781.89</v>
      </c>
      <c r="D351" s="16">
        <v>5829.51</v>
      </c>
      <c r="E351" s="16">
        <v>5767.41</v>
      </c>
      <c r="F351" s="13"/>
    </row>
    <row r="352" spans="1:7" x14ac:dyDescent="0.4">
      <c r="A352" s="1">
        <v>45804</v>
      </c>
      <c r="B352" s="15">
        <v>5921.54</v>
      </c>
      <c r="C352" s="16">
        <v>5854.07</v>
      </c>
      <c r="D352" s="16">
        <v>5924.33</v>
      </c>
      <c r="E352" s="16">
        <v>5854.07</v>
      </c>
      <c r="F352" s="13"/>
    </row>
    <row r="353" spans="1:6" x14ac:dyDescent="0.4">
      <c r="A353" s="1">
        <v>45805</v>
      </c>
      <c r="B353" s="24">
        <v>5888.56</v>
      </c>
      <c r="C353" s="16">
        <v>5925.54</v>
      </c>
      <c r="D353" s="16">
        <v>5939.92</v>
      </c>
      <c r="E353" s="16">
        <v>5881.88</v>
      </c>
    </row>
    <row r="354" spans="1:6" x14ac:dyDescent="0.4">
      <c r="A354" s="1">
        <v>45806</v>
      </c>
      <c r="B354" s="15">
        <v>5912.17</v>
      </c>
      <c r="C354" s="16">
        <v>5939.96</v>
      </c>
      <c r="D354" s="16">
        <v>5943.13</v>
      </c>
      <c r="E354" s="16">
        <v>5873.8</v>
      </c>
      <c r="F354" s="13"/>
    </row>
    <row r="355" spans="1:6" x14ac:dyDescent="0.4">
      <c r="A355" s="1">
        <v>45807</v>
      </c>
      <c r="B355" s="24">
        <v>5911.69</v>
      </c>
      <c r="C355" s="16">
        <v>5903.67</v>
      </c>
      <c r="D355" s="16">
        <v>5922.14</v>
      </c>
      <c r="E355" s="16">
        <v>5843.66</v>
      </c>
      <c r="F355" s="13"/>
    </row>
    <row r="356" spans="1:6" x14ac:dyDescent="0.4">
      <c r="A356" s="1">
        <v>45810</v>
      </c>
      <c r="B356" s="15">
        <v>5935.94</v>
      </c>
      <c r="C356" s="16">
        <v>5896.68</v>
      </c>
      <c r="D356" s="16">
        <v>5937.19</v>
      </c>
      <c r="E356" s="16">
        <v>5861.43</v>
      </c>
      <c r="F356" s="13"/>
    </row>
    <row r="357" spans="1:6" x14ac:dyDescent="0.4">
      <c r="A357" s="1">
        <v>45811</v>
      </c>
      <c r="B357" s="15">
        <v>5970.38</v>
      </c>
      <c r="C357" s="16">
        <v>5938.56</v>
      </c>
      <c r="D357" s="16">
        <v>5981.35</v>
      </c>
      <c r="E357" s="16">
        <v>5929</v>
      </c>
      <c r="F357" s="13"/>
    </row>
    <row r="358" spans="1:6" x14ac:dyDescent="0.4">
      <c r="A358" s="1">
        <v>45812</v>
      </c>
      <c r="B358" s="15">
        <v>5970.81</v>
      </c>
      <c r="C358" s="16">
        <v>5978.94</v>
      </c>
      <c r="D358" s="16">
        <v>5990.48</v>
      </c>
      <c r="E358" s="16">
        <v>5966.11</v>
      </c>
      <c r="F358" s="13"/>
    </row>
    <row r="359" spans="1:6" x14ac:dyDescent="0.4">
      <c r="A359" s="1">
        <v>45813</v>
      </c>
      <c r="B359" s="24">
        <v>5939.3</v>
      </c>
      <c r="C359" s="16">
        <v>5985.67</v>
      </c>
      <c r="D359" s="16">
        <v>5999.7</v>
      </c>
      <c r="E359" s="16">
        <v>5921.2</v>
      </c>
      <c r="F359" s="13"/>
    </row>
    <row r="360" spans="1:6" x14ac:dyDescent="0.4">
      <c r="A360" s="1">
        <v>45814</v>
      </c>
      <c r="B360" s="15">
        <v>6000.36</v>
      </c>
      <c r="C360" s="16">
        <v>5987.06</v>
      </c>
      <c r="D360" s="16">
        <v>6016.87</v>
      </c>
      <c r="E360" s="16">
        <v>5978.63</v>
      </c>
      <c r="F360" s="13"/>
    </row>
    <row r="361" spans="1:6" x14ac:dyDescent="0.4">
      <c r="A361" s="1">
        <v>45817</v>
      </c>
      <c r="B361" s="15">
        <v>6005.88</v>
      </c>
      <c r="C361" s="16">
        <v>6004.63</v>
      </c>
      <c r="D361" s="16">
        <v>6021.31</v>
      </c>
      <c r="E361" s="16">
        <v>5994.18</v>
      </c>
      <c r="F361" s="13"/>
    </row>
    <row r="362" spans="1:6" x14ac:dyDescent="0.4">
      <c r="A362" s="1">
        <v>45818</v>
      </c>
      <c r="B362" s="18">
        <v>6040.16</v>
      </c>
      <c r="C362" s="6">
        <v>6009.94</v>
      </c>
      <c r="D362" s="6">
        <v>6043.42</v>
      </c>
      <c r="E362" s="6">
        <v>6000.58</v>
      </c>
    </row>
    <row r="363" spans="1:6" x14ac:dyDescent="0.4">
      <c r="A363" s="1">
        <v>45819</v>
      </c>
      <c r="B363" s="24">
        <v>6024.67</v>
      </c>
      <c r="C363" s="16">
        <v>6050.84</v>
      </c>
      <c r="D363" s="16">
        <v>6060.09</v>
      </c>
      <c r="E363" s="16">
        <v>6001.44</v>
      </c>
      <c r="F363" s="13"/>
    </row>
    <row r="364" spans="1:6" x14ac:dyDescent="0.4">
      <c r="A364" s="1">
        <v>45820</v>
      </c>
      <c r="B364" s="15">
        <v>6045.94</v>
      </c>
      <c r="C364" s="16">
        <v>6009.38</v>
      </c>
      <c r="D364" s="16">
        <v>6045.94</v>
      </c>
      <c r="E364" s="16">
        <v>6004.09</v>
      </c>
    </row>
    <row r="365" spans="1:6" x14ac:dyDescent="0.4">
      <c r="A365" s="1">
        <v>45821</v>
      </c>
      <c r="B365" s="24">
        <v>5976.97</v>
      </c>
      <c r="C365" s="16">
        <v>6000.56</v>
      </c>
      <c r="D365" s="16">
        <v>6026.16</v>
      </c>
      <c r="E365" s="16">
        <v>5963.21</v>
      </c>
      <c r="F365" s="13"/>
    </row>
    <row r="366" spans="1:6" x14ac:dyDescent="0.4">
      <c r="A366" s="1">
        <v>45824</v>
      </c>
      <c r="B366" s="15">
        <v>6033.11</v>
      </c>
      <c r="C366" s="16">
        <v>6004</v>
      </c>
      <c r="D366" s="16">
        <v>6050.83</v>
      </c>
      <c r="E366" s="16">
        <v>6004</v>
      </c>
      <c r="F366" s="13"/>
    </row>
    <row r="367" spans="1:6" x14ac:dyDescent="0.4">
      <c r="A367" s="1">
        <v>45825</v>
      </c>
      <c r="B367" s="24">
        <v>5982.72</v>
      </c>
      <c r="C367" s="16">
        <v>6012.15</v>
      </c>
      <c r="D367" s="16">
        <v>6023.25</v>
      </c>
      <c r="E367" s="16">
        <v>5974.8</v>
      </c>
      <c r="F367" s="13"/>
    </row>
    <row r="368" spans="1:6" x14ac:dyDescent="0.4">
      <c r="A368" s="1">
        <v>45826</v>
      </c>
      <c r="B368" s="24">
        <v>5980.86</v>
      </c>
      <c r="C368" s="16">
        <v>5987.93</v>
      </c>
      <c r="D368" s="16">
        <v>6018.25</v>
      </c>
      <c r="E368" s="16">
        <v>5971.89</v>
      </c>
      <c r="F368" s="13"/>
    </row>
    <row r="369" spans="1:6" x14ac:dyDescent="0.4">
      <c r="A369" s="1">
        <v>45828</v>
      </c>
      <c r="B369" s="24">
        <v>5967.82</v>
      </c>
      <c r="C369" s="16">
        <v>5999.67</v>
      </c>
      <c r="D369" s="16">
        <v>6018.2</v>
      </c>
      <c r="E369" s="16">
        <v>5952.56</v>
      </c>
      <c r="F369" s="13"/>
    </row>
    <row r="370" spans="1:6" x14ac:dyDescent="0.4">
      <c r="A370" s="1">
        <v>45831</v>
      </c>
      <c r="B370" s="15">
        <v>6025.19</v>
      </c>
      <c r="C370" s="16">
        <v>5969.67</v>
      </c>
      <c r="D370" s="16">
        <v>6028.77</v>
      </c>
      <c r="E370" s="16">
        <v>5943.23</v>
      </c>
      <c r="F370" s="13"/>
    </row>
    <row r="371" spans="1:6" x14ac:dyDescent="0.4">
      <c r="A371" s="1">
        <v>45832</v>
      </c>
      <c r="B371" s="15">
        <v>6092.23</v>
      </c>
      <c r="C371" s="16">
        <v>6061.21</v>
      </c>
      <c r="D371" s="16">
        <v>6101.76</v>
      </c>
      <c r="E371" s="16">
        <v>6059.25</v>
      </c>
      <c r="F371" s="13"/>
    </row>
    <row r="372" spans="1:6" x14ac:dyDescent="0.4">
      <c r="A372" s="1">
        <v>45833</v>
      </c>
      <c r="B372" s="15">
        <v>6093.86</v>
      </c>
      <c r="C372" s="16">
        <v>6103.13</v>
      </c>
      <c r="D372" s="16">
        <v>6108.47</v>
      </c>
      <c r="E372" s="16">
        <v>6079.89</v>
      </c>
      <c r="F372" s="13"/>
    </row>
    <row r="373" spans="1:6" x14ac:dyDescent="0.4">
      <c r="A373" s="1">
        <v>45834</v>
      </c>
      <c r="B373" s="15">
        <v>6141.02</v>
      </c>
      <c r="C373" s="16">
        <v>6112.09</v>
      </c>
      <c r="D373" s="16">
        <v>6146.52</v>
      </c>
      <c r="E373" s="16">
        <v>6107.27</v>
      </c>
      <c r="F373" s="13"/>
    </row>
    <row r="374" spans="1:6" x14ac:dyDescent="0.4">
      <c r="A374" s="1">
        <v>45835</v>
      </c>
      <c r="B374" s="15">
        <v>6173.13</v>
      </c>
      <c r="C374" s="16">
        <v>6150.7</v>
      </c>
      <c r="D374" s="16">
        <v>6187.68</v>
      </c>
      <c r="E374" s="16">
        <v>6132.35</v>
      </c>
      <c r="F374" s="13"/>
    </row>
    <row r="375" spans="1:6" x14ac:dyDescent="0.4">
      <c r="A375" s="1">
        <v>45838</v>
      </c>
      <c r="B375" s="15">
        <v>6204.35</v>
      </c>
      <c r="C375" s="16">
        <v>6197.13</v>
      </c>
      <c r="D375" s="16">
        <v>6215</v>
      </c>
      <c r="E375" s="16">
        <v>6174.23</v>
      </c>
      <c r="F375" s="13"/>
    </row>
    <row r="376" spans="1:6" x14ac:dyDescent="0.4">
      <c r="A376" s="1">
        <v>45839</v>
      </c>
      <c r="B376" s="5">
        <v>6197.24</v>
      </c>
      <c r="C376" s="6">
        <v>6184.75</v>
      </c>
      <c r="D376" s="6">
        <v>6211.2</v>
      </c>
      <c r="E376" s="6">
        <v>6178.11</v>
      </c>
    </row>
    <row r="377" spans="1:6" x14ac:dyDescent="0.4">
      <c r="A377" s="1">
        <v>45840</v>
      </c>
      <c r="B377" s="15">
        <v>6227.42</v>
      </c>
      <c r="C377" s="16">
        <v>6193.88</v>
      </c>
      <c r="D377" s="16">
        <v>6227.6</v>
      </c>
      <c r="E377" s="16">
        <v>6188.29</v>
      </c>
      <c r="F377" s="13"/>
    </row>
    <row r="378" spans="1:6" x14ac:dyDescent="0.4">
      <c r="A378" s="1">
        <v>45841</v>
      </c>
      <c r="B378" s="15">
        <v>6279.35</v>
      </c>
      <c r="C378" s="16">
        <v>6246.46</v>
      </c>
      <c r="D378" s="16">
        <v>6284.65</v>
      </c>
      <c r="E378" s="16">
        <v>6246.46</v>
      </c>
      <c r="F378" s="13"/>
    </row>
    <row r="379" spans="1:6" x14ac:dyDescent="0.4">
      <c r="A379" s="1">
        <v>45845</v>
      </c>
      <c r="B379" s="24">
        <v>6229.98</v>
      </c>
      <c r="C379" s="16">
        <v>6259.04</v>
      </c>
      <c r="D379" s="16">
        <v>6262.07</v>
      </c>
      <c r="E379" s="16">
        <v>6201</v>
      </c>
      <c r="F379" s="13"/>
    </row>
    <row r="380" spans="1:6" x14ac:dyDescent="0.4">
      <c r="A380" s="1">
        <v>45846</v>
      </c>
      <c r="B380" s="24">
        <v>6225.32</v>
      </c>
      <c r="C380" s="16">
        <v>6236.13</v>
      </c>
      <c r="D380" s="16">
        <v>6242.94</v>
      </c>
      <c r="E380" s="16">
        <v>6217.06</v>
      </c>
      <c r="F380" s="13"/>
    </row>
    <row r="381" spans="1:6" x14ac:dyDescent="0.4">
      <c r="A381" s="1">
        <v>45847</v>
      </c>
      <c r="B381" s="15">
        <v>6263.28</v>
      </c>
      <c r="C381" s="16">
        <v>6243.33</v>
      </c>
      <c r="D381" s="16">
        <v>6269.16</v>
      </c>
      <c r="E381" s="16">
        <v>6231.43</v>
      </c>
      <c r="F381" s="13"/>
    </row>
    <row r="382" spans="1:6" x14ac:dyDescent="0.4">
      <c r="A382" s="1">
        <v>45848</v>
      </c>
      <c r="B382" s="15">
        <v>6280.12</v>
      </c>
      <c r="C382" s="16">
        <v>6262.33</v>
      </c>
      <c r="D382" s="16">
        <v>6290.18</v>
      </c>
      <c r="E382" s="16">
        <v>6250.83</v>
      </c>
      <c r="F382" s="13"/>
    </row>
    <row r="383" spans="1:6" x14ac:dyDescent="0.4">
      <c r="A383" s="1">
        <v>45849</v>
      </c>
      <c r="B383" s="24">
        <v>6259.75</v>
      </c>
      <c r="C383" s="16">
        <v>6255.68</v>
      </c>
      <c r="D383" s="16">
        <v>6269.44</v>
      </c>
      <c r="E383" s="16">
        <v>6237.6</v>
      </c>
      <c r="F383" s="13"/>
    </row>
    <row r="384" spans="1:6" x14ac:dyDescent="0.4">
      <c r="A384" s="1">
        <v>45852</v>
      </c>
      <c r="B384" s="15">
        <v>6268.44</v>
      </c>
      <c r="C384" s="16">
        <v>6250</v>
      </c>
      <c r="D384" s="16">
        <v>6273.3</v>
      </c>
      <c r="E384" s="16">
        <v>6239</v>
      </c>
      <c r="F384" s="13"/>
    </row>
    <row r="385" spans="1:6" x14ac:dyDescent="0.4">
      <c r="A385" s="1">
        <v>45853</v>
      </c>
      <c r="B385" s="24">
        <v>6243.71</v>
      </c>
      <c r="C385" s="16">
        <v>6295.29</v>
      </c>
      <c r="D385" s="16">
        <v>6302.04</v>
      </c>
      <c r="E385" s="16">
        <v>6242.45</v>
      </c>
      <c r="F385" s="13"/>
    </row>
    <row r="386" spans="1:6" x14ac:dyDescent="0.4">
      <c r="A386" s="1">
        <v>45854</v>
      </c>
      <c r="B386" s="15">
        <v>6263.69</v>
      </c>
      <c r="C386" s="16">
        <v>6254.5</v>
      </c>
      <c r="D386" s="16">
        <v>6268.12</v>
      </c>
      <c r="E386" s="16">
        <v>6201.59</v>
      </c>
      <c r="F386" s="13"/>
    </row>
    <row r="387" spans="1:6" x14ac:dyDescent="0.4">
      <c r="A387" s="1">
        <v>45855</v>
      </c>
      <c r="B387" s="15">
        <v>6297.48</v>
      </c>
      <c r="C387" s="16">
        <v>6263.4</v>
      </c>
      <c r="D387" s="16">
        <v>6304.69</v>
      </c>
      <c r="E387" s="16">
        <v>6262.27</v>
      </c>
      <c r="F387" s="13"/>
    </row>
    <row r="388" spans="1:6" x14ac:dyDescent="0.4">
      <c r="A388" s="1">
        <v>45856</v>
      </c>
      <c r="B388" s="5">
        <v>6296.79</v>
      </c>
      <c r="C388" s="6">
        <v>6312.95</v>
      </c>
      <c r="D388" s="6">
        <v>6315.61</v>
      </c>
      <c r="E388" s="6">
        <v>6285.27</v>
      </c>
      <c r="F388" s="7"/>
    </row>
    <row r="389" spans="1:6" x14ac:dyDescent="0.4">
      <c r="A389" s="1">
        <v>45859</v>
      </c>
      <c r="B389" s="15">
        <v>6305.6</v>
      </c>
      <c r="C389" s="16">
        <v>6304.74</v>
      </c>
      <c r="D389" s="16">
        <v>6336.08</v>
      </c>
      <c r="E389" s="16">
        <v>6303.79</v>
      </c>
      <c r="F389" s="13"/>
    </row>
    <row r="390" spans="1:6" x14ac:dyDescent="0.4">
      <c r="A390" s="1">
        <v>45860</v>
      </c>
      <c r="B390" s="15">
        <v>6309.59</v>
      </c>
      <c r="C390" s="16">
        <v>6306.6</v>
      </c>
      <c r="D390" s="16">
        <v>6316.12</v>
      </c>
      <c r="E390" s="16">
        <v>6281.71</v>
      </c>
      <c r="F390" s="13"/>
    </row>
    <row r="391" spans="1:6" x14ac:dyDescent="0.4">
      <c r="A391" s="1">
        <v>45861</v>
      </c>
      <c r="B391" s="15">
        <v>6358.97</v>
      </c>
      <c r="C391" s="16">
        <v>6326.9</v>
      </c>
      <c r="D391" s="16">
        <v>6359.55</v>
      </c>
      <c r="E391" s="16">
        <v>6317.49</v>
      </c>
      <c r="F391" s="13"/>
    </row>
    <row r="392" spans="1:6" x14ac:dyDescent="0.4">
      <c r="A392" s="1">
        <v>45862</v>
      </c>
      <c r="B392" s="15">
        <v>6363.39</v>
      </c>
      <c r="C392" s="16">
        <v>6368.6</v>
      </c>
      <c r="D392" s="16">
        <v>6381.31</v>
      </c>
      <c r="E392" s="16">
        <v>6360.57</v>
      </c>
      <c r="F392" s="13"/>
    </row>
    <row r="393" spans="1:6" x14ac:dyDescent="0.4">
      <c r="A393" s="1">
        <v>45863</v>
      </c>
      <c r="B393" s="15">
        <v>6388.64</v>
      </c>
      <c r="C393" s="16">
        <v>6370.01</v>
      </c>
      <c r="D393" s="16">
        <v>6395.82</v>
      </c>
      <c r="E393" s="16">
        <v>6368.53</v>
      </c>
      <c r="F393" s="13"/>
    </row>
    <row r="394" spans="1:6" x14ac:dyDescent="0.4">
      <c r="A394" s="1">
        <v>45867</v>
      </c>
      <c r="B394" s="24">
        <v>6370.89</v>
      </c>
      <c r="C394" s="16">
        <v>6405.62</v>
      </c>
      <c r="D394" s="16">
        <v>6409.26</v>
      </c>
      <c r="E394" s="16">
        <v>6363.92</v>
      </c>
      <c r="F394" s="13"/>
    </row>
    <row r="395" spans="1:6" x14ac:dyDescent="0.4">
      <c r="A395" s="1">
        <v>45868</v>
      </c>
      <c r="B395" s="24">
        <v>6362.95</v>
      </c>
      <c r="C395" s="16">
        <v>6381.23</v>
      </c>
      <c r="D395" s="16">
        <v>6396.54</v>
      </c>
      <c r="E395" s="16">
        <v>6336.38</v>
      </c>
      <c r="F395" s="13"/>
    </row>
    <row r="396" spans="1:6" x14ac:dyDescent="0.4">
      <c r="A396" s="1">
        <v>45869</v>
      </c>
      <c r="B396" s="5">
        <v>6340.85</v>
      </c>
      <c r="C396" s="6">
        <v>6416.91</v>
      </c>
      <c r="D396" s="6">
        <v>6427.02</v>
      </c>
      <c r="E396" s="6">
        <v>6327.22</v>
      </c>
      <c r="F396" s="7"/>
    </row>
    <row r="397" spans="1:6" x14ac:dyDescent="0.4">
      <c r="A397" s="1">
        <v>45870</v>
      </c>
      <c r="B397" s="24">
        <v>6238.01</v>
      </c>
      <c r="C397" s="16">
        <v>6287.28</v>
      </c>
      <c r="D397" s="16">
        <v>6287.28</v>
      </c>
      <c r="E397" s="16">
        <v>6212.69</v>
      </c>
      <c r="F397" s="13"/>
    </row>
    <row r="398" spans="1:6" x14ac:dyDescent="0.4">
      <c r="A398" s="1">
        <v>45873</v>
      </c>
      <c r="B398" s="15">
        <v>6329.94</v>
      </c>
      <c r="C398" s="16">
        <v>6271.71</v>
      </c>
      <c r="D398" s="16">
        <v>6330.69</v>
      </c>
      <c r="E398" s="16">
        <v>6271.71</v>
      </c>
      <c r="F398" s="13"/>
    </row>
    <row r="399" spans="1:6" x14ac:dyDescent="0.4">
      <c r="A399" s="1">
        <v>45874</v>
      </c>
      <c r="B399" s="24">
        <v>6299.19</v>
      </c>
      <c r="C399" s="16">
        <v>6336.63</v>
      </c>
      <c r="D399" s="16">
        <v>6346</v>
      </c>
      <c r="E399" s="16">
        <v>6289.37</v>
      </c>
      <c r="F399" s="13"/>
    </row>
    <row r="400" spans="1:6" x14ac:dyDescent="0.4">
      <c r="A400" s="1">
        <v>45875</v>
      </c>
      <c r="B400" s="15">
        <v>6345.08</v>
      </c>
      <c r="C400" s="16">
        <v>6309.3</v>
      </c>
      <c r="D400" s="16">
        <v>6352.83</v>
      </c>
      <c r="E400" s="16">
        <v>6301.11</v>
      </c>
      <c r="F400" s="13"/>
    </row>
    <row r="401" spans="1:6" x14ac:dyDescent="0.4">
      <c r="A401" s="1">
        <v>45876</v>
      </c>
      <c r="B401" s="24">
        <v>6340</v>
      </c>
      <c r="C401" s="16">
        <v>6374.32</v>
      </c>
      <c r="D401" s="16">
        <v>6389.71</v>
      </c>
      <c r="E401" s="16">
        <v>6310.32</v>
      </c>
      <c r="F401" s="13"/>
    </row>
    <row r="402" spans="1:6" x14ac:dyDescent="0.4">
      <c r="A402" s="1">
        <v>45877</v>
      </c>
      <c r="B402" s="15">
        <v>6389.47</v>
      </c>
      <c r="C402" s="16">
        <v>6355.22</v>
      </c>
      <c r="D402" s="16">
        <v>6395.16</v>
      </c>
      <c r="E402" s="16">
        <v>6355.22</v>
      </c>
      <c r="F402" s="13"/>
    </row>
    <row r="403" spans="1:6" x14ac:dyDescent="0.4">
      <c r="A403" s="1">
        <v>45880</v>
      </c>
      <c r="B403" s="24">
        <v>6373.51</v>
      </c>
      <c r="C403" s="16">
        <v>6389.67</v>
      </c>
      <c r="D403" s="16">
        <v>6407.25</v>
      </c>
      <c r="E403" s="16">
        <v>6364.06</v>
      </c>
      <c r="F403" s="13"/>
    </row>
    <row r="404" spans="1:6" x14ac:dyDescent="0.4">
      <c r="A404" s="1">
        <v>45881</v>
      </c>
      <c r="B404" s="15">
        <v>6445.82</v>
      </c>
      <c r="C404" s="16">
        <v>6395.17</v>
      </c>
      <c r="D404" s="16">
        <v>6446.55</v>
      </c>
      <c r="E404" s="16">
        <v>6385.76</v>
      </c>
      <c r="F404" s="13"/>
    </row>
    <row r="405" spans="1:6" x14ac:dyDescent="0.4">
      <c r="A405" s="1">
        <v>45882</v>
      </c>
      <c r="B405" s="15">
        <v>6466.58</v>
      </c>
      <c r="C405" s="16">
        <v>6462.67</v>
      </c>
      <c r="D405" s="16">
        <v>6480.28</v>
      </c>
      <c r="E405" s="16">
        <v>6445.02</v>
      </c>
      <c r="F405" s="13"/>
    </row>
    <row r="406" spans="1:6" x14ac:dyDescent="0.4">
      <c r="A406" s="1">
        <v>45883</v>
      </c>
      <c r="B406" s="15">
        <v>6467.32</v>
      </c>
      <c r="C406" s="16">
        <v>6444.73</v>
      </c>
      <c r="D406" s="16">
        <v>6473.85</v>
      </c>
      <c r="E406" s="16">
        <v>6440.98</v>
      </c>
      <c r="F406" s="13"/>
    </row>
    <row r="407" spans="1:6" x14ac:dyDescent="0.4">
      <c r="A407" s="1">
        <v>45884</v>
      </c>
      <c r="B407" s="24">
        <v>6449.8</v>
      </c>
      <c r="C407" s="16">
        <v>6477.38</v>
      </c>
      <c r="D407" s="16">
        <v>6481.34</v>
      </c>
      <c r="E407" s="16">
        <v>6441.85</v>
      </c>
      <c r="F407" s="13"/>
    </row>
    <row r="408" spans="1:6" x14ac:dyDescent="0.4">
      <c r="A408" s="1">
        <v>45887</v>
      </c>
      <c r="B408" s="24">
        <v>6448.46</v>
      </c>
      <c r="C408" s="16">
        <v>6444.5</v>
      </c>
      <c r="D408" s="16">
        <v>6455.51</v>
      </c>
      <c r="E408" s="16">
        <v>6437.72</v>
      </c>
      <c r="F408" s="13"/>
    </row>
    <row r="409" spans="1:6" x14ac:dyDescent="0.4">
      <c r="A409" s="1">
        <v>45888</v>
      </c>
      <c r="B409" s="24">
        <v>6412.35</v>
      </c>
      <c r="C409" s="16">
        <v>6445.63</v>
      </c>
      <c r="D409" s="16">
        <v>6456.25</v>
      </c>
      <c r="E409" s="16">
        <v>6400.08</v>
      </c>
      <c r="F409" s="13"/>
    </row>
    <row r="410" spans="1:6" x14ac:dyDescent="0.4">
      <c r="A410" s="1">
        <v>45889</v>
      </c>
      <c r="B410" s="24">
        <v>6395.79</v>
      </c>
      <c r="C410" s="16">
        <v>6406.62</v>
      </c>
      <c r="D410" s="16">
        <v>6408.4</v>
      </c>
      <c r="E410" s="16">
        <v>6343.86</v>
      </c>
      <c r="F410" s="13"/>
    </row>
    <row r="411" spans="1:6" x14ac:dyDescent="0.4">
      <c r="A411" s="1">
        <v>45890</v>
      </c>
      <c r="B411" s="24">
        <v>6370.16</v>
      </c>
      <c r="C411" s="16">
        <v>6380.83</v>
      </c>
      <c r="D411" s="16">
        <v>6393.65</v>
      </c>
      <c r="E411" s="16">
        <v>6352.71</v>
      </c>
      <c r="F411" s="13"/>
    </row>
    <row r="412" spans="1:6" x14ac:dyDescent="0.4">
      <c r="A412" s="1">
        <v>45891</v>
      </c>
      <c r="B412" s="15">
        <v>6466.92</v>
      </c>
      <c r="C412" s="16">
        <v>6384.59</v>
      </c>
      <c r="D412" s="16">
        <v>6478.89</v>
      </c>
      <c r="E412" s="16">
        <v>6384.59</v>
      </c>
      <c r="F412" s="13"/>
    </row>
    <row r="413" spans="1:6" x14ac:dyDescent="0.4">
      <c r="A413" s="1">
        <v>45894</v>
      </c>
      <c r="B413" s="24">
        <v>6439.32</v>
      </c>
      <c r="C413" s="16">
        <v>6457.67</v>
      </c>
      <c r="D413" s="16">
        <v>6466.89</v>
      </c>
      <c r="E413" s="16">
        <v>6438.06</v>
      </c>
      <c r="F413" s="13"/>
    </row>
    <row r="414" spans="1:6" x14ac:dyDescent="0.4">
      <c r="A414" s="1">
        <v>45895</v>
      </c>
      <c r="B414" s="15">
        <v>6465.89</v>
      </c>
      <c r="C414" s="16">
        <v>6435.49</v>
      </c>
      <c r="D414" s="16">
        <v>6468.37</v>
      </c>
      <c r="E414" s="16">
        <v>6429.21</v>
      </c>
      <c r="F414" s="13"/>
    </row>
    <row r="415" spans="1:6" x14ac:dyDescent="0.4">
      <c r="A415" s="1">
        <v>45896</v>
      </c>
      <c r="B415" s="15">
        <v>6479.76</v>
      </c>
      <c r="C415" s="16">
        <v>6459</v>
      </c>
      <c r="D415" s="16">
        <v>6487.32</v>
      </c>
      <c r="E415" s="16">
        <v>6457.63</v>
      </c>
      <c r="F415" s="13"/>
    </row>
    <row r="416" spans="1:6" x14ac:dyDescent="0.4">
      <c r="A416" s="1">
        <v>45897</v>
      </c>
      <c r="B416" s="15">
        <v>6501.86</v>
      </c>
      <c r="C416" s="16">
        <v>6483.84</v>
      </c>
      <c r="D416" s="16">
        <v>6508.23</v>
      </c>
      <c r="E416" s="16">
        <v>6466.96</v>
      </c>
      <c r="F416" s="13"/>
    </row>
    <row r="417" spans="1:7" x14ac:dyDescent="0.4">
      <c r="A417" s="1">
        <v>45898</v>
      </c>
      <c r="B417" s="24">
        <v>6460.26</v>
      </c>
      <c r="C417" s="16">
        <v>6489.28</v>
      </c>
      <c r="D417" s="16">
        <v>6491.76</v>
      </c>
      <c r="E417" s="16">
        <v>6444.57</v>
      </c>
      <c r="F417" s="13"/>
    </row>
    <row r="418" spans="1:7" x14ac:dyDescent="0.4">
      <c r="A418" s="1">
        <v>45902</v>
      </c>
      <c r="B418" s="24">
        <v>6413.1</v>
      </c>
      <c r="C418" s="16">
        <v>6386.45</v>
      </c>
      <c r="D418" s="16">
        <v>6416.07</v>
      </c>
      <c r="E418" s="16">
        <v>6360.53</v>
      </c>
      <c r="F418" s="13"/>
    </row>
    <row r="419" spans="1:7" x14ac:dyDescent="0.4">
      <c r="A419" s="1">
        <v>45903</v>
      </c>
      <c r="B419" s="15">
        <v>6448.18</v>
      </c>
      <c r="C419" s="16">
        <v>6439.38</v>
      </c>
      <c r="D419" s="16">
        <v>6453.88</v>
      </c>
      <c r="E419" s="16">
        <v>6416.17</v>
      </c>
      <c r="F419" s="13"/>
    </row>
    <row r="420" spans="1:7" x14ac:dyDescent="0.4">
      <c r="A420" s="1">
        <v>45904</v>
      </c>
      <c r="B420" s="15">
        <v>6502.08</v>
      </c>
      <c r="C420" s="16">
        <v>6456.6</v>
      </c>
      <c r="D420" s="16">
        <v>6502.54</v>
      </c>
      <c r="E420" s="16">
        <v>6445.98</v>
      </c>
      <c r="F420" s="13"/>
    </row>
    <row r="421" spans="1:7" x14ac:dyDescent="0.4">
      <c r="A421" s="1">
        <v>45905</v>
      </c>
      <c r="B421" s="24">
        <v>6481.52</v>
      </c>
      <c r="C421" s="16">
        <v>6529.08</v>
      </c>
      <c r="D421" s="16">
        <v>6532.65</v>
      </c>
      <c r="E421" s="16">
        <v>6443.98</v>
      </c>
      <c r="F421" s="13"/>
    </row>
    <row r="422" spans="1:7" x14ac:dyDescent="0.4">
      <c r="A422" s="1">
        <v>45908</v>
      </c>
      <c r="B422" s="15">
        <v>6495.15</v>
      </c>
      <c r="C422" s="16">
        <v>6498.09</v>
      </c>
      <c r="D422" s="16">
        <v>6508.67</v>
      </c>
      <c r="E422" s="16">
        <v>6483.29</v>
      </c>
      <c r="F422" s="13"/>
    </row>
    <row r="423" spans="1:7" x14ac:dyDescent="0.4">
      <c r="A423" s="1">
        <v>45909</v>
      </c>
      <c r="B423" s="15">
        <v>6512.66</v>
      </c>
      <c r="C423" s="16">
        <v>6503.33</v>
      </c>
      <c r="D423" s="16">
        <v>6518.23</v>
      </c>
      <c r="E423" s="16">
        <v>6483.08</v>
      </c>
      <c r="F423" s="13"/>
    </row>
    <row r="424" spans="1:7" x14ac:dyDescent="0.4">
      <c r="A424" s="1">
        <v>45910</v>
      </c>
      <c r="B424" s="15">
        <v>6533.06</v>
      </c>
      <c r="C424" s="16">
        <v>6547.08</v>
      </c>
      <c r="D424" s="16">
        <v>6555.97</v>
      </c>
      <c r="E424" s="16">
        <v>6516.09</v>
      </c>
      <c r="F424" s="13"/>
    </row>
    <row r="425" spans="1:7" x14ac:dyDescent="0.4">
      <c r="A425" s="1">
        <v>45911</v>
      </c>
      <c r="B425" s="15">
        <v>6585.11</v>
      </c>
      <c r="C425" s="16">
        <v>6551.63</v>
      </c>
      <c r="D425" s="16">
        <v>6592.92</v>
      </c>
      <c r="E425" s="16">
        <v>6545.88</v>
      </c>
      <c r="F425" s="13"/>
    </row>
    <row r="426" spans="1:7" x14ac:dyDescent="0.4">
      <c r="A426" s="1">
        <v>45912</v>
      </c>
      <c r="B426" s="24">
        <v>6584.29</v>
      </c>
      <c r="C426" s="16">
        <v>6590.66</v>
      </c>
      <c r="D426" s="16">
        <v>6600.21</v>
      </c>
      <c r="E426" s="16">
        <v>6579.49</v>
      </c>
      <c r="F426" s="13"/>
      <c r="G426" s="23"/>
    </row>
    <row r="427" spans="1:7" x14ac:dyDescent="0.4">
      <c r="A427" s="1">
        <v>45915</v>
      </c>
      <c r="B427" s="15">
        <v>6615.31</v>
      </c>
      <c r="C427" s="16">
        <v>6603.49</v>
      </c>
      <c r="D427" s="16">
        <v>6619.62</v>
      </c>
      <c r="E427" s="16">
        <v>6602.07</v>
      </c>
      <c r="F427" s="13"/>
    </row>
    <row r="428" spans="1:7" x14ac:dyDescent="0.4">
      <c r="A428" s="1">
        <v>45916</v>
      </c>
      <c r="B428" s="24">
        <v>6606.79</v>
      </c>
      <c r="C428" s="16">
        <v>6624.13</v>
      </c>
      <c r="D428" s="16">
        <v>6626.99</v>
      </c>
      <c r="E428" s="16">
        <v>6600.11</v>
      </c>
    </row>
    <row r="429" spans="1:7" x14ac:dyDescent="0.4">
      <c r="A429" s="1">
        <v>45917</v>
      </c>
      <c r="B429" s="24">
        <v>6600.43</v>
      </c>
      <c r="C429" s="16">
        <v>6604.87</v>
      </c>
      <c r="D429" s="16">
        <v>6624.39</v>
      </c>
      <c r="E429" s="16">
        <v>6551.15</v>
      </c>
      <c r="F429" s="13"/>
    </row>
    <row r="430" spans="1:7" x14ac:dyDescent="0.4">
      <c r="A430" s="1">
        <v>45918</v>
      </c>
      <c r="B430" s="15">
        <v>6631.95</v>
      </c>
      <c r="C430" s="16">
        <v>6626.85</v>
      </c>
      <c r="D430" s="16">
        <v>6656.8</v>
      </c>
      <c r="E430" s="16">
        <v>6611.89</v>
      </c>
      <c r="F430" s="13"/>
    </row>
    <row r="431" spans="1:7" x14ac:dyDescent="0.4">
      <c r="A431" s="1">
        <v>45919</v>
      </c>
      <c r="B431" s="18">
        <v>6664.36</v>
      </c>
      <c r="C431" s="6">
        <v>6647.11</v>
      </c>
      <c r="D431" s="6">
        <v>6671.82</v>
      </c>
      <c r="E431" s="6">
        <v>6630.31</v>
      </c>
      <c r="F431" s="7"/>
    </row>
    <row r="432" spans="1:7" x14ac:dyDescent="0.4">
      <c r="A432" s="1">
        <v>45922</v>
      </c>
      <c r="B432" s="15">
        <v>6692.59</v>
      </c>
      <c r="C432" s="16">
        <v>6650.84</v>
      </c>
      <c r="D432" s="16">
        <v>6698.85</v>
      </c>
      <c r="E432" s="16">
        <v>6648.31</v>
      </c>
      <c r="F432" s="13"/>
    </row>
    <row r="433" spans="1:6" x14ac:dyDescent="0.4">
      <c r="A433" s="1">
        <v>45923</v>
      </c>
      <c r="B433" s="24">
        <v>6657.71</v>
      </c>
      <c r="C433" s="16">
        <v>6691.26</v>
      </c>
      <c r="D433" s="16">
        <v>6699.52</v>
      </c>
      <c r="E433" s="16">
        <v>6643.79</v>
      </c>
    </row>
    <row r="434" spans="1:6" x14ac:dyDescent="0.4">
      <c r="A434" s="1">
        <v>45924</v>
      </c>
      <c r="B434" s="24">
        <v>6634.04</v>
      </c>
      <c r="C434" s="16">
        <v>6670.04</v>
      </c>
      <c r="D434" s="16">
        <v>6671.07</v>
      </c>
      <c r="E434" s="16">
        <v>6619.56</v>
      </c>
      <c r="F434" s="13"/>
    </row>
    <row r="435" spans="1:6" x14ac:dyDescent="0.4">
      <c r="A435" s="1">
        <v>45925</v>
      </c>
      <c r="B435" s="24">
        <v>6604.8</v>
      </c>
      <c r="C435" s="16">
        <v>6608.19</v>
      </c>
      <c r="D435" s="16">
        <v>6619</v>
      </c>
      <c r="E435" s="16">
        <v>6569.22</v>
      </c>
      <c r="F435" s="13"/>
    </row>
    <row r="436" spans="1:6" x14ac:dyDescent="0.4">
      <c r="A436" s="1">
        <v>45926</v>
      </c>
      <c r="B436" s="15">
        <v>6643.7</v>
      </c>
      <c r="C436" s="16">
        <v>6615.38</v>
      </c>
      <c r="D436" s="16">
        <v>6648.97</v>
      </c>
      <c r="E436" s="16">
        <v>6604.43</v>
      </c>
      <c r="F436" s="13"/>
    </row>
    <row r="437" spans="1:6" x14ac:dyDescent="0.4">
      <c r="A437" s="1">
        <v>45929</v>
      </c>
      <c r="B437" s="18">
        <v>6661.21</v>
      </c>
      <c r="C437" s="6">
        <v>6661.58</v>
      </c>
      <c r="D437" s="6">
        <v>6677.31</v>
      </c>
      <c r="E437" s="6">
        <v>6644.49</v>
      </c>
    </row>
    <row r="438" spans="1:6" x14ac:dyDescent="0.4">
      <c r="A438" s="1">
        <v>45930</v>
      </c>
      <c r="B438" s="18">
        <v>6688.44</v>
      </c>
      <c r="C438" s="6">
        <v>6656.19</v>
      </c>
      <c r="D438" s="6">
        <v>6691.25</v>
      </c>
      <c r="E438" s="6">
        <v>6641</v>
      </c>
      <c r="F438" s="7"/>
    </row>
    <row r="439" spans="1:6" x14ac:dyDescent="0.4">
      <c r="A439" s="1">
        <v>45931</v>
      </c>
      <c r="B439" s="18">
        <v>6708.06</v>
      </c>
      <c r="C439" s="6">
        <v>6653.86</v>
      </c>
      <c r="D439" s="6">
        <v>6718.35</v>
      </c>
      <c r="E439" s="6">
        <v>6652.96</v>
      </c>
      <c r="F439" s="7"/>
    </row>
    <row r="440" spans="1:6" x14ac:dyDescent="0.4">
      <c r="A440" s="1">
        <v>45932</v>
      </c>
      <c r="B440" s="18">
        <v>6715.38</v>
      </c>
      <c r="C440" s="6">
        <v>6731.31</v>
      </c>
      <c r="D440" s="6">
        <v>6731.94</v>
      </c>
      <c r="E440" s="6">
        <v>6693.23</v>
      </c>
      <c r="F440" s="7"/>
    </row>
    <row r="441" spans="1:6" x14ac:dyDescent="0.4">
      <c r="A441" s="1">
        <v>45933</v>
      </c>
      <c r="B441" s="18">
        <v>6715.79</v>
      </c>
      <c r="C441" s="6">
        <v>6722.14</v>
      </c>
      <c r="D441" s="6">
        <v>6750.87</v>
      </c>
      <c r="E441" s="6">
        <v>6705.67</v>
      </c>
      <c r="F441" s="7"/>
    </row>
    <row r="442" spans="1:6" x14ac:dyDescent="0.4">
      <c r="A442" s="1">
        <v>45936</v>
      </c>
      <c r="B442" s="15">
        <v>6740.18</v>
      </c>
      <c r="C442" s="16">
        <v>6740.26</v>
      </c>
      <c r="D442" s="16">
        <v>6749.51</v>
      </c>
      <c r="E442" s="16">
        <v>6718.19</v>
      </c>
      <c r="F442" s="13"/>
    </row>
    <row r="443" spans="1:6" x14ac:dyDescent="0.4">
      <c r="A443" s="1">
        <v>45937</v>
      </c>
      <c r="B443" s="5">
        <v>6714.7</v>
      </c>
      <c r="C443" s="6">
        <v>6749.93</v>
      </c>
      <c r="D443" s="6">
        <v>6754.49</v>
      </c>
      <c r="E443" s="6">
        <v>6699.92</v>
      </c>
      <c r="F443" s="7"/>
    </row>
    <row r="444" spans="1:6" x14ac:dyDescent="0.4">
      <c r="A444" s="1">
        <v>45938</v>
      </c>
      <c r="B444" s="18">
        <v>6753.72</v>
      </c>
      <c r="C444" s="6">
        <v>6723.87</v>
      </c>
      <c r="D444" s="6">
        <v>6755.64</v>
      </c>
      <c r="E444" s="6">
        <v>6718.09</v>
      </c>
      <c r="F444" s="7"/>
    </row>
    <row r="445" spans="1:6" x14ac:dyDescent="0.4">
      <c r="A445" s="1">
        <v>45939</v>
      </c>
      <c r="B445" s="5">
        <v>6734.91</v>
      </c>
      <c r="C445" s="6">
        <v>6756.41</v>
      </c>
      <c r="D445" s="6">
        <v>6764.43</v>
      </c>
      <c r="E445" s="6">
        <v>6713.38</v>
      </c>
      <c r="F445" s="7"/>
    </row>
    <row r="446" spans="1:6" x14ac:dyDescent="0.4">
      <c r="A446" s="1">
        <v>45940</v>
      </c>
      <c r="B446" s="24">
        <v>6552.5</v>
      </c>
      <c r="C446" s="16">
        <v>6740.49</v>
      </c>
      <c r="D446" s="16">
        <v>6762.4</v>
      </c>
      <c r="E446" s="16">
        <v>6550.78</v>
      </c>
      <c r="F446" s="13"/>
    </row>
    <row r="447" spans="1:6" x14ac:dyDescent="0.4">
      <c r="A447" s="1">
        <v>45943</v>
      </c>
      <c r="B447" s="18">
        <v>6654.69</v>
      </c>
      <c r="C447" s="6">
        <v>6622.53</v>
      </c>
      <c r="D447" s="6">
        <v>6668.68</v>
      </c>
      <c r="E447" s="6">
        <v>6620.71</v>
      </c>
      <c r="F447" s="7"/>
    </row>
    <row r="448" spans="1:6" x14ac:dyDescent="0.4">
      <c r="A448" s="1">
        <v>45944</v>
      </c>
      <c r="B448" s="24">
        <v>6644.31</v>
      </c>
      <c r="C448" s="16">
        <v>6602.49</v>
      </c>
      <c r="D448" s="16">
        <v>6680.7</v>
      </c>
      <c r="E448" s="16">
        <v>6555.07</v>
      </c>
      <c r="F448" s="13"/>
    </row>
    <row r="449" spans="1:6" x14ac:dyDescent="0.4">
      <c r="A449" s="1">
        <v>45945</v>
      </c>
      <c r="B449" s="18">
        <v>6671.04</v>
      </c>
      <c r="C449" s="6">
        <v>6688.27</v>
      </c>
      <c r="D449" s="6">
        <v>6724.12</v>
      </c>
      <c r="E449" s="6">
        <v>6612.11</v>
      </c>
      <c r="F449" s="7"/>
    </row>
    <row r="450" spans="1:6" x14ac:dyDescent="0.4">
      <c r="A450" s="1">
        <v>45946</v>
      </c>
      <c r="B450" s="5">
        <v>6629.07</v>
      </c>
      <c r="C450" s="6">
        <v>6689.02</v>
      </c>
      <c r="D450" s="6">
        <v>6709.34</v>
      </c>
      <c r="E450" s="6">
        <v>6593.99</v>
      </c>
      <c r="F450" s="7"/>
    </row>
    <row r="451" spans="1:6" x14ac:dyDescent="0.4">
      <c r="A451" s="1">
        <v>45947</v>
      </c>
      <c r="B451" s="18">
        <v>6664.01</v>
      </c>
      <c r="C451" s="6">
        <v>6613.27</v>
      </c>
      <c r="D451" s="6">
        <v>6678.88</v>
      </c>
      <c r="E451" s="6">
        <v>6603.76</v>
      </c>
      <c r="F451" s="7"/>
    </row>
    <row r="452" spans="1:6" x14ac:dyDescent="0.4">
      <c r="A452" s="1">
        <v>45950</v>
      </c>
      <c r="B452" s="15">
        <v>6735.13</v>
      </c>
      <c r="C452" s="16">
        <v>6690.05</v>
      </c>
      <c r="D452" s="16">
        <v>6744.35</v>
      </c>
      <c r="E452" s="16">
        <v>6690.05</v>
      </c>
      <c r="F452" s="13"/>
    </row>
    <row r="453" spans="1:6" x14ac:dyDescent="0.4">
      <c r="A453" s="1">
        <v>45951</v>
      </c>
      <c r="B453" s="18">
        <v>6735.33</v>
      </c>
      <c r="C453" s="6">
        <v>6736.75</v>
      </c>
      <c r="D453" s="6">
        <v>6752.16</v>
      </c>
      <c r="E453" s="6">
        <v>6722.03</v>
      </c>
    </row>
    <row r="454" spans="1:6" x14ac:dyDescent="0.4">
      <c r="A454" s="1">
        <v>45952</v>
      </c>
      <c r="B454" s="5">
        <v>6699.44</v>
      </c>
      <c r="C454" s="6">
        <v>6741.34</v>
      </c>
      <c r="D454" s="6">
        <v>6741.75</v>
      </c>
      <c r="E454" s="6">
        <v>6655.69</v>
      </c>
      <c r="F454" s="7"/>
    </row>
    <row r="455" spans="1:6" x14ac:dyDescent="0.4">
      <c r="A455" s="1">
        <v>45953</v>
      </c>
      <c r="B455" s="18">
        <v>6738.41</v>
      </c>
      <c r="C455" s="6">
        <v>6703.65</v>
      </c>
      <c r="D455" s="6">
        <v>6749.53</v>
      </c>
      <c r="E455" s="6">
        <v>6700.14</v>
      </c>
      <c r="F455" s="7"/>
    </row>
    <row r="456" spans="1:6" x14ac:dyDescent="0.4">
      <c r="A456" s="1">
        <v>45954</v>
      </c>
      <c r="B456" s="15">
        <v>6791.73</v>
      </c>
      <c r="C456" s="16">
        <v>6772.07</v>
      </c>
      <c r="D456" s="16">
        <v>6807.11</v>
      </c>
      <c r="E456" s="16">
        <v>6772.07</v>
      </c>
      <c r="F456" s="13"/>
    </row>
    <row r="457" spans="1:6" x14ac:dyDescent="0.4">
      <c r="A457" s="1">
        <v>45957</v>
      </c>
      <c r="B457" s="15">
        <v>6875.14</v>
      </c>
      <c r="C457" s="16">
        <v>6845.46</v>
      </c>
      <c r="D457" s="16">
        <v>6877.28</v>
      </c>
      <c r="E457" s="16">
        <v>6843.94</v>
      </c>
      <c r="F457" s="13"/>
    </row>
    <row r="458" spans="1:6" x14ac:dyDescent="0.4">
      <c r="A458" s="1">
        <v>45958</v>
      </c>
      <c r="B458" s="15">
        <v>6891.41</v>
      </c>
      <c r="C458" s="16">
        <v>6891.66</v>
      </c>
      <c r="D458" s="16">
        <v>6911.26</v>
      </c>
      <c r="E458" s="16">
        <v>6869.68</v>
      </c>
      <c r="F458" s="13"/>
    </row>
    <row r="459" spans="1:6" x14ac:dyDescent="0.4">
      <c r="A459" s="1">
        <v>45959</v>
      </c>
      <c r="B459" s="15">
        <v>6891.12</v>
      </c>
      <c r="C459" s="16">
        <v>6910.13</v>
      </c>
      <c r="D459" s="16">
        <v>6920.3</v>
      </c>
      <c r="E459" s="16">
        <v>6851.33</v>
      </c>
      <c r="F459" s="13"/>
    </row>
    <row r="460" spans="1:6" x14ac:dyDescent="0.4">
      <c r="A460" s="1">
        <v>45960</v>
      </c>
      <c r="B460" s="5">
        <v>6822.11</v>
      </c>
      <c r="C460" s="6">
        <v>6856.48</v>
      </c>
      <c r="D460" s="6">
        <v>6880.71</v>
      </c>
      <c r="E460" s="6">
        <v>6820.73</v>
      </c>
      <c r="F460" s="7"/>
    </row>
    <row r="461" spans="1:6" x14ac:dyDescent="0.4">
      <c r="A461" s="1">
        <v>45961</v>
      </c>
      <c r="B461" s="18">
        <v>6840.24</v>
      </c>
      <c r="C461" s="6">
        <v>6879.17</v>
      </c>
      <c r="D461" s="6">
        <v>6879.17</v>
      </c>
      <c r="E461" s="6">
        <v>6814.26</v>
      </c>
      <c r="F461" s="7"/>
    </row>
    <row r="462" spans="1:6" x14ac:dyDescent="0.4">
      <c r="A462" s="1">
        <v>45964</v>
      </c>
      <c r="B462" s="18">
        <v>6852.41</v>
      </c>
      <c r="C462" s="6">
        <v>6876.28</v>
      </c>
      <c r="D462" s="6">
        <v>6877.93</v>
      </c>
      <c r="E462" s="6">
        <v>6818.93</v>
      </c>
      <c r="F462" s="7"/>
    </row>
    <row r="463" spans="1:6" x14ac:dyDescent="0.4">
      <c r="A463" s="1">
        <v>45965</v>
      </c>
      <c r="B463" s="24">
        <v>6783.86</v>
      </c>
      <c r="C463" s="16">
        <v>6778.78</v>
      </c>
      <c r="D463" s="16">
        <v>6820.15</v>
      </c>
      <c r="E463" s="16">
        <v>6765.43</v>
      </c>
      <c r="F463" s="13"/>
    </row>
    <row r="464" spans="1:6" x14ac:dyDescent="0.4">
      <c r="A464" s="1">
        <v>45966</v>
      </c>
      <c r="B464" s="18">
        <v>6795.98</v>
      </c>
      <c r="C464" s="6">
        <v>6771.08</v>
      </c>
      <c r="D464" s="6">
        <v>6829.78</v>
      </c>
      <c r="E464" s="6">
        <v>6761.08</v>
      </c>
      <c r="F464" s="7"/>
    </row>
    <row r="465" spans="1:6" x14ac:dyDescent="0.4">
      <c r="A465" s="1">
        <v>45967</v>
      </c>
      <c r="B465" s="24">
        <v>6722.06</v>
      </c>
      <c r="C465" s="16">
        <v>6783.41</v>
      </c>
      <c r="D465" s="16">
        <v>6796.68</v>
      </c>
      <c r="E465" s="16">
        <v>6706.53</v>
      </c>
      <c r="F465" s="13"/>
    </row>
    <row r="466" spans="1:6" x14ac:dyDescent="0.4">
      <c r="A466" s="1">
        <v>45968</v>
      </c>
      <c r="B466" s="15">
        <v>6728.81</v>
      </c>
      <c r="C466" s="16">
        <v>6696.18</v>
      </c>
      <c r="D466" s="16">
        <v>6729.81</v>
      </c>
      <c r="E466" s="16">
        <v>6631.44</v>
      </c>
      <c r="F466" s="13"/>
    </row>
    <row r="467" spans="1:6" x14ac:dyDescent="0.4">
      <c r="A467" s="1">
        <v>45971</v>
      </c>
      <c r="B467" s="18">
        <v>6832.21</v>
      </c>
      <c r="C467" s="6">
        <v>6791.48</v>
      </c>
      <c r="D467" s="6">
        <v>6841.32</v>
      </c>
      <c r="E467" s="6">
        <v>6769.11</v>
      </c>
      <c r="F467" s="7"/>
    </row>
    <row r="468" spans="1:6" x14ac:dyDescent="0.4">
      <c r="A468" s="1">
        <v>45972</v>
      </c>
      <c r="B468" s="15">
        <v>6847.36</v>
      </c>
      <c r="C468" s="16">
        <v>6817.58</v>
      </c>
      <c r="D468" s="16">
        <v>6855.73</v>
      </c>
      <c r="E468" s="16">
        <v>6806.91</v>
      </c>
      <c r="F468" s="13"/>
    </row>
    <row r="469" spans="1:6" x14ac:dyDescent="0.4">
      <c r="A469" s="1">
        <v>45973</v>
      </c>
      <c r="B469" s="15">
        <v>6857.41</v>
      </c>
      <c r="C469" s="16">
        <v>6868.51</v>
      </c>
      <c r="D469" s="16">
        <v>6869.83</v>
      </c>
      <c r="E469" s="16">
        <v>6827.76</v>
      </c>
      <c r="F469" s="13"/>
    </row>
    <row r="470" spans="1:6" x14ac:dyDescent="0.4">
      <c r="A470" s="1">
        <v>45974</v>
      </c>
      <c r="B470" s="5">
        <v>6735.8</v>
      </c>
      <c r="C470" s="6">
        <v>6822.93</v>
      </c>
      <c r="D470" s="6">
        <v>6827.42</v>
      </c>
      <c r="E470" s="6">
        <v>6722.88</v>
      </c>
    </row>
    <row r="471" spans="1:6" x14ac:dyDescent="0.4">
      <c r="A471" s="1">
        <v>45975</v>
      </c>
      <c r="B471" s="5">
        <v>6734.11</v>
      </c>
      <c r="C471" s="6">
        <v>6672.14</v>
      </c>
      <c r="D471" s="6">
        <v>6774.31</v>
      </c>
      <c r="E471" s="6">
        <v>6646.87</v>
      </c>
      <c r="F471" s="7"/>
    </row>
    <row r="472" spans="1:6" x14ac:dyDescent="0.4">
      <c r="A472" s="1">
        <v>45978</v>
      </c>
      <c r="B472" s="24">
        <v>6672.5</v>
      </c>
      <c r="C472" s="16">
        <v>6713.61</v>
      </c>
      <c r="D472" s="16">
        <v>6754.5</v>
      </c>
      <c r="E472" s="16">
        <v>6638.9</v>
      </c>
      <c r="F472" s="13"/>
    </row>
    <row r="473" spans="1:6" x14ac:dyDescent="0.4">
      <c r="A473" s="1">
        <v>45979</v>
      </c>
      <c r="B473" s="24">
        <v>6629.85</v>
      </c>
      <c r="C473" s="16">
        <v>6636.43</v>
      </c>
      <c r="D473" s="16">
        <v>6666.63</v>
      </c>
      <c r="E473" s="16">
        <v>6574.13</v>
      </c>
      <c r="F473" s="13"/>
    </row>
    <row r="474" spans="1:6" x14ac:dyDescent="0.4">
      <c r="A474" s="1">
        <v>45980</v>
      </c>
      <c r="B474" s="24">
        <v>6629.85</v>
      </c>
      <c r="C474" s="16">
        <v>6636.43</v>
      </c>
      <c r="D474" s="16">
        <v>6666.63</v>
      </c>
      <c r="E474" s="16">
        <v>6574.13</v>
      </c>
      <c r="F474" s="13"/>
    </row>
    <row r="475" spans="1:6" x14ac:dyDescent="0.4">
      <c r="A475" s="1">
        <v>45981</v>
      </c>
      <c r="B475" s="5">
        <v>6541.86</v>
      </c>
      <c r="C475" s="6">
        <v>6625.84</v>
      </c>
      <c r="D475" s="6">
        <v>6770.38</v>
      </c>
      <c r="E475" s="6">
        <v>6533.78</v>
      </c>
      <c r="F475" s="7"/>
    </row>
    <row r="476" spans="1:6" x14ac:dyDescent="0.4">
      <c r="A476" s="1">
        <v>45982</v>
      </c>
      <c r="B476" s="18">
        <v>6602.96</v>
      </c>
      <c r="C476" s="6">
        <v>6555.77</v>
      </c>
      <c r="D476" s="6">
        <v>6660.05</v>
      </c>
      <c r="E476" s="6">
        <v>6521.92</v>
      </c>
      <c r="F476" s="7"/>
    </row>
    <row r="477" spans="1:6" x14ac:dyDescent="0.4">
      <c r="A477" s="1">
        <v>45985</v>
      </c>
      <c r="B477" s="18">
        <v>6704.67</v>
      </c>
      <c r="C477" s="6">
        <v>6641.36</v>
      </c>
      <c r="D477" s="6">
        <v>6715.75</v>
      </c>
      <c r="E477" s="6">
        <v>6630.36</v>
      </c>
      <c r="F477" s="7"/>
    </row>
    <row r="478" spans="1:6" x14ac:dyDescent="0.4">
      <c r="A478" s="1">
        <v>45986</v>
      </c>
      <c r="B478" s="18">
        <v>6764.73</v>
      </c>
      <c r="C478" s="6">
        <v>6697.73</v>
      </c>
      <c r="D478" s="6">
        <v>6776.4</v>
      </c>
      <c r="E478" s="6">
        <v>6657.41</v>
      </c>
      <c r="F478" s="7"/>
    </row>
    <row r="479" spans="1:6" x14ac:dyDescent="0.4">
      <c r="A479" s="1">
        <v>45987</v>
      </c>
      <c r="B479" s="18">
        <v>6817.16</v>
      </c>
      <c r="C479" s="6">
        <v>6789.43</v>
      </c>
      <c r="D479" s="6">
        <v>6831.42</v>
      </c>
      <c r="E479" s="6">
        <v>6780.86</v>
      </c>
    </row>
    <row r="480" spans="1:6" x14ac:dyDescent="0.4">
      <c r="A480" s="1">
        <v>45989</v>
      </c>
      <c r="B480" s="15">
        <v>6849.09</v>
      </c>
      <c r="C480" s="16">
        <v>6822.52</v>
      </c>
      <c r="D480" s="16">
        <v>6850.86</v>
      </c>
      <c r="E480" s="16">
        <v>6819.75</v>
      </c>
      <c r="F480" s="13"/>
    </row>
    <row r="481" spans="1:6" x14ac:dyDescent="0.4">
      <c r="A481" s="1">
        <v>45992</v>
      </c>
      <c r="B481" s="5">
        <v>6812.63</v>
      </c>
      <c r="C481" s="6">
        <v>6812.3</v>
      </c>
      <c r="D481" s="6">
        <v>6843.65</v>
      </c>
      <c r="E481" s="6">
        <v>6799.94</v>
      </c>
      <c r="F481" s="7"/>
    </row>
    <row r="482" spans="1:6" x14ac:dyDescent="0.4">
      <c r="A482" s="1">
        <v>45993</v>
      </c>
      <c r="B482" s="18">
        <v>6829.08</v>
      </c>
      <c r="C482" s="6">
        <v>6836.83</v>
      </c>
      <c r="D482" s="6">
        <v>6854.08</v>
      </c>
      <c r="E482" s="6">
        <v>6806.9</v>
      </c>
      <c r="F482" s="7"/>
    </row>
    <row r="483" spans="1:6" x14ac:dyDescent="0.4">
      <c r="A483" s="1">
        <v>45994</v>
      </c>
      <c r="B483" s="18">
        <v>6849.72</v>
      </c>
      <c r="C483" s="6">
        <v>6815.29</v>
      </c>
      <c r="D483" s="6">
        <v>6862.42</v>
      </c>
      <c r="E483" s="6">
        <v>6810.43</v>
      </c>
      <c r="F483" s="7"/>
    </row>
    <row r="484" spans="1:6" x14ac:dyDescent="0.4">
      <c r="A484" s="1">
        <v>45995</v>
      </c>
      <c r="B484" s="15">
        <v>6857.12</v>
      </c>
      <c r="C484" s="16">
        <v>6866.47</v>
      </c>
      <c r="D484" s="16">
        <v>6866.47</v>
      </c>
      <c r="E484" s="16">
        <v>6827.12</v>
      </c>
      <c r="F484" s="13"/>
    </row>
    <row r="485" spans="1:6" x14ac:dyDescent="0.4">
      <c r="A485" s="1">
        <v>45996</v>
      </c>
      <c r="B485" s="15">
        <v>6870.4</v>
      </c>
      <c r="C485" s="16">
        <v>6866.32</v>
      </c>
      <c r="D485" s="16">
        <v>6895.78</v>
      </c>
      <c r="E485" s="16">
        <v>6858.29</v>
      </c>
      <c r="F485" s="13"/>
    </row>
    <row r="486" spans="1:6" x14ac:dyDescent="0.4">
      <c r="A486" s="1">
        <v>45999</v>
      </c>
      <c r="B486" s="24">
        <v>6846.51</v>
      </c>
      <c r="C486" s="16">
        <v>6875.2</v>
      </c>
      <c r="D486" s="16">
        <v>6878.27</v>
      </c>
      <c r="E486" s="16">
        <v>6827.19</v>
      </c>
      <c r="F486" s="13"/>
    </row>
    <row r="487" spans="1:6" x14ac:dyDescent="0.4">
      <c r="A487" s="1">
        <v>46000</v>
      </c>
      <c r="B487" s="24">
        <v>6840.51</v>
      </c>
      <c r="C487" s="16">
        <v>6840.61</v>
      </c>
      <c r="D487" s="16">
        <v>6864.92</v>
      </c>
      <c r="E487" s="16">
        <v>6837.43</v>
      </c>
      <c r="F487" s="13"/>
    </row>
    <row r="488" spans="1:6" x14ac:dyDescent="0.4">
      <c r="A488" s="1">
        <v>46001</v>
      </c>
      <c r="B488" s="15">
        <v>6886.68</v>
      </c>
      <c r="C488" s="16">
        <v>6833.49</v>
      </c>
      <c r="D488" s="16">
        <v>6900.67</v>
      </c>
      <c r="E488" s="16">
        <v>6824.69</v>
      </c>
      <c r="F488" s="13"/>
    </row>
    <row r="489" spans="1:6" x14ac:dyDescent="0.4">
      <c r="A489" s="1">
        <v>46002</v>
      </c>
      <c r="B489" s="15">
        <v>6901</v>
      </c>
      <c r="C489" s="16">
        <v>6861.3</v>
      </c>
      <c r="D489" s="16">
        <v>6903.46</v>
      </c>
      <c r="E489" s="16">
        <v>6833.45</v>
      </c>
      <c r="F489" s="13"/>
    </row>
    <row r="490" spans="1:6" x14ac:dyDescent="0.4">
      <c r="A490" s="1">
        <v>46003</v>
      </c>
      <c r="B490" s="24">
        <v>6827.41</v>
      </c>
      <c r="C490" s="16">
        <v>6886.85</v>
      </c>
      <c r="D490" s="16">
        <v>6899.85</v>
      </c>
      <c r="E490" s="16">
        <v>6801.79</v>
      </c>
      <c r="F490" s="13"/>
    </row>
    <row r="491" spans="1:6" x14ac:dyDescent="0.4">
      <c r="A491" s="1">
        <v>46006</v>
      </c>
      <c r="B491" s="24">
        <v>6816.52</v>
      </c>
      <c r="C491" s="16">
        <v>6860.19</v>
      </c>
      <c r="D491" s="16">
        <v>6861.59</v>
      </c>
      <c r="E491" s="16">
        <v>6801.49</v>
      </c>
      <c r="F491" s="13"/>
    </row>
    <row r="492" spans="1:6" x14ac:dyDescent="0.4">
      <c r="A492" s="1">
        <v>46007</v>
      </c>
      <c r="B492" s="5">
        <v>6800.21</v>
      </c>
      <c r="C492" s="6">
        <v>6800.12</v>
      </c>
      <c r="D492" s="6">
        <v>6819.27</v>
      </c>
      <c r="E492" s="6">
        <v>6759.74</v>
      </c>
      <c r="F492" s="7"/>
    </row>
    <row r="493" spans="1:6" x14ac:dyDescent="0.4">
      <c r="A493" s="1">
        <v>46008</v>
      </c>
      <c r="B493">
        <v>6721.51</v>
      </c>
    </row>
  </sheetData>
  <autoFilter ref="A1:G1" xr:uid="{00000000-0009-0000-0000-000001000000}">
    <sortState xmlns:xlrd2="http://schemas.microsoft.com/office/spreadsheetml/2017/richdata2" ref="A2:G337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3"/>
  <sheetViews>
    <sheetView topLeftCell="A484" workbookViewId="0">
      <selection activeCell="B494" sqref="B494"/>
    </sheetView>
  </sheetViews>
  <sheetFormatPr defaultRowHeight="17.399999999999999" x14ac:dyDescent="0.4"/>
  <cols>
    <col min="1" max="1" width="11.09765625" bestFit="1" customWidth="1"/>
    <col min="2" max="2" width="9.19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45293</v>
      </c>
      <c r="B2" s="3">
        <v>14765.94</v>
      </c>
      <c r="C2" s="3">
        <v>14873.7</v>
      </c>
      <c r="D2" s="3">
        <v>14887.8</v>
      </c>
      <c r="E2" s="3">
        <v>14682.38</v>
      </c>
      <c r="F2" t="s">
        <v>416</v>
      </c>
      <c r="G2" s="2">
        <v>-1.6299999999999999E-2</v>
      </c>
    </row>
    <row r="3" spans="1:7" x14ac:dyDescent="0.4">
      <c r="A3" s="1">
        <v>45294</v>
      </c>
      <c r="B3" s="3">
        <v>14592.21</v>
      </c>
      <c r="C3" s="3">
        <v>14641.47</v>
      </c>
      <c r="D3" s="3">
        <v>14694.58</v>
      </c>
      <c r="E3" s="3">
        <v>14577.44</v>
      </c>
      <c r="F3" t="s">
        <v>447</v>
      </c>
      <c r="G3" s="2">
        <v>-1.18E-2</v>
      </c>
    </row>
    <row r="4" spans="1:7" x14ac:dyDescent="0.4">
      <c r="A4" s="1">
        <v>45295</v>
      </c>
      <c r="B4" s="3">
        <v>14510.3</v>
      </c>
      <c r="C4" s="3">
        <v>14532.23</v>
      </c>
      <c r="D4" s="3">
        <v>14632.77</v>
      </c>
      <c r="E4" s="3">
        <v>14504.78</v>
      </c>
      <c r="F4" t="s">
        <v>391</v>
      </c>
      <c r="G4" s="2">
        <v>-5.5999999999999999E-3</v>
      </c>
    </row>
    <row r="5" spans="1:7" x14ac:dyDescent="0.4">
      <c r="A5" s="1">
        <v>45296</v>
      </c>
      <c r="B5" s="3">
        <v>14524.07</v>
      </c>
      <c r="C5" s="3">
        <v>14500.11</v>
      </c>
      <c r="D5" s="3">
        <v>14625.19</v>
      </c>
      <c r="E5" s="3">
        <v>14477.57</v>
      </c>
      <c r="F5" t="s">
        <v>397</v>
      </c>
      <c r="G5" s="2">
        <v>8.9999999999999998E-4</v>
      </c>
    </row>
    <row r="6" spans="1:7" x14ac:dyDescent="0.4">
      <c r="A6" s="1">
        <v>45299</v>
      </c>
      <c r="B6" s="3">
        <v>14843.77</v>
      </c>
      <c r="C6" s="3">
        <v>14564.47</v>
      </c>
      <c r="D6" s="3">
        <v>14846.9</v>
      </c>
      <c r="E6" s="3">
        <v>14560.2</v>
      </c>
      <c r="F6" t="s">
        <v>330</v>
      </c>
      <c r="G6" s="2">
        <v>2.1999999999999999E-2</v>
      </c>
    </row>
    <row r="7" spans="1:7" x14ac:dyDescent="0.4">
      <c r="A7" s="1">
        <v>45300</v>
      </c>
      <c r="B7" s="3">
        <v>14857.71</v>
      </c>
      <c r="C7" s="3">
        <v>14744.13</v>
      </c>
      <c r="D7" s="3">
        <v>14894.32</v>
      </c>
      <c r="E7" s="3">
        <v>14716.71</v>
      </c>
      <c r="F7" t="s">
        <v>493</v>
      </c>
      <c r="G7" s="2">
        <v>8.9999999999999998E-4</v>
      </c>
    </row>
    <row r="8" spans="1:7" x14ac:dyDescent="0.4">
      <c r="A8" s="1">
        <v>45301</v>
      </c>
      <c r="B8" s="3">
        <v>14969.65</v>
      </c>
      <c r="C8" s="3">
        <v>14877.7</v>
      </c>
      <c r="D8" s="3">
        <v>14998.2</v>
      </c>
      <c r="E8" s="3">
        <v>14842.7</v>
      </c>
      <c r="F8" t="s">
        <v>492</v>
      </c>
      <c r="G8" s="2">
        <v>7.4999999999999997E-3</v>
      </c>
    </row>
    <row r="9" spans="1:7" x14ac:dyDescent="0.4">
      <c r="A9" s="1">
        <v>45302</v>
      </c>
      <c r="B9" s="3">
        <v>14970.18</v>
      </c>
      <c r="C9" s="3">
        <v>15020.95</v>
      </c>
      <c r="D9" s="3">
        <v>15063.61</v>
      </c>
      <c r="E9" s="3">
        <v>14800.38</v>
      </c>
      <c r="F9" t="s">
        <v>423</v>
      </c>
      <c r="G9" s="2">
        <v>0</v>
      </c>
    </row>
    <row r="10" spans="1:7" x14ac:dyDescent="0.4">
      <c r="A10" s="1">
        <v>45303</v>
      </c>
      <c r="B10" s="3">
        <v>14972.76</v>
      </c>
      <c r="C10" s="3">
        <v>15001.01</v>
      </c>
      <c r="D10" s="3">
        <v>15047.25</v>
      </c>
      <c r="E10" s="3">
        <v>14931.88</v>
      </c>
      <c r="F10" t="s">
        <v>491</v>
      </c>
      <c r="G10" s="2">
        <v>2.0000000000000001E-4</v>
      </c>
    </row>
    <row r="11" spans="1:7" x14ac:dyDescent="0.4">
      <c r="A11" s="1">
        <v>45307</v>
      </c>
      <c r="B11" s="3">
        <v>14944.35</v>
      </c>
      <c r="C11" s="3">
        <v>14908.26</v>
      </c>
      <c r="D11" s="3">
        <v>15004.35</v>
      </c>
      <c r="E11" s="3">
        <v>14863.81</v>
      </c>
      <c r="F11" t="s">
        <v>407</v>
      </c>
      <c r="G11" s="2">
        <v>-1.9E-3</v>
      </c>
    </row>
    <row r="12" spans="1:7" x14ac:dyDescent="0.4">
      <c r="A12" s="1">
        <v>45308</v>
      </c>
      <c r="B12" s="3">
        <v>14855.62</v>
      </c>
      <c r="C12" s="3">
        <v>14814.77</v>
      </c>
      <c r="D12" s="3">
        <v>14865.76</v>
      </c>
      <c r="E12" s="3">
        <v>14706.23</v>
      </c>
      <c r="F12" t="s">
        <v>490</v>
      </c>
      <c r="G12" s="2">
        <v>-5.8999999999999999E-3</v>
      </c>
    </row>
    <row r="13" spans="1:7" x14ac:dyDescent="0.4">
      <c r="A13" s="1">
        <v>45309</v>
      </c>
      <c r="B13" s="3">
        <v>15055.65</v>
      </c>
      <c r="C13" s="3">
        <v>14994.52</v>
      </c>
      <c r="D13" s="3">
        <v>15066.81</v>
      </c>
      <c r="E13" s="3">
        <v>14911.11</v>
      </c>
      <c r="F13" t="s">
        <v>391</v>
      </c>
      <c r="G13" s="2">
        <v>1.35E-2</v>
      </c>
    </row>
    <row r="14" spans="1:7" x14ac:dyDescent="0.4">
      <c r="A14" s="1">
        <v>45310</v>
      </c>
      <c r="B14" s="3">
        <v>15310.97</v>
      </c>
      <c r="C14" s="3">
        <v>15122.38</v>
      </c>
      <c r="D14" s="3">
        <v>15310.97</v>
      </c>
      <c r="E14" s="3">
        <v>15087.2</v>
      </c>
      <c r="F14" t="s">
        <v>330</v>
      </c>
      <c r="G14" s="2">
        <v>1.7000000000000001E-2</v>
      </c>
    </row>
    <row r="15" spans="1:7" x14ac:dyDescent="0.4">
      <c r="A15" s="1">
        <v>45313</v>
      </c>
      <c r="B15" s="3">
        <v>15360.29</v>
      </c>
      <c r="C15" s="3">
        <v>15393.05</v>
      </c>
      <c r="D15" s="3">
        <v>15438.85</v>
      </c>
      <c r="E15" s="3">
        <v>15333.63</v>
      </c>
      <c r="F15" t="s">
        <v>391</v>
      </c>
      <c r="G15" s="2">
        <v>3.2000000000000002E-3</v>
      </c>
    </row>
    <row r="16" spans="1:7" x14ac:dyDescent="0.4">
      <c r="A16" s="1">
        <v>45314</v>
      </c>
      <c r="B16" s="3">
        <v>15425.94</v>
      </c>
      <c r="C16" s="3">
        <v>15391.41</v>
      </c>
      <c r="D16" s="3">
        <v>15432.35</v>
      </c>
      <c r="E16" s="3">
        <v>15337.23</v>
      </c>
      <c r="F16" t="s">
        <v>489</v>
      </c>
      <c r="G16" s="2">
        <v>4.3E-3</v>
      </c>
    </row>
    <row r="17" spans="1:7" x14ac:dyDescent="0.4">
      <c r="A17" s="1">
        <v>45315</v>
      </c>
      <c r="B17" s="3">
        <v>15481.92</v>
      </c>
      <c r="C17" s="3">
        <v>15560.61</v>
      </c>
      <c r="D17" s="3">
        <v>15629.07</v>
      </c>
      <c r="E17" s="3">
        <v>15468.91</v>
      </c>
      <c r="F17" t="s">
        <v>488</v>
      </c>
      <c r="G17" s="2">
        <v>3.5999999999999999E-3</v>
      </c>
    </row>
    <row r="18" spans="1:7" x14ac:dyDescent="0.4">
      <c r="A18" s="1">
        <v>45316</v>
      </c>
      <c r="B18" s="3">
        <v>15510.5</v>
      </c>
      <c r="C18" s="3">
        <v>15555.62</v>
      </c>
      <c r="D18" s="3">
        <v>15597.25</v>
      </c>
      <c r="E18" s="3">
        <v>15430.68</v>
      </c>
      <c r="F18" t="s">
        <v>487</v>
      </c>
      <c r="G18" s="2">
        <v>1.8E-3</v>
      </c>
    </row>
    <row r="19" spans="1:7" x14ac:dyDescent="0.4">
      <c r="A19" s="1">
        <v>45317</v>
      </c>
      <c r="B19" s="3">
        <v>15455.36</v>
      </c>
      <c r="C19" s="3">
        <v>15474.85</v>
      </c>
      <c r="D19" s="3">
        <v>15538.84</v>
      </c>
      <c r="E19" s="3">
        <v>15433.04</v>
      </c>
      <c r="F19" t="s">
        <v>486</v>
      </c>
      <c r="G19" s="2">
        <v>-3.5999999999999999E-3</v>
      </c>
    </row>
    <row r="20" spans="1:7" x14ac:dyDescent="0.4">
      <c r="A20" s="1">
        <v>45320</v>
      </c>
      <c r="B20" s="3">
        <v>15628.04</v>
      </c>
      <c r="C20" s="3">
        <v>15470.66</v>
      </c>
      <c r="D20" s="3">
        <v>15630.58</v>
      </c>
      <c r="E20" s="3">
        <v>15449.87</v>
      </c>
      <c r="F20" t="s">
        <v>485</v>
      </c>
      <c r="G20" s="2">
        <v>1.12E-2</v>
      </c>
    </row>
    <row r="21" spans="1:7" x14ac:dyDescent="0.4">
      <c r="A21" s="1">
        <v>45321</v>
      </c>
      <c r="B21" s="3">
        <v>15509.9</v>
      </c>
      <c r="C21" s="3">
        <v>15604.08</v>
      </c>
      <c r="D21" s="3">
        <v>15619.23</v>
      </c>
      <c r="E21" s="3">
        <v>15484.67</v>
      </c>
      <c r="F21" t="s">
        <v>484</v>
      </c>
      <c r="G21" s="2">
        <v>-7.6E-3</v>
      </c>
    </row>
    <row r="22" spans="1:7" x14ac:dyDescent="0.4">
      <c r="A22" s="1">
        <v>45322</v>
      </c>
      <c r="B22" s="3">
        <v>15164.01</v>
      </c>
      <c r="C22" s="3">
        <v>15324.19</v>
      </c>
      <c r="D22" s="3">
        <v>15405.55</v>
      </c>
      <c r="E22" s="3">
        <v>15158.49</v>
      </c>
      <c r="F22" t="s">
        <v>367</v>
      </c>
      <c r="G22" s="2">
        <v>-2.23E-2</v>
      </c>
    </row>
    <row r="23" spans="1:7" x14ac:dyDescent="0.4">
      <c r="A23" s="1">
        <v>45323</v>
      </c>
      <c r="B23" s="3">
        <v>15361.64</v>
      </c>
      <c r="C23" s="3">
        <v>15254.02</v>
      </c>
      <c r="D23" s="3">
        <v>15372.13</v>
      </c>
      <c r="E23" s="3">
        <v>15208.88</v>
      </c>
      <c r="F23" t="s">
        <v>397</v>
      </c>
      <c r="G23" s="2">
        <v>1.2999999999999999E-2</v>
      </c>
    </row>
    <row r="24" spans="1:7" x14ac:dyDescent="0.4">
      <c r="A24" s="1">
        <v>45324</v>
      </c>
      <c r="B24" s="3">
        <v>15628.95</v>
      </c>
      <c r="C24" s="3">
        <v>15403.16</v>
      </c>
      <c r="D24" s="3">
        <v>15664.21</v>
      </c>
      <c r="E24" s="3">
        <v>15366.78</v>
      </c>
      <c r="F24" t="s">
        <v>483</v>
      </c>
      <c r="G24" s="2">
        <v>1.7399999999999999E-2</v>
      </c>
    </row>
    <row r="25" spans="1:7" x14ac:dyDescent="0.4">
      <c r="A25" s="1">
        <v>45327</v>
      </c>
      <c r="B25" s="3">
        <v>15597.68</v>
      </c>
      <c r="C25" s="3">
        <v>15613.99</v>
      </c>
      <c r="D25" s="3">
        <v>15637.88</v>
      </c>
      <c r="E25" s="3">
        <v>15471.68</v>
      </c>
      <c r="F25" t="s">
        <v>482</v>
      </c>
      <c r="G25" s="2">
        <v>-2E-3</v>
      </c>
    </row>
    <row r="26" spans="1:7" x14ac:dyDescent="0.4">
      <c r="A26" s="1">
        <v>45328</v>
      </c>
      <c r="B26" s="3">
        <v>15609</v>
      </c>
      <c r="C26" s="3">
        <v>15638.19</v>
      </c>
      <c r="D26" s="3">
        <v>15652.75</v>
      </c>
      <c r="E26" s="3">
        <v>15515.25</v>
      </c>
      <c r="F26" t="s">
        <v>481</v>
      </c>
      <c r="G26" s="2">
        <v>6.9999999999999999E-4</v>
      </c>
    </row>
    <row r="27" spans="1:7" x14ac:dyDescent="0.4">
      <c r="A27" s="1">
        <v>45329</v>
      </c>
      <c r="B27" s="3">
        <v>15756.64</v>
      </c>
      <c r="C27" s="3">
        <v>15690.35</v>
      </c>
      <c r="D27" s="3">
        <v>15770.67</v>
      </c>
      <c r="E27" s="3">
        <v>15645.8</v>
      </c>
      <c r="F27" t="s">
        <v>480</v>
      </c>
      <c r="G27" s="2">
        <v>9.4999999999999998E-3</v>
      </c>
    </row>
    <row r="28" spans="1:7" x14ac:dyDescent="0.4">
      <c r="A28" s="1">
        <v>45330</v>
      </c>
      <c r="B28" s="3">
        <v>15793.71</v>
      </c>
      <c r="C28" s="3">
        <v>15762.23</v>
      </c>
      <c r="D28" s="3">
        <v>15813.27</v>
      </c>
      <c r="E28" s="3">
        <v>15739.18</v>
      </c>
      <c r="F28" t="s">
        <v>395</v>
      </c>
      <c r="G28" s="2">
        <v>2.3999999999999998E-3</v>
      </c>
    </row>
    <row r="29" spans="1:7" x14ac:dyDescent="0.4">
      <c r="A29" s="1">
        <v>45331</v>
      </c>
      <c r="B29" s="3">
        <v>15990.66</v>
      </c>
      <c r="C29" s="3">
        <v>15842.38</v>
      </c>
      <c r="D29" s="3">
        <v>16007.29</v>
      </c>
      <c r="E29" s="3">
        <v>15831.76</v>
      </c>
      <c r="F29" t="s">
        <v>416</v>
      </c>
      <c r="G29" s="2">
        <v>1.2500000000000001E-2</v>
      </c>
    </row>
    <row r="30" spans="1:7" x14ac:dyDescent="0.4">
      <c r="A30" s="1">
        <v>45334</v>
      </c>
      <c r="B30" s="3">
        <v>15942.54</v>
      </c>
      <c r="C30" s="3">
        <v>15980.62</v>
      </c>
      <c r="D30" s="3">
        <v>16080.07</v>
      </c>
      <c r="E30" s="3">
        <v>15917.87</v>
      </c>
      <c r="F30" t="s">
        <v>409</v>
      </c>
      <c r="G30" s="2">
        <v>-3.0000000000000001E-3</v>
      </c>
    </row>
    <row r="31" spans="1:7" x14ac:dyDescent="0.4">
      <c r="A31" s="1">
        <v>45335</v>
      </c>
      <c r="B31" s="3">
        <v>15655.6</v>
      </c>
      <c r="C31" s="3">
        <v>15598.88</v>
      </c>
      <c r="D31" s="3">
        <v>15770.42</v>
      </c>
      <c r="E31" s="3">
        <v>15551.44</v>
      </c>
      <c r="F31" t="s">
        <v>450</v>
      </c>
      <c r="G31" s="2">
        <v>-1.7999999999999999E-2</v>
      </c>
    </row>
    <row r="32" spans="1:7" x14ac:dyDescent="0.4">
      <c r="A32" s="1">
        <v>45336</v>
      </c>
      <c r="B32" s="3">
        <v>15859.15</v>
      </c>
      <c r="C32" s="3">
        <v>15781.71</v>
      </c>
      <c r="D32" s="3">
        <v>15865.51</v>
      </c>
      <c r="E32" s="3">
        <v>15683.94</v>
      </c>
      <c r="F32" t="s">
        <v>416</v>
      </c>
      <c r="G32" s="2">
        <v>1.2999999999999999E-2</v>
      </c>
    </row>
    <row r="33" spans="1:7" x14ac:dyDescent="0.4">
      <c r="A33" s="1">
        <v>45337</v>
      </c>
      <c r="B33" s="3">
        <v>15906.17</v>
      </c>
      <c r="C33" s="3">
        <v>15865.3</v>
      </c>
      <c r="D33" s="3">
        <v>15911.22</v>
      </c>
      <c r="E33" s="3">
        <v>15779.71</v>
      </c>
      <c r="F33" t="s">
        <v>355</v>
      </c>
      <c r="G33" s="2">
        <v>3.0000000000000001E-3</v>
      </c>
    </row>
    <row r="34" spans="1:7" x14ac:dyDescent="0.4">
      <c r="A34" s="1">
        <v>45338</v>
      </c>
      <c r="B34" s="3">
        <v>15775.65</v>
      </c>
      <c r="C34" s="3">
        <v>15910.43</v>
      </c>
      <c r="D34" s="3">
        <v>15917.41</v>
      </c>
      <c r="E34" s="3">
        <v>15752.02</v>
      </c>
      <c r="F34" t="s">
        <v>385</v>
      </c>
      <c r="G34" s="2">
        <v>-8.2000000000000007E-3</v>
      </c>
    </row>
    <row r="35" spans="1:7" x14ac:dyDescent="0.4">
      <c r="A35" s="1">
        <v>45342</v>
      </c>
      <c r="B35" s="3">
        <v>15630.78</v>
      </c>
      <c r="C35" s="3">
        <v>15679.84</v>
      </c>
      <c r="D35" s="3">
        <v>15730.47</v>
      </c>
      <c r="E35" s="3">
        <v>15508.5</v>
      </c>
      <c r="F35" t="s">
        <v>407</v>
      </c>
      <c r="G35" s="2">
        <v>-9.1999999999999998E-3</v>
      </c>
    </row>
    <row r="36" spans="1:7" x14ac:dyDescent="0.4">
      <c r="A36" s="1">
        <v>45343</v>
      </c>
      <c r="B36" s="3">
        <v>15580.87</v>
      </c>
      <c r="C36" s="3">
        <v>15532.12</v>
      </c>
      <c r="D36" s="3">
        <v>15583.68</v>
      </c>
      <c r="E36" s="3">
        <v>15451.65</v>
      </c>
      <c r="F36" t="s">
        <v>479</v>
      </c>
      <c r="G36" s="2">
        <v>-3.2000000000000002E-3</v>
      </c>
    </row>
    <row r="37" spans="1:7" x14ac:dyDescent="0.4">
      <c r="A37" s="1">
        <v>45344</v>
      </c>
      <c r="B37" s="3">
        <v>16041.62</v>
      </c>
      <c r="C37" s="3">
        <v>15904.48</v>
      </c>
      <c r="D37" s="3">
        <v>16061.82</v>
      </c>
      <c r="E37" s="3">
        <v>15869.24</v>
      </c>
      <c r="F37" t="s">
        <v>330</v>
      </c>
      <c r="G37" s="2">
        <v>2.9600000000000001E-2</v>
      </c>
    </row>
    <row r="38" spans="1:7" x14ac:dyDescent="0.4">
      <c r="A38" s="1">
        <v>45345</v>
      </c>
      <c r="B38" s="3">
        <v>15996.82</v>
      </c>
      <c r="C38" s="3">
        <v>16094.8</v>
      </c>
      <c r="D38" s="3">
        <v>16134.22</v>
      </c>
      <c r="E38" s="3">
        <v>15954.5</v>
      </c>
      <c r="F38" t="s">
        <v>423</v>
      </c>
      <c r="G38" s="2">
        <v>-2.8E-3</v>
      </c>
    </row>
    <row r="39" spans="1:7" x14ac:dyDescent="0.4">
      <c r="A39" s="1">
        <v>45348</v>
      </c>
      <c r="B39" s="3">
        <v>15976.25</v>
      </c>
      <c r="C39" s="3">
        <v>16014.45</v>
      </c>
      <c r="D39" s="3">
        <v>16054.9</v>
      </c>
      <c r="E39" s="3">
        <v>15973.9</v>
      </c>
      <c r="F39" t="s">
        <v>447</v>
      </c>
      <c r="G39" s="2">
        <v>-1.2999999999999999E-3</v>
      </c>
    </row>
    <row r="40" spans="1:7" x14ac:dyDescent="0.4">
      <c r="A40" s="1">
        <v>45349</v>
      </c>
      <c r="B40" s="3">
        <v>16035.3</v>
      </c>
      <c r="C40" s="3">
        <v>16013.98</v>
      </c>
      <c r="D40" s="3">
        <v>16046.1</v>
      </c>
      <c r="E40" s="3">
        <v>15940.51</v>
      </c>
      <c r="F40" t="s">
        <v>407</v>
      </c>
      <c r="G40" s="2">
        <v>3.7000000000000002E-3</v>
      </c>
    </row>
    <row r="41" spans="1:7" x14ac:dyDescent="0.4">
      <c r="A41" s="1">
        <v>45350</v>
      </c>
      <c r="B41" s="3">
        <v>15947.74</v>
      </c>
      <c r="C41" s="3">
        <v>15969.14</v>
      </c>
      <c r="D41" s="3">
        <v>16003.56</v>
      </c>
      <c r="E41" s="3">
        <v>15924.72</v>
      </c>
      <c r="F41" t="s">
        <v>407</v>
      </c>
      <c r="G41" s="2">
        <v>-5.4999999999999997E-3</v>
      </c>
    </row>
    <row r="42" spans="1:7" x14ac:dyDescent="0.4">
      <c r="A42" s="1">
        <v>45351</v>
      </c>
      <c r="B42" s="3">
        <v>16091.92</v>
      </c>
      <c r="C42" s="3">
        <v>16059.34</v>
      </c>
      <c r="D42" s="3">
        <v>16115.96</v>
      </c>
      <c r="E42" s="3">
        <v>15931.7</v>
      </c>
      <c r="F42" t="s">
        <v>357</v>
      </c>
      <c r="G42" s="2">
        <v>8.9999999999999993E-3</v>
      </c>
    </row>
    <row r="43" spans="1:7" x14ac:dyDescent="0.4">
      <c r="A43" s="1">
        <v>45352</v>
      </c>
      <c r="B43" s="3">
        <v>16274.94</v>
      </c>
      <c r="C43" s="3">
        <v>16109.83</v>
      </c>
      <c r="D43" s="3">
        <v>16302.24</v>
      </c>
      <c r="E43" s="3">
        <v>16096.6</v>
      </c>
      <c r="F43" t="s">
        <v>407</v>
      </c>
      <c r="G43" s="2">
        <v>1.14E-2</v>
      </c>
    </row>
    <row r="44" spans="1:7" x14ac:dyDescent="0.4">
      <c r="A44" s="1">
        <v>45355</v>
      </c>
      <c r="B44" s="3">
        <v>16207.51</v>
      </c>
      <c r="C44" s="3">
        <v>16264.21</v>
      </c>
      <c r="D44" s="3">
        <v>16289.06</v>
      </c>
      <c r="E44" s="3">
        <v>16199.06</v>
      </c>
      <c r="F44" t="s">
        <v>335</v>
      </c>
      <c r="G44" s="2">
        <v>-4.1000000000000003E-3</v>
      </c>
    </row>
    <row r="45" spans="1:7" x14ac:dyDescent="0.4">
      <c r="A45" s="1">
        <v>45356</v>
      </c>
      <c r="B45" s="3">
        <v>15939.59</v>
      </c>
      <c r="C45" s="3">
        <v>16077.74</v>
      </c>
      <c r="D45" s="3">
        <v>16087.57</v>
      </c>
      <c r="E45" s="3">
        <v>15862.63</v>
      </c>
      <c r="F45" t="s">
        <v>340</v>
      </c>
      <c r="G45" s="2">
        <v>-1.6500000000000001E-2</v>
      </c>
    </row>
    <row r="46" spans="1:7" x14ac:dyDescent="0.4">
      <c r="A46" s="1">
        <v>45357</v>
      </c>
      <c r="B46" s="3">
        <v>16031.54</v>
      </c>
      <c r="C46" s="3">
        <v>16092</v>
      </c>
      <c r="D46" s="3">
        <v>16128.56</v>
      </c>
      <c r="E46" s="3">
        <v>15956.66</v>
      </c>
      <c r="F46" t="s">
        <v>406</v>
      </c>
      <c r="G46" s="2">
        <v>5.7999999999999996E-3</v>
      </c>
    </row>
    <row r="47" spans="1:7" x14ac:dyDescent="0.4">
      <c r="A47" s="1">
        <v>45358</v>
      </c>
      <c r="B47" s="3">
        <v>16273.38</v>
      </c>
      <c r="C47" s="3">
        <v>16147.32</v>
      </c>
      <c r="D47" s="3">
        <v>16309.02</v>
      </c>
      <c r="E47" s="3">
        <v>16096.01</v>
      </c>
      <c r="F47" t="s">
        <v>377</v>
      </c>
      <c r="G47" s="2">
        <v>1.5100000000000001E-2</v>
      </c>
    </row>
    <row r="48" spans="1:7" x14ac:dyDescent="0.4">
      <c r="A48" s="1">
        <v>45359</v>
      </c>
      <c r="B48" s="3">
        <v>16085.11</v>
      </c>
      <c r="C48" s="3">
        <v>16322.1</v>
      </c>
      <c r="D48" s="3">
        <v>16449.7</v>
      </c>
      <c r="E48" s="3">
        <v>16059.5</v>
      </c>
      <c r="F48" t="s">
        <v>409</v>
      </c>
      <c r="G48" s="2">
        <v>-1.1599999999999999E-2</v>
      </c>
    </row>
    <row r="49" spans="1:7" x14ac:dyDescent="0.4">
      <c r="A49" s="1">
        <v>45362</v>
      </c>
      <c r="B49" s="3">
        <v>16019.27</v>
      </c>
      <c r="C49" s="3">
        <v>16052.63</v>
      </c>
      <c r="D49" s="3">
        <v>16085.95</v>
      </c>
      <c r="E49" s="3">
        <v>15978.04</v>
      </c>
      <c r="F49" t="s">
        <v>478</v>
      </c>
      <c r="G49" s="2">
        <v>-4.1000000000000003E-3</v>
      </c>
    </row>
    <row r="50" spans="1:7" x14ac:dyDescent="0.4">
      <c r="A50" s="1">
        <v>45363</v>
      </c>
      <c r="B50" s="3">
        <v>16265.64</v>
      </c>
      <c r="C50" s="3">
        <v>16116.98</v>
      </c>
      <c r="D50" s="3">
        <v>16275.45</v>
      </c>
      <c r="E50" s="3">
        <v>15992.98</v>
      </c>
      <c r="F50" t="s">
        <v>395</v>
      </c>
      <c r="G50" s="2">
        <v>1.54E-2</v>
      </c>
    </row>
    <row r="51" spans="1:7" x14ac:dyDescent="0.4">
      <c r="A51" s="1">
        <v>45364</v>
      </c>
      <c r="B51" s="3">
        <v>16177.77</v>
      </c>
      <c r="C51" s="3">
        <v>16220.11</v>
      </c>
      <c r="D51" s="3">
        <v>16233.29</v>
      </c>
      <c r="E51" s="3">
        <v>16143.34</v>
      </c>
      <c r="F51" t="s">
        <v>409</v>
      </c>
      <c r="G51" s="2">
        <v>-5.4000000000000003E-3</v>
      </c>
    </row>
    <row r="52" spans="1:7" x14ac:dyDescent="0.4">
      <c r="A52" s="1">
        <v>45365</v>
      </c>
      <c r="B52" s="3">
        <v>16128.53</v>
      </c>
      <c r="C52" s="3">
        <v>16209.19</v>
      </c>
      <c r="D52" s="3">
        <v>16245.32</v>
      </c>
      <c r="E52" s="3">
        <v>16039.68</v>
      </c>
      <c r="F52" t="s">
        <v>477</v>
      </c>
      <c r="G52" s="2">
        <v>-3.0000000000000001E-3</v>
      </c>
    </row>
    <row r="53" spans="1:7" x14ac:dyDescent="0.4">
      <c r="A53" s="1">
        <v>45366</v>
      </c>
      <c r="B53" s="3">
        <v>15973.17</v>
      </c>
      <c r="C53" s="3">
        <v>16043.58</v>
      </c>
      <c r="D53" s="3">
        <v>16055.33</v>
      </c>
      <c r="E53" s="3">
        <v>15925.91</v>
      </c>
      <c r="F53" t="s">
        <v>476</v>
      </c>
      <c r="G53" s="2">
        <v>-9.5999999999999992E-3</v>
      </c>
    </row>
    <row r="54" spans="1:7" x14ac:dyDescent="0.4">
      <c r="A54" s="1">
        <v>45369</v>
      </c>
      <c r="B54" s="3">
        <v>16103.45</v>
      </c>
      <c r="C54" s="3">
        <v>16154.92</v>
      </c>
      <c r="D54" s="3">
        <v>16247.59</v>
      </c>
      <c r="E54" s="3">
        <v>16094.17</v>
      </c>
      <c r="F54" t="s">
        <v>391</v>
      </c>
      <c r="G54" s="2">
        <v>8.2000000000000007E-3</v>
      </c>
    </row>
    <row r="55" spans="1:7" x14ac:dyDescent="0.4">
      <c r="A55" s="1">
        <v>45370</v>
      </c>
      <c r="B55" s="3">
        <v>16166.79</v>
      </c>
      <c r="C55" s="3">
        <v>16031.93</v>
      </c>
      <c r="D55" s="3">
        <v>16175.59</v>
      </c>
      <c r="E55" s="3">
        <v>15951.86</v>
      </c>
      <c r="F55" t="s">
        <v>391</v>
      </c>
      <c r="G55" s="2">
        <v>3.8999999999999998E-3</v>
      </c>
    </row>
    <row r="56" spans="1:7" x14ac:dyDescent="0.4">
      <c r="A56" s="1">
        <v>45371</v>
      </c>
      <c r="B56" s="3">
        <v>16369.41</v>
      </c>
      <c r="C56" s="3">
        <v>16185.76</v>
      </c>
      <c r="D56" s="3">
        <v>16377.44</v>
      </c>
      <c r="E56" s="3">
        <v>16127.48</v>
      </c>
      <c r="F56" t="s">
        <v>377</v>
      </c>
      <c r="G56" s="2">
        <v>1.2500000000000001E-2</v>
      </c>
    </row>
    <row r="57" spans="1:7" x14ac:dyDescent="0.4">
      <c r="A57" s="1">
        <v>45372</v>
      </c>
      <c r="B57" s="3">
        <v>16401.84</v>
      </c>
      <c r="C57" s="3">
        <v>16517.240000000002</v>
      </c>
      <c r="D57" s="3">
        <v>16538.86</v>
      </c>
      <c r="E57" s="3">
        <v>16393.900000000001</v>
      </c>
      <c r="F57" t="s">
        <v>447</v>
      </c>
      <c r="G57" s="2">
        <v>2E-3</v>
      </c>
    </row>
    <row r="58" spans="1:7" x14ac:dyDescent="0.4">
      <c r="A58" s="1">
        <v>45373</v>
      </c>
      <c r="B58" s="3">
        <v>16428.82</v>
      </c>
      <c r="C58" s="3">
        <v>16387.830000000002</v>
      </c>
      <c r="D58" s="3">
        <v>16467.62</v>
      </c>
      <c r="E58" s="3">
        <v>16361</v>
      </c>
      <c r="F58" t="s">
        <v>475</v>
      </c>
      <c r="G58" s="2">
        <v>1.6000000000000001E-3</v>
      </c>
    </row>
    <row r="59" spans="1:7" x14ac:dyDescent="0.4">
      <c r="A59" s="1">
        <v>45376</v>
      </c>
      <c r="B59" s="3">
        <v>16384.47</v>
      </c>
      <c r="C59" s="3">
        <v>16335.3</v>
      </c>
      <c r="D59" s="3">
        <v>16441.169999999998</v>
      </c>
      <c r="E59" s="3">
        <v>16315.72</v>
      </c>
      <c r="F59" t="s">
        <v>474</v>
      </c>
      <c r="G59" s="2">
        <v>-2.7000000000000001E-3</v>
      </c>
    </row>
    <row r="60" spans="1:7" x14ac:dyDescent="0.4">
      <c r="A60" s="1">
        <v>45377</v>
      </c>
      <c r="B60" s="3">
        <v>16315.7</v>
      </c>
      <c r="C60" s="3">
        <v>16446.849999999999</v>
      </c>
      <c r="D60" s="3">
        <v>16476.38</v>
      </c>
      <c r="E60" s="3">
        <v>16312.95</v>
      </c>
      <c r="F60" t="s">
        <v>423</v>
      </c>
      <c r="G60" s="2">
        <v>-4.1999999999999997E-3</v>
      </c>
    </row>
    <row r="61" spans="1:7" x14ac:dyDescent="0.4">
      <c r="A61" s="1">
        <v>45378</v>
      </c>
      <c r="B61" s="3">
        <v>16399.52</v>
      </c>
      <c r="C61" s="3">
        <v>16424.759999999998</v>
      </c>
      <c r="D61" s="3">
        <v>16431.82</v>
      </c>
      <c r="E61" s="3">
        <v>16279.17</v>
      </c>
      <c r="F61" t="s">
        <v>473</v>
      </c>
      <c r="G61" s="2">
        <v>5.1000000000000004E-3</v>
      </c>
    </row>
    <row r="62" spans="1:7" x14ac:dyDescent="0.4">
      <c r="A62" s="1">
        <v>45379</v>
      </c>
      <c r="B62" s="3">
        <v>16379.46</v>
      </c>
      <c r="C62" s="3">
        <v>16377.23</v>
      </c>
      <c r="D62" s="3">
        <v>16420.919999999998</v>
      </c>
      <c r="E62" s="3">
        <v>16347.38</v>
      </c>
      <c r="F62" t="s">
        <v>355</v>
      </c>
      <c r="G62" s="2">
        <v>-1.1999999999999999E-3</v>
      </c>
    </row>
    <row r="63" spans="1:7" x14ac:dyDescent="0.4">
      <c r="A63" s="1">
        <v>45383</v>
      </c>
      <c r="B63" s="3">
        <v>16396.830000000002</v>
      </c>
      <c r="C63" s="3">
        <v>16397.05</v>
      </c>
      <c r="D63" s="3">
        <v>16490.650000000001</v>
      </c>
      <c r="E63" s="3">
        <v>16327.89</v>
      </c>
      <c r="F63" t="s">
        <v>472</v>
      </c>
      <c r="G63" s="2">
        <v>1.1000000000000001E-3</v>
      </c>
    </row>
    <row r="64" spans="1:7" x14ac:dyDescent="0.4">
      <c r="A64" s="1">
        <v>45384</v>
      </c>
      <c r="B64" s="3">
        <v>16240.45</v>
      </c>
      <c r="C64" s="3">
        <v>16199.24</v>
      </c>
      <c r="D64" s="3">
        <v>16251.41</v>
      </c>
      <c r="E64" s="3">
        <v>16137.24</v>
      </c>
      <c r="F64" t="s">
        <v>377</v>
      </c>
      <c r="G64" s="2">
        <v>-9.4999999999999998E-3</v>
      </c>
    </row>
    <row r="65" spans="1:7" x14ac:dyDescent="0.4">
      <c r="A65" s="1">
        <v>45385</v>
      </c>
      <c r="B65" s="3">
        <v>16277.46</v>
      </c>
      <c r="C65" s="3">
        <v>16178.79</v>
      </c>
      <c r="D65" s="3">
        <v>16340.74</v>
      </c>
      <c r="E65" s="3">
        <v>16169.31</v>
      </c>
      <c r="F65" t="s">
        <v>397</v>
      </c>
      <c r="G65" s="2">
        <v>2.3E-3</v>
      </c>
    </row>
    <row r="66" spans="1:7" x14ac:dyDescent="0.4">
      <c r="A66" s="1">
        <v>45386</v>
      </c>
      <c r="B66" s="3">
        <v>16049.08</v>
      </c>
      <c r="C66" s="3">
        <v>16418.57</v>
      </c>
      <c r="D66" s="3">
        <v>16468.04</v>
      </c>
      <c r="E66" s="3">
        <v>16046.56</v>
      </c>
      <c r="F66" t="s">
        <v>390</v>
      </c>
      <c r="G66" s="2">
        <v>-1.4E-2</v>
      </c>
    </row>
    <row r="67" spans="1:7" x14ac:dyDescent="0.4">
      <c r="A67" s="1">
        <v>45387</v>
      </c>
      <c r="B67" s="3">
        <v>16248.52</v>
      </c>
      <c r="C67" s="3">
        <v>16095.4</v>
      </c>
      <c r="D67" s="3">
        <v>16326.5</v>
      </c>
      <c r="E67" s="3">
        <v>16080.49</v>
      </c>
      <c r="F67" t="s">
        <v>471</v>
      </c>
      <c r="G67" s="2">
        <v>1.24E-2</v>
      </c>
    </row>
    <row r="68" spans="1:7" x14ac:dyDescent="0.4">
      <c r="A68" s="1">
        <v>45390</v>
      </c>
      <c r="B68" s="3">
        <v>16253.96</v>
      </c>
      <c r="C68" s="3">
        <v>16285.18</v>
      </c>
      <c r="D68" s="3">
        <v>16323.6</v>
      </c>
      <c r="E68" s="3">
        <v>16220.72</v>
      </c>
      <c r="F68" t="s">
        <v>470</v>
      </c>
      <c r="G68" s="2">
        <v>2.9999999999999997E-4</v>
      </c>
    </row>
    <row r="69" spans="1:7" x14ac:dyDescent="0.4">
      <c r="A69" s="1">
        <v>45391</v>
      </c>
      <c r="B69" s="3">
        <v>16306.64</v>
      </c>
      <c r="C69" s="3">
        <v>16328.76</v>
      </c>
      <c r="D69" s="3">
        <v>16348.18</v>
      </c>
      <c r="E69" s="3">
        <v>16141.15</v>
      </c>
      <c r="F69" t="s">
        <v>469</v>
      </c>
      <c r="G69" s="2">
        <v>3.2000000000000002E-3</v>
      </c>
    </row>
    <row r="70" spans="1:7" x14ac:dyDescent="0.4">
      <c r="A70" s="1">
        <v>45392</v>
      </c>
      <c r="B70" s="3">
        <v>16170.36</v>
      </c>
      <c r="C70" s="3">
        <v>16104.01</v>
      </c>
      <c r="D70" s="3">
        <v>16200.1</v>
      </c>
      <c r="E70" s="3">
        <v>16092.02</v>
      </c>
      <c r="F70" t="s">
        <v>468</v>
      </c>
      <c r="G70" s="2">
        <v>-8.3999999999999995E-3</v>
      </c>
    </row>
    <row r="71" spans="1:7" x14ac:dyDescent="0.4">
      <c r="A71" s="1">
        <v>45393</v>
      </c>
      <c r="B71" s="3">
        <v>16442.2</v>
      </c>
      <c r="C71" s="3">
        <v>16236.2</v>
      </c>
      <c r="D71" s="3">
        <v>16464.599999999999</v>
      </c>
      <c r="E71" s="3">
        <v>16154.65</v>
      </c>
      <c r="F71" t="s">
        <v>467</v>
      </c>
      <c r="G71" s="2">
        <v>1.6799999999999999E-2</v>
      </c>
    </row>
    <row r="72" spans="1:7" x14ac:dyDescent="0.4">
      <c r="A72" s="1">
        <v>45394</v>
      </c>
      <c r="B72" s="3">
        <v>16175.09</v>
      </c>
      <c r="C72" s="3">
        <v>16293.03</v>
      </c>
      <c r="D72" s="3">
        <v>16341.46</v>
      </c>
      <c r="E72" s="3">
        <v>16125.33</v>
      </c>
      <c r="F72" t="s">
        <v>466</v>
      </c>
      <c r="G72" s="2">
        <v>-1.6199999999999999E-2</v>
      </c>
    </row>
    <row r="73" spans="1:7" x14ac:dyDescent="0.4">
      <c r="A73" s="1">
        <v>45397</v>
      </c>
      <c r="B73" s="3">
        <v>15885.02</v>
      </c>
      <c r="C73" s="3">
        <v>16276.47</v>
      </c>
      <c r="D73" s="3">
        <v>16295.27</v>
      </c>
      <c r="E73" s="3">
        <v>15863.88</v>
      </c>
      <c r="F73" t="s">
        <v>465</v>
      </c>
      <c r="G73" s="2">
        <v>-1.7899999999999999E-2</v>
      </c>
    </row>
    <row r="74" spans="1:7" x14ac:dyDescent="0.4">
      <c r="A74" s="1">
        <v>45398</v>
      </c>
      <c r="B74" s="3">
        <v>15865.25</v>
      </c>
      <c r="C74" s="3">
        <v>15856.38</v>
      </c>
      <c r="D74" s="3">
        <v>15965.79</v>
      </c>
      <c r="E74" s="3">
        <v>15822.02</v>
      </c>
      <c r="F74" t="s">
        <v>464</v>
      </c>
      <c r="G74" s="2">
        <v>-1.1999999999999999E-3</v>
      </c>
    </row>
    <row r="75" spans="1:7" x14ac:dyDescent="0.4">
      <c r="A75" s="1">
        <v>45399</v>
      </c>
      <c r="B75" s="3">
        <v>15683.37</v>
      </c>
      <c r="C75" s="3">
        <v>15942.29</v>
      </c>
      <c r="D75" s="3">
        <v>15957.03</v>
      </c>
      <c r="E75" s="3">
        <v>15654.51</v>
      </c>
      <c r="F75" t="s">
        <v>463</v>
      </c>
      <c r="G75" s="2">
        <v>-1.15E-2</v>
      </c>
    </row>
    <row r="76" spans="1:7" x14ac:dyDescent="0.4">
      <c r="A76" s="1">
        <v>45400</v>
      </c>
      <c r="B76" s="3">
        <v>15601.5</v>
      </c>
      <c r="C76" s="3">
        <v>15705.7</v>
      </c>
      <c r="D76" s="3">
        <v>15786.12</v>
      </c>
      <c r="E76" s="3">
        <v>15587.5</v>
      </c>
      <c r="F76" t="s">
        <v>462</v>
      </c>
      <c r="G76" s="2">
        <v>-5.1999999999999998E-3</v>
      </c>
    </row>
    <row r="77" spans="1:7" x14ac:dyDescent="0.4">
      <c r="A77" s="1">
        <v>45401</v>
      </c>
      <c r="B77" s="3">
        <v>15282.01</v>
      </c>
      <c r="C77" s="3">
        <v>15547.1</v>
      </c>
      <c r="D77" s="3">
        <v>15576.7</v>
      </c>
      <c r="E77" s="3">
        <v>15222.78</v>
      </c>
      <c r="F77" t="s">
        <v>406</v>
      </c>
      <c r="G77" s="2">
        <v>-2.0500000000000001E-2</v>
      </c>
    </row>
    <row r="78" spans="1:7" x14ac:dyDescent="0.4">
      <c r="A78" s="1">
        <v>45404</v>
      </c>
      <c r="B78" s="3">
        <v>15451.3</v>
      </c>
      <c r="C78" s="3">
        <v>15396.13</v>
      </c>
      <c r="D78" s="3">
        <v>15539</v>
      </c>
      <c r="E78" s="3">
        <v>15265.66</v>
      </c>
      <c r="F78" t="s">
        <v>461</v>
      </c>
      <c r="G78" s="2">
        <v>1.11E-2</v>
      </c>
    </row>
    <row r="79" spans="1:7" x14ac:dyDescent="0.4">
      <c r="A79" s="1">
        <v>45405</v>
      </c>
      <c r="B79" s="3">
        <v>15696.64</v>
      </c>
      <c r="C79" s="3">
        <v>15525.55</v>
      </c>
      <c r="D79" s="3">
        <v>15730.35</v>
      </c>
      <c r="E79" s="3">
        <v>15510.58</v>
      </c>
      <c r="F79" t="s">
        <v>460</v>
      </c>
      <c r="G79" s="2">
        <v>1.5900000000000001E-2</v>
      </c>
    </row>
    <row r="80" spans="1:7" x14ac:dyDescent="0.4">
      <c r="A80" s="1">
        <v>45406</v>
      </c>
      <c r="B80" s="3">
        <v>15712.75</v>
      </c>
      <c r="C80" s="3">
        <v>15805.6</v>
      </c>
      <c r="D80" s="3">
        <v>15839</v>
      </c>
      <c r="E80" s="3">
        <v>15634.44</v>
      </c>
      <c r="F80" t="s">
        <v>459</v>
      </c>
      <c r="G80" s="2">
        <v>1E-3</v>
      </c>
    </row>
    <row r="81" spans="1:7" x14ac:dyDescent="0.4">
      <c r="A81" s="1">
        <v>45407</v>
      </c>
      <c r="B81" s="3">
        <v>15611.76</v>
      </c>
      <c r="C81" s="3">
        <v>15375.26</v>
      </c>
      <c r="D81" s="3">
        <v>15644.51</v>
      </c>
      <c r="E81" s="3">
        <v>15343.91</v>
      </c>
      <c r="F81" t="s">
        <v>458</v>
      </c>
      <c r="G81" s="2">
        <v>-6.4000000000000003E-3</v>
      </c>
    </row>
    <row r="82" spans="1:7" x14ac:dyDescent="0.4">
      <c r="A82" s="1">
        <v>45408</v>
      </c>
      <c r="B82" s="3">
        <v>15927.9</v>
      </c>
      <c r="C82" s="3">
        <v>15821.33</v>
      </c>
      <c r="D82" s="3">
        <v>15981</v>
      </c>
      <c r="E82" s="3">
        <v>15770.72</v>
      </c>
      <c r="F82" t="s">
        <v>457</v>
      </c>
      <c r="G82" s="2">
        <v>2.0299999999999999E-2</v>
      </c>
    </row>
    <row r="83" spans="1:7" x14ac:dyDescent="0.4">
      <c r="A83" s="1">
        <v>45411</v>
      </c>
      <c r="B83" s="3">
        <v>15983.08</v>
      </c>
      <c r="C83" s="3">
        <v>16007</v>
      </c>
      <c r="D83" s="3">
        <v>16021.5</v>
      </c>
      <c r="E83" s="3">
        <v>15885.89</v>
      </c>
      <c r="F83" t="s">
        <v>456</v>
      </c>
      <c r="G83" s="2">
        <v>3.5000000000000001E-3</v>
      </c>
    </row>
    <row r="84" spans="1:7" x14ac:dyDescent="0.4">
      <c r="A84" s="1">
        <v>45412</v>
      </c>
      <c r="B84" s="3">
        <v>15657.82</v>
      </c>
      <c r="C84" s="3">
        <v>15920.89</v>
      </c>
      <c r="D84" s="3">
        <v>15979.36</v>
      </c>
      <c r="E84" s="3">
        <v>15655.67</v>
      </c>
      <c r="F84" t="s">
        <v>381</v>
      </c>
      <c r="G84" s="2">
        <v>-2.0400000000000001E-2</v>
      </c>
    </row>
    <row r="85" spans="1:7" x14ac:dyDescent="0.4">
      <c r="A85" s="1">
        <v>45413</v>
      </c>
      <c r="B85" s="3">
        <v>15605.48</v>
      </c>
      <c r="C85" s="3">
        <v>15646.09</v>
      </c>
      <c r="D85" s="3">
        <v>15926.22</v>
      </c>
      <c r="E85" s="3">
        <v>15557.64</v>
      </c>
      <c r="F85" t="s">
        <v>385</v>
      </c>
      <c r="G85" s="2">
        <v>-3.3E-3</v>
      </c>
    </row>
    <row r="86" spans="1:7" x14ac:dyDescent="0.4">
      <c r="A86" s="1">
        <v>45414</v>
      </c>
      <c r="B86" s="3">
        <v>15840.96</v>
      </c>
      <c r="C86" s="3">
        <v>15758.11</v>
      </c>
      <c r="D86" s="3">
        <v>15862.79</v>
      </c>
      <c r="E86" s="3">
        <v>15604.73</v>
      </c>
      <c r="F86" t="s">
        <v>392</v>
      </c>
      <c r="G86" s="2">
        <v>1.5100000000000001E-2</v>
      </c>
    </row>
    <row r="87" spans="1:7" x14ac:dyDescent="0.4">
      <c r="A87" s="1">
        <v>45415</v>
      </c>
      <c r="B87" s="3">
        <v>16156.33</v>
      </c>
      <c r="C87" s="3">
        <v>16147.48</v>
      </c>
      <c r="D87" s="3">
        <v>16204.71</v>
      </c>
      <c r="E87" s="3">
        <v>16068.34</v>
      </c>
      <c r="F87" t="s">
        <v>377</v>
      </c>
      <c r="G87" s="2">
        <v>1.9900000000000001E-2</v>
      </c>
    </row>
    <row r="88" spans="1:7" x14ac:dyDescent="0.4">
      <c r="A88" s="1">
        <v>45418</v>
      </c>
      <c r="B88" s="3">
        <v>16349.25</v>
      </c>
      <c r="C88" s="3">
        <v>16208.54</v>
      </c>
      <c r="D88" s="3">
        <v>16350.08</v>
      </c>
      <c r="E88" s="3">
        <v>16197.86</v>
      </c>
      <c r="F88" t="s">
        <v>455</v>
      </c>
      <c r="G88" s="2">
        <v>1.1900000000000001E-2</v>
      </c>
    </row>
    <row r="89" spans="1:7" x14ac:dyDescent="0.4">
      <c r="A89" s="1">
        <v>45419</v>
      </c>
      <c r="B89" s="3">
        <v>16332.55</v>
      </c>
      <c r="C89" s="3">
        <v>16358.34</v>
      </c>
      <c r="D89" s="3">
        <v>16397.39</v>
      </c>
      <c r="E89" s="3">
        <v>16303.84</v>
      </c>
      <c r="F89" t="s">
        <v>395</v>
      </c>
      <c r="G89" s="2">
        <v>-1E-3</v>
      </c>
    </row>
    <row r="90" spans="1:7" x14ac:dyDescent="0.4">
      <c r="A90" s="1">
        <v>45420</v>
      </c>
      <c r="B90" s="3">
        <v>16302.76</v>
      </c>
      <c r="C90" s="3">
        <v>16226.07</v>
      </c>
      <c r="D90" s="3">
        <v>16341.65</v>
      </c>
      <c r="E90" s="3">
        <v>16226.07</v>
      </c>
      <c r="F90" t="s">
        <v>454</v>
      </c>
      <c r="G90" s="2">
        <v>-1.8E-3</v>
      </c>
    </row>
    <row r="91" spans="1:7" x14ac:dyDescent="0.4">
      <c r="A91" s="1">
        <v>45421</v>
      </c>
      <c r="B91" s="3">
        <v>16346.26</v>
      </c>
      <c r="C91" s="3">
        <v>16323.74</v>
      </c>
      <c r="D91" s="3">
        <v>16362.79</v>
      </c>
      <c r="E91" s="3">
        <v>16241.98</v>
      </c>
      <c r="F91" t="s">
        <v>453</v>
      </c>
      <c r="G91" s="2">
        <v>2.7000000000000001E-3</v>
      </c>
    </row>
    <row r="92" spans="1:7" x14ac:dyDescent="0.4">
      <c r="A92" s="1">
        <v>45422</v>
      </c>
      <c r="B92" s="3">
        <v>16340.87</v>
      </c>
      <c r="C92" s="3">
        <v>16389.02</v>
      </c>
      <c r="D92" s="3">
        <v>16437.39</v>
      </c>
      <c r="E92" s="3">
        <v>16293.52</v>
      </c>
      <c r="F92" t="s">
        <v>452</v>
      </c>
      <c r="G92" s="2">
        <v>-2.9999999999999997E-4</v>
      </c>
    </row>
    <row r="93" spans="1:7" x14ac:dyDescent="0.4">
      <c r="A93" s="1">
        <v>45425</v>
      </c>
      <c r="B93" s="3">
        <v>16388.240000000002</v>
      </c>
      <c r="C93" s="3">
        <v>16400.310000000001</v>
      </c>
      <c r="D93" s="3">
        <v>16407.05</v>
      </c>
      <c r="E93" s="3">
        <v>16334.86</v>
      </c>
      <c r="F93" t="s">
        <v>451</v>
      </c>
      <c r="G93" s="2">
        <v>2.8999999999999998E-3</v>
      </c>
    </row>
    <row r="94" spans="1:7" x14ac:dyDescent="0.4">
      <c r="A94" s="1">
        <v>45426</v>
      </c>
      <c r="B94" s="3">
        <v>16511.18</v>
      </c>
      <c r="C94" s="3">
        <v>16391.16</v>
      </c>
      <c r="D94" s="3">
        <v>16526.27</v>
      </c>
      <c r="E94" s="3">
        <v>16386.439999999999</v>
      </c>
      <c r="F94" t="s">
        <v>371</v>
      </c>
      <c r="G94" s="2">
        <v>7.4999999999999997E-3</v>
      </c>
    </row>
    <row r="95" spans="1:7" x14ac:dyDescent="0.4">
      <c r="A95" s="1">
        <v>45427</v>
      </c>
      <c r="B95" s="3">
        <v>16742.39</v>
      </c>
      <c r="C95" s="3">
        <v>16601.14</v>
      </c>
      <c r="D95" s="3">
        <v>16749.740000000002</v>
      </c>
      <c r="E95" s="3">
        <v>16544.09</v>
      </c>
      <c r="F95" t="s">
        <v>363</v>
      </c>
      <c r="G95" s="2">
        <v>1.4E-2</v>
      </c>
    </row>
    <row r="96" spans="1:7" x14ac:dyDescent="0.4">
      <c r="A96" s="1">
        <v>45428</v>
      </c>
      <c r="B96" s="3">
        <v>16698.32</v>
      </c>
      <c r="C96" s="3">
        <v>16738.11</v>
      </c>
      <c r="D96" s="3">
        <v>16797.830000000002</v>
      </c>
      <c r="E96" s="3">
        <v>16693.45</v>
      </c>
      <c r="F96" t="s">
        <v>362</v>
      </c>
      <c r="G96" s="2">
        <v>-2.5999999999999999E-3</v>
      </c>
    </row>
    <row r="97" spans="1:7" x14ac:dyDescent="0.4">
      <c r="A97" s="1">
        <v>45429</v>
      </c>
      <c r="B97" s="3">
        <v>16685.97</v>
      </c>
      <c r="C97" s="3">
        <v>16708.490000000002</v>
      </c>
      <c r="D97" s="3">
        <v>16726.41</v>
      </c>
      <c r="E97" s="3">
        <v>16613.84</v>
      </c>
      <c r="F97" t="s">
        <v>389</v>
      </c>
      <c r="G97" s="2">
        <v>-6.9999999999999999E-4</v>
      </c>
    </row>
    <row r="98" spans="1:7" x14ac:dyDescent="0.4">
      <c r="A98" s="1">
        <v>45432</v>
      </c>
      <c r="B98" s="3">
        <v>16794.87</v>
      </c>
      <c r="C98" s="3">
        <v>16702.02</v>
      </c>
      <c r="D98" s="3">
        <v>16823.830000000002</v>
      </c>
      <c r="E98" s="3">
        <v>16695.689999999999</v>
      </c>
      <c r="F98" t="s">
        <v>385</v>
      </c>
      <c r="G98" s="2">
        <v>6.4999999999999997E-3</v>
      </c>
    </row>
    <row r="99" spans="1:7" x14ac:dyDescent="0.4">
      <c r="A99" s="1">
        <v>45433</v>
      </c>
      <c r="B99" s="3">
        <v>16832.62</v>
      </c>
      <c r="C99" s="3">
        <v>16736.099999999999</v>
      </c>
      <c r="D99" s="3">
        <v>16839.02</v>
      </c>
      <c r="E99" s="3">
        <v>16719.97</v>
      </c>
      <c r="F99" t="s">
        <v>395</v>
      </c>
      <c r="G99" s="2">
        <v>2.2000000000000001E-3</v>
      </c>
    </row>
    <row r="100" spans="1:7" x14ac:dyDescent="0.4">
      <c r="A100" s="1">
        <v>45434</v>
      </c>
      <c r="B100" s="3">
        <v>16801.54</v>
      </c>
      <c r="C100" s="3">
        <v>16839.02</v>
      </c>
      <c r="D100" s="3">
        <v>16855.27</v>
      </c>
      <c r="E100" s="3">
        <v>16712.09</v>
      </c>
      <c r="F100" t="s">
        <v>381</v>
      </c>
      <c r="G100" s="2">
        <v>-1.8E-3</v>
      </c>
    </row>
    <row r="101" spans="1:7" x14ac:dyDescent="0.4">
      <c r="A101" s="1">
        <v>45435</v>
      </c>
      <c r="B101" s="3">
        <v>16736.03</v>
      </c>
      <c r="C101" s="3">
        <v>16996.38</v>
      </c>
      <c r="D101" s="3">
        <v>16996.38</v>
      </c>
      <c r="E101" s="3">
        <v>16678.37</v>
      </c>
      <c r="F101" t="s">
        <v>450</v>
      </c>
      <c r="G101" s="2">
        <v>-3.8999999999999998E-3</v>
      </c>
    </row>
    <row r="102" spans="1:7" x14ac:dyDescent="0.4">
      <c r="A102" s="1">
        <v>45436</v>
      </c>
      <c r="B102" s="3">
        <v>16920.79</v>
      </c>
      <c r="C102" s="3">
        <v>16786.79</v>
      </c>
      <c r="D102" s="3">
        <v>16947.79</v>
      </c>
      <c r="E102" s="3">
        <v>16771.580000000002</v>
      </c>
      <c r="F102" t="s">
        <v>449</v>
      </c>
      <c r="G102" s="2">
        <v>1.0999999999999999E-2</v>
      </c>
    </row>
    <row r="103" spans="1:7" x14ac:dyDescent="0.4">
      <c r="A103" s="1">
        <v>45440</v>
      </c>
      <c r="B103" s="3">
        <v>17019.88</v>
      </c>
      <c r="C103" s="3">
        <v>16988.310000000001</v>
      </c>
      <c r="D103" s="3">
        <v>17032.650000000001</v>
      </c>
      <c r="E103" s="3">
        <v>16917.509999999998</v>
      </c>
      <c r="F103" t="s">
        <v>407</v>
      </c>
      <c r="G103" s="2">
        <v>5.8999999999999999E-3</v>
      </c>
    </row>
    <row r="104" spans="1:7" x14ac:dyDescent="0.4">
      <c r="A104" s="1">
        <v>45441</v>
      </c>
      <c r="B104" s="3">
        <v>16920.580000000002</v>
      </c>
      <c r="C104" s="3">
        <v>16879.349999999999</v>
      </c>
      <c r="D104" s="3">
        <v>16989.599999999999</v>
      </c>
      <c r="E104" s="3">
        <v>16873.97</v>
      </c>
      <c r="F104" t="s">
        <v>381</v>
      </c>
      <c r="G104" s="2">
        <v>-5.7999999999999996E-3</v>
      </c>
    </row>
    <row r="105" spans="1:7" x14ac:dyDescent="0.4">
      <c r="A105" s="1">
        <v>45442</v>
      </c>
      <c r="B105" s="3">
        <v>16737.080000000002</v>
      </c>
      <c r="C105" s="3">
        <v>16878.63</v>
      </c>
      <c r="D105" s="3">
        <v>16900.46</v>
      </c>
      <c r="E105" s="3">
        <v>16690.36</v>
      </c>
      <c r="F105" t="s">
        <v>406</v>
      </c>
      <c r="G105" s="2">
        <v>-1.0800000000000001E-2</v>
      </c>
    </row>
    <row r="106" spans="1:7" x14ac:dyDescent="0.4">
      <c r="A106" s="1">
        <v>45443</v>
      </c>
      <c r="B106" s="3">
        <v>16735.02</v>
      </c>
      <c r="C106" s="3">
        <v>16771.900000000001</v>
      </c>
      <c r="D106" s="3">
        <v>16789.27</v>
      </c>
      <c r="E106" s="3">
        <v>16445.54</v>
      </c>
      <c r="F106" t="s">
        <v>448</v>
      </c>
      <c r="G106" s="2">
        <v>-1E-4</v>
      </c>
    </row>
    <row r="107" spans="1:7" x14ac:dyDescent="0.4">
      <c r="A107" s="1">
        <v>45446</v>
      </c>
      <c r="B107" s="3">
        <v>16828.669999999998</v>
      </c>
      <c r="C107" s="3">
        <v>16865.7</v>
      </c>
      <c r="D107" s="3">
        <v>16909.89</v>
      </c>
      <c r="E107" s="3">
        <v>16646.43</v>
      </c>
      <c r="F107" t="s">
        <v>447</v>
      </c>
      <c r="G107" s="2">
        <v>5.5999999999999999E-3</v>
      </c>
    </row>
    <row r="108" spans="1:7" x14ac:dyDescent="0.4">
      <c r="A108" s="1">
        <v>45447</v>
      </c>
      <c r="B108" s="3">
        <v>16857.05</v>
      </c>
      <c r="C108" s="3">
        <v>16823.88</v>
      </c>
      <c r="D108" s="3">
        <v>16891.87</v>
      </c>
      <c r="E108" s="3">
        <v>16750.39</v>
      </c>
      <c r="F108" t="s">
        <v>446</v>
      </c>
      <c r="G108" s="2">
        <v>1.6999999999999999E-3</v>
      </c>
    </row>
    <row r="109" spans="1:7" x14ac:dyDescent="0.4">
      <c r="A109" s="1">
        <v>45448</v>
      </c>
      <c r="B109" s="3">
        <v>17187.900000000001</v>
      </c>
      <c r="C109" s="3">
        <v>16974.48</v>
      </c>
      <c r="D109" s="3">
        <v>17187.919999999998</v>
      </c>
      <c r="E109" s="3">
        <v>16955.560000000001</v>
      </c>
      <c r="F109" t="s">
        <v>397</v>
      </c>
      <c r="G109" s="2">
        <v>1.9599999999999999E-2</v>
      </c>
    </row>
    <row r="110" spans="1:7" x14ac:dyDescent="0.4">
      <c r="A110" s="1">
        <v>45449</v>
      </c>
      <c r="B110" s="3">
        <v>17173.12</v>
      </c>
      <c r="C110" s="3">
        <v>17204.87</v>
      </c>
      <c r="D110" s="3">
        <v>17235.73</v>
      </c>
      <c r="E110" s="3">
        <v>17123.59</v>
      </c>
      <c r="F110" t="s">
        <v>445</v>
      </c>
      <c r="G110" s="2">
        <v>-8.9999999999999998E-4</v>
      </c>
    </row>
    <row r="111" spans="1:7" x14ac:dyDescent="0.4">
      <c r="A111" s="1">
        <v>45450</v>
      </c>
      <c r="B111" s="3">
        <v>17133.13</v>
      </c>
      <c r="C111" s="3">
        <v>17124.13</v>
      </c>
      <c r="D111" s="3">
        <v>17229.310000000001</v>
      </c>
      <c r="E111" s="3">
        <v>17090.04</v>
      </c>
      <c r="F111" t="s">
        <v>444</v>
      </c>
      <c r="G111" s="2">
        <v>-2.3E-3</v>
      </c>
    </row>
    <row r="112" spans="1:7" x14ac:dyDescent="0.4">
      <c r="A112" s="1">
        <v>45453</v>
      </c>
      <c r="B112" s="3">
        <v>17192.53</v>
      </c>
      <c r="C112" s="3">
        <v>17083.45</v>
      </c>
      <c r="D112" s="3">
        <v>17213.45</v>
      </c>
      <c r="E112" s="3">
        <v>17057.34</v>
      </c>
      <c r="F112" t="s">
        <v>397</v>
      </c>
      <c r="G112" s="2">
        <v>3.5000000000000001E-3</v>
      </c>
    </row>
    <row r="113" spans="1:7" x14ac:dyDescent="0.4">
      <c r="A113" s="1">
        <v>45454</v>
      </c>
      <c r="B113" s="3">
        <v>17343.55</v>
      </c>
      <c r="C113" s="3">
        <v>17160.419999999998</v>
      </c>
      <c r="D113" s="3">
        <v>17345.05</v>
      </c>
      <c r="E113" s="3">
        <v>17107.990000000002</v>
      </c>
      <c r="F113" t="s">
        <v>443</v>
      </c>
      <c r="G113" s="2">
        <v>8.8000000000000005E-3</v>
      </c>
    </row>
    <row r="114" spans="1:7" x14ac:dyDescent="0.4">
      <c r="A114" s="1">
        <v>45455</v>
      </c>
      <c r="B114" s="3">
        <v>17608.439999999999</v>
      </c>
      <c r="C114" s="3">
        <v>17502.150000000001</v>
      </c>
      <c r="D114" s="3">
        <v>17725.39</v>
      </c>
      <c r="E114" s="3">
        <v>17490.64</v>
      </c>
      <c r="F114" t="s">
        <v>383</v>
      </c>
      <c r="G114" s="2">
        <v>1.5299999999999999E-2</v>
      </c>
    </row>
    <row r="115" spans="1:7" x14ac:dyDescent="0.4">
      <c r="A115" s="1">
        <v>45456</v>
      </c>
      <c r="B115" s="3">
        <v>17667.560000000001</v>
      </c>
      <c r="C115" s="3">
        <v>17715.27</v>
      </c>
      <c r="D115" s="3">
        <v>17741.8</v>
      </c>
      <c r="E115" s="3">
        <v>17566.32</v>
      </c>
      <c r="F115" t="s">
        <v>442</v>
      </c>
      <c r="G115" s="2">
        <v>3.3999999999999998E-3</v>
      </c>
    </row>
    <row r="116" spans="1:7" x14ac:dyDescent="0.4">
      <c r="A116" s="1">
        <v>45457</v>
      </c>
      <c r="B116" s="3">
        <v>17688.88</v>
      </c>
      <c r="C116" s="3">
        <v>17621.18</v>
      </c>
      <c r="D116" s="3">
        <v>17693.43</v>
      </c>
      <c r="E116" s="3">
        <v>17590.8</v>
      </c>
      <c r="F116" t="s">
        <v>441</v>
      </c>
      <c r="G116" s="2">
        <v>1.1999999999999999E-3</v>
      </c>
    </row>
    <row r="117" spans="1:7" x14ac:dyDescent="0.4">
      <c r="A117" s="1">
        <v>45460</v>
      </c>
      <c r="B117" s="3">
        <v>17857.02</v>
      </c>
      <c r="C117" s="3">
        <v>17697.3</v>
      </c>
      <c r="D117" s="3">
        <v>17935.98</v>
      </c>
      <c r="E117" s="3">
        <v>17636.36</v>
      </c>
      <c r="F117" t="s">
        <v>391</v>
      </c>
      <c r="G117" s="2">
        <v>9.4999999999999998E-3</v>
      </c>
    </row>
    <row r="118" spans="1:7" x14ac:dyDescent="0.4">
      <c r="A118" s="1">
        <v>45461</v>
      </c>
      <c r="B118" s="3">
        <v>17862.23</v>
      </c>
      <c r="C118" s="3">
        <v>17856.759999999998</v>
      </c>
      <c r="D118" s="3">
        <v>17890.52</v>
      </c>
      <c r="E118" s="3">
        <v>17796.88</v>
      </c>
      <c r="F118" t="s">
        <v>406</v>
      </c>
      <c r="G118" s="2">
        <v>2.9999999999999997E-4</v>
      </c>
    </row>
    <row r="119" spans="1:7" x14ac:dyDescent="0.4">
      <c r="A119" s="1">
        <v>45463</v>
      </c>
      <c r="B119" s="3">
        <v>17721.59</v>
      </c>
      <c r="C119" s="3">
        <v>17913.939999999999</v>
      </c>
      <c r="D119" s="3">
        <v>17936.79</v>
      </c>
      <c r="E119" s="3">
        <v>17650.7</v>
      </c>
      <c r="F119" t="s">
        <v>353</v>
      </c>
      <c r="G119" s="2">
        <v>-7.9000000000000008E-3</v>
      </c>
    </row>
    <row r="120" spans="1:7" x14ac:dyDescent="0.4">
      <c r="A120" s="1">
        <v>45464</v>
      </c>
      <c r="B120" s="3">
        <v>17689.36</v>
      </c>
      <c r="C120" s="3">
        <v>17681.009999999998</v>
      </c>
      <c r="D120" s="3">
        <v>17787.34</v>
      </c>
      <c r="E120" s="3">
        <v>17620.57</v>
      </c>
      <c r="F120" t="s">
        <v>440</v>
      </c>
      <c r="G120" s="2">
        <v>-1.8E-3</v>
      </c>
    </row>
    <row r="121" spans="1:7" x14ac:dyDescent="0.4">
      <c r="A121" s="1">
        <v>45467</v>
      </c>
      <c r="B121" s="3">
        <v>17496.82</v>
      </c>
      <c r="C121" s="3">
        <v>17640.259999999998</v>
      </c>
      <c r="D121" s="3">
        <v>17730.12</v>
      </c>
      <c r="E121" s="3">
        <v>17494.02</v>
      </c>
      <c r="F121" t="s">
        <v>330</v>
      </c>
      <c r="G121" s="2">
        <v>-1.09E-2</v>
      </c>
    </row>
    <row r="122" spans="1:7" x14ac:dyDescent="0.4">
      <c r="A122" s="1">
        <v>45468</v>
      </c>
      <c r="B122" s="3">
        <v>17717.650000000001</v>
      </c>
      <c r="C122" s="3">
        <v>17572.16</v>
      </c>
      <c r="D122" s="3">
        <v>17734.349999999999</v>
      </c>
      <c r="E122" s="3">
        <v>17546.63</v>
      </c>
      <c r="F122" t="s">
        <v>416</v>
      </c>
      <c r="G122" s="2">
        <v>1.26E-2</v>
      </c>
    </row>
    <row r="123" spans="1:7" x14ac:dyDescent="0.4">
      <c r="A123" s="1">
        <v>45469</v>
      </c>
      <c r="B123" s="3">
        <v>17805.16</v>
      </c>
      <c r="C123" s="3">
        <v>17697.27</v>
      </c>
      <c r="D123" s="3">
        <v>17813.55</v>
      </c>
      <c r="E123" s="3">
        <v>17687.07</v>
      </c>
      <c r="F123" t="s">
        <v>391</v>
      </c>
      <c r="G123" s="2">
        <v>4.8999999999999998E-3</v>
      </c>
    </row>
    <row r="124" spans="1:7" x14ac:dyDescent="0.4">
      <c r="A124" s="1">
        <v>45470</v>
      </c>
      <c r="B124" s="3">
        <v>17858.68</v>
      </c>
      <c r="C124" s="3">
        <v>17793.95</v>
      </c>
      <c r="D124" s="3">
        <v>17892.78</v>
      </c>
      <c r="E124" s="3">
        <v>17765.419999999998</v>
      </c>
      <c r="F124" t="s">
        <v>392</v>
      </c>
      <c r="G124" s="2">
        <v>3.0000000000000001E-3</v>
      </c>
    </row>
    <row r="125" spans="1:7" x14ac:dyDescent="0.4">
      <c r="A125" s="1">
        <v>45471</v>
      </c>
      <c r="B125" s="3">
        <v>17732.599999999999</v>
      </c>
      <c r="C125" s="3">
        <v>17891.099999999999</v>
      </c>
      <c r="D125" s="3">
        <v>18035</v>
      </c>
      <c r="E125" s="3">
        <v>17723.830000000002</v>
      </c>
      <c r="F125" t="s">
        <v>439</v>
      </c>
      <c r="G125" s="2">
        <v>-7.1000000000000004E-3</v>
      </c>
    </row>
    <row r="126" spans="1:7" x14ac:dyDescent="0.4">
      <c r="A126" s="1">
        <v>45474</v>
      </c>
      <c r="B126" s="3">
        <v>17879.3</v>
      </c>
      <c r="C126" s="3">
        <v>17773.900000000001</v>
      </c>
      <c r="D126" s="3">
        <v>17894.28</v>
      </c>
      <c r="E126" s="3">
        <v>17657.64</v>
      </c>
      <c r="F126" t="s">
        <v>377</v>
      </c>
      <c r="G126" s="2">
        <v>8.3000000000000001E-3</v>
      </c>
    </row>
    <row r="127" spans="1:7" x14ac:dyDescent="0.4">
      <c r="A127" s="1">
        <v>45475</v>
      </c>
      <c r="B127" s="3">
        <v>18028.759999999998</v>
      </c>
      <c r="C127" s="3">
        <v>17808.04</v>
      </c>
      <c r="D127" s="3">
        <v>18031.29</v>
      </c>
      <c r="E127" s="3">
        <v>17802.240000000002</v>
      </c>
      <c r="F127" t="s">
        <v>438</v>
      </c>
      <c r="G127" s="2">
        <v>8.3999999999999995E-3</v>
      </c>
    </row>
    <row r="128" spans="1:7" x14ac:dyDescent="0.4">
      <c r="A128" s="1">
        <v>45476</v>
      </c>
      <c r="B128" s="3">
        <v>18188.3</v>
      </c>
      <c r="C128" s="3">
        <v>18016.12</v>
      </c>
      <c r="D128" s="3">
        <v>18188.3</v>
      </c>
      <c r="E128" s="3">
        <v>18016.12</v>
      </c>
      <c r="F128" t="s">
        <v>437</v>
      </c>
      <c r="G128" s="2">
        <v>8.8000000000000005E-3</v>
      </c>
    </row>
    <row r="129" spans="1:7" x14ac:dyDescent="0.4">
      <c r="A129" s="1">
        <v>45478</v>
      </c>
      <c r="B129" s="3">
        <v>18352.759999999998</v>
      </c>
      <c r="C129" s="3">
        <v>18200.599999999999</v>
      </c>
      <c r="D129" s="3">
        <v>18366.310000000001</v>
      </c>
      <c r="E129" s="3">
        <v>18197.13</v>
      </c>
      <c r="F129" t="s">
        <v>436</v>
      </c>
      <c r="G129" s="2">
        <v>8.9999999999999993E-3</v>
      </c>
    </row>
    <row r="130" spans="1:7" x14ac:dyDescent="0.4">
      <c r="A130" s="1">
        <v>45481</v>
      </c>
      <c r="B130" s="3">
        <v>18403.740000000002</v>
      </c>
      <c r="C130" s="3">
        <v>18371.86</v>
      </c>
      <c r="D130" s="3">
        <v>18416.939999999999</v>
      </c>
      <c r="E130" s="3">
        <v>18342.599999999999</v>
      </c>
      <c r="F130" t="s">
        <v>435</v>
      </c>
      <c r="G130" s="2">
        <v>2.8E-3</v>
      </c>
    </row>
    <row r="131" spans="1:7" x14ac:dyDescent="0.4">
      <c r="A131" s="1">
        <v>45482</v>
      </c>
      <c r="B131" s="3">
        <v>18429.29</v>
      </c>
      <c r="C131" s="3">
        <v>18465.02</v>
      </c>
      <c r="D131" s="3">
        <v>18511.89</v>
      </c>
      <c r="E131" s="3">
        <v>18381.599999999999</v>
      </c>
      <c r="F131" t="s">
        <v>434</v>
      </c>
      <c r="G131" s="2">
        <v>1.4E-3</v>
      </c>
    </row>
    <row r="132" spans="1:7" x14ac:dyDescent="0.4">
      <c r="A132" s="1">
        <v>45483</v>
      </c>
      <c r="B132" s="3">
        <v>18647.45</v>
      </c>
      <c r="C132" s="3">
        <v>18512.09</v>
      </c>
      <c r="D132" s="3">
        <v>18655.189999999999</v>
      </c>
      <c r="E132" s="3">
        <v>18467.580000000002</v>
      </c>
      <c r="F132" t="s">
        <v>433</v>
      </c>
      <c r="G132" s="2">
        <v>1.18E-2</v>
      </c>
    </row>
    <row r="133" spans="1:7" x14ac:dyDescent="0.4">
      <c r="A133" s="1">
        <v>45484</v>
      </c>
      <c r="B133" s="3">
        <v>18283.41</v>
      </c>
      <c r="C133" s="3">
        <v>18659.25</v>
      </c>
      <c r="D133" s="3">
        <v>18671.07</v>
      </c>
      <c r="E133" s="3">
        <v>18238.78</v>
      </c>
      <c r="F133" t="s">
        <v>382</v>
      </c>
      <c r="G133" s="2">
        <v>-1.95E-2</v>
      </c>
    </row>
    <row r="134" spans="1:7" x14ac:dyDescent="0.4">
      <c r="A134" s="1">
        <v>45485</v>
      </c>
      <c r="B134" s="3">
        <v>18398.45</v>
      </c>
      <c r="C134" s="3">
        <v>18303.64</v>
      </c>
      <c r="D134" s="3">
        <v>18556.73</v>
      </c>
      <c r="E134" s="3">
        <v>18293.599999999999</v>
      </c>
      <c r="F134" t="s">
        <v>407</v>
      </c>
      <c r="G134" s="2">
        <v>6.3E-3</v>
      </c>
    </row>
    <row r="135" spans="1:7" x14ac:dyDescent="0.4">
      <c r="A135" s="1">
        <v>45488</v>
      </c>
      <c r="B135" s="3">
        <v>18472.57</v>
      </c>
      <c r="C135" s="3">
        <v>18485.91</v>
      </c>
      <c r="D135" s="3">
        <v>18641.53</v>
      </c>
      <c r="E135" s="3">
        <v>18397.830000000002</v>
      </c>
      <c r="F135" t="s">
        <v>416</v>
      </c>
      <c r="G135" s="2">
        <v>4.0000000000000001E-3</v>
      </c>
    </row>
    <row r="136" spans="1:7" x14ac:dyDescent="0.4">
      <c r="A136" s="1">
        <v>45489</v>
      </c>
      <c r="B136" s="3">
        <v>18509.34</v>
      </c>
      <c r="C136" s="3">
        <v>18534.27</v>
      </c>
      <c r="D136" s="3">
        <v>18576.830000000002</v>
      </c>
      <c r="E136" s="3">
        <v>18386.07</v>
      </c>
      <c r="F136" t="s">
        <v>385</v>
      </c>
      <c r="G136" s="2">
        <v>2E-3</v>
      </c>
    </row>
    <row r="137" spans="1:7" x14ac:dyDescent="0.4">
      <c r="A137" s="1">
        <v>45490</v>
      </c>
      <c r="B137" s="3">
        <v>17996.93</v>
      </c>
      <c r="C137" s="3">
        <v>18188.189999999999</v>
      </c>
      <c r="D137" s="3">
        <v>18223.240000000002</v>
      </c>
      <c r="E137" s="3">
        <v>17972.87</v>
      </c>
      <c r="F137" t="s">
        <v>353</v>
      </c>
      <c r="G137" s="2">
        <v>-2.7699999999999999E-2</v>
      </c>
    </row>
    <row r="138" spans="1:7" x14ac:dyDescent="0.4">
      <c r="A138" s="1">
        <v>45491</v>
      </c>
      <c r="B138" s="3">
        <v>17871.22</v>
      </c>
      <c r="C138" s="3">
        <v>18119.150000000001</v>
      </c>
      <c r="D138" s="3">
        <v>18130.87</v>
      </c>
      <c r="E138" s="3">
        <v>17759.54</v>
      </c>
      <c r="F138" t="s">
        <v>383</v>
      </c>
      <c r="G138" s="2">
        <v>-7.0000000000000001E-3</v>
      </c>
    </row>
    <row r="139" spans="1:7" x14ac:dyDescent="0.4">
      <c r="A139" s="1">
        <v>45492</v>
      </c>
      <c r="B139" s="3">
        <v>17726.939999999999</v>
      </c>
      <c r="C139" s="3">
        <v>17835.59</v>
      </c>
      <c r="D139" s="3">
        <v>17935.14</v>
      </c>
      <c r="E139" s="3">
        <v>17691.43</v>
      </c>
      <c r="F139" t="s">
        <v>385</v>
      </c>
      <c r="G139" s="2">
        <v>-8.0999999999999996E-3</v>
      </c>
    </row>
    <row r="140" spans="1:7" x14ac:dyDescent="0.4">
      <c r="A140" s="1">
        <v>45495</v>
      </c>
      <c r="B140" s="3">
        <v>18007.57</v>
      </c>
      <c r="C140" s="3">
        <v>17923.64</v>
      </c>
      <c r="D140" s="3">
        <v>18040.990000000002</v>
      </c>
      <c r="E140" s="3">
        <v>17839.759999999998</v>
      </c>
      <c r="F140" t="s">
        <v>391</v>
      </c>
      <c r="G140" s="2">
        <v>1.5800000000000002E-2</v>
      </c>
    </row>
    <row r="141" spans="1:7" x14ac:dyDescent="0.4">
      <c r="A141" s="1">
        <v>45496</v>
      </c>
      <c r="B141" s="3">
        <v>17997.349999999999</v>
      </c>
      <c r="C141" s="3">
        <v>17982.740000000002</v>
      </c>
      <c r="D141" s="3">
        <v>18128.38</v>
      </c>
      <c r="E141" s="3">
        <v>17968.099999999999</v>
      </c>
      <c r="F141" t="s">
        <v>432</v>
      </c>
      <c r="G141" s="2">
        <v>-5.9999999999999995E-4</v>
      </c>
    </row>
    <row r="142" spans="1:7" x14ac:dyDescent="0.4">
      <c r="A142" s="1">
        <v>45497</v>
      </c>
      <c r="B142" s="3">
        <v>17342.41</v>
      </c>
      <c r="C142" s="3">
        <v>17733.91</v>
      </c>
      <c r="D142" s="3">
        <v>17747.060000000001</v>
      </c>
      <c r="E142" s="3">
        <v>17313.52</v>
      </c>
      <c r="F142" t="s">
        <v>352</v>
      </c>
      <c r="G142" s="2">
        <v>-3.6400000000000002E-2</v>
      </c>
    </row>
    <row r="143" spans="1:7" x14ac:dyDescent="0.4">
      <c r="A143" s="1">
        <v>45498</v>
      </c>
      <c r="B143" s="3">
        <v>17181.72</v>
      </c>
      <c r="C143" s="3">
        <v>17352.64</v>
      </c>
      <c r="D143" s="3">
        <v>17544.46</v>
      </c>
      <c r="E143" s="3">
        <v>17033.96</v>
      </c>
      <c r="F143" t="s">
        <v>337</v>
      </c>
      <c r="G143" s="2">
        <v>-9.2999999999999992E-3</v>
      </c>
    </row>
    <row r="144" spans="1:7" x14ac:dyDescent="0.4">
      <c r="A144" s="1">
        <v>45499</v>
      </c>
      <c r="B144" s="3">
        <v>17357.88</v>
      </c>
      <c r="C144" s="3">
        <v>17331.95</v>
      </c>
      <c r="D144" s="3">
        <v>17454.57</v>
      </c>
      <c r="E144" s="3">
        <v>17239.990000000002</v>
      </c>
      <c r="F144" t="s">
        <v>431</v>
      </c>
      <c r="G144" s="2">
        <v>1.03E-2</v>
      </c>
    </row>
    <row r="145" spans="1:7" x14ac:dyDescent="0.4">
      <c r="A145" s="1">
        <v>45502</v>
      </c>
      <c r="B145" s="3">
        <v>17370.2</v>
      </c>
      <c r="C145" s="3">
        <v>17444.39</v>
      </c>
      <c r="D145" s="3">
        <v>17535.32</v>
      </c>
      <c r="E145" s="3">
        <v>17299.830000000002</v>
      </c>
      <c r="F145" t="s">
        <v>430</v>
      </c>
      <c r="G145" s="2">
        <v>6.9999999999999999E-4</v>
      </c>
    </row>
    <row r="146" spans="1:7" x14ac:dyDescent="0.4">
      <c r="A146" s="1">
        <v>45503</v>
      </c>
      <c r="B146" s="3">
        <v>17147.419999999998</v>
      </c>
      <c r="C146" s="3">
        <v>17424.099999999999</v>
      </c>
      <c r="D146" s="3">
        <v>17468.560000000001</v>
      </c>
      <c r="E146" s="3">
        <v>17015.38</v>
      </c>
      <c r="F146" t="s">
        <v>406</v>
      </c>
      <c r="G146" s="2">
        <v>-1.2800000000000001E-2</v>
      </c>
    </row>
    <row r="147" spans="1:7" x14ac:dyDescent="0.4">
      <c r="A147" s="1">
        <v>45504</v>
      </c>
      <c r="B147" s="3">
        <v>17599.400000000001</v>
      </c>
      <c r="C147" s="3">
        <v>17499.23</v>
      </c>
      <c r="D147" s="3">
        <v>17693.98</v>
      </c>
      <c r="E147" s="3">
        <v>17438.599999999999</v>
      </c>
      <c r="F147" t="s">
        <v>339</v>
      </c>
      <c r="G147" s="2">
        <v>2.64E-2</v>
      </c>
    </row>
    <row r="148" spans="1:7" x14ac:dyDescent="0.4">
      <c r="A148" s="1">
        <v>45505</v>
      </c>
      <c r="B148" s="3">
        <v>17194.14</v>
      </c>
      <c r="C148" s="3">
        <v>17647.03</v>
      </c>
      <c r="D148" s="3">
        <v>17791.59</v>
      </c>
      <c r="E148" s="3">
        <v>17051.419999999998</v>
      </c>
      <c r="F148" t="s">
        <v>363</v>
      </c>
      <c r="G148" s="2">
        <v>-2.3E-2</v>
      </c>
    </row>
    <row r="149" spans="1:7" x14ac:dyDescent="0.4">
      <c r="A149" s="1">
        <v>45506</v>
      </c>
      <c r="B149" s="3">
        <v>16776.16</v>
      </c>
      <c r="C149" s="3">
        <v>16780.45</v>
      </c>
      <c r="D149" s="3">
        <v>16920.63</v>
      </c>
      <c r="E149" s="3">
        <v>16582.79</v>
      </c>
      <c r="F149" t="s">
        <v>339</v>
      </c>
      <c r="G149" s="2">
        <v>-2.4299999999999999E-2</v>
      </c>
    </row>
    <row r="150" spans="1:7" x14ac:dyDescent="0.4">
      <c r="A150" s="1">
        <v>45509</v>
      </c>
      <c r="B150" s="3">
        <v>16200.08</v>
      </c>
      <c r="C150" s="3">
        <v>15712.53</v>
      </c>
      <c r="D150" s="3">
        <v>16453.46</v>
      </c>
      <c r="E150" s="3">
        <v>15708.54</v>
      </c>
      <c r="F150" t="s">
        <v>342</v>
      </c>
      <c r="G150" s="2">
        <v>-3.4299999999999997E-2</v>
      </c>
    </row>
    <row r="151" spans="1:7" x14ac:dyDescent="0.4">
      <c r="A151" s="1">
        <v>45510</v>
      </c>
      <c r="B151" s="3">
        <v>16366.86</v>
      </c>
      <c r="C151" s="3">
        <v>16261.36</v>
      </c>
      <c r="D151" s="3">
        <v>16620.310000000001</v>
      </c>
      <c r="E151" s="3">
        <v>16137.65</v>
      </c>
      <c r="F151" t="s">
        <v>352</v>
      </c>
      <c r="G151" s="2">
        <v>1.03E-2</v>
      </c>
    </row>
    <row r="152" spans="1:7" x14ac:dyDescent="0.4">
      <c r="A152" s="1">
        <v>45511</v>
      </c>
      <c r="B152" s="3">
        <v>16195.81</v>
      </c>
      <c r="C152" s="3">
        <v>16622.310000000001</v>
      </c>
      <c r="D152" s="3">
        <v>16709.810000000001</v>
      </c>
      <c r="E152" s="3">
        <v>16179.53</v>
      </c>
      <c r="F152" t="s">
        <v>355</v>
      </c>
      <c r="G152" s="2">
        <v>-1.0500000000000001E-2</v>
      </c>
    </row>
    <row r="153" spans="1:7" x14ac:dyDescent="0.4">
      <c r="A153" s="1">
        <v>45512</v>
      </c>
      <c r="B153" s="3">
        <v>16660.02</v>
      </c>
      <c r="C153" s="3">
        <v>16408.27</v>
      </c>
      <c r="D153" s="3">
        <v>16694.25</v>
      </c>
      <c r="E153" s="3">
        <v>16262.93</v>
      </c>
      <c r="F153" t="s">
        <v>335</v>
      </c>
      <c r="G153" s="2">
        <v>2.87E-2</v>
      </c>
    </row>
    <row r="154" spans="1:7" x14ac:dyDescent="0.4">
      <c r="A154" s="1">
        <v>45513</v>
      </c>
      <c r="B154" s="3">
        <v>16745.3</v>
      </c>
      <c r="C154" s="3">
        <v>16636.52</v>
      </c>
      <c r="D154" s="3">
        <v>16789.22</v>
      </c>
      <c r="E154" s="3">
        <v>16574.57</v>
      </c>
      <c r="F154" t="s">
        <v>397</v>
      </c>
      <c r="G154" s="2">
        <v>5.1000000000000004E-3</v>
      </c>
    </row>
    <row r="155" spans="1:7" x14ac:dyDescent="0.4">
      <c r="A155" s="1">
        <v>45516</v>
      </c>
      <c r="B155" s="3">
        <v>16780.61</v>
      </c>
      <c r="C155" s="3">
        <v>16793.64</v>
      </c>
      <c r="D155" s="3">
        <v>16895.79</v>
      </c>
      <c r="E155" s="3">
        <v>16699.39</v>
      </c>
      <c r="F155" t="s">
        <v>429</v>
      </c>
      <c r="G155" s="2">
        <v>2.0999999999999999E-3</v>
      </c>
    </row>
    <row r="156" spans="1:7" x14ac:dyDescent="0.4">
      <c r="A156" s="1">
        <v>45517</v>
      </c>
      <c r="B156" s="3">
        <v>17187.61</v>
      </c>
      <c r="C156" s="3">
        <v>16944.73</v>
      </c>
      <c r="D156" s="3">
        <v>17192.79</v>
      </c>
      <c r="E156" s="3">
        <v>16943.95</v>
      </c>
      <c r="F156" t="s">
        <v>390</v>
      </c>
      <c r="G156" s="2">
        <v>2.4299999999999999E-2</v>
      </c>
    </row>
    <row r="157" spans="1:7" x14ac:dyDescent="0.4">
      <c r="A157" s="1">
        <v>45518</v>
      </c>
      <c r="B157" s="3">
        <v>17192.599999999999</v>
      </c>
      <c r="C157" s="3">
        <v>17227.64</v>
      </c>
      <c r="D157" s="3">
        <v>17260.73</v>
      </c>
      <c r="E157" s="3">
        <v>17032.169999999998</v>
      </c>
      <c r="F157" t="s">
        <v>428</v>
      </c>
      <c r="G157" s="2">
        <v>2.9999999999999997E-4</v>
      </c>
    </row>
    <row r="158" spans="1:7" x14ac:dyDescent="0.4">
      <c r="A158" s="1">
        <v>45519</v>
      </c>
      <c r="B158" s="3">
        <v>17594.5</v>
      </c>
      <c r="C158" s="3">
        <v>17394.54</v>
      </c>
      <c r="D158" s="3">
        <v>17602.72</v>
      </c>
      <c r="E158" s="3">
        <v>17375.41</v>
      </c>
      <c r="F158" t="s">
        <v>383</v>
      </c>
      <c r="G158" s="2">
        <v>2.3400000000000001E-2</v>
      </c>
    </row>
    <row r="159" spans="1:7" x14ac:dyDescent="0.4">
      <c r="A159" s="1">
        <v>45520</v>
      </c>
      <c r="B159" s="3">
        <v>17631.72</v>
      </c>
      <c r="C159" s="3">
        <v>17516.400000000001</v>
      </c>
      <c r="D159" s="3">
        <v>17674.650000000001</v>
      </c>
      <c r="E159" s="3">
        <v>17502.82</v>
      </c>
      <c r="F159" t="s">
        <v>427</v>
      </c>
      <c r="G159" s="2">
        <v>2.0999999999999999E-3</v>
      </c>
    </row>
    <row r="160" spans="1:7" x14ac:dyDescent="0.4">
      <c r="A160" s="1">
        <v>45523</v>
      </c>
      <c r="B160" s="3">
        <v>17876.77</v>
      </c>
      <c r="C160" s="3">
        <v>17649.740000000002</v>
      </c>
      <c r="D160" s="3">
        <v>17877.439999999999</v>
      </c>
      <c r="E160" s="3">
        <v>17585.580000000002</v>
      </c>
      <c r="F160" t="s">
        <v>397</v>
      </c>
      <c r="G160" s="2">
        <v>1.3899999999999999E-2</v>
      </c>
    </row>
    <row r="161" spans="1:7" x14ac:dyDescent="0.4">
      <c r="A161" s="1">
        <v>45524</v>
      </c>
      <c r="B161" s="3">
        <v>17816.939999999999</v>
      </c>
      <c r="C161" s="3">
        <v>17849.09</v>
      </c>
      <c r="D161" s="3">
        <v>17932.53</v>
      </c>
      <c r="E161" s="3">
        <v>17758.2</v>
      </c>
      <c r="F161" t="s">
        <v>426</v>
      </c>
      <c r="G161" s="2">
        <v>-3.3E-3</v>
      </c>
    </row>
    <row r="162" spans="1:7" x14ac:dyDescent="0.4">
      <c r="A162" s="1">
        <v>45525</v>
      </c>
      <c r="B162" s="3">
        <v>17918.990000000002</v>
      </c>
      <c r="C162" s="3">
        <v>17840.509999999998</v>
      </c>
      <c r="D162" s="3">
        <v>17963.07</v>
      </c>
      <c r="E162" s="3">
        <v>17790.98</v>
      </c>
      <c r="F162" t="s">
        <v>425</v>
      </c>
      <c r="G162" s="2">
        <v>5.7000000000000002E-3</v>
      </c>
    </row>
    <row r="163" spans="1:7" x14ac:dyDescent="0.4">
      <c r="A163" s="1">
        <v>45526</v>
      </c>
      <c r="B163" s="3">
        <v>17619.349999999999</v>
      </c>
      <c r="C163" s="3">
        <v>17993.72</v>
      </c>
      <c r="D163" s="3">
        <v>18017.689999999999</v>
      </c>
      <c r="E163" s="3">
        <v>17589.150000000001</v>
      </c>
      <c r="F163" t="s">
        <v>424</v>
      </c>
      <c r="G163" s="2">
        <v>-1.67E-2</v>
      </c>
    </row>
    <row r="164" spans="1:7" x14ac:dyDescent="0.4">
      <c r="A164" s="1">
        <v>45527</v>
      </c>
      <c r="B164" s="3">
        <v>17877.79</v>
      </c>
      <c r="C164" s="3">
        <v>17772.73</v>
      </c>
      <c r="D164" s="3">
        <v>17941.27</v>
      </c>
      <c r="E164" s="3">
        <v>17700.27</v>
      </c>
      <c r="F164" t="s">
        <v>423</v>
      </c>
      <c r="G164" s="2">
        <v>1.47E-2</v>
      </c>
    </row>
    <row r="165" spans="1:7" x14ac:dyDescent="0.4">
      <c r="A165" s="1">
        <v>45530</v>
      </c>
      <c r="B165" s="3">
        <v>17725.77</v>
      </c>
      <c r="C165" s="3">
        <v>17867.849999999999</v>
      </c>
      <c r="D165" s="3">
        <v>17909.09</v>
      </c>
      <c r="E165" s="3">
        <v>17645.689999999999</v>
      </c>
      <c r="F165" t="s">
        <v>422</v>
      </c>
      <c r="G165" s="2">
        <v>-8.5000000000000006E-3</v>
      </c>
    </row>
    <row r="166" spans="1:7" x14ac:dyDescent="0.4">
      <c r="A166" s="1">
        <v>45531</v>
      </c>
      <c r="B166" s="3">
        <v>17754.82</v>
      </c>
      <c r="C166" s="3">
        <v>17655.52</v>
      </c>
      <c r="D166" s="3">
        <v>17789.72</v>
      </c>
      <c r="E166" s="3">
        <v>17573.37</v>
      </c>
      <c r="F166" t="s">
        <v>421</v>
      </c>
      <c r="G166" s="2">
        <v>1.6000000000000001E-3</v>
      </c>
    </row>
    <row r="167" spans="1:7" x14ac:dyDescent="0.4">
      <c r="A167" s="1">
        <v>45532</v>
      </c>
      <c r="B167" s="3">
        <v>17556.03</v>
      </c>
      <c r="C167" s="3">
        <v>17738.8</v>
      </c>
      <c r="D167" s="3">
        <v>17759.939999999999</v>
      </c>
      <c r="E167" s="3">
        <v>17439.400000000001</v>
      </c>
      <c r="F167" t="s">
        <v>420</v>
      </c>
      <c r="G167" s="2">
        <v>-1.12E-2</v>
      </c>
    </row>
    <row r="168" spans="1:7" x14ac:dyDescent="0.4">
      <c r="A168" s="1">
        <v>45533</v>
      </c>
      <c r="B168" s="3">
        <v>17516.43</v>
      </c>
      <c r="C168" s="3">
        <v>17610.57</v>
      </c>
      <c r="D168" s="3">
        <v>17789.21</v>
      </c>
      <c r="E168" s="3">
        <v>17482.599999999999</v>
      </c>
      <c r="F168" t="s">
        <v>419</v>
      </c>
      <c r="G168" s="2">
        <v>-2.3E-3</v>
      </c>
    </row>
    <row r="169" spans="1:7" x14ac:dyDescent="0.4">
      <c r="A169" s="1">
        <v>45534</v>
      </c>
      <c r="B169" s="3">
        <v>17713.62</v>
      </c>
      <c r="C169" s="3">
        <v>17650.490000000002</v>
      </c>
      <c r="D169" s="3">
        <v>17720.38</v>
      </c>
      <c r="E169" s="3">
        <v>17498.79</v>
      </c>
      <c r="F169" t="s">
        <v>341</v>
      </c>
      <c r="G169" s="2">
        <v>1.1299999999999999E-2</v>
      </c>
    </row>
    <row r="170" spans="1:7" x14ac:dyDescent="0.4">
      <c r="A170" s="1">
        <v>45538</v>
      </c>
      <c r="B170" s="3">
        <v>17136.3</v>
      </c>
      <c r="C170" s="3">
        <v>17585.45</v>
      </c>
      <c r="D170" s="3">
        <v>17585.45</v>
      </c>
      <c r="E170" s="3">
        <v>17057.79</v>
      </c>
      <c r="F170" t="s">
        <v>335</v>
      </c>
      <c r="G170" s="2">
        <v>-3.2599999999999997E-2</v>
      </c>
    </row>
    <row r="171" spans="1:7" x14ac:dyDescent="0.4">
      <c r="A171" s="1">
        <v>45539</v>
      </c>
      <c r="B171" s="3">
        <v>17084.3</v>
      </c>
      <c r="C171" s="3">
        <v>17015.71</v>
      </c>
      <c r="D171" s="3">
        <v>17232.650000000001</v>
      </c>
      <c r="E171" s="3">
        <v>16984.669999999998</v>
      </c>
      <c r="F171" t="s">
        <v>418</v>
      </c>
      <c r="G171" s="2">
        <v>-3.0000000000000001E-3</v>
      </c>
    </row>
    <row r="172" spans="1:7" x14ac:dyDescent="0.4">
      <c r="A172" s="1">
        <v>45540</v>
      </c>
      <c r="B172" s="3">
        <v>17127.66</v>
      </c>
      <c r="C172" s="3">
        <v>17063.240000000002</v>
      </c>
      <c r="D172" s="3">
        <v>17295.580000000002</v>
      </c>
      <c r="E172" s="3">
        <v>17035.07</v>
      </c>
      <c r="F172" t="s">
        <v>417</v>
      </c>
      <c r="G172" s="2">
        <v>2.5000000000000001E-3</v>
      </c>
    </row>
    <row r="173" spans="1:7" x14ac:dyDescent="0.4">
      <c r="A173" s="1">
        <v>45541</v>
      </c>
      <c r="B173" s="3">
        <v>16690.830000000002</v>
      </c>
      <c r="C173" s="3">
        <v>17137.62</v>
      </c>
      <c r="D173" s="3">
        <v>17166.54</v>
      </c>
      <c r="E173" s="3">
        <v>16668.57</v>
      </c>
      <c r="F173" t="s">
        <v>416</v>
      </c>
      <c r="G173" s="2">
        <v>-2.5499999999999998E-2</v>
      </c>
    </row>
    <row r="174" spans="1:7" x14ac:dyDescent="0.4">
      <c r="A174" s="1">
        <v>45544</v>
      </c>
      <c r="B174" s="3">
        <v>16884.599999999999</v>
      </c>
      <c r="C174" s="3">
        <v>16835.669999999998</v>
      </c>
      <c r="D174" s="3">
        <v>16923.28</v>
      </c>
      <c r="E174" s="3">
        <v>16732.84</v>
      </c>
      <c r="F174" t="s">
        <v>391</v>
      </c>
      <c r="G174" s="2">
        <v>1.1599999999999999E-2</v>
      </c>
    </row>
    <row r="175" spans="1:7" x14ac:dyDescent="0.4">
      <c r="A175" s="1">
        <v>45545</v>
      </c>
      <c r="B175" s="3">
        <v>17025.88</v>
      </c>
      <c r="C175" s="3">
        <v>16949.64</v>
      </c>
      <c r="D175" s="3">
        <v>17036.07</v>
      </c>
      <c r="E175" s="3">
        <v>16801.13</v>
      </c>
      <c r="F175" t="s">
        <v>415</v>
      </c>
      <c r="G175" s="2">
        <v>8.3999999999999995E-3</v>
      </c>
    </row>
    <row r="176" spans="1:7" x14ac:dyDescent="0.4">
      <c r="A176" s="1">
        <v>45546</v>
      </c>
      <c r="B176" s="3">
        <v>17395.53</v>
      </c>
      <c r="C176" s="3">
        <v>17061.41</v>
      </c>
      <c r="D176" s="3">
        <v>17420.23</v>
      </c>
      <c r="E176" s="3">
        <v>16787.84</v>
      </c>
      <c r="F176" t="s">
        <v>407</v>
      </c>
      <c r="G176" s="2">
        <v>2.1700000000000001E-2</v>
      </c>
    </row>
    <row r="177" spans="1:7" x14ac:dyDescent="0.4">
      <c r="A177" s="1">
        <v>45547</v>
      </c>
      <c r="B177" s="3">
        <v>17569.68</v>
      </c>
      <c r="C177" s="3">
        <v>17413.89</v>
      </c>
      <c r="D177" s="3">
        <v>17605.72</v>
      </c>
      <c r="E177" s="3">
        <v>17338.32</v>
      </c>
      <c r="F177" t="s">
        <v>414</v>
      </c>
      <c r="G177" s="2">
        <v>0.01</v>
      </c>
    </row>
    <row r="178" spans="1:7" x14ac:dyDescent="0.4">
      <c r="A178" s="1">
        <v>45548</v>
      </c>
      <c r="B178" s="3">
        <v>17683.98</v>
      </c>
      <c r="C178" s="3">
        <v>17575.259999999998</v>
      </c>
      <c r="D178" s="3">
        <v>17719.14</v>
      </c>
      <c r="E178" s="3">
        <v>17564.61</v>
      </c>
      <c r="F178" t="s">
        <v>413</v>
      </c>
      <c r="G178" s="2">
        <v>6.4999999999999997E-3</v>
      </c>
    </row>
    <row r="179" spans="1:7" x14ac:dyDescent="0.4">
      <c r="A179" s="1">
        <v>45551</v>
      </c>
      <c r="B179" s="3">
        <v>17592.13</v>
      </c>
      <c r="C179" s="3">
        <v>17573.7</v>
      </c>
      <c r="D179" s="3">
        <v>17618.400000000001</v>
      </c>
      <c r="E179" s="3">
        <v>17480.66</v>
      </c>
      <c r="F179" t="s">
        <v>412</v>
      </c>
      <c r="G179" s="2">
        <v>-5.1999999999999998E-3</v>
      </c>
    </row>
    <row r="180" spans="1:7" x14ac:dyDescent="0.4">
      <c r="A180" s="1">
        <v>45552</v>
      </c>
      <c r="B180" s="3">
        <v>17628.060000000001</v>
      </c>
      <c r="C180" s="3">
        <v>17707.02</v>
      </c>
      <c r="D180" s="3">
        <v>17781.740000000002</v>
      </c>
      <c r="E180" s="3">
        <v>17544.64</v>
      </c>
      <c r="F180" t="s">
        <v>411</v>
      </c>
      <c r="G180" s="2">
        <v>2E-3</v>
      </c>
    </row>
    <row r="181" spans="1:7" x14ac:dyDescent="0.4">
      <c r="A181" s="1">
        <v>45553</v>
      </c>
      <c r="B181" s="3">
        <v>17573.3</v>
      </c>
      <c r="C181" s="3">
        <v>17663.38</v>
      </c>
      <c r="D181" s="3">
        <v>17832.7</v>
      </c>
      <c r="E181" s="3">
        <v>17556.43</v>
      </c>
      <c r="F181" t="s">
        <v>409</v>
      </c>
      <c r="G181" s="2">
        <v>-3.0999999999999999E-3</v>
      </c>
    </row>
    <row r="182" spans="1:7" x14ac:dyDescent="0.4">
      <c r="A182" s="1">
        <v>45554</v>
      </c>
      <c r="B182" s="3">
        <v>18013.98</v>
      </c>
      <c r="C182" s="3">
        <v>17980.89</v>
      </c>
      <c r="D182" s="3">
        <v>18099.93</v>
      </c>
      <c r="E182" s="3">
        <v>17909.75</v>
      </c>
      <c r="F182" t="s">
        <v>335</v>
      </c>
      <c r="G182" s="2">
        <v>2.5100000000000001E-2</v>
      </c>
    </row>
    <row r="183" spans="1:7" x14ac:dyDescent="0.4">
      <c r="A183" s="1">
        <v>45555</v>
      </c>
      <c r="B183" s="3">
        <v>17948.32</v>
      </c>
      <c r="C183" s="3">
        <v>17999.349999999999</v>
      </c>
      <c r="D183" s="3">
        <v>18024.34</v>
      </c>
      <c r="E183" s="3">
        <v>17835.64</v>
      </c>
      <c r="F183" t="s">
        <v>410</v>
      </c>
      <c r="G183" s="2">
        <v>-3.5999999999999999E-3</v>
      </c>
    </row>
    <row r="184" spans="1:7" x14ac:dyDescent="0.4">
      <c r="A184" s="1">
        <v>45558</v>
      </c>
      <c r="B184" s="3">
        <v>17974.27</v>
      </c>
      <c r="C184" s="3">
        <v>17994.900000000001</v>
      </c>
      <c r="D184" s="3">
        <v>18021.57</v>
      </c>
      <c r="E184" s="3">
        <v>17936.37</v>
      </c>
      <c r="F184" t="s">
        <v>392</v>
      </c>
      <c r="G184" s="2">
        <v>1.4E-3</v>
      </c>
    </row>
    <row r="185" spans="1:7" x14ac:dyDescent="0.4">
      <c r="A185" s="1">
        <v>45559</v>
      </c>
      <c r="B185" s="3">
        <v>18074.52</v>
      </c>
      <c r="C185" s="3">
        <v>18046.439999999999</v>
      </c>
      <c r="D185" s="3">
        <v>18091.96</v>
      </c>
      <c r="E185" s="3">
        <v>17863.38</v>
      </c>
      <c r="F185" t="s">
        <v>409</v>
      </c>
      <c r="G185" s="2">
        <v>5.5999999999999999E-3</v>
      </c>
    </row>
    <row r="186" spans="1:7" x14ac:dyDescent="0.4">
      <c r="A186" s="1">
        <v>45560</v>
      </c>
      <c r="B186" s="3">
        <v>18082.21</v>
      </c>
      <c r="C186" s="3">
        <v>18050.36</v>
      </c>
      <c r="D186" s="3">
        <v>18155.04</v>
      </c>
      <c r="E186" s="3">
        <v>18040.62</v>
      </c>
      <c r="F186" t="s">
        <v>408</v>
      </c>
      <c r="G186" s="2">
        <v>4.0000000000000002E-4</v>
      </c>
    </row>
    <row r="187" spans="1:7" x14ac:dyDescent="0.4">
      <c r="A187" s="1">
        <v>45561</v>
      </c>
      <c r="B187" s="3">
        <v>18190.29</v>
      </c>
      <c r="C187" s="3">
        <v>18327.34</v>
      </c>
      <c r="D187" s="3">
        <v>18327.34</v>
      </c>
      <c r="E187" s="3">
        <v>18071.740000000002</v>
      </c>
      <c r="F187" t="s">
        <v>407</v>
      </c>
      <c r="G187" s="2">
        <v>6.0000000000000001E-3</v>
      </c>
    </row>
    <row r="188" spans="1:7" x14ac:dyDescent="0.4">
      <c r="A188" s="1">
        <v>45562</v>
      </c>
      <c r="B188" s="3">
        <v>18119.59</v>
      </c>
      <c r="C188" s="3">
        <v>18228.78</v>
      </c>
      <c r="D188" s="3">
        <v>18238.28</v>
      </c>
      <c r="E188" s="3">
        <v>18069.18</v>
      </c>
      <c r="F188" t="s">
        <v>395</v>
      </c>
      <c r="G188" s="2">
        <v>-3.8999999999999998E-3</v>
      </c>
    </row>
    <row r="189" spans="1:7" x14ac:dyDescent="0.4">
      <c r="A189" s="1">
        <v>45565</v>
      </c>
      <c r="B189" s="3">
        <v>18189.169999999998</v>
      </c>
      <c r="C189" s="3">
        <v>18069.830000000002</v>
      </c>
      <c r="D189" s="3">
        <v>18198.16</v>
      </c>
      <c r="E189" s="3">
        <v>17997.560000000001</v>
      </c>
      <c r="F189" t="s">
        <v>337</v>
      </c>
      <c r="G189" s="2">
        <v>3.8E-3</v>
      </c>
    </row>
    <row r="190" spans="1:7" x14ac:dyDescent="0.4">
      <c r="A190" s="1">
        <v>45566</v>
      </c>
      <c r="B190" s="3">
        <v>17910.36</v>
      </c>
      <c r="C190" s="3">
        <v>18154.939999999999</v>
      </c>
      <c r="D190" s="3">
        <v>18162.72</v>
      </c>
      <c r="E190" s="3">
        <v>17779.77</v>
      </c>
      <c r="F190" t="s">
        <v>406</v>
      </c>
      <c r="G190" s="2">
        <v>-1.5299999999999999E-2</v>
      </c>
    </row>
    <row r="191" spans="1:7" x14ac:dyDescent="0.4">
      <c r="A191" s="1">
        <v>45567</v>
      </c>
      <c r="B191" s="3">
        <v>17925.12</v>
      </c>
      <c r="C191" s="3">
        <v>17867.12</v>
      </c>
      <c r="D191" s="3">
        <v>17978.57</v>
      </c>
      <c r="E191" s="3">
        <v>17767.79</v>
      </c>
      <c r="F191" t="s">
        <v>405</v>
      </c>
      <c r="G191" s="2">
        <v>8.0000000000000004E-4</v>
      </c>
    </row>
    <row r="192" spans="1:7" x14ac:dyDescent="0.4">
      <c r="A192" s="1">
        <v>45568</v>
      </c>
      <c r="B192" s="3">
        <v>17918.48</v>
      </c>
      <c r="C192" s="3">
        <v>17859.490000000002</v>
      </c>
      <c r="D192" s="3">
        <v>18011.25</v>
      </c>
      <c r="E192" s="3">
        <v>17826.419999999998</v>
      </c>
      <c r="F192" t="s">
        <v>404</v>
      </c>
      <c r="G192" s="2">
        <v>-4.0000000000000002E-4</v>
      </c>
    </row>
    <row r="193" spans="1:7" x14ac:dyDescent="0.4">
      <c r="A193" s="1">
        <v>45569</v>
      </c>
      <c r="B193" s="3">
        <v>18137.849999999999</v>
      </c>
      <c r="C193" s="3">
        <v>18130.419999999998</v>
      </c>
      <c r="D193" s="3">
        <v>18145.28</v>
      </c>
      <c r="E193" s="3">
        <v>17952.3</v>
      </c>
      <c r="F193" t="s">
        <v>403</v>
      </c>
      <c r="G193" s="2">
        <v>1.2200000000000001E-2</v>
      </c>
    </row>
    <row r="194" spans="1:7" x14ac:dyDescent="0.4">
      <c r="A194" s="1">
        <v>45572</v>
      </c>
      <c r="B194" s="3">
        <v>17923.900000000001</v>
      </c>
      <c r="C194" s="3">
        <v>18080.12</v>
      </c>
      <c r="D194" s="3">
        <v>18096.330000000002</v>
      </c>
      <c r="E194" s="3">
        <v>17900.04</v>
      </c>
      <c r="F194" t="s">
        <v>397</v>
      </c>
      <c r="G194" s="2">
        <v>-1.18E-2</v>
      </c>
    </row>
    <row r="195" spans="1:7" x14ac:dyDescent="0.4">
      <c r="A195" s="1">
        <v>45573</v>
      </c>
      <c r="B195" s="3">
        <v>18182.919999999998</v>
      </c>
      <c r="C195" s="3">
        <v>18017.93</v>
      </c>
      <c r="D195" s="3">
        <v>18203.04</v>
      </c>
      <c r="E195" s="3">
        <v>17989.7</v>
      </c>
      <c r="F195" t="s">
        <v>402</v>
      </c>
      <c r="G195" s="2">
        <v>1.4500000000000001E-2</v>
      </c>
    </row>
    <row r="196" spans="1:7" x14ac:dyDescent="0.4">
      <c r="A196" s="1">
        <v>45574</v>
      </c>
      <c r="B196" s="3">
        <v>18291.62</v>
      </c>
      <c r="C196" s="3">
        <v>18179.22</v>
      </c>
      <c r="D196" s="3">
        <v>18302.05</v>
      </c>
      <c r="E196" s="3">
        <v>18133.02</v>
      </c>
      <c r="F196" t="s">
        <v>401</v>
      </c>
      <c r="G196" s="2">
        <v>6.0000000000000001E-3</v>
      </c>
    </row>
    <row r="197" spans="1:7" x14ac:dyDescent="0.4">
      <c r="A197" s="1">
        <v>45575</v>
      </c>
      <c r="B197" s="3">
        <v>18282.05</v>
      </c>
      <c r="C197" s="3">
        <v>18200.62</v>
      </c>
      <c r="D197" s="3">
        <v>18333.39</v>
      </c>
      <c r="E197" s="3">
        <v>18154.18</v>
      </c>
      <c r="F197" t="s">
        <v>400</v>
      </c>
      <c r="G197" s="2">
        <v>-5.0000000000000001E-4</v>
      </c>
    </row>
    <row r="198" spans="1:7" x14ac:dyDescent="0.4">
      <c r="A198" s="1">
        <v>45576</v>
      </c>
      <c r="B198" s="3">
        <v>18342.939999999999</v>
      </c>
      <c r="C198" s="3">
        <v>18217.73</v>
      </c>
      <c r="D198" s="3">
        <v>18375.53</v>
      </c>
      <c r="E198" s="3">
        <v>18208.439999999999</v>
      </c>
      <c r="F198" t="s">
        <v>399</v>
      </c>
      <c r="G198" s="2">
        <v>3.3E-3</v>
      </c>
    </row>
    <row r="199" spans="1:7" x14ac:dyDescent="0.4">
      <c r="A199" s="1">
        <v>45579</v>
      </c>
      <c r="B199" s="3">
        <v>18502.689999999999</v>
      </c>
      <c r="C199" s="3">
        <v>18426.66</v>
      </c>
      <c r="D199" s="3">
        <v>18547.91</v>
      </c>
      <c r="E199" s="3">
        <v>18423.599999999999</v>
      </c>
      <c r="F199" t="s">
        <v>398</v>
      </c>
      <c r="G199" s="2">
        <v>8.6999999999999994E-3</v>
      </c>
    </row>
    <row r="200" spans="1:7" x14ac:dyDescent="0.4">
      <c r="A200" s="1">
        <v>45580</v>
      </c>
      <c r="B200" s="3">
        <v>18315.59</v>
      </c>
      <c r="C200" s="3">
        <v>18515.97</v>
      </c>
      <c r="D200" s="3">
        <v>18564.25</v>
      </c>
      <c r="E200" s="3">
        <v>18252.52</v>
      </c>
      <c r="F200" t="s">
        <v>381</v>
      </c>
      <c r="G200" s="2">
        <v>-1.01E-2</v>
      </c>
    </row>
    <row r="201" spans="1:7" x14ac:dyDescent="0.4">
      <c r="A201" s="1">
        <v>45581</v>
      </c>
      <c r="B201" s="3">
        <v>18367.080000000002</v>
      </c>
      <c r="C201" s="3">
        <v>18333.29</v>
      </c>
      <c r="D201" s="3">
        <v>18383.11</v>
      </c>
      <c r="E201" s="3">
        <v>18214.96</v>
      </c>
      <c r="F201" t="s">
        <v>397</v>
      </c>
      <c r="G201" s="2">
        <v>2.8E-3</v>
      </c>
    </row>
    <row r="202" spans="1:7" x14ac:dyDescent="0.4">
      <c r="A202" s="1">
        <v>45582</v>
      </c>
      <c r="B202" s="3">
        <v>18373.61</v>
      </c>
      <c r="C202" s="3">
        <v>18537.21</v>
      </c>
      <c r="D202" s="3">
        <v>18541.46</v>
      </c>
      <c r="E202" s="3">
        <v>18368.79</v>
      </c>
      <c r="F202" t="s">
        <v>377</v>
      </c>
      <c r="G202" s="2">
        <v>4.0000000000000002E-4</v>
      </c>
    </row>
    <row r="203" spans="1:7" x14ac:dyDescent="0.4">
      <c r="A203" s="1">
        <v>45583</v>
      </c>
      <c r="B203" s="3">
        <v>18489.55</v>
      </c>
      <c r="C203" s="3">
        <v>18466.009999999998</v>
      </c>
      <c r="D203" s="3">
        <v>18524.330000000002</v>
      </c>
      <c r="E203" s="3">
        <v>18452.580000000002</v>
      </c>
      <c r="F203" t="s">
        <v>397</v>
      </c>
      <c r="G203" s="2">
        <v>6.3E-3</v>
      </c>
    </row>
    <row r="204" spans="1:7" x14ac:dyDescent="0.4">
      <c r="A204" s="1">
        <v>45586</v>
      </c>
      <c r="B204" s="3">
        <v>18540.009999999998</v>
      </c>
      <c r="C204" s="3">
        <v>18456.48</v>
      </c>
      <c r="D204" s="3">
        <v>18543.580000000002</v>
      </c>
      <c r="E204" s="3">
        <v>18377.63</v>
      </c>
      <c r="F204" t="s">
        <v>397</v>
      </c>
      <c r="G204" s="2">
        <v>2.7000000000000001E-3</v>
      </c>
    </row>
    <row r="205" spans="1:7" x14ac:dyDescent="0.4">
      <c r="A205" s="1">
        <v>45587</v>
      </c>
      <c r="B205" s="3">
        <v>18573.13</v>
      </c>
      <c r="C205" s="3">
        <v>18451.86</v>
      </c>
      <c r="D205" s="3">
        <v>18620.71</v>
      </c>
      <c r="E205" s="3">
        <v>18413.47</v>
      </c>
      <c r="F205" t="s">
        <v>396</v>
      </c>
      <c r="G205" s="2">
        <v>1.8E-3</v>
      </c>
    </row>
    <row r="206" spans="1:7" x14ac:dyDescent="0.4">
      <c r="A206" s="1">
        <v>45588</v>
      </c>
      <c r="B206" s="3">
        <v>18276.650000000001</v>
      </c>
      <c r="C206" s="3">
        <v>18502.060000000001</v>
      </c>
      <c r="D206" s="3">
        <v>18509.189999999999</v>
      </c>
      <c r="E206" s="3">
        <v>18146.61</v>
      </c>
      <c r="F206" t="s">
        <v>395</v>
      </c>
      <c r="G206" s="2">
        <v>-1.6E-2</v>
      </c>
    </row>
    <row r="207" spans="1:7" x14ac:dyDescent="0.4">
      <c r="A207" s="1">
        <v>45589</v>
      </c>
      <c r="B207" s="3">
        <v>18415.490000000002</v>
      </c>
      <c r="C207" s="3">
        <v>18384.150000000001</v>
      </c>
      <c r="D207" s="3">
        <v>18435.37</v>
      </c>
      <c r="E207" s="3">
        <v>18305.419999999998</v>
      </c>
      <c r="F207" t="s">
        <v>394</v>
      </c>
      <c r="G207" s="2">
        <v>7.6E-3</v>
      </c>
    </row>
    <row r="208" spans="1:7" x14ac:dyDescent="0.4">
      <c r="A208" s="1">
        <v>45590</v>
      </c>
      <c r="B208" s="3">
        <v>18518.61</v>
      </c>
      <c r="C208" s="3">
        <v>18512.580000000002</v>
      </c>
      <c r="D208" s="3">
        <v>18690.009999999998</v>
      </c>
      <c r="E208" s="3">
        <v>18487.060000000001</v>
      </c>
      <c r="F208" t="s">
        <v>393</v>
      </c>
      <c r="G208" s="2">
        <v>5.5999999999999999E-3</v>
      </c>
    </row>
    <row r="209" spans="1:7" x14ac:dyDescent="0.4">
      <c r="A209" s="1">
        <v>45593</v>
      </c>
      <c r="B209" s="3">
        <v>18567.189999999999</v>
      </c>
      <c r="C209" s="3">
        <v>18648.25</v>
      </c>
      <c r="D209" s="3">
        <v>18671.009999999998</v>
      </c>
      <c r="E209" s="3">
        <v>18563.02</v>
      </c>
      <c r="F209" t="s">
        <v>377</v>
      </c>
      <c r="G209" s="2">
        <v>2.5999999999999999E-3</v>
      </c>
    </row>
    <row r="210" spans="1:7" x14ac:dyDescent="0.4">
      <c r="A210" s="1">
        <v>45594</v>
      </c>
      <c r="B210" s="3">
        <v>18712.75</v>
      </c>
      <c r="C210" s="3">
        <v>18576.09</v>
      </c>
      <c r="D210" s="3">
        <v>18753.189999999999</v>
      </c>
      <c r="E210" s="3">
        <v>18509.59</v>
      </c>
      <c r="F210" t="s">
        <v>385</v>
      </c>
      <c r="G210" s="2">
        <v>7.7999999999999996E-3</v>
      </c>
    </row>
    <row r="211" spans="1:7" x14ac:dyDescent="0.4">
      <c r="A211" s="1">
        <v>45595</v>
      </c>
      <c r="B211" s="3">
        <v>18607.93</v>
      </c>
      <c r="C211" s="3">
        <v>18731.689999999999</v>
      </c>
      <c r="D211" s="3">
        <v>18785.490000000002</v>
      </c>
      <c r="E211" s="3">
        <v>18598.240000000002</v>
      </c>
      <c r="F211" t="s">
        <v>340</v>
      </c>
      <c r="G211" s="2">
        <v>-5.5999999999999999E-3</v>
      </c>
    </row>
    <row r="212" spans="1:7" x14ac:dyDescent="0.4">
      <c r="A212" s="1">
        <v>45596</v>
      </c>
      <c r="B212" s="3">
        <v>18095.150000000001</v>
      </c>
      <c r="C212" s="3">
        <v>18427.310000000001</v>
      </c>
      <c r="D212" s="3">
        <v>18427.310000000001</v>
      </c>
      <c r="E212" s="3">
        <v>18083.95</v>
      </c>
      <c r="F212" t="s">
        <v>370</v>
      </c>
      <c r="G212" s="2">
        <v>-2.76E-2</v>
      </c>
    </row>
    <row r="213" spans="1:7" x14ac:dyDescent="0.4">
      <c r="A213" s="1">
        <v>45597</v>
      </c>
      <c r="B213" s="3">
        <v>18239.919999999998</v>
      </c>
      <c r="C213" s="3">
        <v>18189.669999999998</v>
      </c>
      <c r="D213" s="3">
        <v>18363.939999999999</v>
      </c>
      <c r="E213" s="3">
        <v>18181.53</v>
      </c>
      <c r="F213" t="s">
        <v>392</v>
      </c>
      <c r="G213" s="2">
        <v>8.0000000000000002E-3</v>
      </c>
    </row>
    <row r="214" spans="1:7" x14ac:dyDescent="0.4">
      <c r="A214" s="1">
        <v>45600</v>
      </c>
      <c r="B214" s="3">
        <v>18179.98</v>
      </c>
      <c r="C214" s="3">
        <v>18220.43</v>
      </c>
      <c r="D214" s="3">
        <v>18308.3</v>
      </c>
      <c r="E214" s="3">
        <v>18112.830000000002</v>
      </c>
      <c r="F214" t="s">
        <v>391</v>
      </c>
      <c r="G214" s="2">
        <v>-3.3E-3</v>
      </c>
    </row>
    <row r="215" spans="1:7" x14ac:dyDescent="0.4">
      <c r="A215" s="1">
        <v>45601</v>
      </c>
      <c r="B215" s="3">
        <v>18439.169999999998</v>
      </c>
      <c r="C215" s="3">
        <v>18250.71</v>
      </c>
      <c r="D215" s="3">
        <v>18449.68</v>
      </c>
      <c r="E215" s="3">
        <v>18250.71</v>
      </c>
      <c r="F215" t="s">
        <v>390</v>
      </c>
      <c r="G215" s="2">
        <v>1.43E-2</v>
      </c>
    </row>
    <row r="216" spans="1:7" x14ac:dyDescent="0.4">
      <c r="A216" s="1">
        <v>45602</v>
      </c>
      <c r="B216" s="3">
        <v>18983.46</v>
      </c>
      <c r="C216" s="3">
        <v>18772.759999999998</v>
      </c>
      <c r="D216" s="3">
        <v>19000.5</v>
      </c>
      <c r="E216" s="3">
        <v>18730.21</v>
      </c>
      <c r="F216" t="s">
        <v>374</v>
      </c>
      <c r="G216" s="2">
        <v>2.9499999999999998E-2</v>
      </c>
    </row>
    <row r="217" spans="1:7" x14ac:dyDescent="0.4">
      <c r="A217" s="1">
        <v>45603</v>
      </c>
      <c r="B217" s="3">
        <v>19269.46</v>
      </c>
      <c r="C217" s="3">
        <v>19084.43</v>
      </c>
      <c r="D217" s="3">
        <v>19301.7</v>
      </c>
      <c r="E217" s="3">
        <v>19084.43</v>
      </c>
      <c r="F217" t="s">
        <v>389</v>
      </c>
      <c r="G217" s="2">
        <v>1.5100000000000001E-2</v>
      </c>
    </row>
    <row r="218" spans="1:7" x14ac:dyDescent="0.4">
      <c r="A218" s="1">
        <v>45604</v>
      </c>
      <c r="B218" s="3">
        <v>19286.78</v>
      </c>
      <c r="C218" s="3">
        <v>19255.14</v>
      </c>
      <c r="D218" s="3">
        <v>19318.560000000001</v>
      </c>
      <c r="E218" s="3">
        <v>19224.43</v>
      </c>
      <c r="F218" t="s">
        <v>370</v>
      </c>
      <c r="G218" s="2">
        <v>8.9999999999999998E-4</v>
      </c>
    </row>
    <row r="219" spans="1:7" x14ac:dyDescent="0.4">
      <c r="A219" s="1">
        <v>45607</v>
      </c>
      <c r="B219" s="3">
        <v>19298.759999999998</v>
      </c>
      <c r="C219" s="3">
        <v>19355.34</v>
      </c>
      <c r="D219" s="3">
        <v>19366.07</v>
      </c>
      <c r="E219" s="3">
        <v>19193.29</v>
      </c>
      <c r="F219" t="s">
        <v>334</v>
      </c>
      <c r="G219" s="2">
        <v>5.9999999999999995E-4</v>
      </c>
    </row>
    <row r="220" spans="1:7" x14ac:dyDescent="0.4">
      <c r="A220" s="1">
        <v>45608</v>
      </c>
      <c r="B220" s="3">
        <v>19281.400000000001</v>
      </c>
      <c r="C220" s="3">
        <v>19289.810000000001</v>
      </c>
      <c r="D220" s="3">
        <v>19343.05</v>
      </c>
      <c r="E220" s="3">
        <v>19168.52</v>
      </c>
      <c r="F220" t="s">
        <v>363</v>
      </c>
      <c r="G220" s="2">
        <v>-8.9999999999999998E-4</v>
      </c>
    </row>
    <row r="221" spans="1:7" x14ac:dyDescent="0.4">
      <c r="A221" s="1">
        <v>45609</v>
      </c>
      <c r="B221" s="3">
        <v>19230.72</v>
      </c>
      <c r="C221" s="3">
        <v>19286.46</v>
      </c>
      <c r="D221" s="3">
        <v>19358.48</v>
      </c>
      <c r="E221" s="3">
        <v>19191.13</v>
      </c>
      <c r="F221" t="s">
        <v>388</v>
      </c>
      <c r="G221" s="2">
        <v>-2.5999999999999999E-3</v>
      </c>
    </row>
    <row r="222" spans="1:7" x14ac:dyDescent="0.4">
      <c r="A222" s="1">
        <v>45610</v>
      </c>
      <c r="B222" s="3">
        <v>19107.650000000001</v>
      </c>
      <c r="C222" s="3">
        <v>19256.09</v>
      </c>
      <c r="D222" s="3">
        <v>19275.8</v>
      </c>
      <c r="E222" s="3">
        <v>19073.39</v>
      </c>
      <c r="F222" t="s">
        <v>351</v>
      </c>
      <c r="G222" s="2">
        <v>-6.4000000000000003E-3</v>
      </c>
    </row>
    <row r="223" spans="1:7" x14ac:dyDescent="0.4">
      <c r="A223" s="1">
        <v>45611</v>
      </c>
      <c r="B223" s="3">
        <v>18680.12</v>
      </c>
      <c r="C223" s="3">
        <v>18929.919999999998</v>
      </c>
      <c r="D223" s="3">
        <v>18936.75</v>
      </c>
      <c r="E223" s="3">
        <v>18598.87</v>
      </c>
      <c r="F223" t="s">
        <v>387</v>
      </c>
      <c r="G223" s="2">
        <v>-2.24E-2</v>
      </c>
    </row>
    <row r="224" spans="1:7" x14ac:dyDescent="0.4">
      <c r="A224" s="1">
        <v>45614</v>
      </c>
      <c r="B224" s="3">
        <v>18791.810000000001</v>
      </c>
      <c r="C224" s="3">
        <v>18717.93</v>
      </c>
      <c r="D224" s="3">
        <v>18865.28</v>
      </c>
      <c r="E224" s="3">
        <v>18672.3</v>
      </c>
      <c r="F224" t="s">
        <v>371</v>
      </c>
      <c r="G224" s="2">
        <v>6.0000000000000001E-3</v>
      </c>
    </row>
    <row r="225" spans="1:7" x14ac:dyDescent="0.4">
      <c r="A225" s="1">
        <v>45615</v>
      </c>
      <c r="B225" s="3">
        <v>18987.47</v>
      </c>
      <c r="C225" s="3">
        <v>18699.71</v>
      </c>
      <c r="D225" s="3">
        <v>18992.080000000002</v>
      </c>
      <c r="E225" s="3">
        <v>18689.830000000002</v>
      </c>
      <c r="F225" t="s">
        <v>381</v>
      </c>
      <c r="G225" s="2">
        <v>1.04E-2</v>
      </c>
    </row>
    <row r="226" spans="1:7" x14ac:dyDescent="0.4">
      <c r="A226" s="1">
        <v>45616</v>
      </c>
      <c r="B226" s="3">
        <v>18966.14</v>
      </c>
      <c r="C226" s="3">
        <v>18971.310000000001</v>
      </c>
      <c r="D226" s="3">
        <v>18974.91</v>
      </c>
      <c r="E226" s="3">
        <v>18724.39</v>
      </c>
      <c r="F226" t="s">
        <v>383</v>
      </c>
      <c r="G226" s="2">
        <v>-1.1000000000000001E-3</v>
      </c>
    </row>
    <row r="227" spans="1:7" x14ac:dyDescent="0.4">
      <c r="A227" s="1">
        <v>45617</v>
      </c>
      <c r="B227" s="3">
        <v>18972.419999999998</v>
      </c>
      <c r="C227" s="3">
        <v>19072.78</v>
      </c>
      <c r="D227" s="3">
        <v>19110.89</v>
      </c>
      <c r="E227" s="3">
        <v>18714.060000000001</v>
      </c>
      <c r="F227" t="s">
        <v>353</v>
      </c>
      <c r="G227" s="2">
        <v>2.9999999999999997E-4</v>
      </c>
    </row>
    <row r="228" spans="1:7" x14ac:dyDescent="0.4">
      <c r="A228" s="1">
        <v>45618</v>
      </c>
      <c r="B228" s="3">
        <v>19003.650000000001</v>
      </c>
      <c r="C228" s="3">
        <v>18966.32</v>
      </c>
      <c r="D228" s="3">
        <v>19025.77</v>
      </c>
      <c r="E228" s="3">
        <v>18899.48</v>
      </c>
      <c r="F228" t="s">
        <v>352</v>
      </c>
      <c r="G228" s="2">
        <v>1.6000000000000001E-3</v>
      </c>
    </row>
    <row r="229" spans="1:7" x14ac:dyDescent="0.4">
      <c r="A229" s="1">
        <v>45621</v>
      </c>
      <c r="B229" s="3">
        <v>19054.84</v>
      </c>
      <c r="C229" s="3">
        <v>19140.59</v>
      </c>
      <c r="D229" s="3">
        <v>19208.68</v>
      </c>
      <c r="E229" s="3">
        <v>18969.349999999999</v>
      </c>
      <c r="F229" t="s">
        <v>386</v>
      </c>
      <c r="G229" s="2">
        <v>2.7000000000000001E-3</v>
      </c>
    </row>
    <row r="230" spans="1:7" x14ac:dyDescent="0.4">
      <c r="A230" s="1">
        <v>45622</v>
      </c>
      <c r="B230" s="3">
        <v>19175.580000000002</v>
      </c>
      <c r="C230" s="3">
        <v>19109.080000000002</v>
      </c>
      <c r="D230" s="3">
        <v>19184.400000000001</v>
      </c>
      <c r="E230" s="3">
        <v>19100.73</v>
      </c>
      <c r="F230" t="s">
        <v>385</v>
      </c>
      <c r="G230" s="2">
        <v>6.3E-3</v>
      </c>
    </row>
    <row r="231" spans="1:7" x14ac:dyDescent="0.4">
      <c r="A231" s="1">
        <v>45623</v>
      </c>
      <c r="B231" s="3">
        <v>19060.48</v>
      </c>
      <c r="C231" s="3">
        <v>19132.990000000002</v>
      </c>
      <c r="D231" s="3">
        <v>19133.11</v>
      </c>
      <c r="E231" s="3">
        <v>18937.2</v>
      </c>
      <c r="F231" t="s">
        <v>377</v>
      </c>
      <c r="G231" s="2">
        <v>-6.0000000000000001E-3</v>
      </c>
    </row>
    <row r="232" spans="1:7" x14ac:dyDescent="0.4">
      <c r="A232" s="1">
        <v>45625</v>
      </c>
      <c r="B232" s="3">
        <v>19218.169999999998</v>
      </c>
      <c r="C232" s="3">
        <v>19087.47</v>
      </c>
      <c r="D232" s="3">
        <v>19245.490000000002</v>
      </c>
      <c r="E232" s="3">
        <v>19066.52</v>
      </c>
      <c r="F232" t="s">
        <v>384</v>
      </c>
      <c r="G232" s="2">
        <v>8.3000000000000001E-3</v>
      </c>
    </row>
    <row r="233" spans="1:7" x14ac:dyDescent="0.4">
      <c r="A233" s="1">
        <v>45628</v>
      </c>
      <c r="B233" s="3">
        <v>19403.95</v>
      </c>
      <c r="C233" s="3">
        <v>19255.43</v>
      </c>
      <c r="D233" s="3">
        <v>19436.919999999998</v>
      </c>
      <c r="E233" s="3">
        <v>19255.43</v>
      </c>
      <c r="F233" t="s">
        <v>338</v>
      </c>
      <c r="G233" s="2">
        <v>9.7000000000000003E-3</v>
      </c>
    </row>
    <row r="234" spans="1:7" x14ac:dyDescent="0.4">
      <c r="A234" s="1">
        <v>45629</v>
      </c>
      <c r="B234" s="3">
        <v>19480.91</v>
      </c>
      <c r="C234" s="3">
        <v>19364.34</v>
      </c>
      <c r="D234" s="3">
        <v>19486.14</v>
      </c>
      <c r="E234" s="3">
        <v>19340.41</v>
      </c>
      <c r="F234" t="s">
        <v>383</v>
      </c>
      <c r="G234" s="2">
        <v>4.0000000000000001E-3</v>
      </c>
    </row>
    <row r="235" spans="1:7" x14ac:dyDescent="0.4">
      <c r="A235" s="1">
        <v>45630</v>
      </c>
      <c r="B235" s="3">
        <v>19735.12</v>
      </c>
      <c r="C235" s="3">
        <v>19587.48</v>
      </c>
      <c r="D235" s="3">
        <v>19741.759999999998</v>
      </c>
      <c r="E235" s="3">
        <v>19575.39</v>
      </c>
      <c r="F235" t="s">
        <v>332</v>
      </c>
      <c r="G235" s="2">
        <v>1.2999999999999999E-2</v>
      </c>
    </row>
    <row r="236" spans="1:7" x14ac:dyDescent="0.4">
      <c r="A236" s="1">
        <v>45631</v>
      </c>
      <c r="B236" s="3">
        <v>19700.72</v>
      </c>
      <c r="C236" s="3">
        <v>19756.400000000001</v>
      </c>
      <c r="D236" s="3">
        <v>19790.03</v>
      </c>
      <c r="E236" s="3">
        <v>19688.59</v>
      </c>
      <c r="F236" t="s">
        <v>332</v>
      </c>
      <c r="G236" s="2">
        <v>-1.6999999999999999E-3</v>
      </c>
    </row>
    <row r="237" spans="1:7" x14ac:dyDescent="0.4">
      <c r="A237" s="1">
        <v>45632</v>
      </c>
      <c r="B237" s="3">
        <v>19859.77</v>
      </c>
      <c r="C237" s="3">
        <v>19743.96</v>
      </c>
      <c r="D237" s="3">
        <v>19863.14</v>
      </c>
      <c r="E237" s="3">
        <v>19734.419999999998</v>
      </c>
      <c r="F237" t="s">
        <v>382</v>
      </c>
      <c r="G237" s="2">
        <v>8.0999999999999996E-3</v>
      </c>
    </row>
    <row r="238" spans="1:7" x14ac:dyDescent="0.4">
      <c r="A238" s="1">
        <v>45635</v>
      </c>
      <c r="B238" s="3">
        <v>19736.689999999999</v>
      </c>
      <c r="C238" s="3">
        <v>19824.09</v>
      </c>
      <c r="D238" s="3">
        <v>19872.79</v>
      </c>
      <c r="E238" s="3">
        <v>19698.05</v>
      </c>
      <c r="F238" t="s">
        <v>365</v>
      </c>
      <c r="G238" s="2">
        <v>-6.1999999999999998E-3</v>
      </c>
    </row>
    <row r="239" spans="1:7" x14ac:dyDescent="0.4">
      <c r="A239" s="1">
        <v>45636</v>
      </c>
      <c r="B239" s="3">
        <v>19687.240000000002</v>
      </c>
      <c r="C239" s="3">
        <v>19796.39</v>
      </c>
      <c r="D239" s="3">
        <v>19887.080000000002</v>
      </c>
      <c r="E239" s="3">
        <v>19641.34</v>
      </c>
      <c r="F239" t="s">
        <v>351</v>
      </c>
      <c r="G239" s="2">
        <v>-2.5000000000000001E-3</v>
      </c>
    </row>
    <row r="240" spans="1:7" x14ac:dyDescent="0.4">
      <c r="A240" s="1">
        <v>45637</v>
      </c>
      <c r="B240" s="3">
        <v>20034.89</v>
      </c>
      <c r="C240" s="3">
        <v>19832.96</v>
      </c>
      <c r="D240" s="3">
        <v>20055.93</v>
      </c>
      <c r="E240" s="3">
        <v>19830.64</v>
      </c>
      <c r="F240" t="s">
        <v>370</v>
      </c>
      <c r="G240" s="2">
        <v>1.77E-2</v>
      </c>
    </row>
    <row r="241" spans="1:7" x14ac:dyDescent="0.4">
      <c r="A241" s="1">
        <v>45638</v>
      </c>
      <c r="B241" s="3">
        <v>19902.84</v>
      </c>
      <c r="C241" s="3">
        <v>19947.34</v>
      </c>
      <c r="D241" s="3">
        <v>20018.240000000002</v>
      </c>
      <c r="E241" s="3">
        <v>19897.38</v>
      </c>
      <c r="F241" t="s">
        <v>381</v>
      </c>
      <c r="G241" s="2">
        <v>-6.6E-3</v>
      </c>
    </row>
    <row r="242" spans="1:7" x14ac:dyDescent="0.4">
      <c r="A242" s="1">
        <v>45639</v>
      </c>
      <c r="B242" s="3">
        <v>19926.72</v>
      </c>
      <c r="C242" s="3">
        <v>19995.18</v>
      </c>
      <c r="D242" s="3">
        <v>20061.650000000001</v>
      </c>
      <c r="E242" s="3">
        <v>19817.47</v>
      </c>
      <c r="F242" t="s">
        <v>335</v>
      </c>
      <c r="G242" s="2">
        <v>1.1999999999999999E-3</v>
      </c>
    </row>
    <row r="243" spans="1:7" x14ac:dyDescent="0.4">
      <c r="A243" s="1">
        <v>45642</v>
      </c>
      <c r="B243" s="3">
        <v>20173.89</v>
      </c>
      <c r="C243" s="3">
        <v>20016.12</v>
      </c>
      <c r="D243" s="3">
        <v>20204.580000000002</v>
      </c>
      <c r="E243" s="3">
        <v>19988.12</v>
      </c>
      <c r="F243" t="s">
        <v>364</v>
      </c>
      <c r="G243" s="2">
        <v>1.24E-2</v>
      </c>
    </row>
    <row r="244" spans="1:7" x14ac:dyDescent="0.4">
      <c r="A244" s="1">
        <v>45643</v>
      </c>
      <c r="B244" s="3">
        <v>20109.060000000001</v>
      </c>
      <c r="C244" s="3">
        <v>20095.62</v>
      </c>
      <c r="D244" s="3">
        <v>20148.830000000002</v>
      </c>
      <c r="E244" s="3">
        <v>20004.73</v>
      </c>
      <c r="F244" t="s">
        <v>342</v>
      </c>
      <c r="G244" s="2">
        <v>-3.2000000000000002E-3</v>
      </c>
    </row>
    <row r="245" spans="1:7" x14ac:dyDescent="0.4">
      <c r="A245" s="1">
        <v>45644</v>
      </c>
      <c r="B245" s="3">
        <v>19392.689999999999</v>
      </c>
      <c r="C245" s="3">
        <v>20114.98</v>
      </c>
      <c r="D245" s="3">
        <v>20179.77</v>
      </c>
      <c r="E245" s="3">
        <v>19336.59</v>
      </c>
      <c r="F245" t="s">
        <v>380</v>
      </c>
      <c r="G245" s="2">
        <v>-3.56E-2</v>
      </c>
    </row>
    <row r="246" spans="1:7" x14ac:dyDescent="0.4">
      <c r="A246" s="1">
        <v>45645</v>
      </c>
      <c r="B246" s="3">
        <v>19372.77</v>
      </c>
      <c r="C246" s="3">
        <v>19565.66</v>
      </c>
      <c r="D246" s="3">
        <v>19623.02</v>
      </c>
      <c r="E246" s="3">
        <v>19357.759999999998</v>
      </c>
      <c r="F246" t="s">
        <v>364</v>
      </c>
      <c r="G246" s="2">
        <v>-1E-3</v>
      </c>
    </row>
    <row r="247" spans="1:7" x14ac:dyDescent="0.4">
      <c r="A247" s="1">
        <v>45646</v>
      </c>
      <c r="B247" s="3">
        <v>19572.599999999999</v>
      </c>
      <c r="C247" s="3">
        <v>19190.04</v>
      </c>
      <c r="D247" s="3">
        <v>19758.61</v>
      </c>
      <c r="E247" s="3">
        <v>19168.38</v>
      </c>
      <c r="F247" t="s">
        <v>379</v>
      </c>
      <c r="G247" s="2">
        <v>1.03E-2</v>
      </c>
    </row>
    <row r="248" spans="1:7" x14ac:dyDescent="0.4">
      <c r="A248" s="1">
        <v>45649</v>
      </c>
      <c r="B248" s="3">
        <v>19764.88</v>
      </c>
      <c r="C248" s="3">
        <v>19641.05</v>
      </c>
      <c r="D248" s="3">
        <v>19772.099999999999</v>
      </c>
      <c r="E248" s="3">
        <v>19504.68</v>
      </c>
      <c r="F248" t="s">
        <v>353</v>
      </c>
      <c r="G248" s="2">
        <v>9.7999999999999997E-3</v>
      </c>
    </row>
    <row r="249" spans="1:7" x14ac:dyDescent="0.4">
      <c r="A249" s="1">
        <v>45650</v>
      </c>
      <c r="B249" s="3">
        <v>20031.13</v>
      </c>
      <c r="C249" s="3">
        <v>19818.48</v>
      </c>
      <c r="D249" s="3">
        <v>20031.13</v>
      </c>
      <c r="E249" s="3">
        <v>19813.759999999998</v>
      </c>
      <c r="F249" t="s">
        <v>378</v>
      </c>
      <c r="G249" s="2">
        <v>1.35E-2</v>
      </c>
    </row>
    <row r="250" spans="1:7" x14ac:dyDescent="0.4">
      <c r="A250" s="1">
        <v>45652</v>
      </c>
      <c r="B250" s="3">
        <v>20020.36</v>
      </c>
      <c r="C250" s="3">
        <v>19979.25</v>
      </c>
      <c r="D250" s="3">
        <v>20070.080000000002</v>
      </c>
      <c r="E250" s="3">
        <v>19888.11</v>
      </c>
      <c r="F250" t="s">
        <v>377</v>
      </c>
      <c r="G250" s="2">
        <v>-5.0000000000000001E-4</v>
      </c>
    </row>
    <row r="251" spans="1:7" x14ac:dyDescent="0.4">
      <c r="A251" s="1">
        <v>45653</v>
      </c>
      <c r="B251" s="3">
        <v>19722.03</v>
      </c>
      <c r="C251" s="3">
        <v>19896.77</v>
      </c>
      <c r="D251" s="3">
        <v>19904.77</v>
      </c>
      <c r="E251" s="3">
        <v>19553.400000000001</v>
      </c>
      <c r="F251" t="s">
        <v>351</v>
      </c>
      <c r="G251" s="2">
        <v>-1.49E-2</v>
      </c>
    </row>
    <row r="252" spans="1:7" x14ac:dyDescent="0.4">
      <c r="A252" s="1">
        <v>45656</v>
      </c>
      <c r="B252" s="3">
        <v>19486.79</v>
      </c>
      <c r="C252" s="3">
        <v>19460.41</v>
      </c>
      <c r="D252" s="3">
        <v>19622.93</v>
      </c>
      <c r="E252" s="3">
        <v>19342.509999999998</v>
      </c>
      <c r="F252" t="s">
        <v>331</v>
      </c>
      <c r="G252" s="2">
        <v>-1.1900000000000001E-2</v>
      </c>
    </row>
    <row r="253" spans="1:7" x14ac:dyDescent="0.4">
      <c r="A253" s="1">
        <v>45657</v>
      </c>
      <c r="B253" s="3">
        <v>19310.79</v>
      </c>
      <c r="C253" s="3">
        <v>19551.36</v>
      </c>
      <c r="D253" s="3">
        <v>19563.72</v>
      </c>
      <c r="E253" s="3">
        <v>19283.41</v>
      </c>
      <c r="F253" t="s">
        <v>376</v>
      </c>
      <c r="G253" s="2">
        <v>-8.9999999999999993E-3</v>
      </c>
    </row>
    <row r="254" spans="1:7" x14ac:dyDescent="0.4">
      <c r="A254" s="1">
        <v>45659</v>
      </c>
      <c r="B254" s="3">
        <v>19280.79</v>
      </c>
      <c r="C254" s="3">
        <v>19403.900000000001</v>
      </c>
      <c r="D254" s="3">
        <v>19517.87</v>
      </c>
      <c r="E254" s="3">
        <v>19117.59</v>
      </c>
      <c r="F254" t="s">
        <v>331</v>
      </c>
      <c r="G254" s="2">
        <v>-1.6000000000000001E-3</v>
      </c>
    </row>
    <row r="255" spans="1:7" x14ac:dyDescent="0.4">
      <c r="A255" s="1">
        <v>45660</v>
      </c>
      <c r="B255" s="3">
        <v>19621.68</v>
      </c>
      <c r="C255" s="3">
        <v>19395.509999999998</v>
      </c>
      <c r="D255" s="3">
        <v>19638.66</v>
      </c>
      <c r="E255" s="3">
        <v>19379.57</v>
      </c>
      <c r="F255" t="s">
        <v>370</v>
      </c>
      <c r="G255" s="2">
        <v>1.77E-2</v>
      </c>
    </row>
    <row r="256" spans="1:7" x14ac:dyDescent="0.4">
      <c r="A256" s="1">
        <v>45663</v>
      </c>
      <c r="B256" s="3">
        <v>19864.98</v>
      </c>
      <c r="C256" s="3">
        <v>19851.990000000002</v>
      </c>
      <c r="D256" s="3">
        <v>20007.95</v>
      </c>
      <c r="E256" s="3">
        <v>19784.990000000002</v>
      </c>
      <c r="F256" t="s">
        <v>375</v>
      </c>
      <c r="G256" s="2">
        <v>1.24E-2</v>
      </c>
    </row>
    <row r="257" spans="1:7" x14ac:dyDescent="0.4">
      <c r="A257" s="1">
        <v>45664</v>
      </c>
      <c r="B257" s="3">
        <v>19489.68</v>
      </c>
      <c r="C257" s="3">
        <v>19938.080000000002</v>
      </c>
      <c r="D257" s="3">
        <v>19940.21</v>
      </c>
      <c r="E257" s="3">
        <v>19421.02</v>
      </c>
      <c r="F257" t="s">
        <v>374</v>
      </c>
      <c r="G257" s="2">
        <v>-1.89E-2</v>
      </c>
    </row>
    <row r="258" spans="1:7" x14ac:dyDescent="0.4">
      <c r="A258" s="1">
        <v>45665</v>
      </c>
      <c r="B258" s="3">
        <v>19478.88</v>
      </c>
      <c r="C258" s="3">
        <v>19469.37</v>
      </c>
      <c r="D258" s="3">
        <v>19544.509999999998</v>
      </c>
      <c r="E258" s="3">
        <v>19308.54</v>
      </c>
      <c r="F258" t="s">
        <v>359</v>
      </c>
      <c r="G258" s="2">
        <v>-5.9999999999999995E-4</v>
      </c>
    </row>
    <row r="259" spans="1:7" x14ac:dyDescent="0.4">
      <c r="A259" s="1">
        <v>45667</v>
      </c>
      <c r="B259" s="3">
        <v>19161.63</v>
      </c>
      <c r="C259" s="3">
        <v>19312.259999999998</v>
      </c>
      <c r="D259" s="3">
        <v>19315.11</v>
      </c>
      <c r="E259" s="3">
        <v>19018.75</v>
      </c>
      <c r="F259" t="s">
        <v>362</v>
      </c>
      <c r="G259" s="2">
        <v>-1.6299999999999999E-2</v>
      </c>
    </row>
    <row r="260" spans="1:7" x14ac:dyDescent="0.4">
      <c r="A260" s="1">
        <v>45670</v>
      </c>
      <c r="B260" s="3">
        <v>19088.099999999999</v>
      </c>
      <c r="C260" s="3">
        <v>18903.66</v>
      </c>
      <c r="D260" s="3">
        <v>19099.97</v>
      </c>
      <c r="E260" s="3">
        <v>18831.91</v>
      </c>
      <c r="F260" t="s">
        <v>373</v>
      </c>
      <c r="G260" s="2">
        <v>-3.8E-3</v>
      </c>
    </row>
    <row r="261" spans="1:7" x14ac:dyDescent="0.4">
      <c r="A261" s="1">
        <v>45671</v>
      </c>
      <c r="B261" s="3">
        <v>19044.39</v>
      </c>
      <c r="C261" s="3">
        <v>19207.75</v>
      </c>
      <c r="D261" s="3">
        <v>19273.14</v>
      </c>
      <c r="E261" s="3">
        <v>18926.599999999999</v>
      </c>
      <c r="F261" t="s">
        <v>371</v>
      </c>
      <c r="G261" s="2">
        <v>-2.3E-3</v>
      </c>
    </row>
    <row r="262" spans="1:7" x14ac:dyDescent="0.4">
      <c r="A262" s="1">
        <v>45672</v>
      </c>
      <c r="B262" s="3">
        <v>19511.23</v>
      </c>
      <c r="C262" s="3">
        <v>19350.310000000001</v>
      </c>
      <c r="D262" s="3">
        <v>19548.900000000001</v>
      </c>
      <c r="E262" s="3">
        <v>19299.32</v>
      </c>
      <c r="F262" t="s">
        <v>341</v>
      </c>
      <c r="G262" s="2">
        <v>2.4500000000000001E-2</v>
      </c>
    </row>
    <row r="263" spans="1:7" x14ac:dyDescent="0.4">
      <c r="A263" s="1">
        <v>45673</v>
      </c>
      <c r="B263" s="3">
        <v>19338.29</v>
      </c>
      <c r="C263" s="3">
        <v>19573.87</v>
      </c>
      <c r="D263" s="3">
        <v>19579.849999999999</v>
      </c>
      <c r="E263" s="3">
        <v>19335.68</v>
      </c>
      <c r="F263" t="s">
        <v>355</v>
      </c>
      <c r="G263" s="2">
        <v>-8.8999999999999999E-3</v>
      </c>
    </row>
    <row r="264" spans="1:7" x14ac:dyDescent="0.4">
      <c r="A264" s="1">
        <v>45674</v>
      </c>
      <c r="B264" s="3">
        <v>19630.2</v>
      </c>
      <c r="C264" s="3">
        <v>19655.55</v>
      </c>
      <c r="D264" s="3">
        <v>19709.64</v>
      </c>
      <c r="E264" s="3">
        <v>19543.32</v>
      </c>
      <c r="F264" t="s">
        <v>360</v>
      </c>
      <c r="G264" s="2">
        <v>1.5100000000000001E-2</v>
      </c>
    </row>
    <row r="265" spans="1:7" x14ac:dyDescent="0.4">
      <c r="A265" s="1">
        <v>45678</v>
      </c>
      <c r="B265" s="3">
        <v>19756.78</v>
      </c>
      <c r="C265" s="3">
        <v>19734.39</v>
      </c>
      <c r="D265" s="3">
        <v>19789.63</v>
      </c>
      <c r="E265" s="3">
        <v>19551.169999999998</v>
      </c>
      <c r="F265" t="s">
        <v>358</v>
      </c>
      <c r="G265" s="2">
        <v>6.4000000000000003E-3</v>
      </c>
    </row>
    <row r="266" spans="1:7" x14ac:dyDescent="0.4">
      <c r="A266" s="1">
        <v>45679</v>
      </c>
      <c r="B266" s="3">
        <v>20009.34</v>
      </c>
      <c r="C266" s="3">
        <v>19903.05</v>
      </c>
      <c r="D266" s="3">
        <v>20068.52</v>
      </c>
      <c r="E266" s="3">
        <v>19903.05</v>
      </c>
      <c r="F266" t="s">
        <v>363</v>
      </c>
      <c r="G266" s="2">
        <v>1.2800000000000001E-2</v>
      </c>
    </row>
    <row r="267" spans="1:7" x14ac:dyDescent="0.4">
      <c r="A267" s="1">
        <v>45680</v>
      </c>
      <c r="B267" s="3">
        <v>20053.68</v>
      </c>
      <c r="C267" s="3">
        <v>19906.990000000002</v>
      </c>
      <c r="D267" s="3">
        <v>20053.68</v>
      </c>
      <c r="E267" s="3">
        <v>19892.55</v>
      </c>
      <c r="F267" t="s">
        <v>337</v>
      </c>
      <c r="G267" s="2">
        <v>2.2000000000000001E-3</v>
      </c>
    </row>
    <row r="268" spans="1:7" x14ac:dyDescent="0.4">
      <c r="A268" s="1">
        <v>45681</v>
      </c>
      <c r="B268" s="3">
        <v>19954.3</v>
      </c>
      <c r="C268" s="3">
        <v>20087.11</v>
      </c>
      <c r="D268" s="3">
        <v>20118.61</v>
      </c>
      <c r="E268" s="3">
        <v>19897.13</v>
      </c>
      <c r="F268" t="s">
        <v>332</v>
      </c>
      <c r="G268" s="2">
        <v>-5.0000000000000001E-3</v>
      </c>
    </row>
    <row r="269" spans="1:7" x14ac:dyDescent="0.4">
      <c r="A269" s="1">
        <v>45684</v>
      </c>
      <c r="B269" s="3">
        <v>19341.830000000002</v>
      </c>
      <c r="C269" s="3">
        <v>19234.04</v>
      </c>
      <c r="D269" s="3">
        <v>19514.349999999999</v>
      </c>
      <c r="E269" s="3">
        <v>19204.95</v>
      </c>
      <c r="F269" t="s">
        <v>372</v>
      </c>
      <c r="G269" s="2">
        <v>-3.0700000000000002E-2</v>
      </c>
    </row>
    <row r="270" spans="1:7" x14ac:dyDescent="0.4">
      <c r="A270" s="1">
        <v>45685</v>
      </c>
      <c r="B270" s="3">
        <v>19733.59</v>
      </c>
      <c r="C270" s="3">
        <v>19418.22</v>
      </c>
      <c r="D270" s="3">
        <v>19759.43</v>
      </c>
      <c r="E270" s="3">
        <v>19294.62</v>
      </c>
      <c r="F270" t="s">
        <v>339</v>
      </c>
      <c r="G270" s="2">
        <v>2.0299999999999999E-2</v>
      </c>
    </row>
    <row r="271" spans="1:7" x14ac:dyDescent="0.4">
      <c r="A271" s="1">
        <v>45686</v>
      </c>
      <c r="B271" s="3">
        <v>19632.32</v>
      </c>
      <c r="C271" s="3">
        <v>19695.68</v>
      </c>
      <c r="D271" s="3">
        <v>19699.82</v>
      </c>
      <c r="E271" s="3">
        <v>19479.509999999998</v>
      </c>
      <c r="F271" t="s">
        <v>340</v>
      </c>
      <c r="G271" s="2">
        <v>-5.1000000000000004E-3</v>
      </c>
    </row>
    <row r="272" spans="1:7" x14ac:dyDescent="0.4">
      <c r="A272" s="1">
        <v>45687</v>
      </c>
      <c r="B272" s="3">
        <v>19681.75</v>
      </c>
      <c r="C272" s="3">
        <v>19697.53</v>
      </c>
      <c r="D272" s="3">
        <v>19785.79</v>
      </c>
      <c r="E272" s="3">
        <v>19483.830000000002</v>
      </c>
      <c r="F272" t="s">
        <v>338</v>
      </c>
      <c r="G272" s="2">
        <v>2.5000000000000001E-3</v>
      </c>
    </row>
    <row r="273" spans="1:7" x14ac:dyDescent="0.4">
      <c r="A273" s="1">
        <v>45688</v>
      </c>
      <c r="B273" s="3">
        <v>19627.439999999999</v>
      </c>
      <c r="C273" s="3">
        <v>19832.330000000002</v>
      </c>
      <c r="D273" s="3">
        <v>19969.169999999998</v>
      </c>
      <c r="E273" s="3">
        <v>19575.21</v>
      </c>
      <c r="F273" t="s">
        <v>358</v>
      </c>
      <c r="G273" s="2">
        <v>-2.8E-3</v>
      </c>
    </row>
    <row r="274" spans="1:7" x14ac:dyDescent="0.4">
      <c r="A274" s="1">
        <v>45691</v>
      </c>
      <c r="B274" s="3">
        <v>19391.96</v>
      </c>
      <c r="C274" s="3">
        <v>19215.38</v>
      </c>
      <c r="D274" s="3">
        <v>19502.13</v>
      </c>
      <c r="E274" s="3">
        <v>19141.150000000001</v>
      </c>
      <c r="F274" t="s">
        <v>341</v>
      </c>
      <c r="G274" s="2">
        <v>-1.2E-2</v>
      </c>
    </row>
    <row r="275" spans="1:7" x14ac:dyDescent="0.4">
      <c r="A275" s="1">
        <v>45692</v>
      </c>
      <c r="B275" s="3">
        <v>19654.02</v>
      </c>
      <c r="C275" s="3">
        <v>19422.169999999998</v>
      </c>
      <c r="D275" s="3">
        <v>19666.439999999999</v>
      </c>
      <c r="E275" s="3">
        <v>19408.18</v>
      </c>
      <c r="F275" t="s">
        <v>352</v>
      </c>
      <c r="G275" s="2">
        <v>1.35E-2</v>
      </c>
    </row>
    <row r="276" spans="1:7" x14ac:dyDescent="0.4">
      <c r="A276" s="1">
        <v>45693</v>
      </c>
      <c r="B276" s="3">
        <v>19692.330000000002</v>
      </c>
      <c r="C276" s="3">
        <v>19533.05</v>
      </c>
      <c r="D276" s="3">
        <v>19696.939999999999</v>
      </c>
      <c r="E276" s="3">
        <v>19498.900000000001</v>
      </c>
      <c r="F276" t="s">
        <v>371</v>
      </c>
      <c r="G276" s="2">
        <v>1.9E-3</v>
      </c>
    </row>
    <row r="277" spans="1:7" x14ac:dyDescent="0.4">
      <c r="A277" s="1">
        <v>45694</v>
      </c>
      <c r="B277" s="3">
        <v>19791.990000000002</v>
      </c>
      <c r="C277" s="3">
        <v>19725.830000000002</v>
      </c>
      <c r="D277" s="3">
        <v>19793.36</v>
      </c>
      <c r="E277" s="3">
        <v>19654.11</v>
      </c>
      <c r="F277" t="s">
        <v>355</v>
      </c>
      <c r="G277" s="2">
        <v>5.1000000000000004E-3</v>
      </c>
    </row>
    <row r="278" spans="1:7" x14ac:dyDescent="0.4">
      <c r="A278" s="1">
        <v>45695</v>
      </c>
      <c r="B278" s="3">
        <v>19523.400000000001</v>
      </c>
      <c r="C278" s="3">
        <v>19774.87</v>
      </c>
      <c r="D278" s="3">
        <v>19862.54</v>
      </c>
      <c r="E278" s="3">
        <v>19489.36</v>
      </c>
      <c r="F278" t="s">
        <v>351</v>
      </c>
      <c r="G278" s="2">
        <v>-1.3599999999999999E-2</v>
      </c>
    </row>
    <row r="279" spans="1:7" x14ac:dyDescent="0.4">
      <c r="A279" s="1">
        <v>45698</v>
      </c>
      <c r="B279" s="3">
        <v>19714.27</v>
      </c>
      <c r="C279" s="3">
        <v>19668.18</v>
      </c>
      <c r="D279" s="3">
        <v>19772.04</v>
      </c>
      <c r="E279" s="3">
        <v>19650.79</v>
      </c>
      <c r="F279" t="s">
        <v>339</v>
      </c>
      <c r="G279" s="2">
        <v>9.7999999999999997E-3</v>
      </c>
    </row>
    <row r="280" spans="1:7" x14ac:dyDescent="0.4">
      <c r="A280" s="1">
        <v>45699</v>
      </c>
      <c r="B280" s="3">
        <v>19643.86</v>
      </c>
      <c r="C280" s="3">
        <v>19602.11</v>
      </c>
      <c r="D280" s="3">
        <v>19731.93</v>
      </c>
      <c r="E280" s="3">
        <v>19579.77</v>
      </c>
      <c r="F280" t="s">
        <v>370</v>
      </c>
      <c r="G280" s="2">
        <v>-3.5999999999999999E-3</v>
      </c>
    </row>
    <row r="281" spans="1:7" x14ac:dyDescent="0.4">
      <c r="A281" s="1">
        <v>45700</v>
      </c>
      <c r="B281" s="3">
        <v>19649.95</v>
      </c>
      <c r="C281" s="3">
        <v>19436.509999999998</v>
      </c>
      <c r="D281" s="3">
        <v>19682.509999999998</v>
      </c>
      <c r="E281" s="3">
        <v>19415.48</v>
      </c>
      <c r="F281" t="s">
        <v>334</v>
      </c>
      <c r="G281" s="2">
        <v>2.9999999999999997E-4</v>
      </c>
    </row>
    <row r="282" spans="1:7" x14ac:dyDescent="0.4">
      <c r="A282" s="1">
        <v>45701</v>
      </c>
      <c r="B282" s="3">
        <v>19945.64</v>
      </c>
      <c r="C282" s="3">
        <v>19696.919999999998</v>
      </c>
      <c r="D282" s="3">
        <v>19952.169999999998</v>
      </c>
      <c r="E282" s="3">
        <v>19675.87</v>
      </c>
      <c r="F282" t="s">
        <v>369</v>
      </c>
      <c r="G282" s="2">
        <v>1.4999999999999999E-2</v>
      </c>
    </row>
    <row r="283" spans="1:7" x14ac:dyDescent="0.4">
      <c r="A283" s="1">
        <v>45702</v>
      </c>
      <c r="B283" s="3">
        <v>20026.77</v>
      </c>
      <c r="C283" s="3">
        <v>19956.82</v>
      </c>
      <c r="D283" s="3">
        <v>20045.759999999998</v>
      </c>
      <c r="E283" s="3">
        <v>19932.150000000001</v>
      </c>
      <c r="F283" t="s">
        <v>341</v>
      </c>
      <c r="G283" s="2">
        <v>4.1000000000000003E-3</v>
      </c>
    </row>
    <row r="284" spans="1:7" x14ac:dyDescent="0.4">
      <c r="A284" s="1">
        <v>45706</v>
      </c>
      <c r="B284" s="3">
        <v>20041.259999999998</v>
      </c>
      <c r="C284" s="3">
        <v>20090.55</v>
      </c>
      <c r="D284" s="3">
        <v>20110.12</v>
      </c>
      <c r="E284" s="3">
        <v>19909.740000000002</v>
      </c>
      <c r="F284" t="s">
        <v>368</v>
      </c>
      <c r="G284" s="2">
        <v>6.9999999999999999E-4</v>
      </c>
    </row>
    <row r="285" spans="1:7" x14ac:dyDescent="0.4">
      <c r="A285" s="1">
        <v>45707</v>
      </c>
      <c r="B285" s="3">
        <v>20056.25</v>
      </c>
      <c r="C285" s="3">
        <v>19994.5</v>
      </c>
      <c r="D285" s="3">
        <v>20099.39</v>
      </c>
      <c r="E285" s="3">
        <v>19928.89</v>
      </c>
      <c r="F285" t="s">
        <v>341</v>
      </c>
      <c r="G285" s="2">
        <v>6.9999999999999999E-4</v>
      </c>
    </row>
    <row r="286" spans="1:7" x14ac:dyDescent="0.4">
      <c r="A286" s="1">
        <v>45708</v>
      </c>
      <c r="B286" s="3">
        <v>19962.36</v>
      </c>
      <c r="C286" s="3">
        <v>20029.189999999999</v>
      </c>
      <c r="D286" s="3">
        <v>20041.150000000001</v>
      </c>
      <c r="E286" s="3">
        <v>19795.02</v>
      </c>
      <c r="F286" t="s">
        <v>367</v>
      </c>
      <c r="G286" s="2">
        <v>-4.7000000000000002E-3</v>
      </c>
    </row>
    <row r="287" spans="1:7" x14ac:dyDescent="0.4">
      <c r="A287" s="1">
        <v>45709</v>
      </c>
      <c r="B287" s="3">
        <v>19524.009999999998</v>
      </c>
      <c r="C287" s="3">
        <v>20006.689999999999</v>
      </c>
      <c r="D287" s="3">
        <v>20016.66</v>
      </c>
      <c r="E287" s="3">
        <v>19510.91</v>
      </c>
      <c r="F287" t="s">
        <v>366</v>
      </c>
      <c r="G287" s="2">
        <v>-2.1999999999999999E-2</v>
      </c>
    </row>
    <row r="288" spans="1:7" x14ac:dyDescent="0.4">
      <c r="A288" s="1">
        <v>45712</v>
      </c>
      <c r="B288" s="3">
        <v>19286.93</v>
      </c>
      <c r="C288" s="3">
        <v>19590.849999999999</v>
      </c>
      <c r="D288" s="3">
        <v>19644.23</v>
      </c>
      <c r="E288" s="3">
        <v>19275.46</v>
      </c>
      <c r="F288" t="s">
        <v>365</v>
      </c>
      <c r="G288" s="2">
        <v>-1.21E-2</v>
      </c>
    </row>
    <row r="289" spans="1:7" x14ac:dyDescent="0.4">
      <c r="A289" s="1">
        <v>45713</v>
      </c>
      <c r="B289" s="3">
        <v>19026.39</v>
      </c>
      <c r="C289" s="3">
        <v>19242.61</v>
      </c>
      <c r="D289" s="3">
        <v>19256.349999999999</v>
      </c>
      <c r="E289" s="3">
        <v>18871.52</v>
      </c>
      <c r="F289" t="s">
        <v>364</v>
      </c>
      <c r="G289" s="2">
        <v>-1.35E-2</v>
      </c>
    </row>
    <row r="290" spans="1:7" x14ac:dyDescent="0.4">
      <c r="A290" s="1">
        <v>45714</v>
      </c>
      <c r="B290" s="3">
        <v>19075.259999999998</v>
      </c>
      <c r="C290" s="3">
        <v>19109.32</v>
      </c>
      <c r="D290" s="3">
        <v>19286.02</v>
      </c>
      <c r="E290" s="3">
        <v>18966.46</v>
      </c>
      <c r="F290" t="s">
        <v>363</v>
      </c>
      <c r="G290" s="2">
        <v>2.5999999999999999E-3</v>
      </c>
    </row>
    <row r="291" spans="1:7" x14ac:dyDescent="0.4">
      <c r="A291" s="1">
        <v>45715</v>
      </c>
      <c r="B291" s="3">
        <v>18544.419999999998</v>
      </c>
      <c r="C291" s="3">
        <v>19212.36</v>
      </c>
      <c r="D291" s="3">
        <v>19242.689999999999</v>
      </c>
      <c r="E291" s="3">
        <v>18535.22</v>
      </c>
      <c r="F291" t="s">
        <v>362</v>
      </c>
      <c r="G291" s="2">
        <v>-2.7799999999999998E-2</v>
      </c>
    </row>
    <row r="292" spans="1:7" x14ac:dyDescent="0.4">
      <c r="A292" s="1">
        <v>45716</v>
      </c>
      <c r="B292" s="3">
        <v>18847.28</v>
      </c>
      <c r="C292" s="3">
        <v>18477.169999999998</v>
      </c>
      <c r="D292" s="3">
        <v>18861.330000000002</v>
      </c>
      <c r="E292" s="3">
        <v>18372.990000000002</v>
      </c>
      <c r="F292" t="s">
        <v>361</v>
      </c>
      <c r="G292" s="2">
        <v>1.6299999999999999E-2</v>
      </c>
    </row>
    <row r="293" spans="1:7" x14ac:dyDescent="0.4">
      <c r="A293" s="1">
        <v>45719</v>
      </c>
      <c r="B293" s="3">
        <v>18350.189999999999</v>
      </c>
      <c r="C293" s="3">
        <v>18923.36</v>
      </c>
      <c r="D293" s="3">
        <v>18992.3</v>
      </c>
      <c r="E293" s="3">
        <v>18216.63</v>
      </c>
      <c r="F293" t="s">
        <v>356</v>
      </c>
      <c r="G293" s="2">
        <v>-2.64E-2</v>
      </c>
    </row>
    <row r="294" spans="1:7" x14ac:dyDescent="0.4">
      <c r="A294" s="1">
        <v>45720</v>
      </c>
      <c r="B294" s="3">
        <v>18285.16</v>
      </c>
      <c r="C294" s="3">
        <v>18176.43</v>
      </c>
      <c r="D294" s="3">
        <v>18589.490000000002</v>
      </c>
      <c r="E294" s="3">
        <v>17956.599999999999</v>
      </c>
      <c r="F294" t="s">
        <v>357</v>
      </c>
      <c r="G294" s="2">
        <v>-3.5000000000000001E-3</v>
      </c>
    </row>
    <row r="295" spans="1:7" x14ac:dyDescent="0.4">
      <c r="A295" s="1">
        <v>45721</v>
      </c>
      <c r="B295" s="3">
        <v>18552.73</v>
      </c>
      <c r="C295" s="3">
        <v>18312.96</v>
      </c>
      <c r="D295" s="3">
        <v>18604.47</v>
      </c>
      <c r="E295" s="3">
        <v>18144.73</v>
      </c>
      <c r="F295" t="s">
        <v>360</v>
      </c>
      <c r="G295" s="2">
        <v>1.46E-2</v>
      </c>
    </row>
    <row r="296" spans="1:7" x14ac:dyDescent="0.4">
      <c r="A296" s="1">
        <v>45722</v>
      </c>
      <c r="B296" s="3">
        <v>18069.259999999998</v>
      </c>
      <c r="C296" s="3">
        <v>18204.53</v>
      </c>
      <c r="D296" s="3">
        <v>18439.240000000002</v>
      </c>
      <c r="E296" s="3">
        <v>17980.39</v>
      </c>
      <c r="F296" t="s">
        <v>359</v>
      </c>
      <c r="G296" s="2">
        <v>-2.6100000000000002E-2</v>
      </c>
    </row>
    <row r="297" spans="1:7" x14ac:dyDescent="0.4">
      <c r="A297" s="1">
        <v>45723</v>
      </c>
      <c r="B297" s="3">
        <v>18196.22</v>
      </c>
      <c r="C297" s="3">
        <v>18029.849999999999</v>
      </c>
      <c r="D297" s="3">
        <v>18243.580000000002</v>
      </c>
      <c r="E297" s="3">
        <v>17768.59</v>
      </c>
      <c r="F297" t="s">
        <v>358</v>
      </c>
      <c r="G297" s="2">
        <v>7.0000000000000001E-3</v>
      </c>
    </row>
    <row r="298" spans="1:7" x14ac:dyDescent="0.4">
      <c r="A298" s="1">
        <v>45726</v>
      </c>
      <c r="B298" s="3">
        <v>17468.32</v>
      </c>
      <c r="C298" s="3">
        <v>17840.32</v>
      </c>
      <c r="D298" s="3">
        <v>17868.07</v>
      </c>
      <c r="E298" s="3">
        <v>17291.82</v>
      </c>
      <c r="F298" t="s">
        <v>357</v>
      </c>
      <c r="G298" s="2">
        <v>-0.04</v>
      </c>
    </row>
    <row r="299" spans="1:7" x14ac:dyDescent="0.4">
      <c r="A299" s="1">
        <v>45727</v>
      </c>
      <c r="B299" s="3">
        <v>17436.099999999999</v>
      </c>
      <c r="C299" s="3">
        <v>17443.09</v>
      </c>
      <c r="D299" s="3">
        <v>17687.400000000001</v>
      </c>
      <c r="E299" s="3">
        <v>17238.240000000002</v>
      </c>
      <c r="F299" t="s">
        <v>356</v>
      </c>
      <c r="G299" s="2">
        <v>-1.8E-3</v>
      </c>
    </row>
    <row r="300" spans="1:7" x14ac:dyDescent="0.4">
      <c r="A300" s="1">
        <v>45728</v>
      </c>
      <c r="B300" s="3">
        <v>17648.45</v>
      </c>
      <c r="C300" s="3">
        <v>17711.41</v>
      </c>
      <c r="D300" s="3">
        <v>17800.099999999999</v>
      </c>
      <c r="E300" s="3">
        <v>17436.27</v>
      </c>
      <c r="F300" t="s">
        <v>336</v>
      </c>
      <c r="G300" s="2">
        <v>1.2200000000000001E-2</v>
      </c>
    </row>
    <row r="301" spans="1:7" x14ac:dyDescent="0.4">
      <c r="A301" s="1">
        <v>45729</v>
      </c>
      <c r="B301" s="3">
        <v>17303.009999999998</v>
      </c>
      <c r="C301" s="3">
        <v>17598.560000000001</v>
      </c>
      <c r="D301" s="3">
        <v>17621.91</v>
      </c>
      <c r="E301" s="3">
        <v>17239.439999999999</v>
      </c>
      <c r="F301" t="s">
        <v>353</v>
      </c>
      <c r="G301" s="2">
        <v>-1.9599999999999999E-2</v>
      </c>
    </row>
    <row r="302" spans="1:7" x14ac:dyDescent="0.4">
      <c r="A302" s="1">
        <v>45730</v>
      </c>
      <c r="B302" s="3">
        <v>17754.09</v>
      </c>
      <c r="C302" s="3">
        <v>17523.3</v>
      </c>
      <c r="D302" s="3">
        <v>17773.48</v>
      </c>
      <c r="E302" s="3">
        <v>17491.080000000002</v>
      </c>
      <c r="F302" t="s">
        <v>353</v>
      </c>
      <c r="G302" s="2">
        <v>2.6100000000000002E-2</v>
      </c>
    </row>
    <row r="303" spans="1:7" x14ac:dyDescent="0.4">
      <c r="A303" s="1">
        <v>45733</v>
      </c>
      <c r="B303" s="3">
        <v>17808.66</v>
      </c>
      <c r="C303" s="3">
        <v>17722.54</v>
      </c>
      <c r="D303" s="3">
        <v>17925.939999999999</v>
      </c>
      <c r="E303" s="3">
        <v>17645.87</v>
      </c>
      <c r="F303" t="s">
        <v>355</v>
      </c>
      <c r="G303" s="2">
        <v>3.0999999999999999E-3</v>
      </c>
    </row>
    <row r="304" spans="1:7" x14ac:dyDescent="0.4">
      <c r="A304" s="1">
        <v>45734</v>
      </c>
      <c r="B304" s="3">
        <v>17504.12</v>
      </c>
      <c r="C304" s="3">
        <v>17662.57</v>
      </c>
      <c r="D304" s="3">
        <v>17682.919999999998</v>
      </c>
      <c r="E304" s="3">
        <v>17431.669999999998</v>
      </c>
      <c r="F304" t="s">
        <v>352</v>
      </c>
      <c r="G304" s="2">
        <v>-1.7100000000000001E-2</v>
      </c>
    </row>
    <row r="305" spans="1:7" x14ac:dyDescent="0.4">
      <c r="A305" s="1">
        <v>45735</v>
      </c>
      <c r="B305" s="3">
        <v>17750.79</v>
      </c>
      <c r="C305" s="3">
        <v>17590.12</v>
      </c>
      <c r="D305" s="3">
        <v>17917.54</v>
      </c>
      <c r="E305" s="3">
        <v>17533.939999999999</v>
      </c>
      <c r="F305" t="s">
        <v>332</v>
      </c>
      <c r="G305" s="2">
        <v>1.41E-2</v>
      </c>
    </row>
    <row r="306" spans="1:7" x14ac:dyDescent="0.4">
      <c r="A306" s="1">
        <v>45736</v>
      </c>
      <c r="B306" s="3">
        <v>17691.63</v>
      </c>
      <c r="C306" s="3">
        <v>17586.060000000001</v>
      </c>
      <c r="D306" s="3">
        <v>17903.2</v>
      </c>
      <c r="E306" s="3">
        <v>17576.82</v>
      </c>
      <c r="F306" t="s">
        <v>352</v>
      </c>
      <c r="G306" s="2">
        <v>-3.3E-3</v>
      </c>
    </row>
    <row r="307" spans="1:7" x14ac:dyDescent="0.4">
      <c r="A307" s="1">
        <v>45737</v>
      </c>
      <c r="B307" s="3">
        <v>17784.05</v>
      </c>
      <c r="C307" s="3">
        <v>17519.84</v>
      </c>
      <c r="D307" s="3">
        <v>17798.060000000001</v>
      </c>
      <c r="E307" s="3">
        <v>17474.810000000001</v>
      </c>
      <c r="F307" t="s">
        <v>354</v>
      </c>
      <c r="G307" s="2">
        <v>5.1999999999999998E-3</v>
      </c>
    </row>
    <row r="308" spans="1:7" x14ac:dyDescent="0.4">
      <c r="A308" s="1">
        <v>45740</v>
      </c>
      <c r="B308" s="3">
        <v>18188.59</v>
      </c>
      <c r="C308" s="3">
        <v>18046.189999999999</v>
      </c>
      <c r="D308" s="3">
        <v>18210.05</v>
      </c>
      <c r="E308" s="3">
        <v>18030.68</v>
      </c>
      <c r="F308" t="s">
        <v>339</v>
      </c>
      <c r="G308" s="2">
        <v>2.2700000000000001E-2</v>
      </c>
    </row>
    <row r="309" spans="1:7" x14ac:dyDescent="0.4">
      <c r="A309" s="1">
        <v>45741</v>
      </c>
      <c r="B309" s="3">
        <v>18271.86</v>
      </c>
      <c r="C309" s="3">
        <v>18207.97</v>
      </c>
      <c r="D309" s="3">
        <v>18281.13</v>
      </c>
      <c r="E309" s="3">
        <v>18170.419999999998</v>
      </c>
      <c r="F309" t="s">
        <v>337</v>
      </c>
      <c r="G309" s="2">
        <v>4.5999999999999999E-3</v>
      </c>
    </row>
    <row r="310" spans="1:7" x14ac:dyDescent="0.4">
      <c r="A310" s="1">
        <v>45742</v>
      </c>
      <c r="B310" s="3">
        <v>17899.02</v>
      </c>
      <c r="C310" s="3">
        <v>18217.330000000002</v>
      </c>
      <c r="D310" s="3">
        <v>18236.55</v>
      </c>
      <c r="E310" s="3">
        <v>17837.259999999998</v>
      </c>
      <c r="F310" t="s">
        <v>353</v>
      </c>
      <c r="G310" s="2">
        <v>-2.0400000000000001E-2</v>
      </c>
    </row>
    <row r="311" spans="1:7" x14ac:dyDescent="0.4">
      <c r="A311" s="1">
        <v>45743</v>
      </c>
      <c r="B311" s="3">
        <v>17804.03</v>
      </c>
      <c r="C311" s="3">
        <v>17811.240000000002</v>
      </c>
      <c r="D311" s="3">
        <v>17988.02</v>
      </c>
      <c r="E311" s="3">
        <v>17743.8</v>
      </c>
      <c r="F311" t="s">
        <v>352</v>
      </c>
      <c r="G311" s="2">
        <v>-5.3E-3</v>
      </c>
    </row>
    <row r="312" spans="1:7" x14ac:dyDescent="0.4">
      <c r="A312" s="1">
        <v>45744</v>
      </c>
      <c r="B312" s="3">
        <v>17322.990000000002</v>
      </c>
      <c r="C312" s="3">
        <v>17722.09</v>
      </c>
      <c r="D312" s="3">
        <v>17763.28</v>
      </c>
      <c r="E312" s="3">
        <v>17283.060000000001</v>
      </c>
      <c r="F312" t="s">
        <v>351</v>
      </c>
      <c r="G312" s="2">
        <v>-2.7E-2</v>
      </c>
    </row>
    <row r="313" spans="1:7" x14ac:dyDescent="0.4">
      <c r="A313" s="1">
        <v>45747</v>
      </c>
      <c r="B313" s="3">
        <v>17299.29</v>
      </c>
      <c r="C313" s="3">
        <v>17045.439999999999</v>
      </c>
      <c r="D313" s="3">
        <v>17334.98</v>
      </c>
      <c r="E313" s="3">
        <v>16854.37</v>
      </c>
      <c r="F313" t="s">
        <v>350</v>
      </c>
      <c r="G313" s="2">
        <v>-1.4E-3</v>
      </c>
    </row>
    <row r="314" spans="1:7" x14ac:dyDescent="0.4">
      <c r="A314" s="1">
        <v>45748</v>
      </c>
      <c r="B314" s="3">
        <v>17449.89</v>
      </c>
      <c r="C314" s="3">
        <v>17221.55</v>
      </c>
      <c r="D314" s="3">
        <v>17506.59</v>
      </c>
      <c r="E314" s="3">
        <v>17149.36</v>
      </c>
      <c r="F314" t="s">
        <v>331</v>
      </c>
      <c r="G314" s="2">
        <v>8.6999999999999994E-3</v>
      </c>
    </row>
    <row r="315" spans="1:7" x14ac:dyDescent="0.4">
      <c r="A315" s="1">
        <v>45749</v>
      </c>
      <c r="B315" s="3">
        <v>17601.05</v>
      </c>
      <c r="C315" s="3">
        <v>17207.009999999998</v>
      </c>
      <c r="D315" s="3">
        <v>17716.52</v>
      </c>
      <c r="E315" s="3">
        <v>17181.27</v>
      </c>
      <c r="F315" t="s">
        <v>349</v>
      </c>
      <c r="G315" s="2">
        <v>8.6999999999999994E-3</v>
      </c>
    </row>
    <row r="316" spans="1:7" x14ac:dyDescent="0.4">
      <c r="A316" s="1">
        <v>45750</v>
      </c>
      <c r="B316" s="3">
        <v>16550.61</v>
      </c>
      <c r="C316" s="3">
        <v>16790.53</v>
      </c>
      <c r="D316" s="3">
        <v>16889.34</v>
      </c>
      <c r="E316" s="3">
        <v>16533.04</v>
      </c>
      <c r="F316" t="s">
        <v>348</v>
      </c>
      <c r="G316" s="2">
        <v>-5.9700000000000003E-2</v>
      </c>
    </row>
    <row r="317" spans="1:7" x14ac:dyDescent="0.4">
      <c r="A317" s="1">
        <v>45751</v>
      </c>
      <c r="B317" s="3">
        <v>15587.79</v>
      </c>
      <c r="C317" s="3">
        <v>16045.6</v>
      </c>
      <c r="D317" s="3">
        <v>16128.16</v>
      </c>
      <c r="E317" s="3">
        <v>15575.68</v>
      </c>
      <c r="F317" t="s">
        <v>347</v>
      </c>
      <c r="G317" s="2">
        <v>-5.8200000000000002E-2</v>
      </c>
    </row>
    <row r="318" spans="1:7" x14ac:dyDescent="0.4">
      <c r="A318" s="1">
        <v>45754</v>
      </c>
      <c r="B318" s="3">
        <v>15603.26</v>
      </c>
      <c r="C318" s="3">
        <v>14978.03</v>
      </c>
      <c r="D318" s="3">
        <v>16292.28</v>
      </c>
      <c r="E318" s="3">
        <v>14784.03</v>
      </c>
      <c r="F318" t="s">
        <v>346</v>
      </c>
      <c r="G318" s="2">
        <v>1E-3</v>
      </c>
    </row>
    <row r="319" spans="1:7" x14ac:dyDescent="0.4">
      <c r="A319" s="1">
        <v>45755</v>
      </c>
      <c r="B319" s="3">
        <v>15267.91</v>
      </c>
      <c r="C319" s="3">
        <v>16181.04</v>
      </c>
      <c r="D319" s="3">
        <v>16316.5</v>
      </c>
      <c r="E319" s="3">
        <v>15053.39</v>
      </c>
      <c r="F319" t="s">
        <v>345</v>
      </c>
      <c r="G319" s="2">
        <v>-2.1499999999999998E-2</v>
      </c>
    </row>
    <row r="320" spans="1:7" x14ac:dyDescent="0.4">
      <c r="A320" s="1">
        <v>45756</v>
      </c>
      <c r="B320" s="3">
        <v>17124.97</v>
      </c>
      <c r="C320" s="3">
        <v>15295.44</v>
      </c>
      <c r="D320" s="3">
        <v>17202.939999999999</v>
      </c>
      <c r="E320" s="3">
        <v>15270.28</v>
      </c>
      <c r="F320" t="s">
        <v>344</v>
      </c>
      <c r="G320" s="2">
        <v>0.1216</v>
      </c>
    </row>
    <row r="321" spans="1:7" x14ac:dyDescent="0.4">
      <c r="A321" s="1">
        <v>45757</v>
      </c>
      <c r="B321" s="3">
        <v>16387.310000000001</v>
      </c>
      <c r="C321" s="3">
        <v>16635.45</v>
      </c>
      <c r="D321" s="3">
        <v>16712.37</v>
      </c>
      <c r="E321" s="3">
        <v>15894.26</v>
      </c>
      <c r="F321" t="s">
        <v>343</v>
      </c>
      <c r="G321" s="2">
        <v>-4.3099999999999999E-2</v>
      </c>
    </row>
    <row r="322" spans="1:7" x14ac:dyDescent="0.4">
      <c r="A322" s="1">
        <v>45758</v>
      </c>
      <c r="B322" s="3">
        <v>16724.46</v>
      </c>
      <c r="C322" s="3">
        <v>16358.53</v>
      </c>
      <c r="D322" s="3">
        <v>16753.41</v>
      </c>
      <c r="E322" s="3">
        <v>16228.04</v>
      </c>
      <c r="F322" t="s">
        <v>342</v>
      </c>
      <c r="G322" s="2">
        <v>2.06E-2</v>
      </c>
    </row>
    <row r="323" spans="1:7" x14ac:dyDescent="0.4">
      <c r="A323" s="1">
        <v>45761</v>
      </c>
      <c r="B323" s="3">
        <v>16831.48</v>
      </c>
      <c r="C323" s="3">
        <v>17120.439999999999</v>
      </c>
      <c r="D323" s="3">
        <v>17136.55</v>
      </c>
      <c r="E323" s="3">
        <v>16661.259999999998</v>
      </c>
      <c r="F323" t="s">
        <v>341</v>
      </c>
      <c r="G323" s="2">
        <v>6.4000000000000003E-3</v>
      </c>
    </row>
    <row r="324" spans="1:7" x14ac:dyDescent="0.4">
      <c r="A324" s="1">
        <v>45762</v>
      </c>
      <c r="B324" s="3">
        <v>16823.169999999998</v>
      </c>
      <c r="C324" s="3">
        <v>16842.39</v>
      </c>
      <c r="D324" s="3">
        <v>16979.96</v>
      </c>
      <c r="E324" s="3">
        <v>16753.21</v>
      </c>
      <c r="F324" t="s">
        <v>340</v>
      </c>
      <c r="G324" s="2">
        <v>-5.0000000000000001E-4</v>
      </c>
    </row>
    <row r="325" spans="1:7" x14ac:dyDescent="0.4">
      <c r="A325" s="1">
        <v>45763</v>
      </c>
      <c r="B325" s="3">
        <v>16307.16</v>
      </c>
      <c r="C325" s="3">
        <v>16499.689999999999</v>
      </c>
      <c r="D325" s="3">
        <v>16600.37</v>
      </c>
      <c r="E325" s="3">
        <v>16066.46</v>
      </c>
      <c r="F325" t="s">
        <v>339</v>
      </c>
      <c r="G325" s="2">
        <v>-3.0700000000000002E-2</v>
      </c>
    </row>
    <row r="326" spans="1:7" x14ac:dyDescent="0.4">
      <c r="A326" s="1">
        <v>45764</v>
      </c>
      <c r="B326" s="3">
        <v>16286.45</v>
      </c>
      <c r="C326" s="3">
        <v>16399.97</v>
      </c>
      <c r="D326" s="3">
        <v>16408.509999999998</v>
      </c>
      <c r="E326" s="3">
        <v>16181.17</v>
      </c>
      <c r="F326" t="s">
        <v>338</v>
      </c>
      <c r="G326" s="2">
        <v>-1.2999999999999999E-3</v>
      </c>
    </row>
    <row r="327" spans="1:7" x14ac:dyDescent="0.4">
      <c r="A327" s="1">
        <v>45768</v>
      </c>
      <c r="B327" s="3">
        <v>15870.9</v>
      </c>
      <c r="C327" s="3">
        <v>16052.76</v>
      </c>
      <c r="D327" s="3">
        <v>16066.79</v>
      </c>
      <c r="E327" s="3">
        <v>15685.33</v>
      </c>
      <c r="F327" t="s">
        <v>330</v>
      </c>
      <c r="G327" s="2">
        <v>-2.5499999999999998E-2</v>
      </c>
    </row>
    <row r="328" spans="1:7" x14ac:dyDescent="0.4">
      <c r="A328" s="1">
        <v>45769</v>
      </c>
      <c r="B328" s="3">
        <v>16300.42</v>
      </c>
      <c r="C328" s="3">
        <v>16079.94</v>
      </c>
      <c r="D328" s="3">
        <v>16410.560000000001</v>
      </c>
      <c r="E328" s="3">
        <v>16038.73</v>
      </c>
      <c r="F328" t="s">
        <v>337</v>
      </c>
      <c r="G328" s="2">
        <v>2.7099999999999999E-2</v>
      </c>
    </row>
    <row r="329" spans="1:7" x14ac:dyDescent="0.4">
      <c r="A329" s="1">
        <v>45770</v>
      </c>
      <c r="B329" s="3">
        <v>16708.05</v>
      </c>
      <c r="C329" s="3">
        <v>16880.29</v>
      </c>
      <c r="D329" s="3">
        <v>17029.86</v>
      </c>
      <c r="E329" s="3">
        <v>16642.66</v>
      </c>
      <c r="F329" t="s">
        <v>336</v>
      </c>
      <c r="G329" s="2">
        <v>2.5000000000000001E-2</v>
      </c>
    </row>
    <row r="330" spans="1:7" x14ac:dyDescent="0.4">
      <c r="A330" s="1">
        <v>45771</v>
      </c>
      <c r="B330" s="3">
        <v>17166.04</v>
      </c>
      <c r="C330" s="3">
        <v>16754.759999999998</v>
      </c>
      <c r="D330" s="3">
        <v>17174.349999999999</v>
      </c>
      <c r="E330" s="3">
        <v>16744.97</v>
      </c>
      <c r="F330" t="s">
        <v>331</v>
      </c>
      <c r="G330" s="2">
        <v>2.7400000000000001E-2</v>
      </c>
    </row>
    <row r="331" spans="1:7" x14ac:dyDescent="0.4">
      <c r="A331" s="1">
        <v>45772</v>
      </c>
      <c r="B331" s="3">
        <v>17382.939999999999</v>
      </c>
      <c r="C331" s="3">
        <v>17182.11</v>
      </c>
      <c r="D331" s="3">
        <v>17404.490000000002</v>
      </c>
      <c r="E331" s="3">
        <v>17110.72</v>
      </c>
      <c r="F331" t="s">
        <v>335</v>
      </c>
      <c r="G331" s="2">
        <v>1.26E-2</v>
      </c>
    </row>
    <row r="332" spans="1:7" x14ac:dyDescent="0.4">
      <c r="A332" s="1">
        <v>45775</v>
      </c>
      <c r="B332" s="3">
        <v>17366.13</v>
      </c>
      <c r="C332" s="3">
        <v>17390.93</v>
      </c>
      <c r="D332" s="3">
        <v>17467.349999999999</v>
      </c>
      <c r="E332" s="3">
        <v>17128.71</v>
      </c>
      <c r="F332" t="s">
        <v>332</v>
      </c>
      <c r="G332" s="2">
        <v>-1E-3</v>
      </c>
    </row>
    <row r="333" spans="1:7" x14ac:dyDescent="0.4">
      <c r="A333" s="1">
        <v>45776</v>
      </c>
      <c r="B333" s="3">
        <v>17461.32</v>
      </c>
      <c r="C333" s="3">
        <v>17270.759999999998</v>
      </c>
      <c r="D333" s="3">
        <v>17500.41</v>
      </c>
      <c r="E333" s="3">
        <v>17256.2</v>
      </c>
      <c r="F333" t="s">
        <v>334</v>
      </c>
      <c r="G333" s="2">
        <v>5.4999999999999997E-3</v>
      </c>
    </row>
    <row r="334" spans="1:7" x14ac:dyDescent="0.4">
      <c r="A334" s="1">
        <v>45777</v>
      </c>
      <c r="B334" s="3">
        <v>17446.34</v>
      </c>
      <c r="C334" s="3">
        <v>17099.98</v>
      </c>
      <c r="D334" s="3">
        <v>17483.82</v>
      </c>
      <c r="E334" s="3">
        <v>16959.53</v>
      </c>
      <c r="F334" t="s">
        <v>333</v>
      </c>
      <c r="G334" s="2">
        <v>-8.9999999999999998E-4</v>
      </c>
    </row>
    <row r="335" spans="1:7" x14ac:dyDescent="0.4">
      <c r="A335" s="1">
        <v>45778</v>
      </c>
      <c r="B335" s="3">
        <v>17710.740000000002</v>
      </c>
      <c r="C335" s="3">
        <v>17793.14</v>
      </c>
      <c r="D335" s="3">
        <v>17922.830000000002</v>
      </c>
      <c r="E335" s="3">
        <v>17688.11</v>
      </c>
      <c r="F335" t="s">
        <v>332</v>
      </c>
      <c r="G335" s="2">
        <v>1.52E-2</v>
      </c>
    </row>
    <row r="336" spans="1:7" x14ac:dyDescent="0.4">
      <c r="A336" s="1">
        <v>45779</v>
      </c>
      <c r="B336" s="3">
        <v>17977.73</v>
      </c>
      <c r="C336" s="3">
        <v>17868.759999999998</v>
      </c>
      <c r="D336" s="3">
        <v>18048.830000000002</v>
      </c>
      <c r="E336" s="3">
        <v>17812.04</v>
      </c>
      <c r="F336" t="s">
        <v>331</v>
      </c>
      <c r="G336" s="2">
        <v>1.5100000000000001E-2</v>
      </c>
    </row>
    <row r="337" spans="1:7" x14ac:dyDescent="0.4">
      <c r="A337" s="1">
        <v>45782</v>
      </c>
      <c r="B337" s="3">
        <v>17844.240000000002</v>
      </c>
      <c r="C337" s="3">
        <v>17817.009999999998</v>
      </c>
      <c r="D337" s="3">
        <v>17965.64</v>
      </c>
      <c r="E337" s="3">
        <v>17792.080000000002</v>
      </c>
      <c r="F337" t="s">
        <v>330</v>
      </c>
      <c r="G337" s="2">
        <v>-7.4000000000000003E-3</v>
      </c>
    </row>
    <row r="338" spans="1:7" x14ac:dyDescent="0.4">
      <c r="A338" s="1">
        <v>45783</v>
      </c>
      <c r="B338" s="5">
        <v>17689.66</v>
      </c>
      <c r="C338" s="6">
        <v>17623.21</v>
      </c>
      <c r="D338" s="6">
        <v>17830.12</v>
      </c>
      <c r="E338" s="6">
        <v>17592.88</v>
      </c>
      <c r="F338" s="7" t="s">
        <v>355</v>
      </c>
      <c r="G338" s="8">
        <v>-8.6999999999999994E-3</v>
      </c>
    </row>
    <row r="339" spans="1:7" x14ac:dyDescent="0.4">
      <c r="A339" s="1">
        <v>45784</v>
      </c>
      <c r="B339" s="18">
        <v>17738.16</v>
      </c>
      <c r="C339" s="6">
        <v>17706.830000000002</v>
      </c>
      <c r="D339" s="6">
        <v>17817.18</v>
      </c>
      <c r="E339" s="6">
        <v>17503.009999999998</v>
      </c>
      <c r="F339" s="7" t="s">
        <v>373</v>
      </c>
      <c r="G339" s="10">
        <v>2.7000000000000001E-3</v>
      </c>
    </row>
    <row r="340" spans="1:7" x14ac:dyDescent="0.4">
      <c r="A340" s="1">
        <v>45785</v>
      </c>
      <c r="B340" s="18">
        <v>17928.14</v>
      </c>
      <c r="C340" s="6">
        <v>17920.150000000001</v>
      </c>
      <c r="D340" s="6">
        <v>18095.84</v>
      </c>
      <c r="E340" s="6">
        <v>17776</v>
      </c>
      <c r="F340" s="7" t="s">
        <v>359</v>
      </c>
      <c r="G340" s="10">
        <v>1.0699999999999999E-2</v>
      </c>
    </row>
    <row r="341" spans="1:7" x14ac:dyDescent="0.4">
      <c r="A341" s="1">
        <v>45786</v>
      </c>
      <c r="B341" s="18">
        <v>17928.919999999998</v>
      </c>
      <c r="C341" s="6">
        <v>18022.55</v>
      </c>
      <c r="D341" s="6">
        <v>18068.900000000001</v>
      </c>
      <c r="E341" s="6">
        <v>17853.84</v>
      </c>
      <c r="F341" s="7" t="s">
        <v>387</v>
      </c>
      <c r="G341" s="19">
        <v>0</v>
      </c>
    </row>
    <row r="342" spans="1:7" x14ac:dyDescent="0.4">
      <c r="A342" s="1">
        <v>45789</v>
      </c>
      <c r="B342" s="15">
        <v>18705.84</v>
      </c>
      <c r="C342" s="16">
        <v>18674.560000000001</v>
      </c>
      <c r="D342" s="16">
        <v>18708.89</v>
      </c>
      <c r="E342" s="16">
        <v>18474.12</v>
      </c>
      <c r="F342" s="13" t="s">
        <v>331</v>
      </c>
      <c r="G342" s="17">
        <v>4.3299999999999998E-2</v>
      </c>
    </row>
    <row r="343" spans="1:7" x14ac:dyDescent="0.4">
      <c r="A343" s="1">
        <v>45790</v>
      </c>
      <c r="B343" s="15">
        <v>19010.09</v>
      </c>
      <c r="C343" s="16">
        <v>18761.23</v>
      </c>
      <c r="D343" s="16">
        <v>19065.88</v>
      </c>
      <c r="E343" s="16">
        <v>18746.12</v>
      </c>
      <c r="F343" s="13" t="s">
        <v>794</v>
      </c>
      <c r="G343" s="17">
        <v>1.61E-2</v>
      </c>
    </row>
    <row r="344" spans="1:7" x14ac:dyDescent="0.4">
      <c r="A344" s="1">
        <v>45791</v>
      </c>
      <c r="B344" s="15">
        <v>19146.810000000001</v>
      </c>
      <c r="C344" s="16">
        <v>19074.72</v>
      </c>
      <c r="D344" s="16">
        <v>19174.27</v>
      </c>
      <c r="E344" s="16">
        <v>19023.63</v>
      </c>
      <c r="F344" s="13" t="s">
        <v>797</v>
      </c>
      <c r="G344" s="17">
        <v>7.1999999999999998E-3</v>
      </c>
    </row>
    <row r="345" spans="1:7" ht="18" thickBot="1" x14ac:dyDescent="0.45">
      <c r="A345" s="1">
        <v>45792</v>
      </c>
      <c r="B345" s="24">
        <v>19112.32</v>
      </c>
      <c r="C345" s="16">
        <v>19031.240000000002</v>
      </c>
      <c r="D345" s="16">
        <v>19206.88</v>
      </c>
      <c r="E345" s="16">
        <v>18968.34</v>
      </c>
      <c r="F345" s="13" t="s">
        <v>359</v>
      </c>
      <c r="G345" s="23"/>
    </row>
    <row r="346" spans="1:7" x14ac:dyDescent="0.4">
      <c r="A346" s="1">
        <v>45793</v>
      </c>
      <c r="B346" s="15">
        <v>19211.099999999999</v>
      </c>
      <c r="C346" s="16">
        <v>19151.54</v>
      </c>
      <c r="D346" s="16">
        <v>19213.419999999998</v>
      </c>
      <c r="E346" s="16">
        <v>19038.48</v>
      </c>
      <c r="F346" s="13"/>
      <c r="G346" s="25">
        <v>5.1999999999999998E-3</v>
      </c>
    </row>
    <row r="347" spans="1:7" x14ac:dyDescent="0.4">
      <c r="A347" s="1">
        <v>45796</v>
      </c>
      <c r="B347" s="24">
        <v>19191.060000000001</v>
      </c>
      <c r="C347" s="16">
        <v>18937.419999999998</v>
      </c>
      <c r="D347" s="16">
        <v>19227.22</v>
      </c>
      <c r="E347" s="16">
        <v>18937.419999999998</v>
      </c>
      <c r="F347" s="13"/>
    </row>
    <row r="348" spans="1:7" x14ac:dyDescent="0.4">
      <c r="A348" s="1">
        <v>45797</v>
      </c>
      <c r="B348" s="24">
        <v>19142.71</v>
      </c>
      <c r="C348" s="16">
        <v>19132.060000000001</v>
      </c>
      <c r="D348" s="16">
        <v>19186.689999999999</v>
      </c>
      <c r="E348" s="16">
        <v>19015.63</v>
      </c>
      <c r="F348" s="13" t="s">
        <v>351</v>
      </c>
      <c r="G348" s="23"/>
    </row>
    <row r="349" spans="1:7" x14ac:dyDescent="0.4">
      <c r="A349" s="1">
        <v>45798</v>
      </c>
      <c r="B349" s="24">
        <v>18872.64</v>
      </c>
      <c r="C349" s="16">
        <v>19002.939999999999</v>
      </c>
      <c r="D349" s="16">
        <v>19241.37</v>
      </c>
      <c r="E349" s="16">
        <v>18799.22</v>
      </c>
      <c r="F349" s="13"/>
    </row>
    <row r="350" spans="1:7" x14ac:dyDescent="0.4">
      <c r="A350" s="1">
        <v>45799</v>
      </c>
      <c r="B350" s="15">
        <v>19026.41</v>
      </c>
      <c r="C350" s="16">
        <v>18888.05</v>
      </c>
      <c r="D350" s="16">
        <v>19060.93</v>
      </c>
      <c r="E350" s="16">
        <v>18840.810000000001</v>
      </c>
      <c r="F350" s="13" t="s">
        <v>808</v>
      </c>
      <c r="G350" s="21"/>
    </row>
    <row r="351" spans="1:7" x14ac:dyDescent="0.4">
      <c r="A351" s="1">
        <v>45800</v>
      </c>
      <c r="B351" s="5">
        <v>18737.21</v>
      </c>
      <c r="C351" s="6">
        <v>18622.38</v>
      </c>
      <c r="D351" s="6">
        <v>18841.52</v>
      </c>
      <c r="E351" s="6">
        <v>18602.62</v>
      </c>
      <c r="F351" s="7" t="s">
        <v>450</v>
      </c>
      <c r="G351" s="22"/>
    </row>
    <row r="352" spans="1:7" x14ac:dyDescent="0.4">
      <c r="A352" s="1">
        <v>45804</v>
      </c>
      <c r="B352" s="15">
        <v>19199.16</v>
      </c>
      <c r="C352" s="16">
        <v>19014.439999999999</v>
      </c>
      <c r="D352" s="16">
        <v>19209.82</v>
      </c>
      <c r="E352" s="16">
        <v>18961.78</v>
      </c>
      <c r="F352" s="13"/>
    </row>
    <row r="353" spans="1:6" x14ac:dyDescent="0.4">
      <c r="A353" s="1">
        <v>45805</v>
      </c>
      <c r="B353" s="24">
        <v>19100.939999999999</v>
      </c>
      <c r="C353" s="16">
        <v>19232.62</v>
      </c>
      <c r="D353" s="16">
        <v>19276.830000000002</v>
      </c>
      <c r="E353" s="16">
        <v>19084.38</v>
      </c>
      <c r="F353" s="13"/>
    </row>
    <row r="354" spans="1:6" x14ac:dyDescent="0.4">
      <c r="A354" s="1">
        <v>45806</v>
      </c>
      <c r="B354" s="15">
        <v>19175.87</v>
      </c>
      <c r="C354" s="16">
        <v>19389.39</v>
      </c>
      <c r="D354" s="16">
        <v>19389.39</v>
      </c>
      <c r="E354" s="16">
        <v>19092.669999999998</v>
      </c>
      <c r="F354" s="13"/>
    </row>
    <row r="355" spans="1:6" x14ac:dyDescent="0.4">
      <c r="A355" s="1">
        <v>45807</v>
      </c>
      <c r="B355" s="24">
        <v>19113.77</v>
      </c>
      <c r="C355" s="16">
        <v>19131.22</v>
      </c>
      <c r="D355" s="16">
        <v>19157.78</v>
      </c>
      <c r="E355" s="16">
        <v>18847.740000000002</v>
      </c>
      <c r="F355" s="13"/>
    </row>
    <row r="356" spans="1:6" x14ac:dyDescent="0.4">
      <c r="A356" s="1">
        <v>45810</v>
      </c>
      <c r="B356" s="15">
        <v>19242.61</v>
      </c>
      <c r="C356" s="16">
        <v>19063.060000000001</v>
      </c>
      <c r="D356" s="16">
        <v>19252.03</v>
      </c>
      <c r="E356" s="16">
        <v>18987.03</v>
      </c>
    </row>
    <row r="357" spans="1:6" x14ac:dyDescent="0.4">
      <c r="A357" s="1">
        <v>45811</v>
      </c>
      <c r="B357" s="15">
        <v>19378.330000000002</v>
      </c>
      <c r="C357" s="16">
        <v>19288.66</v>
      </c>
      <c r="D357" s="16">
        <v>19459.28</v>
      </c>
      <c r="E357" s="16">
        <v>19224.97</v>
      </c>
      <c r="F357" s="13"/>
    </row>
    <row r="358" spans="1:6" x14ac:dyDescent="0.4">
      <c r="A358" s="1">
        <v>45812</v>
      </c>
      <c r="B358" s="15">
        <v>19460.490000000002</v>
      </c>
      <c r="C358" s="16">
        <v>19434.939999999999</v>
      </c>
      <c r="D358" s="16">
        <v>19493.16</v>
      </c>
      <c r="E358" s="16">
        <v>19359.09</v>
      </c>
      <c r="F358" s="13"/>
    </row>
    <row r="359" spans="1:6" x14ac:dyDescent="0.4">
      <c r="A359" s="1">
        <v>45813</v>
      </c>
      <c r="B359" s="24">
        <v>19298.45</v>
      </c>
      <c r="C359" s="16">
        <v>19518.2</v>
      </c>
      <c r="D359" s="16">
        <v>19610.509999999998</v>
      </c>
      <c r="E359" s="16">
        <v>19226.21</v>
      </c>
      <c r="F359" s="13"/>
    </row>
    <row r="360" spans="1:6" x14ac:dyDescent="0.4">
      <c r="A360" s="1">
        <v>45814</v>
      </c>
      <c r="B360" s="15">
        <v>19529.95</v>
      </c>
      <c r="C360" s="16">
        <v>19526.990000000002</v>
      </c>
      <c r="D360" s="16">
        <v>19593.18</v>
      </c>
      <c r="E360" s="16">
        <v>19464.84</v>
      </c>
      <c r="F360" s="13"/>
    </row>
    <row r="361" spans="1:6" x14ac:dyDescent="0.4">
      <c r="A361" s="1">
        <v>45817</v>
      </c>
      <c r="B361" s="15">
        <v>19591.240000000002</v>
      </c>
      <c r="C361" s="16">
        <v>19573.14</v>
      </c>
      <c r="D361" s="16">
        <v>19637.560000000001</v>
      </c>
      <c r="E361" s="16">
        <v>19531.77</v>
      </c>
      <c r="F361" s="13"/>
    </row>
    <row r="362" spans="1:6" x14ac:dyDescent="0.4">
      <c r="A362" s="1">
        <v>45818</v>
      </c>
      <c r="B362" s="15">
        <v>19714.990000000002</v>
      </c>
      <c r="C362" s="16">
        <v>19620.11</v>
      </c>
      <c r="D362" s="16">
        <v>19730.259999999998</v>
      </c>
      <c r="E362" s="16">
        <v>19540.07</v>
      </c>
      <c r="F362" s="13"/>
    </row>
    <row r="363" spans="1:6" x14ac:dyDescent="0.4">
      <c r="A363" s="1">
        <v>45819</v>
      </c>
      <c r="B363" s="24">
        <v>19578.37</v>
      </c>
      <c r="C363" s="16">
        <v>19779.36</v>
      </c>
      <c r="D363" s="16">
        <v>19800.34</v>
      </c>
      <c r="E363" s="16">
        <v>19551.43</v>
      </c>
    </row>
    <row r="364" spans="1:6" x14ac:dyDescent="0.4">
      <c r="A364" s="1">
        <v>45820</v>
      </c>
      <c r="B364" s="15">
        <v>19662.490000000002</v>
      </c>
      <c r="C364" s="16">
        <v>19578.87</v>
      </c>
      <c r="D364" s="16">
        <v>19690.53</v>
      </c>
      <c r="E364" s="16">
        <v>19553.560000000001</v>
      </c>
      <c r="F364" s="13"/>
    </row>
    <row r="365" spans="1:6" x14ac:dyDescent="0.4">
      <c r="A365" s="1">
        <v>45821</v>
      </c>
      <c r="B365" s="24">
        <v>19406.830000000002</v>
      </c>
      <c r="C365" s="16">
        <v>19450.93</v>
      </c>
      <c r="D365" s="16">
        <v>19591.87</v>
      </c>
      <c r="E365" s="16">
        <v>19367.419999999998</v>
      </c>
    </row>
    <row r="366" spans="1:6" x14ac:dyDescent="0.4">
      <c r="A366" s="1">
        <v>45824</v>
      </c>
      <c r="B366" s="15">
        <v>19701.21</v>
      </c>
      <c r="C366" s="16">
        <v>19550.75</v>
      </c>
      <c r="D366" s="16">
        <v>19733.3</v>
      </c>
      <c r="E366" s="16">
        <v>19550.75</v>
      </c>
      <c r="F366" s="13"/>
    </row>
    <row r="367" spans="1:6" x14ac:dyDescent="0.4">
      <c r="A367" s="1">
        <v>45825</v>
      </c>
      <c r="B367" s="24">
        <v>19521.09</v>
      </c>
      <c r="C367" s="16">
        <v>19627.080000000002</v>
      </c>
      <c r="D367" s="16">
        <v>19666.45</v>
      </c>
      <c r="E367" s="16">
        <v>19485.55</v>
      </c>
    </row>
    <row r="368" spans="1:6" x14ac:dyDescent="0.4">
      <c r="A368" s="1">
        <v>45826</v>
      </c>
      <c r="B368" s="15">
        <v>19546.27</v>
      </c>
      <c r="C368" s="16">
        <v>19526.919999999998</v>
      </c>
      <c r="D368" s="16">
        <v>19660.77</v>
      </c>
      <c r="E368" s="16">
        <v>19489.650000000001</v>
      </c>
    </row>
    <row r="369" spans="1:6" x14ac:dyDescent="0.4">
      <c r="A369" s="1">
        <v>45828</v>
      </c>
      <c r="B369" s="24">
        <v>19447.41</v>
      </c>
      <c r="C369" s="16">
        <v>19639.41</v>
      </c>
      <c r="D369" s="16">
        <v>19696.11</v>
      </c>
      <c r="E369" s="16">
        <v>19380.580000000002</v>
      </c>
      <c r="F369" s="13"/>
    </row>
    <row r="370" spans="1:6" x14ac:dyDescent="0.4">
      <c r="A370" s="1">
        <v>45831</v>
      </c>
      <c r="B370" s="15">
        <v>19607.23</v>
      </c>
      <c r="C370" s="16">
        <v>19427.009999999998</v>
      </c>
      <c r="D370" s="16">
        <v>19633.64</v>
      </c>
      <c r="E370" s="16">
        <v>19334.98</v>
      </c>
    </row>
    <row r="371" spans="1:6" x14ac:dyDescent="0.4">
      <c r="A371" s="1">
        <v>45832</v>
      </c>
      <c r="B371" s="15">
        <v>19912.53</v>
      </c>
      <c r="C371" s="16">
        <v>19809.62</v>
      </c>
      <c r="D371" s="16">
        <v>19946.650000000001</v>
      </c>
      <c r="E371" s="16">
        <v>19795.29</v>
      </c>
      <c r="F371" s="13"/>
    </row>
    <row r="372" spans="1:6" x14ac:dyDescent="0.4">
      <c r="A372" s="1">
        <v>45833</v>
      </c>
      <c r="B372" s="15">
        <v>19973.55</v>
      </c>
      <c r="C372" s="16">
        <v>20013.95</v>
      </c>
      <c r="D372" s="16">
        <v>20052.09</v>
      </c>
      <c r="E372" s="16">
        <v>19918.080000000002</v>
      </c>
    </row>
    <row r="373" spans="1:6" x14ac:dyDescent="0.4">
      <c r="A373" s="1">
        <v>45834</v>
      </c>
      <c r="B373" s="15">
        <v>20167.91</v>
      </c>
      <c r="C373" s="16">
        <v>20062.189999999999</v>
      </c>
      <c r="D373" s="16">
        <v>20187.150000000001</v>
      </c>
      <c r="E373" s="16">
        <v>19984.560000000001</v>
      </c>
      <c r="F373" s="13"/>
    </row>
    <row r="374" spans="1:6" x14ac:dyDescent="0.4">
      <c r="A374" s="1">
        <v>45835</v>
      </c>
      <c r="B374" s="15">
        <v>20273.46</v>
      </c>
      <c r="C374" s="16">
        <v>20217.259999999998</v>
      </c>
      <c r="D374" s="16">
        <v>20311.43</v>
      </c>
      <c r="E374" s="16">
        <v>20095.16</v>
      </c>
      <c r="F374" s="13"/>
    </row>
    <row r="375" spans="1:6" x14ac:dyDescent="0.4">
      <c r="A375" s="1">
        <v>45838</v>
      </c>
      <c r="B375" s="15">
        <v>20384.12</v>
      </c>
      <c r="C375" s="16">
        <v>20360.150000000001</v>
      </c>
      <c r="D375" s="16">
        <v>20386.82</v>
      </c>
      <c r="E375" s="16">
        <v>20267.060000000001</v>
      </c>
      <c r="F375" s="13"/>
    </row>
    <row r="376" spans="1:6" x14ac:dyDescent="0.4">
      <c r="A376" s="1">
        <v>45839</v>
      </c>
      <c r="B376" s="24">
        <v>20202.89</v>
      </c>
      <c r="C376" s="16">
        <v>20290.61</v>
      </c>
      <c r="D376" s="16">
        <v>20338.75</v>
      </c>
      <c r="E376" s="16">
        <v>20105.740000000002</v>
      </c>
      <c r="F376" s="13"/>
    </row>
    <row r="377" spans="1:6" x14ac:dyDescent="0.4">
      <c r="A377" s="1">
        <v>45840</v>
      </c>
      <c r="B377" s="15">
        <v>20393.13</v>
      </c>
      <c r="C377" s="16">
        <v>20184.37</v>
      </c>
      <c r="D377" s="16">
        <v>20396.8</v>
      </c>
      <c r="E377" s="16">
        <v>20184.27</v>
      </c>
      <c r="F377" s="13"/>
    </row>
    <row r="378" spans="1:6" x14ac:dyDescent="0.4">
      <c r="A378" s="1">
        <v>45841</v>
      </c>
      <c r="B378" s="15">
        <v>20601.099999999999</v>
      </c>
      <c r="C378" s="16">
        <v>20497.66</v>
      </c>
      <c r="D378" s="16">
        <v>20624.32</v>
      </c>
      <c r="E378" s="16">
        <v>20482.099999999999</v>
      </c>
      <c r="F378" s="13"/>
    </row>
    <row r="379" spans="1:6" x14ac:dyDescent="0.4">
      <c r="A379" s="1">
        <v>45845</v>
      </c>
      <c r="B379" s="24">
        <v>20412.52</v>
      </c>
      <c r="C379" s="16">
        <v>20490.55</v>
      </c>
      <c r="D379" s="16">
        <v>20511.7</v>
      </c>
      <c r="E379" s="16">
        <v>20323.419999999998</v>
      </c>
      <c r="F379" s="13"/>
    </row>
    <row r="380" spans="1:6" x14ac:dyDescent="0.4">
      <c r="A380" s="1">
        <v>45846</v>
      </c>
      <c r="B380" s="15">
        <v>20418.46</v>
      </c>
      <c r="C380" s="16">
        <v>20466.93</v>
      </c>
      <c r="D380" s="16">
        <v>20479.509999999998</v>
      </c>
      <c r="E380" s="16">
        <v>20377.36</v>
      </c>
    </row>
    <row r="381" spans="1:6" x14ac:dyDescent="0.4">
      <c r="A381" s="1">
        <v>45847</v>
      </c>
      <c r="B381" s="15">
        <v>20611.34</v>
      </c>
      <c r="C381" s="16">
        <v>20522.09</v>
      </c>
      <c r="D381" s="16">
        <v>20645.07</v>
      </c>
      <c r="E381" s="16">
        <v>20486.650000000001</v>
      </c>
      <c r="F381" s="13"/>
    </row>
    <row r="382" spans="1:6" x14ac:dyDescent="0.4">
      <c r="A382" s="1">
        <v>45848</v>
      </c>
      <c r="B382" s="15">
        <v>20630.669999999998</v>
      </c>
      <c r="C382" s="16">
        <v>20636.48</v>
      </c>
      <c r="D382" s="16">
        <v>20655.14</v>
      </c>
      <c r="E382" s="16">
        <v>20495.14</v>
      </c>
    </row>
    <row r="383" spans="1:6" x14ac:dyDescent="0.4">
      <c r="A383" s="1">
        <v>45849</v>
      </c>
      <c r="B383" s="24">
        <v>20585.53</v>
      </c>
      <c r="C383" s="16">
        <v>20562.88</v>
      </c>
      <c r="D383" s="16">
        <v>20647.97</v>
      </c>
      <c r="E383" s="16">
        <v>20509.75</v>
      </c>
      <c r="F383" s="13"/>
    </row>
    <row r="384" spans="1:6" x14ac:dyDescent="0.4">
      <c r="A384" s="1">
        <v>45852</v>
      </c>
      <c r="B384" s="15">
        <v>20640.330000000002</v>
      </c>
      <c r="C384" s="16">
        <v>20592.560000000001</v>
      </c>
      <c r="D384" s="16">
        <v>20672.22</v>
      </c>
      <c r="E384" s="16">
        <v>20492.63</v>
      </c>
      <c r="F384" s="13"/>
    </row>
    <row r="385" spans="1:6" x14ac:dyDescent="0.4">
      <c r="A385" s="1">
        <v>45853</v>
      </c>
      <c r="B385" s="15">
        <v>20677.8</v>
      </c>
      <c r="C385" s="16">
        <v>20822.759999999998</v>
      </c>
      <c r="D385" s="16">
        <v>20835.34</v>
      </c>
      <c r="E385" s="16">
        <v>20674.13</v>
      </c>
      <c r="F385" s="13"/>
    </row>
    <row r="386" spans="1:6" x14ac:dyDescent="0.4">
      <c r="A386" s="1">
        <v>45854</v>
      </c>
      <c r="B386" s="15">
        <v>20743.419999999998</v>
      </c>
      <c r="C386" s="16">
        <v>20717.810000000001</v>
      </c>
      <c r="D386" s="16">
        <v>20750.71</v>
      </c>
      <c r="E386" s="16">
        <v>20507.490000000002</v>
      </c>
      <c r="F386" s="13"/>
    </row>
    <row r="387" spans="1:6" x14ac:dyDescent="0.4">
      <c r="A387" s="1">
        <v>45855</v>
      </c>
      <c r="B387" s="15">
        <v>20884.27</v>
      </c>
      <c r="C387" s="16">
        <v>20760.32</v>
      </c>
      <c r="D387" s="16">
        <v>20911.78</v>
      </c>
      <c r="E387" s="16">
        <v>20736.18</v>
      </c>
      <c r="F387" s="13"/>
    </row>
    <row r="388" spans="1:6" x14ac:dyDescent="0.4">
      <c r="A388" s="1">
        <v>45856</v>
      </c>
      <c r="B388" s="15">
        <v>20895.650000000001</v>
      </c>
      <c r="C388" s="16">
        <v>20959.57</v>
      </c>
      <c r="D388" s="16">
        <v>20980.560000000001</v>
      </c>
      <c r="E388" s="16">
        <v>20846.12</v>
      </c>
      <c r="F388" s="13"/>
    </row>
    <row r="389" spans="1:6" x14ac:dyDescent="0.4">
      <c r="A389" s="1">
        <v>45859</v>
      </c>
      <c r="B389" s="15">
        <v>20974.18</v>
      </c>
      <c r="C389" s="16">
        <v>20960.330000000002</v>
      </c>
      <c r="D389" s="16">
        <v>21076.720000000001</v>
      </c>
      <c r="E389" s="16">
        <v>20957.439999999999</v>
      </c>
      <c r="F389" s="13"/>
    </row>
    <row r="390" spans="1:6" x14ac:dyDescent="0.4">
      <c r="A390" s="1">
        <v>45860</v>
      </c>
      <c r="B390" s="24">
        <v>20892.689999999999</v>
      </c>
      <c r="C390" s="16">
        <v>20982.21</v>
      </c>
      <c r="D390" s="16">
        <v>20985.34</v>
      </c>
      <c r="E390" s="16">
        <v>20750.900000000001</v>
      </c>
      <c r="F390" s="13"/>
    </row>
    <row r="391" spans="1:6" x14ac:dyDescent="0.4">
      <c r="A391" s="1">
        <v>45861</v>
      </c>
      <c r="B391" s="15">
        <v>21020.02</v>
      </c>
      <c r="C391" s="16">
        <v>20966.47</v>
      </c>
      <c r="D391" s="16">
        <v>21023.67</v>
      </c>
      <c r="E391" s="16">
        <v>20870.77</v>
      </c>
      <c r="F391" s="13"/>
    </row>
    <row r="392" spans="1:6" x14ac:dyDescent="0.4">
      <c r="A392" s="1">
        <v>45862</v>
      </c>
      <c r="B392" s="15">
        <v>21057.96</v>
      </c>
      <c r="C392" s="16">
        <v>21083.82</v>
      </c>
      <c r="D392" s="16">
        <v>21113.1</v>
      </c>
      <c r="E392" s="16">
        <v>21001.68</v>
      </c>
      <c r="F392" s="13"/>
    </row>
    <row r="393" spans="1:6" x14ac:dyDescent="0.4">
      <c r="A393" s="1">
        <v>45863</v>
      </c>
      <c r="B393" s="15">
        <v>21108.32</v>
      </c>
      <c r="C393" s="16">
        <v>21059.94</v>
      </c>
      <c r="D393" s="16">
        <v>21159.8</v>
      </c>
      <c r="E393" s="16">
        <v>21036.85</v>
      </c>
      <c r="F393" s="13"/>
    </row>
    <row r="394" spans="1:6" x14ac:dyDescent="0.4">
      <c r="A394" s="1">
        <v>45867</v>
      </c>
      <c r="B394" s="24">
        <v>21098.29</v>
      </c>
      <c r="C394" s="16">
        <v>21286.73</v>
      </c>
      <c r="D394" s="16">
        <v>21303.96</v>
      </c>
      <c r="E394" s="16">
        <v>21081.69</v>
      </c>
    </row>
    <row r="395" spans="1:6" x14ac:dyDescent="0.4">
      <c r="A395" s="1">
        <v>45868</v>
      </c>
      <c r="B395" s="15">
        <v>21129.67</v>
      </c>
      <c r="C395" s="16">
        <v>21140.400000000001</v>
      </c>
      <c r="D395" s="16">
        <v>21230.880000000001</v>
      </c>
      <c r="E395" s="16">
        <v>21018.38</v>
      </c>
      <c r="F395" s="13"/>
    </row>
    <row r="396" spans="1:6" x14ac:dyDescent="0.4">
      <c r="A396" s="1">
        <v>45869</v>
      </c>
      <c r="B396" s="24">
        <v>21122.45</v>
      </c>
      <c r="C396" s="16">
        <v>21457.48</v>
      </c>
      <c r="D396" s="16">
        <v>21457.48</v>
      </c>
      <c r="E396" s="16">
        <v>21078.92</v>
      </c>
      <c r="F396" s="13"/>
    </row>
    <row r="397" spans="1:6" x14ac:dyDescent="0.4">
      <c r="A397" s="1">
        <v>45870</v>
      </c>
      <c r="B397" s="24">
        <v>20650.13</v>
      </c>
      <c r="C397" s="16">
        <v>20830.64</v>
      </c>
      <c r="D397" s="16">
        <v>20865.63</v>
      </c>
      <c r="E397" s="16">
        <v>20560.169999999998</v>
      </c>
      <c r="F397" s="13"/>
    </row>
    <row r="398" spans="1:6" x14ac:dyDescent="0.4">
      <c r="A398" s="1">
        <v>45873</v>
      </c>
      <c r="B398" s="15">
        <v>21053.58</v>
      </c>
      <c r="C398" s="16">
        <v>20853.91</v>
      </c>
      <c r="D398" s="16">
        <v>21055.24</v>
      </c>
      <c r="E398" s="16">
        <v>20833.86</v>
      </c>
      <c r="F398" s="13"/>
    </row>
    <row r="399" spans="1:6" x14ac:dyDescent="0.4">
      <c r="A399" s="1">
        <v>45874</v>
      </c>
      <c r="B399" s="24">
        <v>20916.55</v>
      </c>
      <c r="C399" s="16">
        <v>21092.1</v>
      </c>
      <c r="D399" s="16">
        <v>21138.720000000001</v>
      </c>
      <c r="E399" s="16">
        <v>20893.29</v>
      </c>
      <c r="F399" s="13"/>
    </row>
    <row r="400" spans="1:6" x14ac:dyDescent="0.4">
      <c r="A400" s="1">
        <v>45875</v>
      </c>
      <c r="B400" s="15">
        <v>21169.42</v>
      </c>
      <c r="C400" s="16">
        <v>20955.22</v>
      </c>
      <c r="D400" s="16">
        <v>21183.87</v>
      </c>
      <c r="E400" s="16">
        <v>20937.63</v>
      </c>
      <c r="F400" s="13"/>
    </row>
    <row r="401" spans="1:6" x14ac:dyDescent="0.4">
      <c r="A401" s="1">
        <v>45876</v>
      </c>
      <c r="B401" s="15">
        <v>21242.7</v>
      </c>
      <c r="C401" s="16">
        <v>21325.01</v>
      </c>
      <c r="D401" s="16">
        <v>21407.18</v>
      </c>
      <c r="E401" s="16">
        <v>21090.36</v>
      </c>
      <c r="F401" s="13"/>
    </row>
    <row r="402" spans="1:6" x14ac:dyDescent="0.4">
      <c r="A402" s="1">
        <v>45877</v>
      </c>
      <c r="B402" s="15">
        <v>21450.02</v>
      </c>
      <c r="C402" s="16">
        <v>21316.37</v>
      </c>
      <c r="D402" s="16">
        <v>21464.39</v>
      </c>
      <c r="E402" s="16">
        <v>21285.96</v>
      </c>
      <c r="F402" s="13"/>
    </row>
    <row r="403" spans="1:6" x14ac:dyDescent="0.4">
      <c r="A403" s="1">
        <v>45880</v>
      </c>
      <c r="B403" s="24">
        <v>21385.4</v>
      </c>
      <c r="C403" s="16">
        <v>21459.65</v>
      </c>
      <c r="D403" s="16">
        <v>21549.73</v>
      </c>
      <c r="E403" s="16">
        <v>21347.360000000001</v>
      </c>
      <c r="F403" s="13"/>
    </row>
    <row r="404" spans="1:6" x14ac:dyDescent="0.4">
      <c r="A404" s="1">
        <v>45881</v>
      </c>
      <c r="B404" s="15">
        <v>21681.9</v>
      </c>
      <c r="C404" s="16">
        <v>21507.439999999999</v>
      </c>
      <c r="D404" s="16">
        <v>21689.68</v>
      </c>
      <c r="E404" s="16">
        <v>21386.25</v>
      </c>
      <c r="F404" s="13"/>
    </row>
    <row r="405" spans="1:6" x14ac:dyDescent="0.4">
      <c r="A405" s="1">
        <v>45882</v>
      </c>
      <c r="B405" s="15">
        <v>21713.14</v>
      </c>
      <c r="C405" s="16">
        <v>21764.55</v>
      </c>
      <c r="D405" s="16">
        <v>21803.75</v>
      </c>
      <c r="E405" s="16">
        <v>21645.19</v>
      </c>
      <c r="F405" s="13"/>
    </row>
    <row r="406" spans="1:6" x14ac:dyDescent="0.4">
      <c r="A406" s="1">
        <v>45883</v>
      </c>
      <c r="B406" s="24">
        <v>21710.67</v>
      </c>
      <c r="C406" s="16">
        <v>21649.21</v>
      </c>
      <c r="D406" s="16">
        <v>21766.14</v>
      </c>
      <c r="E406" s="16">
        <v>21629.62</v>
      </c>
      <c r="F406" s="13"/>
    </row>
    <row r="407" spans="1:6" x14ac:dyDescent="0.4">
      <c r="A407" s="1">
        <v>45884</v>
      </c>
      <c r="B407" s="24">
        <v>21622.98</v>
      </c>
      <c r="C407" s="16">
        <v>21709.34</v>
      </c>
      <c r="D407" s="16">
        <v>21716.18</v>
      </c>
      <c r="E407" s="16">
        <v>21567.46</v>
      </c>
      <c r="F407" s="13"/>
    </row>
    <row r="408" spans="1:6" x14ac:dyDescent="0.4">
      <c r="A408" s="1">
        <v>45887</v>
      </c>
      <c r="B408" s="15">
        <v>21629.77</v>
      </c>
      <c r="C408" s="16">
        <v>21616.82</v>
      </c>
      <c r="D408" s="16">
        <v>21651.41</v>
      </c>
      <c r="E408" s="16">
        <v>21559.4</v>
      </c>
      <c r="F408" s="13"/>
    </row>
    <row r="409" spans="1:6" x14ac:dyDescent="0.4">
      <c r="A409" s="1">
        <v>45888</v>
      </c>
      <c r="B409" s="24">
        <v>21314.95</v>
      </c>
      <c r="C409" s="16">
        <v>21607.45</v>
      </c>
      <c r="D409" s="16">
        <v>21610.240000000002</v>
      </c>
      <c r="E409" s="16">
        <v>21277.71</v>
      </c>
      <c r="F409" s="13"/>
    </row>
    <row r="410" spans="1:6" x14ac:dyDescent="0.4">
      <c r="A410" s="1">
        <v>45889</v>
      </c>
      <c r="B410" s="24">
        <v>21172.86</v>
      </c>
      <c r="C410" s="16">
        <v>21269.67</v>
      </c>
      <c r="D410" s="16">
        <v>21269.67</v>
      </c>
      <c r="E410" s="16">
        <v>20905.990000000002</v>
      </c>
      <c r="F410" s="13"/>
    </row>
    <row r="411" spans="1:6" x14ac:dyDescent="0.4">
      <c r="A411" s="1">
        <v>45890</v>
      </c>
      <c r="B411" s="24">
        <v>21100.31</v>
      </c>
      <c r="C411" s="16">
        <v>21112.52</v>
      </c>
      <c r="D411" s="16">
        <v>21198.59</v>
      </c>
      <c r="E411" s="16">
        <v>21013.759999999998</v>
      </c>
      <c r="F411" s="13"/>
    </row>
    <row r="412" spans="1:6" x14ac:dyDescent="0.4">
      <c r="A412" s="1">
        <v>45891</v>
      </c>
      <c r="B412" s="15">
        <v>21496.54</v>
      </c>
      <c r="C412" s="16">
        <v>21139.83</v>
      </c>
      <c r="D412" s="16">
        <v>21545.43</v>
      </c>
      <c r="E412" s="16">
        <v>21094.799999999999</v>
      </c>
      <c r="F412" s="13"/>
    </row>
    <row r="413" spans="1:6" x14ac:dyDescent="0.4">
      <c r="A413" s="1">
        <v>45894</v>
      </c>
      <c r="B413" s="24">
        <v>21449.29</v>
      </c>
      <c r="C413" s="16">
        <v>21466.47</v>
      </c>
      <c r="D413" s="16">
        <v>21572.18</v>
      </c>
      <c r="E413" s="16">
        <v>21400.81</v>
      </c>
      <c r="F413" s="13"/>
    </row>
    <row r="414" spans="1:6" x14ac:dyDescent="0.4">
      <c r="A414" s="1">
        <v>45895</v>
      </c>
      <c r="B414" s="15">
        <v>21544.27</v>
      </c>
      <c r="C414" s="16">
        <v>21443.63</v>
      </c>
      <c r="D414" s="16">
        <v>21549.88</v>
      </c>
      <c r="E414" s="16">
        <v>21389.1</v>
      </c>
      <c r="F414" s="13"/>
    </row>
    <row r="415" spans="1:6" x14ac:dyDescent="0.4">
      <c r="A415" s="1">
        <v>45896</v>
      </c>
      <c r="B415" s="15">
        <v>21590.14</v>
      </c>
      <c r="C415" s="16">
        <v>21526.33</v>
      </c>
      <c r="D415" s="16">
        <v>21616.17</v>
      </c>
      <c r="E415" s="16">
        <v>21476.3</v>
      </c>
      <c r="F415" s="13"/>
    </row>
    <row r="416" spans="1:6" x14ac:dyDescent="0.4">
      <c r="A416" s="1">
        <v>45897</v>
      </c>
      <c r="B416" s="15">
        <v>21705.16</v>
      </c>
      <c r="C416" s="16">
        <v>21619.27</v>
      </c>
      <c r="D416" s="16">
        <v>21742.21</v>
      </c>
      <c r="E416" s="16">
        <v>21537.200000000001</v>
      </c>
      <c r="F416" s="13"/>
    </row>
    <row r="417" spans="1:6" x14ac:dyDescent="0.4">
      <c r="A417" s="1">
        <v>45898</v>
      </c>
      <c r="B417" s="24">
        <v>21455.55</v>
      </c>
      <c r="C417" s="16">
        <v>21630.33</v>
      </c>
      <c r="D417" s="16">
        <v>21631.15</v>
      </c>
      <c r="E417" s="16">
        <v>21397.98</v>
      </c>
      <c r="F417" s="13"/>
    </row>
    <row r="418" spans="1:6" x14ac:dyDescent="0.4">
      <c r="A418" s="1">
        <v>45902</v>
      </c>
      <c r="B418" s="24">
        <v>21279.63</v>
      </c>
      <c r="C418" s="16">
        <v>21086.58</v>
      </c>
      <c r="D418" s="16">
        <v>21293.69</v>
      </c>
      <c r="E418" s="16">
        <v>21033.05</v>
      </c>
      <c r="F418" s="13"/>
    </row>
    <row r="419" spans="1:6" x14ac:dyDescent="0.4">
      <c r="A419" s="1">
        <v>45903</v>
      </c>
      <c r="B419" s="15">
        <v>21497.73</v>
      </c>
      <c r="C419" s="16">
        <v>21461.63</v>
      </c>
      <c r="D419" s="16">
        <v>21553.919999999998</v>
      </c>
      <c r="E419" s="16">
        <v>21370.98</v>
      </c>
      <c r="F419" s="13"/>
    </row>
    <row r="420" spans="1:6" x14ac:dyDescent="0.4">
      <c r="A420" s="1">
        <v>45904</v>
      </c>
      <c r="B420" s="18">
        <v>21707.69</v>
      </c>
      <c r="C420" s="6">
        <v>21539.91</v>
      </c>
      <c r="D420" s="6">
        <v>21711.96</v>
      </c>
      <c r="E420" s="6">
        <v>21469.4</v>
      </c>
      <c r="F420" s="7"/>
    </row>
    <row r="421" spans="1:6" x14ac:dyDescent="0.4">
      <c r="A421" s="1">
        <v>45905</v>
      </c>
      <c r="B421" s="24">
        <v>21700.39</v>
      </c>
      <c r="C421" s="16">
        <v>21860.44</v>
      </c>
      <c r="D421" s="16">
        <v>21878.81</v>
      </c>
      <c r="E421" s="16">
        <v>21534.720000000001</v>
      </c>
      <c r="F421" s="13"/>
    </row>
    <row r="422" spans="1:6" x14ac:dyDescent="0.4">
      <c r="A422" s="1">
        <v>45908</v>
      </c>
      <c r="B422" s="15">
        <v>21798.7</v>
      </c>
      <c r="C422" s="16">
        <v>21806.22</v>
      </c>
      <c r="D422" s="16">
        <v>21885.62</v>
      </c>
      <c r="E422" s="16">
        <v>21776.53</v>
      </c>
      <c r="F422" s="13"/>
    </row>
    <row r="423" spans="1:6" x14ac:dyDescent="0.4">
      <c r="A423" s="1">
        <v>45909</v>
      </c>
      <c r="B423" s="15">
        <v>21879.49</v>
      </c>
      <c r="C423" s="16">
        <v>21858.17</v>
      </c>
      <c r="D423" s="16">
        <v>21891.42</v>
      </c>
      <c r="E423" s="16">
        <v>21732.3</v>
      </c>
      <c r="F423" s="13"/>
    </row>
    <row r="424" spans="1:6" x14ac:dyDescent="0.4">
      <c r="A424" s="1">
        <v>45910</v>
      </c>
      <c r="B424" s="15">
        <v>21886.06</v>
      </c>
      <c r="C424" s="16">
        <v>21980.6</v>
      </c>
      <c r="D424" s="16">
        <v>22000.34</v>
      </c>
      <c r="E424" s="16">
        <v>21810.97</v>
      </c>
      <c r="F424" s="13"/>
    </row>
    <row r="425" spans="1:6" x14ac:dyDescent="0.4">
      <c r="A425" s="1">
        <v>45911</v>
      </c>
      <c r="B425" s="15">
        <v>22043.08</v>
      </c>
      <c r="C425" s="16">
        <v>21977.52</v>
      </c>
      <c r="D425" s="16">
        <v>22059.71</v>
      </c>
      <c r="E425" s="16">
        <v>21909.13</v>
      </c>
      <c r="F425" s="13"/>
    </row>
    <row r="426" spans="1:6" x14ac:dyDescent="0.4">
      <c r="A426" s="1">
        <v>45912</v>
      </c>
      <c r="B426" s="15">
        <v>22141.1</v>
      </c>
      <c r="C426" s="16">
        <v>22078.63</v>
      </c>
      <c r="D426" s="16">
        <v>22182.34</v>
      </c>
      <c r="E426" s="16">
        <v>22031.62</v>
      </c>
    </row>
    <row r="427" spans="1:6" x14ac:dyDescent="0.4">
      <c r="A427" s="1">
        <v>45915</v>
      </c>
      <c r="B427" s="15">
        <v>22348.75</v>
      </c>
      <c r="C427" s="16">
        <v>22243.200000000001</v>
      </c>
      <c r="D427" s="16">
        <v>22351.93</v>
      </c>
      <c r="E427" s="16">
        <v>22233</v>
      </c>
      <c r="F427" s="13"/>
    </row>
    <row r="428" spans="1:6" x14ac:dyDescent="0.4">
      <c r="A428" s="1">
        <v>45916</v>
      </c>
      <c r="B428" s="24">
        <v>22333.96</v>
      </c>
      <c r="C428" s="16">
        <v>22397.5</v>
      </c>
      <c r="D428" s="16">
        <v>22397.5</v>
      </c>
      <c r="E428" s="16">
        <v>22308.87</v>
      </c>
    </row>
    <row r="429" spans="1:6" x14ac:dyDescent="0.4">
      <c r="A429" s="1">
        <v>45917</v>
      </c>
      <c r="B429" s="24">
        <v>22261.33</v>
      </c>
      <c r="C429" s="16">
        <v>22333.02</v>
      </c>
      <c r="D429" s="16">
        <v>22339.54</v>
      </c>
      <c r="E429" s="16">
        <v>22059.07</v>
      </c>
      <c r="F429" s="13"/>
    </row>
    <row r="430" spans="1:6" x14ac:dyDescent="0.4">
      <c r="A430" s="1">
        <v>45918</v>
      </c>
      <c r="B430" s="15">
        <v>22470.73</v>
      </c>
      <c r="C430" s="16">
        <v>22439.11</v>
      </c>
      <c r="D430" s="16">
        <v>22540.93</v>
      </c>
      <c r="E430" s="16">
        <v>22360.66</v>
      </c>
      <c r="F430" s="13"/>
    </row>
    <row r="431" spans="1:6" x14ac:dyDescent="0.4">
      <c r="A431" s="1">
        <v>45919</v>
      </c>
      <c r="B431" s="15">
        <v>22631.48</v>
      </c>
      <c r="C431" s="16">
        <v>22554.31</v>
      </c>
      <c r="D431" s="16">
        <v>22645.11</v>
      </c>
      <c r="E431" s="16">
        <v>22497.71</v>
      </c>
      <c r="F431" s="13"/>
    </row>
    <row r="432" spans="1:6" x14ac:dyDescent="0.4">
      <c r="A432" s="1">
        <v>45922</v>
      </c>
      <c r="B432" s="15">
        <v>22788.98</v>
      </c>
      <c r="C432" s="16">
        <v>22606.59</v>
      </c>
      <c r="D432" s="16">
        <v>22801.78</v>
      </c>
      <c r="E432" s="16">
        <v>22592.69</v>
      </c>
    </row>
    <row r="433" spans="1:6" x14ac:dyDescent="0.4">
      <c r="A433" s="1">
        <v>45923</v>
      </c>
      <c r="B433" s="24">
        <v>22573.47</v>
      </c>
      <c r="C433" s="16">
        <v>22782.720000000001</v>
      </c>
      <c r="D433" s="16">
        <v>22785.06</v>
      </c>
      <c r="E433" s="16">
        <v>22539.23</v>
      </c>
    </row>
    <row r="434" spans="1:6" x14ac:dyDescent="0.4">
      <c r="A434" s="1">
        <v>45924</v>
      </c>
      <c r="B434" s="24">
        <v>22497.86</v>
      </c>
      <c r="C434" s="16">
        <v>22656.02</v>
      </c>
      <c r="D434" s="16">
        <v>22656.27</v>
      </c>
      <c r="E434" s="16">
        <v>22397</v>
      </c>
    </row>
    <row r="435" spans="1:6" x14ac:dyDescent="0.4">
      <c r="A435" s="1">
        <v>45925</v>
      </c>
      <c r="B435" s="24">
        <v>22384.7</v>
      </c>
      <c r="C435" s="16">
        <v>22318.77</v>
      </c>
      <c r="D435" s="16">
        <v>22456.34</v>
      </c>
      <c r="E435" s="16">
        <v>22186.3</v>
      </c>
      <c r="F435" s="13"/>
    </row>
    <row r="436" spans="1:6" x14ac:dyDescent="0.4">
      <c r="A436" s="1">
        <v>45926</v>
      </c>
      <c r="B436" s="15">
        <v>22484.07</v>
      </c>
      <c r="C436" s="16">
        <v>22403.27</v>
      </c>
      <c r="D436" s="16">
        <v>22488.18</v>
      </c>
      <c r="E436" s="16">
        <v>22285.439999999999</v>
      </c>
      <c r="F436" s="13"/>
    </row>
    <row r="437" spans="1:6" x14ac:dyDescent="0.4">
      <c r="A437" s="1">
        <v>45929</v>
      </c>
      <c r="B437" s="15">
        <v>22591.15</v>
      </c>
      <c r="C437" s="16">
        <v>22605.3</v>
      </c>
      <c r="D437" s="16">
        <v>22704.43</v>
      </c>
      <c r="E437" s="16">
        <v>22536.09</v>
      </c>
    </row>
    <row r="438" spans="1:6" x14ac:dyDescent="0.4">
      <c r="A438" s="1">
        <v>45930</v>
      </c>
      <c r="B438" s="15">
        <v>22660.01</v>
      </c>
      <c r="C438" s="16">
        <v>22580.36</v>
      </c>
      <c r="D438" s="16">
        <v>22671.39</v>
      </c>
      <c r="E438" s="16">
        <v>22495.51</v>
      </c>
      <c r="F438" s="13"/>
    </row>
    <row r="439" spans="1:6" x14ac:dyDescent="0.4">
      <c r="A439" s="1">
        <v>45931</v>
      </c>
      <c r="B439" s="15">
        <v>22755.16</v>
      </c>
      <c r="C439" s="16">
        <v>22530.95</v>
      </c>
      <c r="D439" s="16">
        <v>22782.32</v>
      </c>
      <c r="E439" s="16">
        <v>22517.69</v>
      </c>
      <c r="F439" s="13"/>
    </row>
    <row r="440" spans="1:6" x14ac:dyDescent="0.4">
      <c r="A440" s="1">
        <v>45932</v>
      </c>
      <c r="B440" s="18">
        <v>22844.05</v>
      </c>
      <c r="C440" s="6">
        <v>22885.91</v>
      </c>
      <c r="D440" s="6">
        <v>22897.19</v>
      </c>
      <c r="E440" s="6">
        <v>22729.75</v>
      </c>
      <c r="F440" s="7"/>
    </row>
    <row r="441" spans="1:6" x14ac:dyDescent="0.4">
      <c r="A441" s="1">
        <v>45933</v>
      </c>
      <c r="B441" s="5">
        <v>22780.51</v>
      </c>
      <c r="C441" s="6">
        <v>22886.16</v>
      </c>
      <c r="D441" s="6">
        <v>22925.18</v>
      </c>
      <c r="E441" s="6">
        <v>22696</v>
      </c>
      <c r="F441" s="7"/>
    </row>
    <row r="442" spans="1:6" x14ac:dyDescent="0.4">
      <c r="A442" s="1">
        <v>45936</v>
      </c>
      <c r="B442" s="15">
        <v>22942</v>
      </c>
      <c r="C442" s="16">
        <v>22894.35</v>
      </c>
      <c r="D442" s="16">
        <v>22991.43</v>
      </c>
      <c r="E442" s="16">
        <v>22828.77</v>
      </c>
      <c r="F442" s="13"/>
    </row>
    <row r="443" spans="1:6" x14ac:dyDescent="0.4">
      <c r="A443" s="1">
        <v>45937</v>
      </c>
      <c r="B443" s="5">
        <v>22788.36</v>
      </c>
      <c r="C443" s="6">
        <v>22972.37</v>
      </c>
      <c r="D443" s="6">
        <v>23006.07</v>
      </c>
      <c r="E443" s="6">
        <v>22719.29</v>
      </c>
      <c r="F443" s="7"/>
    </row>
    <row r="444" spans="1:6" x14ac:dyDescent="0.4">
      <c r="A444" s="1">
        <v>45938</v>
      </c>
      <c r="B444" s="18">
        <v>23043.38</v>
      </c>
      <c r="C444" s="6">
        <v>22852.32</v>
      </c>
      <c r="D444" s="6">
        <v>23045.14</v>
      </c>
      <c r="E444" s="6">
        <v>22845.42</v>
      </c>
      <c r="F444" s="7"/>
    </row>
    <row r="445" spans="1:6" x14ac:dyDescent="0.4">
      <c r="A445" s="1">
        <v>45939</v>
      </c>
      <c r="B445" s="5">
        <v>23004.18</v>
      </c>
      <c r="C445" s="6">
        <v>23045.33</v>
      </c>
      <c r="D445" s="6">
        <v>23062.62</v>
      </c>
      <c r="E445" s="6">
        <v>22899.4</v>
      </c>
      <c r="F445" s="7"/>
    </row>
    <row r="446" spans="1:6" x14ac:dyDescent="0.4">
      <c r="A446" s="1">
        <v>45940</v>
      </c>
      <c r="B446" s="5">
        <v>22204.43</v>
      </c>
      <c r="C446" s="6">
        <v>23043.52</v>
      </c>
      <c r="D446" s="6">
        <v>23119.91</v>
      </c>
      <c r="E446" s="6">
        <v>22193.07</v>
      </c>
      <c r="F446" s="7"/>
    </row>
    <row r="447" spans="1:6" x14ac:dyDescent="0.4">
      <c r="A447" s="1">
        <v>45943</v>
      </c>
      <c r="B447" s="15">
        <v>22694.61</v>
      </c>
      <c r="C447" s="16">
        <v>22578.67</v>
      </c>
      <c r="D447" s="16">
        <v>22718.560000000001</v>
      </c>
      <c r="E447" s="16">
        <v>22499.98</v>
      </c>
      <c r="F447" s="13"/>
    </row>
    <row r="448" spans="1:6" x14ac:dyDescent="0.4">
      <c r="A448" s="1">
        <v>45944</v>
      </c>
      <c r="B448" s="24">
        <v>22521.7</v>
      </c>
      <c r="C448" s="16">
        <v>22388.04</v>
      </c>
      <c r="D448" s="16">
        <v>22691.07</v>
      </c>
      <c r="E448" s="16">
        <v>22215.83</v>
      </c>
      <c r="F448" s="13"/>
    </row>
    <row r="449" spans="1:6" x14ac:dyDescent="0.4">
      <c r="A449" s="1">
        <v>45945</v>
      </c>
      <c r="B449" s="15">
        <v>22670.080000000002</v>
      </c>
      <c r="C449" s="16">
        <v>22738.5</v>
      </c>
      <c r="D449" s="16">
        <v>22841.29</v>
      </c>
      <c r="E449" s="16">
        <v>22428.52</v>
      </c>
    </row>
    <row r="450" spans="1:6" x14ac:dyDescent="0.4">
      <c r="A450" s="1">
        <v>45946</v>
      </c>
      <c r="B450" s="24">
        <v>22562.54</v>
      </c>
      <c r="C450" s="16">
        <v>22764.400000000001</v>
      </c>
      <c r="D450" s="16">
        <v>22886.6</v>
      </c>
      <c r="E450" s="16">
        <v>22404.99</v>
      </c>
    </row>
    <row r="451" spans="1:6" x14ac:dyDescent="0.4">
      <c r="A451" s="1">
        <v>45947</v>
      </c>
      <c r="B451" s="18">
        <v>22679.97</v>
      </c>
      <c r="C451" s="6">
        <v>22489.81</v>
      </c>
      <c r="D451" s="6">
        <v>22736.01</v>
      </c>
      <c r="E451" s="6">
        <v>22396.65</v>
      </c>
    </row>
    <row r="452" spans="1:6" x14ac:dyDescent="0.4">
      <c r="A452" s="1">
        <v>45950</v>
      </c>
      <c r="B452" s="15">
        <v>22990.54</v>
      </c>
      <c r="C452" s="16">
        <v>22844.82</v>
      </c>
      <c r="D452" s="16">
        <v>23031.87</v>
      </c>
      <c r="E452" s="16">
        <v>22844.82</v>
      </c>
      <c r="F452" s="13"/>
    </row>
    <row r="453" spans="1:6" x14ac:dyDescent="0.4">
      <c r="A453" s="1">
        <v>45951</v>
      </c>
      <c r="B453" s="24">
        <v>22953.67</v>
      </c>
      <c r="C453" s="16">
        <v>22984.55</v>
      </c>
      <c r="D453" s="16">
        <v>23010.35</v>
      </c>
      <c r="E453" s="16">
        <v>22894.42</v>
      </c>
      <c r="F453" s="13"/>
    </row>
    <row r="454" spans="1:6" x14ac:dyDescent="0.4">
      <c r="A454" s="1">
        <v>45952</v>
      </c>
      <c r="B454" s="5">
        <v>22740.400000000001</v>
      </c>
      <c r="C454" s="6">
        <v>22940.79</v>
      </c>
      <c r="D454" s="6">
        <v>22977.62</v>
      </c>
      <c r="E454" s="6">
        <v>22514.080000000002</v>
      </c>
      <c r="F454" s="7"/>
    </row>
    <row r="455" spans="1:6" x14ac:dyDescent="0.4">
      <c r="A455" s="1">
        <v>45953</v>
      </c>
      <c r="B455" s="15">
        <v>22941.8</v>
      </c>
      <c r="C455" s="16">
        <v>22751.33</v>
      </c>
      <c r="D455" s="16">
        <v>22982.57</v>
      </c>
      <c r="E455" s="16">
        <v>22732.99</v>
      </c>
      <c r="F455" s="13"/>
    </row>
    <row r="456" spans="1:6" x14ac:dyDescent="0.4">
      <c r="A456" s="1">
        <v>45954</v>
      </c>
      <c r="B456" s="15">
        <v>23204.87</v>
      </c>
      <c r="C456" s="16">
        <v>23143.23</v>
      </c>
      <c r="D456" s="16">
        <v>23261.18</v>
      </c>
      <c r="E456" s="16">
        <v>23129.89</v>
      </c>
      <c r="F456" s="13"/>
    </row>
    <row r="457" spans="1:6" x14ac:dyDescent="0.4">
      <c r="A457" s="1">
        <v>45957</v>
      </c>
      <c r="B457" s="15">
        <v>23637.46</v>
      </c>
      <c r="C457" s="16">
        <v>23537.32</v>
      </c>
      <c r="D457" s="16">
        <v>23657.74</v>
      </c>
      <c r="E457" s="16">
        <v>23495.23</v>
      </c>
    </row>
    <row r="458" spans="1:6" x14ac:dyDescent="0.4">
      <c r="A458" s="1">
        <v>45958</v>
      </c>
      <c r="B458" s="15">
        <v>23827.49</v>
      </c>
      <c r="C458" s="16">
        <v>23766.46</v>
      </c>
      <c r="D458" s="16">
        <v>23901.06</v>
      </c>
      <c r="E458" s="16">
        <v>23675.26</v>
      </c>
      <c r="F458" s="13"/>
    </row>
    <row r="459" spans="1:6" x14ac:dyDescent="0.4">
      <c r="A459" s="1">
        <v>45959</v>
      </c>
      <c r="B459" s="15">
        <v>23958.47</v>
      </c>
      <c r="C459" s="16">
        <v>23987.29</v>
      </c>
      <c r="D459" s="16">
        <v>24019.71</v>
      </c>
      <c r="E459" s="16">
        <v>23766.98</v>
      </c>
      <c r="F459" s="13"/>
    </row>
    <row r="460" spans="1:6" x14ac:dyDescent="0.4">
      <c r="A460" s="1">
        <v>45960</v>
      </c>
      <c r="B460" s="5">
        <v>23581.14</v>
      </c>
      <c r="C460" s="6">
        <v>23793.08</v>
      </c>
      <c r="D460" s="6">
        <v>23845.18</v>
      </c>
      <c r="E460" s="6">
        <v>23578.78</v>
      </c>
      <c r="F460" s="7"/>
    </row>
    <row r="461" spans="1:6" x14ac:dyDescent="0.4">
      <c r="A461" s="1">
        <v>45961</v>
      </c>
      <c r="B461" s="15">
        <v>23724.959999999999</v>
      </c>
      <c r="C461" s="16">
        <v>23941.78</v>
      </c>
      <c r="D461" s="16">
        <v>23945.200000000001</v>
      </c>
      <c r="E461" s="16">
        <v>23628.880000000001</v>
      </c>
      <c r="F461" s="13"/>
    </row>
    <row r="462" spans="1:6" x14ac:dyDescent="0.4">
      <c r="A462" s="1">
        <v>45964</v>
      </c>
      <c r="B462" s="15">
        <v>23811.14</v>
      </c>
      <c r="C462" s="16">
        <v>23951.91</v>
      </c>
      <c r="D462" s="16">
        <v>23976.84</v>
      </c>
      <c r="E462" s="16">
        <v>23766.84</v>
      </c>
      <c r="F462" s="13"/>
    </row>
    <row r="463" spans="1:6" x14ac:dyDescent="0.4">
      <c r="A463" s="1">
        <v>45965</v>
      </c>
      <c r="B463" s="24">
        <v>23348.639999999999</v>
      </c>
      <c r="C463" s="16">
        <v>23458.21</v>
      </c>
      <c r="D463" s="16">
        <v>23644.13</v>
      </c>
      <c r="E463" s="16">
        <v>23333.32</v>
      </c>
      <c r="F463" s="13"/>
    </row>
    <row r="464" spans="1:6" x14ac:dyDescent="0.4">
      <c r="A464" s="1">
        <v>45966</v>
      </c>
      <c r="B464" s="15">
        <v>23499.8</v>
      </c>
      <c r="C464" s="16">
        <v>23358.080000000002</v>
      </c>
      <c r="D464" s="16">
        <v>23636.53</v>
      </c>
      <c r="E464" s="16">
        <v>23288.36</v>
      </c>
      <c r="F464" s="13"/>
    </row>
    <row r="465" spans="1:6" x14ac:dyDescent="0.4">
      <c r="A465" s="1">
        <v>45967</v>
      </c>
      <c r="B465" s="24">
        <v>23053.99</v>
      </c>
      <c r="C465" s="16">
        <v>23461.29</v>
      </c>
      <c r="D465" s="16">
        <v>23469.55</v>
      </c>
      <c r="E465" s="16">
        <v>23011.61</v>
      </c>
      <c r="F465" s="13"/>
    </row>
    <row r="466" spans="1:6" x14ac:dyDescent="0.4">
      <c r="A466" s="1">
        <v>45968</v>
      </c>
      <c r="B466" s="24">
        <v>23004.54</v>
      </c>
      <c r="C466" s="16">
        <v>22892.92</v>
      </c>
      <c r="D466" s="16">
        <v>23009.05</v>
      </c>
      <c r="E466" s="16">
        <v>22563.57</v>
      </c>
      <c r="F466" s="13"/>
    </row>
    <row r="467" spans="1:6" x14ac:dyDescent="0.4">
      <c r="A467" s="1">
        <v>45971</v>
      </c>
      <c r="B467" s="18">
        <v>23527.17</v>
      </c>
      <c r="C467" s="6">
        <v>23354.85</v>
      </c>
      <c r="D467" s="6">
        <v>23569.279999999999</v>
      </c>
      <c r="E467" s="6">
        <v>23293.24</v>
      </c>
      <c r="F467" s="7"/>
    </row>
    <row r="468" spans="1:6" x14ac:dyDescent="0.4">
      <c r="A468" s="1">
        <v>45972</v>
      </c>
      <c r="B468" s="5">
        <v>23468.3</v>
      </c>
      <c r="C468" s="6">
        <v>23407.72</v>
      </c>
      <c r="D468" s="6">
        <v>23508.1</v>
      </c>
      <c r="E468" s="6">
        <v>23315.54</v>
      </c>
    </row>
    <row r="469" spans="1:6" x14ac:dyDescent="0.4">
      <c r="A469" s="1">
        <v>45973</v>
      </c>
      <c r="B469" s="24">
        <v>23406.46</v>
      </c>
      <c r="C469" s="16">
        <v>23563.84</v>
      </c>
      <c r="D469" s="16">
        <v>23563.84</v>
      </c>
      <c r="E469" s="16">
        <v>23278.3</v>
      </c>
      <c r="F469" s="13"/>
    </row>
    <row r="470" spans="1:6" x14ac:dyDescent="0.4">
      <c r="A470" s="1">
        <v>45974</v>
      </c>
      <c r="B470" s="5">
        <v>22870.36</v>
      </c>
      <c r="C470" s="6">
        <v>23262.65</v>
      </c>
      <c r="D470" s="6">
        <v>23262.639999999999</v>
      </c>
      <c r="E470" s="6">
        <v>22796.69</v>
      </c>
      <c r="F470" s="7"/>
    </row>
    <row r="471" spans="1:6" x14ac:dyDescent="0.4">
      <c r="A471" s="1">
        <v>45975</v>
      </c>
      <c r="B471" s="15">
        <v>22900.59</v>
      </c>
      <c r="C471" s="16">
        <v>22544.73</v>
      </c>
      <c r="D471" s="16">
        <v>23072.91</v>
      </c>
      <c r="E471" s="16">
        <v>22438.62</v>
      </c>
      <c r="F471" s="13"/>
    </row>
    <row r="472" spans="1:6" x14ac:dyDescent="0.4">
      <c r="A472" s="1">
        <v>45978</v>
      </c>
      <c r="B472" s="24">
        <v>22708.080000000002</v>
      </c>
      <c r="C472" s="16">
        <v>22788.32</v>
      </c>
      <c r="D472" s="16">
        <v>23043.9</v>
      </c>
      <c r="E472" s="16">
        <v>22559.82</v>
      </c>
      <c r="F472" s="13"/>
    </row>
    <row r="473" spans="1:6" x14ac:dyDescent="0.4">
      <c r="A473" s="1">
        <v>45979</v>
      </c>
      <c r="B473" s="24">
        <v>22432.85</v>
      </c>
      <c r="C473" s="16">
        <v>22565.91</v>
      </c>
      <c r="D473" s="16">
        <v>22643.01</v>
      </c>
      <c r="E473" s="16">
        <v>22233.56</v>
      </c>
      <c r="F473" s="13"/>
    </row>
    <row r="474" spans="1:6" x14ac:dyDescent="0.4">
      <c r="A474" s="1">
        <v>45980</v>
      </c>
      <c r="B474" s="24">
        <v>22432.85</v>
      </c>
      <c r="C474" s="16">
        <v>22565.91</v>
      </c>
      <c r="D474" s="16">
        <v>22643.01</v>
      </c>
      <c r="E474" s="16">
        <v>22233.56</v>
      </c>
      <c r="F474" s="13"/>
    </row>
    <row r="475" spans="1:6" x14ac:dyDescent="0.4">
      <c r="A475" s="1">
        <v>45981</v>
      </c>
      <c r="B475" s="5">
        <v>22078.05</v>
      </c>
      <c r="C475" s="6">
        <v>23057</v>
      </c>
      <c r="D475" s="6">
        <v>23147.21</v>
      </c>
      <c r="E475" s="6">
        <v>22047.51</v>
      </c>
      <c r="F475" s="7"/>
    </row>
    <row r="476" spans="1:6" x14ac:dyDescent="0.4">
      <c r="A476" s="1">
        <v>45982</v>
      </c>
      <c r="B476" s="18">
        <v>22273.08</v>
      </c>
      <c r="C476" s="6">
        <v>22162.83</v>
      </c>
      <c r="D476" s="6">
        <v>22531.84</v>
      </c>
      <c r="E476" s="6">
        <v>21898.29</v>
      </c>
      <c r="F476" s="7"/>
    </row>
    <row r="477" spans="1:6" x14ac:dyDescent="0.4">
      <c r="A477" s="1">
        <v>45985</v>
      </c>
      <c r="B477" s="15">
        <v>22868.28</v>
      </c>
      <c r="C477" s="16">
        <v>22482.16</v>
      </c>
      <c r="D477" s="16">
        <v>22879.73</v>
      </c>
      <c r="E477" s="16">
        <v>22480.25</v>
      </c>
      <c r="F477" s="13"/>
    </row>
    <row r="478" spans="1:6" x14ac:dyDescent="0.4">
      <c r="A478" s="1">
        <v>45986</v>
      </c>
      <c r="B478" s="18">
        <v>23025.59</v>
      </c>
      <c r="C478" s="6">
        <v>22802.85</v>
      </c>
      <c r="D478" s="6">
        <v>23069.86</v>
      </c>
      <c r="E478" s="6">
        <v>22587.11</v>
      </c>
      <c r="F478" s="7">
        <v>1.48</v>
      </c>
    </row>
    <row r="479" spans="1:6" x14ac:dyDescent="0.4">
      <c r="A479" s="1">
        <v>45987</v>
      </c>
      <c r="B479" s="15">
        <v>23214.69</v>
      </c>
      <c r="C479" s="16">
        <v>23163.19</v>
      </c>
      <c r="D479" s="16">
        <v>23280.58</v>
      </c>
      <c r="E479" s="16">
        <v>23076.2</v>
      </c>
      <c r="F479" s="13"/>
    </row>
    <row r="480" spans="1:6" x14ac:dyDescent="0.4">
      <c r="A480" s="1">
        <v>45989</v>
      </c>
      <c r="B480" s="15">
        <v>23365.69</v>
      </c>
      <c r="C480" s="16">
        <v>23291.59</v>
      </c>
      <c r="D480" s="16">
        <v>23365.69</v>
      </c>
      <c r="E480" s="16">
        <v>23250.92</v>
      </c>
      <c r="F480" s="13"/>
    </row>
    <row r="481" spans="1:6" x14ac:dyDescent="0.4">
      <c r="A481" s="1">
        <v>45992</v>
      </c>
      <c r="B481" s="24">
        <v>23275.919999999998</v>
      </c>
      <c r="C481" s="16">
        <v>23172.34</v>
      </c>
      <c r="D481" s="16">
        <v>23363.85</v>
      </c>
      <c r="E481" s="16">
        <v>23110.21</v>
      </c>
      <c r="F481" s="13"/>
    </row>
    <row r="482" spans="1:6" x14ac:dyDescent="0.4">
      <c r="A482" s="1">
        <v>45993</v>
      </c>
      <c r="B482" s="15">
        <v>23413.67</v>
      </c>
      <c r="C482" s="16">
        <v>23379.75</v>
      </c>
      <c r="D482" s="16">
        <v>23526.23</v>
      </c>
      <c r="E482" s="16">
        <v>23286.46</v>
      </c>
      <c r="F482" s="13"/>
    </row>
    <row r="483" spans="1:6" x14ac:dyDescent="0.4">
      <c r="A483" s="1">
        <v>45994</v>
      </c>
      <c r="B483" s="15">
        <v>23454.09</v>
      </c>
      <c r="C483" s="16">
        <v>23315.58</v>
      </c>
      <c r="D483" s="16">
        <v>23499.93</v>
      </c>
      <c r="E483" s="16">
        <v>23271.83</v>
      </c>
      <c r="F483" s="13"/>
    </row>
    <row r="484" spans="1:6" x14ac:dyDescent="0.4">
      <c r="A484" s="1">
        <v>45995</v>
      </c>
      <c r="B484" s="15">
        <v>23505.14</v>
      </c>
      <c r="C484" s="16">
        <v>23527.3</v>
      </c>
      <c r="D484" s="16">
        <v>23528.53</v>
      </c>
      <c r="E484" s="16">
        <v>23372.33</v>
      </c>
      <c r="F484" s="13"/>
    </row>
    <row r="485" spans="1:6" x14ac:dyDescent="0.4">
      <c r="A485" s="1">
        <v>45996</v>
      </c>
      <c r="B485" s="15">
        <v>23578.13</v>
      </c>
      <c r="C485" s="16">
        <v>23567.77</v>
      </c>
      <c r="D485" s="16">
        <v>23680.03</v>
      </c>
      <c r="E485" s="16">
        <v>23506</v>
      </c>
    </row>
    <row r="486" spans="1:6" x14ac:dyDescent="0.4">
      <c r="A486" s="1">
        <v>45999</v>
      </c>
      <c r="B486" s="5">
        <v>23545.9</v>
      </c>
      <c r="C486" s="6">
        <v>23638.22</v>
      </c>
      <c r="D486" s="6">
        <v>23698.93</v>
      </c>
      <c r="E486" s="6">
        <v>23455.05</v>
      </c>
      <c r="F486" s="7"/>
    </row>
    <row r="487" spans="1:6" x14ac:dyDescent="0.4">
      <c r="A487" s="1">
        <v>46000</v>
      </c>
      <c r="B487" s="15">
        <v>23576.49</v>
      </c>
      <c r="C487" s="16">
        <v>23504.61</v>
      </c>
      <c r="D487" s="16">
        <v>23616.46</v>
      </c>
      <c r="E487" s="16">
        <v>23449.73</v>
      </c>
      <c r="F487" s="13"/>
    </row>
    <row r="488" spans="1:6" x14ac:dyDescent="0.4">
      <c r="A488" s="1">
        <v>46001</v>
      </c>
      <c r="B488" s="15">
        <v>23654.15</v>
      </c>
      <c r="C488" s="16">
        <v>23536</v>
      </c>
      <c r="D488" s="16">
        <v>23704.080000000002</v>
      </c>
      <c r="E488" s="16">
        <v>23435.17</v>
      </c>
      <c r="F488" s="13"/>
    </row>
    <row r="489" spans="1:6" x14ac:dyDescent="0.4">
      <c r="A489" s="1">
        <v>46002</v>
      </c>
      <c r="B489" s="24">
        <v>23593.86</v>
      </c>
      <c r="C489" s="16">
        <v>23509.22</v>
      </c>
      <c r="D489" s="16">
        <v>23606.7</v>
      </c>
      <c r="E489" s="16">
        <v>23308.95</v>
      </c>
      <c r="F489" s="13"/>
    </row>
    <row r="490" spans="1:6" x14ac:dyDescent="0.4">
      <c r="A490" s="1">
        <v>46003</v>
      </c>
      <c r="B490" s="24">
        <v>23195.17</v>
      </c>
      <c r="C490" s="16">
        <v>23488.87</v>
      </c>
      <c r="D490" s="16">
        <v>23554.89</v>
      </c>
      <c r="E490" s="16">
        <v>23094.51</v>
      </c>
      <c r="F490" s="13"/>
    </row>
    <row r="491" spans="1:6" x14ac:dyDescent="0.4">
      <c r="A491" s="1">
        <v>46006</v>
      </c>
      <c r="B491" s="24">
        <v>23057.41</v>
      </c>
      <c r="C491" s="16">
        <v>23330.04</v>
      </c>
      <c r="D491" s="16">
        <v>23345.56</v>
      </c>
      <c r="E491" s="16">
        <v>23012.67</v>
      </c>
      <c r="F491" s="13"/>
    </row>
    <row r="492" spans="1:6" x14ac:dyDescent="0.4">
      <c r="A492" s="1">
        <v>46007</v>
      </c>
      <c r="B492" s="15">
        <v>23111.46</v>
      </c>
      <c r="C492" s="16">
        <v>22981.82</v>
      </c>
      <c r="D492" s="16">
        <v>23162.47</v>
      </c>
      <c r="E492" s="16">
        <v>22922.79</v>
      </c>
      <c r="F492" s="13"/>
    </row>
    <row r="493" spans="1:6" x14ac:dyDescent="0.4">
      <c r="A493" s="1">
        <v>46008</v>
      </c>
      <c r="B493" s="24">
        <v>22693.32</v>
      </c>
    </row>
  </sheetData>
  <autoFilter ref="A1:G1" xr:uid="{00000000-0009-0000-0000-000002000000}">
    <sortState xmlns:xlrd2="http://schemas.microsoft.com/office/spreadsheetml/2017/richdata2" ref="A2:G337">
      <sortCondition ref="A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504"/>
  <sheetViews>
    <sheetView topLeftCell="A497" workbookViewId="0">
      <selection activeCell="B505" sqref="B505"/>
    </sheetView>
  </sheetViews>
  <sheetFormatPr defaultRowHeight="17.399999999999999" x14ac:dyDescent="0.4"/>
  <cols>
    <col min="1" max="1" width="11.0976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45293</v>
      </c>
      <c r="B2">
        <v>13.2</v>
      </c>
      <c r="C2">
        <v>13.22</v>
      </c>
      <c r="D2">
        <v>14.23</v>
      </c>
      <c r="E2">
        <v>13.1</v>
      </c>
      <c r="G2" s="2">
        <v>6.0199999999999997E-2</v>
      </c>
    </row>
    <row r="3" spans="1:7" x14ac:dyDescent="0.4">
      <c r="A3" s="1">
        <v>45294</v>
      </c>
      <c r="B3">
        <v>14.04</v>
      </c>
      <c r="C3">
        <v>13.35</v>
      </c>
      <c r="D3">
        <v>14.22</v>
      </c>
      <c r="E3">
        <v>13.33</v>
      </c>
      <c r="G3" s="2">
        <v>6.3600000000000004E-2</v>
      </c>
    </row>
    <row r="4" spans="1:7" x14ac:dyDescent="0.4">
      <c r="A4" s="1">
        <v>45295</v>
      </c>
      <c r="B4">
        <v>14.13</v>
      </c>
      <c r="C4">
        <v>13.93</v>
      </c>
      <c r="D4">
        <v>14.2</v>
      </c>
      <c r="E4">
        <v>13.64</v>
      </c>
      <c r="G4" s="2">
        <v>6.4000000000000003E-3</v>
      </c>
    </row>
    <row r="5" spans="1:7" x14ac:dyDescent="0.4">
      <c r="A5" s="1">
        <v>45296</v>
      </c>
      <c r="B5">
        <v>13.35</v>
      </c>
      <c r="C5">
        <v>14.24</v>
      </c>
      <c r="D5">
        <v>14.58</v>
      </c>
      <c r="E5">
        <v>13.29</v>
      </c>
      <c r="G5" s="2">
        <v>-5.5199999999999999E-2</v>
      </c>
    </row>
    <row r="6" spans="1:7" x14ac:dyDescent="0.4">
      <c r="A6" s="1">
        <v>45299</v>
      </c>
      <c r="B6">
        <v>13.08</v>
      </c>
      <c r="C6">
        <v>14</v>
      </c>
      <c r="D6">
        <v>14.18</v>
      </c>
      <c r="E6">
        <v>13.02</v>
      </c>
      <c r="G6" s="2">
        <v>-2.0199999999999999E-2</v>
      </c>
    </row>
    <row r="7" spans="1:7" x14ac:dyDescent="0.4">
      <c r="A7" s="1">
        <v>45300</v>
      </c>
      <c r="B7">
        <v>12.76</v>
      </c>
      <c r="C7">
        <v>13.2</v>
      </c>
      <c r="D7">
        <v>13.45</v>
      </c>
      <c r="E7">
        <v>12.74</v>
      </c>
      <c r="G7" s="2">
        <v>-2.4500000000000001E-2</v>
      </c>
    </row>
    <row r="8" spans="1:7" x14ac:dyDescent="0.4">
      <c r="A8" s="1">
        <v>45301</v>
      </c>
      <c r="B8">
        <v>12.69</v>
      </c>
      <c r="C8">
        <v>12.86</v>
      </c>
      <c r="D8">
        <v>12.95</v>
      </c>
      <c r="E8">
        <v>12.67</v>
      </c>
      <c r="G8" s="2">
        <v>-5.4999999999999997E-3</v>
      </c>
    </row>
    <row r="9" spans="1:7" x14ac:dyDescent="0.4">
      <c r="A9" s="1">
        <v>45302</v>
      </c>
      <c r="B9">
        <v>12.44</v>
      </c>
      <c r="C9">
        <v>12.64</v>
      </c>
      <c r="D9">
        <v>13.31</v>
      </c>
      <c r="E9">
        <v>12.35</v>
      </c>
      <c r="G9" s="2">
        <v>-1.9699999999999999E-2</v>
      </c>
    </row>
    <row r="10" spans="1:7" x14ac:dyDescent="0.4">
      <c r="A10" s="1">
        <v>45303</v>
      </c>
      <c r="B10">
        <v>12.7</v>
      </c>
      <c r="C10">
        <v>12.66</v>
      </c>
      <c r="D10">
        <v>13.08</v>
      </c>
      <c r="E10">
        <v>12.47</v>
      </c>
      <c r="G10" s="2">
        <v>2.0899999999999998E-2</v>
      </c>
    </row>
    <row r="11" spans="1:7" x14ac:dyDescent="0.4">
      <c r="A11" s="1">
        <v>45306</v>
      </c>
      <c r="B11">
        <v>13.25</v>
      </c>
      <c r="C11">
        <v>13.23</v>
      </c>
      <c r="D11">
        <v>13.34</v>
      </c>
      <c r="E11">
        <v>13.2</v>
      </c>
      <c r="G11" s="2">
        <v>4.3299999999999998E-2</v>
      </c>
    </row>
    <row r="12" spans="1:7" x14ac:dyDescent="0.4">
      <c r="A12" s="1">
        <v>45307</v>
      </c>
      <c r="B12">
        <v>13.84</v>
      </c>
      <c r="C12">
        <v>14.12</v>
      </c>
      <c r="D12">
        <v>14.35</v>
      </c>
      <c r="E12">
        <v>13.52</v>
      </c>
      <c r="G12" s="2">
        <v>4.4499999999999998E-2</v>
      </c>
    </row>
    <row r="13" spans="1:7" x14ac:dyDescent="0.4">
      <c r="A13" s="1">
        <v>45308</v>
      </c>
      <c r="B13">
        <v>14.79</v>
      </c>
      <c r="C13">
        <v>14.59</v>
      </c>
      <c r="D13">
        <v>15.4</v>
      </c>
      <c r="E13">
        <v>14.38</v>
      </c>
      <c r="G13" s="2">
        <v>6.8599999999999994E-2</v>
      </c>
    </row>
    <row r="14" spans="1:7" x14ac:dyDescent="0.4">
      <c r="A14" s="1">
        <v>45309</v>
      </c>
      <c r="B14">
        <v>14.13</v>
      </c>
      <c r="C14">
        <v>14.85</v>
      </c>
      <c r="D14">
        <v>14.89</v>
      </c>
      <c r="E14">
        <v>13.89</v>
      </c>
      <c r="G14" s="2">
        <v>-4.4600000000000001E-2</v>
      </c>
    </row>
    <row r="15" spans="1:7" x14ac:dyDescent="0.4">
      <c r="A15" s="1">
        <v>45310</v>
      </c>
      <c r="B15">
        <v>13.3</v>
      </c>
      <c r="C15">
        <v>13.8</v>
      </c>
      <c r="D15">
        <v>14.58</v>
      </c>
      <c r="E15">
        <v>13.28</v>
      </c>
      <c r="G15" s="2">
        <v>-5.8700000000000002E-2</v>
      </c>
    </row>
    <row r="16" spans="1:7" x14ac:dyDescent="0.4">
      <c r="A16" s="1">
        <v>45313</v>
      </c>
      <c r="B16">
        <v>13.19</v>
      </c>
      <c r="C16">
        <v>13.77</v>
      </c>
      <c r="D16">
        <v>13.84</v>
      </c>
      <c r="E16">
        <v>13.17</v>
      </c>
      <c r="G16" s="2">
        <v>-8.3000000000000001E-3</v>
      </c>
    </row>
    <row r="17" spans="1:7" x14ac:dyDescent="0.4">
      <c r="A17" s="1">
        <v>45314</v>
      </c>
      <c r="B17">
        <v>12.55</v>
      </c>
      <c r="C17">
        <v>13.2</v>
      </c>
      <c r="D17">
        <v>13.29</v>
      </c>
      <c r="E17">
        <v>12.53</v>
      </c>
      <c r="G17" s="2">
        <v>-4.8500000000000001E-2</v>
      </c>
    </row>
    <row r="18" spans="1:7" x14ac:dyDescent="0.4">
      <c r="A18" s="1">
        <v>45315</v>
      </c>
      <c r="B18">
        <v>13.14</v>
      </c>
      <c r="C18">
        <v>12.66</v>
      </c>
      <c r="D18">
        <v>13.18</v>
      </c>
      <c r="E18">
        <v>12.41</v>
      </c>
      <c r="G18" s="2">
        <v>4.7E-2</v>
      </c>
    </row>
    <row r="19" spans="1:7" x14ac:dyDescent="0.4">
      <c r="A19" s="1">
        <v>45316</v>
      </c>
      <c r="B19">
        <v>13.45</v>
      </c>
      <c r="C19">
        <v>13.18</v>
      </c>
      <c r="D19">
        <v>13.58</v>
      </c>
      <c r="E19">
        <v>13.06</v>
      </c>
      <c r="G19" s="2">
        <v>2.3599999999999999E-2</v>
      </c>
    </row>
    <row r="20" spans="1:7" x14ac:dyDescent="0.4">
      <c r="A20" s="1">
        <v>45317</v>
      </c>
      <c r="B20">
        <v>13.26</v>
      </c>
      <c r="C20">
        <v>13.73</v>
      </c>
      <c r="D20">
        <v>14.1</v>
      </c>
      <c r="E20">
        <v>13.2</v>
      </c>
      <c r="G20" s="2">
        <v>-1.41E-2</v>
      </c>
    </row>
    <row r="21" spans="1:7" x14ac:dyDescent="0.4">
      <c r="A21" s="1">
        <v>45320</v>
      </c>
      <c r="B21">
        <v>13.6</v>
      </c>
      <c r="C21">
        <v>13.98</v>
      </c>
      <c r="D21">
        <v>15.35</v>
      </c>
      <c r="E21">
        <v>13.59</v>
      </c>
      <c r="G21" s="2">
        <v>2.5600000000000001E-2</v>
      </c>
    </row>
    <row r="22" spans="1:7" x14ac:dyDescent="0.4">
      <c r="A22" s="1">
        <v>45321</v>
      </c>
      <c r="B22">
        <v>13.31</v>
      </c>
      <c r="C22">
        <v>13.69</v>
      </c>
      <c r="D22">
        <v>13.74</v>
      </c>
      <c r="E22">
        <v>13.23</v>
      </c>
      <c r="G22" s="2">
        <v>-2.1299999999999999E-2</v>
      </c>
    </row>
    <row r="23" spans="1:7" x14ac:dyDescent="0.4">
      <c r="A23" s="1">
        <v>45322</v>
      </c>
      <c r="B23">
        <v>14.35</v>
      </c>
      <c r="C23">
        <v>13.42</v>
      </c>
      <c r="D23">
        <v>14.61</v>
      </c>
      <c r="E23">
        <v>13.18</v>
      </c>
      <c r="G23" s="2">
        <v>7.8100000000000003E-2</v>
      </c>
    </row>
    <row r="24" spans="1:7" x14ac:dyDescent="0.4">
      <c r="A24" s="1">
        <v>45323</v>
      </c>
      <c r="B24">
        <v>13.88</v>
      </c>
      <c r="C24">
        <v>14.21</v>
      </c>
      <c r="D24">
        <v>14.63</v>
      </c>
      <c r="E24">
        <v>13.87</v>
      </c>
      <c r="G24" s="2">
        <v>-3.2800000000000003E-2</v>
      </c>
    </row>
    <row r="25" spans="1:7" x14ac:dyDescent="0.4">
      <c r="A25" s="1">
        <v>45324</v>
      </c>
      <c r="B25">
        <v>13.85</v>
      </c>
      <c r="C25">
        <v>13.95</v>
      </c>
      <c r="D25">
        <v>14.23</v>
      </c>
      <c r="E25">
        <v>13.39</v>
      </c>
      <c r="G25" s="2">
        <v>-2.2000000000000001E-3</v>
      </c>
    </row>
    <row r="26" spans="1:7" x14ac:dyDescent="0.4">
      <c r="A26" s="1">
        <v>45327</v>
      </c>
      <c r="B26">
        <v>13.67</v>
      </c>
      <c r="C26">
        <v>14.37</v>
      </c>
      <c r="D26">
        <v>14.53</v>
      </c>
      <c r="E26">
        <v>13.58</v>
      </c>
      <c r="G26" s="2">
        <v>-1.2999999999999999E-2</v>
      </c>
    </row>
    <row r="27" spans="1:7" x14ac:dyDescent="0.4">
      <c r="A27" s="1">
        <v>45328</v>
      </c>
      <c r="B27">
        <v>13.06</v>
      </c>
      <c r="C27">
        <v>13.57</v>
      </c>
      <c r="D27">
        <v>13.78</v>
      </c>
      <c r="E27">
        <v>12.98</v>
      </c>
      <c r="G27" s="2">
        <v>-4.4600000000000001E-2</v>
      </c>
    </row>
    <row r="28" spans="1:7" x14ac:dyDescent="0.4">
      <c r="A28" s="1">
        <v>45329</v>
      </c>
      <c r="B28">
        <v>12.83</v>
      </c>
      <c r="C28">
        <v>13.06</v>
      </c>
      <c r="D28">
        <v>13.13</v>
      </c>
      <c r="E28">
        <v>12.81</v>
      </c>
      <c r="G28" s="2">
        <v>-1.7600000000000001E-2</v>
      </c>
    </row>
    <row r="29" spans="1:7" x14ac:dyDescent="0.4">
      <c r="A29" s="1">
        <v>45330</v>
      </c>
      <c r="B29">
        <v>12.79</v>
      </c>
      <c r="C29">
        <v>12.95</v>
      </c>
      <c r="D29">
        <v>13.17</v>
      </c>
      <c r="E29">
        <v>12.74</v>
      </c>
      <c r="G29" s="2">
        <v>-3.0999999999999999E-3</v>
      </c>
    </row>
    <row r="30" spans="1:7" x14ac:dyDescent="0.4">
      <c r="A30" s="1">
        <v>45331</v>
      </c>
      <c r="B30">
        <v>12.93</v>
      </c>
      <c r="C30">
        <v>12.79</v>
      </c>
      <c r="D30">
        <v>13.01</v>
      </c>
      <c r="E30">
        <v>12.69</v>
      </c>
      <c r="G30" s="2">
        <v>1.09E-2</v>
      </c>
    </row>
    <row r="31" spans="1:7" x14ac:dyDescent="0.4">
      <c r="A31" s="1">
        <v>45334</v>
      </c>
      <c r="B31">
        <v>13.93</v>
      </c>
      <c r="C31">
        <v>13.48</v>
      </c>
      <c r="D31">
        <v>13.94</v>
      </c>
      <c r="E31">
        <v>13.34</v>
      </c>
      <c r="G31" s="2">
        <v>7.7299999999999994E-2</v>
      </c>
    </row>
    <row r="32" spans="1:7" x14ac:dyDescent="0.4">
      <c r="A32" s="1">
        <v>45335</v>
      </c>
      <c r="B32">
        <v>15.85</v>
      </c>
      <c r="C32">
        <v>13.96</v>
      </c>
      <c r="D32">
        <v>17.940000000000001</v>
      </c>
      <c r="E32">
        <v>13.43</v>
      </c>
      <c r="G32" s="2">
        <v>0.13780000000000001</v>
      </c>
    </row>
    <row r="33" spans="1:7" x14ac:dyDescent="0.4">
      <c r="A33" s="1">
        <v>45336</v>
      </c>
      <c r="B33">
        <v>14.38</v>
      </c>
      <c r="C33">
        <v>15.38</v>
      </c>
      <c r="D33">
        <v>15.47</v>
      </c>
      <c r="E33">
        <v>14.22</v>
      </c>
      <c r="G33" s="2">
        <v>-9.2700000000000005E-2</v>
      </c>
    </row>
    <row r="34" spans="1:7" x14ac:dyDescent="0.4">
      <c r="A34" s="1">
        <v>45337</v>
      </c>
      <c r="B34">
        <v>14.01</v>
      </c>
      <c r="C34">
        <v>14.27</v>
      </c>
      <c r="D34">
        <v>14.64</v>
      </c>
      <c r="E34">
        <v>13.94</v>
      </c>
      <c r="G34" s="2">
        <v>-2.5700000000000001E-2</v>
      </c>
    </row>
    <row r="35" spans="1:7" x14ac:dyDescent="0.4">
      <c r="A35" s="1">
        <v>45338</v>
      </c>
      <c r="B35">
        <v>14.24</v>
      </c>
      <c r="C35">
        <v>13.94</v>
      </c>
      <c r="D35">
        <v>14.71</v>
      </c>
      <c r="E35">
        <v>13.75</v>
      </c>
      <c r="G35" s="2">
        <v>1.6400000000000001E-2</v>
      </c>
    </row>
    <row r="36" spans="1:7" x14ac:dyDescent="0.4">
      <c r="A36" s="1">
        <v>45341</v>
      </c>
      <c r="B36">
        <v>14.71</v>
      </c>
      <c r="C36">
        <v>14.72</v>
      </c>
      <c r="D36">
        <v>14.78</v>
      </c>
      <c r="E36">
        <v>14.65</v>
      </c>
      <c r="G36" s="2">
        <v>3.3000000000000002E-2</v>
      </c>
    </row>
    <row r="37" spans="1:7" x14ac:dyDescent="0.4">
      <c r="A37" s="1">
        <v>45342</v>
      </c>
      <c r="B37">
        <v>15.42</v>
      </c>
      <c r="C37">
        <v>15.09</v>
      </c>
      <c r="D37">
        <v>15.91</v>
      </c>
      <c r="E37">
        <v>15.07</v>
      </c>
      <c r="G37" s="2">
        <v>4.8300000000000003E-2</v>
      </c>
    </row>
    <row r="38" spans="1:7" x14ac:dyDescent="0.4">
      <c r="A38" s="1">
        <v>45343</v>
      </c>
      <c r="B38">
        <v>15.34</v>
      </c>
      <c r="C38">
        <v>15.54</v>
      </c>
      <c r="D38">
        <v>16.12</v>
      </c>
      <c r="E38">
        <v>15.22</v>
      </c>
      <c r="G38" s="2">
        <v>-5.1999999999999998E-3</v>
      </c>
    </row>
    <row r="39" spans="1:7" x14ac:dyDescent="0.4">
      <c r="A39" s="1">
        <v>45344</v>
      </c>
      <c r="B39">
        <v>14.54</v>
      </c>
      <c r="C39">
        <v>14.28</v>
      </c>
      <c r="D39">
        <v>14.64</v>
      </c>
      <c r="E39">
        <v>14.12</v>
      </c>
      <c r="G39" s="2">
        <v>-5.2200000000000003E-2</v>
      </c>
    </row>
    <row r="40" spans="1:7" x14ac:dyDescent="0.4">
      <c r="A40" s="1">
        <v>45345</v>
      </c>
      <c r="B40">
        <v>13.75</v>
      </c>
      <c r="C40">
        <v>14.31</v>
      </c>
      <c r="D40">
        <v>14.31</v>
      </c>
      <c r="E40">
        <v>13.64</v>
      </c>
      <c r="G40" s="2">
        <v>-5.4300000000000001E-2</v>
      </c>
    </row>
    <row r="41" spans="1:7" x14ac:dyDescent="0.4">
      <c r="A41" s="1">
        <v>45348</v>
      </c>
      <c r="B41">
        <v>13.74</v>
      </c>
      <c r="C41">
        <v>14.17</v>
      </c>
      <c r="D41">
        <v>14.2</v>
      </c>
      <c r="E41">
        <v>13.66</v>
      </c>
      <c r="G41" s="2">
        <v>-6.9999999999999999E-4</v>
      </c>
    </row>
    <row r="42" spans="1:7" x14ac:dyDescent="0.4">
      <c r="A42" s="1">
        <v>45349</v>
      </c>
      <c r="B42">
        <v>13.43</v>
      </c>
      <c r="C42">
        <v>13.63</v>
      </c>
      <c r="D42">
        <v>13.75</v>
      </c>
      <c r="E42">
        <v>13.41</v>
      </c>
      <c r="G42" s="2">
        <v>-2.2599999999999999E-2</v>
      </c>
    </row>
    <row r="43" spans="1:7" x14ac:dyDescent="0.4">
      <c r="A43" s="1">
        <v>45350</v>
      </c>
      <c r="B43">
        <v>13.84</v>
      </c>
      <c r="C43">
        <v>13.52</v>
      </c>
      <c r="D43">
        <v>13.9</v>
      </c>
      <c r="E43">
        <v>13.44</v>
      </c>
      <c r="G43" s="2">
        <v>3.0499999999999999E-2</v>
      </c>
    </row>
    <row r="44" spans="1:7" x14ac:dyDescent="0.4">
      <c r="A44" s="1">
        <v>45351</v>
      </c>
      <c r="B44">
        <v>13.4</v>
      </c>
      <c r="C44">
        <v>14.14</v>
      </c>
      <c r="D44">
        <v>14.15</v>
      </c>
      <c r="E44">
        <v>13.3</v>
      </c>
      <c r="G44" s="2">
        <v>-3.1800000000000002E-2</v>
      </c>
    </row>
    <row r="45" spans="1:7" x14ac:dyDescent="0.4">
      <c r="A45" s="1">
        <v>45352</v>
      </c>
      <c r="B45">
        <v>13.11</v>
      </c>
      <c r="C45">
        <v>13.34</v>
      </c>
      <c r="D45">
        <v>13.66</v>
      </c>
      <c r="E45">
        <v>13.08</v>
      </c>
      <c r="G45" s="2">
        <v>-2.1600000000000001E-2</v>
      </c>
    </row>
    <row r="46" spans="1:7" x14ac:dyDescent="0.4">
      <c r="A46" s="1">
        <v>45355</v>
      </c>
      <c r="B46">
        <v>13.49</v>
      </c>
      <c r="C46">
        <v>13.49</v>
      </c>
      <c r="D46">
        <v>13.58</v>
      </c>
      <c r="E46">
        <v>13.32</v>
      </c>
      <c r="G46" s="2">
        <v>2.9000000000000001E-2</v>
      </c>
    </row>
    <row r="47" spans="1:7" x14ac:dyDescent="0.4">
      <c r="A47" s="1">
        <v>45356</v>
      </c>
      <c r="B47">
        <v>14.46</v>
      </c>
      <c r="C47">
        <v>13.75</v>
      </c>
      <c r="D47">
        <v>15.1</v>
      </c>
      <c r="E47">
        <v>13.75</v>
      </c>
      <c r="G47" s="2">
        <v>7.1900000000000006E-2</v>
      </c>
    </row>
    <row r="48" spans="1:7" x14ac:dyDescent="0.4">
      <c r="A48" s="1">
        <v>45357</v>
      </c>
      <c r="B48">
        <v>14.5</v>
      </c>
      <c r="C48">
        <v>14.27</v>
      </c>
      <c r="D48">
        <v>14.93</v>
      </c>
      <c r="E48">
        <v>13.89</v>
      </c>
      <c r="G48" s="2">
        <v>2.8E-3</v>
      </c>
    </row>
    <row r="49" spans="1:7" x14ac:dyDescent="0.4">
      <c r="A49" s="1">
        <v>45358</v>
      </c>
      <c r="B49">
        <v>14.44</v>
      </c>
      <c r="C49">
        <v>14.98</v>
      </c>
      <c r="D49">
        <v>14.98</v>
      </c>
      <c r="E49">
        <v>14.25</v>
      </c>
      <c r="G49" s="2">
        <v>-4.1000000000000003E-3</v>
      </c>
    </row>
    <row r="50" spans="1:7" x14ac:dyDescent="0.4">
      <c r="A50" s="1">
        <v>45359</v>
      </c>
      <c r="B50">
        <v>14.74</v>
      </c>
      <c r="C50">
        <v>14.22</v>
      </c>
      <c r="D50">
        <v>15.53</v>
      </c>
      <c r="E50">
        <v>13.97</v>
      </c>
      <c r="G50" s="2">
        <v>2.0799999999999999E-2</v>
      </c>
    </row>
    <row r="51" spans="1:7" x14ac:dyDescent="0.4">
      <c r="A51" s="1">
        <v>45362</v>
      </c>
      <c r="B51">
        <v>15.22</v>
      </c>
      <c r="C51">
        <v>15.51</v>
      </c>
      <c r="D51">
        <v>16.04</v>
      </c>
      <c r="E51">
        <v>15.13</v>
      </c>
      <c r="G51" s="2">
        <v>3.2599999999999997E-2</v>
      </c>
    </row>
    <row r="52" spans="1:7" x14ac:dyDescent="0.4">
      <c r="A52" s="1">
        <v>45363</v>
      </c>
      <c r="B52">
        <v>13.84</v>
      </c>
      <c r="C52">
        <v>14.97</v>
      </c>
      <c r="D52">
        <v>15.2</v>
      </c>
      <c r="E52">
        <v>13.81</v>
      </c>
      <c r="G52" s="2">
        <v>-9.0700000000000003E-2</v>
      </c>
    </row>
    <row r="53" spans="1:7" x14ac:dyDescent="0.4">
      <c r="A53" s="1">
        <v>45364</v>
      </c>
      <c r="B53">
        <v>13.75</v>
      </c>
      <c r="C53">
        <v>13.89</v>
      </c>
      <c r="D53">
        <v>14.04</v>
      </c>
      <c r="E53">
        <v>13.67</v>
      </c>
      <c r="G53" s="2">
        <v>-6.4999999999999997E-3</v>
      </c>
    </row>
    <row r="54" spans="1:7" x14ac:dyDescent="0.4">
      <c r="A54" s="1">
        <v>45365</v>
      </c>
      <c r="B54">
        <v>14.4</v>
      </c>
      <c r="C54">
        <v>13.62</v>
      </c>
      <c r="D54">
        <v>15.33</v>
      </c>
      <c r="E54">
        <v>13.42</v>
      </c>
      <c r="G54" s="2">
        <v>4.7300000000000002E-2</v>
      </c>
    </row>
    <row r="55" spans="1:7" x14ac:dyDescent="0.4">
      <c r="A55" s="1">
        <v>45366</v>
      </c>
      <c r="B55">
        <v>14.41</v>
      </c>
      <c r="C55">
        <v>14.33</v>
      </c>
      <c r="D55">
        <v>15.53</v>
      </c>
      <c r="E55">
        <v>14.14</v>
      </c>
      <c r="G55" s="2">
        <v>6.9999999999999999E-4</v>
      </c>
    </row>
    <row r="56" spans="1:7" x14ac:dyDescent="0.4">
      <c r="A56" s="1">
        <v>45369</v>
      </c>
      <c r="B56">
        <v>14.33</v>
      </c>
      <c r="C56">
        <v>14.75</v>
      </c>
      <c r="D56">
        <v>14.85</v>
      </c>
      <c r="E56">
        <v>14.26</v>
      </c>
      <c r="G56" s="2">
        <v>-5.5999999999999999E-3</v>
      </c>
    </row>
    <row r="57" spans="1:7" x14ac:dyDescent="0.4">
      <c r="A57" s="1">
        <v>45370</v>
      </c>
      <c r="B57">
        <v>13.82</v>
      </c>
      <c r="C57">
        <v>14.5</v>
      </c>
      <c r="D57">
        <v>14.86</v>
      </c>
      <c r="E57">
        <v>13.8</v>
      </c>
      <c r="G57" s="2">
        <v>-3.56E-2</v>
      </c>
    </row>
    <row r="58" spans="1:7" x14ac:dyDescent="0.4">
      <c r="A58" s="1">
        <v>45371</v>
      </c>
      <c r="B58">
        <v>13.04</v>
      </c>
      <c r="C58">
        <v>13.83</v>
      </c>
      <c r="D58">
        <v>14.17</v>
      </c>
      <c r="E58">
        <v>13.01</v>
      </c>
      <c r="G58" s="2">
        <v>-5.6399999999999999E-2</v>
      </c>
    </row>
    <row r="59" spans="1:7" x14ac:dyDescent="0.4">
      <c r="A59" s="1">
        <v>45372</v>
      </c>
      <c r="B59">
        <v>12.92</v>
      </c>
      <c r="C59">
        <v>12.98</v>
      </c>
      <c r="D59">
        <v>13.08</v>
      </c>
      <c r="E59">
        <v>12.4</v>
      </c>
      <c r="G59" s="2">
        <v>-9.1999999999999998E-3</v>
      </c>
    </row>
    <row r="60" spans="1:7" x14ac:dyDescent="0.4">
      <c r="A60" s="1">
        <v>45373</v>
      </c>
      <c r="B60">
        <v>13.06</v>
      </c>
      <c r="C60">
        <v>12.92</v>
      </c>
      <c r="D60">
        <v>13.15</v>
      </c>
      <c r="E60">
        <v>12.58</v>
      </c>
      <c r="G60" s="2">
        <v>1.0800000000000001E-2</v>
      </c>
    </row>
    <row r="61" spans="1:7" x14ac:dyDescent="0.4">
      <c r="A61" s="1">
        <v>45376</v>
      </c>
      <c r="B61">
        <v>13.19</v>
      </c>
      <c r="C61">
        <v>13.67</v>
      </c>
      <c r="D61">
        <v>13.67</v>
      </c>
      <c r="E61">
        <v>13.11</v>
      </c>
      <c r="G61" s="2">
        <v>0.01</v>
      </c>
    </row>
    <row r="62" spans="1:7" x14ac:dyDescent="0.4">
      <c r="A62" s="1">
        <v>45377</v>
      </c>
      <c r="B62">
        <v>13.24</v>
      </c>
      <c r="C62">
        <v>13.12</v>
      </c>
      <c r="D62">
        <v>13.43</v>
      </c>
      <c r="E62">
        <v>12.84</v>
      </c>
      <c r="G62" s="2">
        <v>3.8E-3</v>
      </c>
    </row>
    <row r="63" spans="1:7" x14ac:dyDescent="0.4">
      <c r="A63" s="1">
        <v>45378</v>
      </c>
      <c r="B63">
        <v>12.78</v>
      </c>
      <c r="C63">
        <v>13.13</v>
      </c>
      <c r="D63">
        <v>13.34</v>
      </c>
      <c r="E63">
        <v>12.66</v>
      </c>
      <c r="G63" s="2">
        <v>-3.4700000000000002E-2</v>
      </c>
    </row>
    <row r="64" spans="1:7" x14ac:dyDescent="0.4">
      <c r="A64" s="1">
        <v>45379</v>
      </c>
      <c r="B64">
        <v>13.01</v>
      </c>
      <c r="C64">
        <v>12.93</v>
      </c>
      <c r="D64">
        <v>13.1</v>
      </c>
      <c r="E64">
        <v>12.84</v>
      </c>
      <c r="G64" s="2">
        <v>1.7999999999999999E-2</v>
      </c>
    </row>
    <row r="65" spans="1:7" x14ac:dyDescent="0.4">
      <c r="A65" s="1">
        <v>45380</v>
      </c>
      <c r="B65">
        <v>13.01</v>
      </c>
      <c r="C65">
        <v>13.01</v>
      </c>
      <c r="D65">
        <v>13.01</v>
      </c>
      <c r="E65">
        <v>13.01</v>
      </c>
      <c r="G65" s="2">
        <v>0</v>
      </c>
    </row>
    <row r="66" spans="1:7" x14ac:dyDescent="0.4">
      <c r="A66" s="1">
        <v>45383</v>
      </c>
      <c r="B66">
        <v>13.65</v>
      </c>
      <c r="C66">
        <v>13.61</v>
      </c>
      <c r="D66">
        <v>14.15</v>
      </c>
      <c r="E66">
        <v>13.55</v>
      </c>
      <c r="G66" s="2">
        <v>4.9200000000000001E-2</v>
      </c>
    </row>
    <row r="67" spans="1:7" x14ac:dyDescent="0.4">
      <c r="A67" s="1">
        <v>45384</v>
      </c>
      <c r="B67">
        <v>14.61</v>
      </c>
      <c r="C67">
        <v>13.74</v>
      </c>
      <c r="D67">
        <v>15.43</v>
      </c>
      <c r="E67">
        <v>13.68</v>
      </c>
      <c r="G67" s="2">
        <v>7.0300000000000001E-2</v>
      </c>
    </row>
    <row r="68" spans="1:7" x14ac:dyDescent="0.4">
      <c r="A68" s="1">
        <v>45385</v>
      </c>
      <c r="B68">
        <v>14.33</v>
      </c>
      <c r="C68">
        <v>15</v>
      </c>
      <c r="D68">
        <v>15.18</v>
      </c>
      <c r="E68">
        <v>14.25</v>
      </c>
      <c r="G68" s="2">
        <v>-1.9199999999999998E-2</v>
      </c>
    </row>
    <row r="69" spans="1:7" x14ac:dyDescent="0.4">
      <c r="A69" s="1">
        <v>45386</v>
      </c>
      <c r="B69">
        <v>16.350000000000001</v>
      </c>
      <c r="C69">
        <v>14.29</v>
      </c>
      <c r="D69">
        <v>16.920000000000002</v>
      </c>
      <c r="E69">
        <v>13.74</v>
      </c>
      <c r="G69" s="2">
        <v>0.14099999999999999</v>
      </c>
    </row>
    <row r="70" spans="1:7" x14ac:dyDescent="0.4">
      <c r="A70" s="1">
        <v>45387</v>
      </c>
      <c r="B70">
        <v>16.03</v>
      </c>
      <c r="C70">
        <v>16.45</v>
      </c>
      <c r="D70">
        <v>16.75</v>
      </c>
      <c r="E70">
        <v>15.53</v>
      </c>
      <c r="G70" s="2">
        <v>-1.9599999999999999E-2</v>
      </c>
    </row>
    <row r="71" spans="1:7" x14ac:dyDescent="0.4">
      <c r="A71" s="1">
        <v>45390</v>
      </c>
      <c r="B71">
        <v>15.19</v>
      </c>
      <c r="C71">
        <v>16.239999999999998</v>
      </c>
      <c r="D71">
        <v>16.5</v>
      </c>
      <c r="E71">
        <v>15.11</v>
      </c>
      <c r="G71" s="2">
        <v>-5.2400000000000002E-2</v>
      </c>
    </row>
    <row r="72" spans="1:7" x14ac:dyDescent="0.4">
      <c r="A72" s="1">
        <v>45391</v>
      </c>
      <c r="B72">
        <v>14.98</v>
      </c>
      <c r="C72">
        <v>15.34</v>
      </c>
      <c r="D72">
        <v>16.63</v>
      </c>
      <c r="E72">
        <v>14.94</v>
      </c>
      <c r="G72" s="2">
        <v>-1.38E-2</v>
      </c>
    </row>
    <row r="73" spans="1:7" x14ac:dyDescent="0.4">
      <c r="A73" s="1">
        <v>45392</v>
      </c>
      <c r="B73">
        <v>15.8</v>
      </c>
      <c r="C73">
        <v>15.24</v>
      </c>
      <c r="D73">
        <v>16.62</v>
      </c>
      <c r="E73">
        <v>14.59</v>
      </c>
      <c r="G73" s="2">
        <v>5.4699999999999999E-2</v>
      </c>
    </row>
    <row r="74" spans="1:7" x14ac:dyDescent="0.4">
      <c r="A74" s="1">
        <v>45393</v>
      </c>
      <c r="B74">
        <v>14.91</v>
      </c>
      <c r="C74">
        <v>16.02</v>
      </c>
      <c r="D74">
        <v>17.61</v>
      </c>
      <c r="E74">
        <v>14.91</v>
      </c>
      <c r="G74" s="2">
        <v>-5.6300000000000003E-2</v>
      </c>
    </row>
    <row r="75" spans="1:7" x14ac:dyDescent="0.4">
      <c r="A75" s="1">
        <v>45394</v>
      </c>
      <c r="B75">
        <v>17.309999999999999</v>
      </c>
      <c r="C75">
        <v>14.91</v>
      </c>
      <c r="D75">
        <v>19.2</v>
      </c>
      <c r="E75">
        <v>14.91</v>
      </c>
      <c r="G75" s="2">
        <v>0.161</v>
      </c>
    </row>
    <row r="76" spans="1:7" x14ac:dyDescent="0.4">
      <c r="A76" s="1">
        <v>45397</v>
      </c>
      <c r="B76">
        <v>19.23</v>
      </c>
      <c r="C76">
        <v>16.940000000000001</v>
      </c>
      <c r="D76">
        <v>19.46</v>
      </c>
      <c r="E76">
        <v>16.260000000000002</v>
      </c>
      <c r="G76" s="2">
        <v>0.1109</v>
      </c>
    </row>
    <row r="77" spans="1:7" x14ac:dyDescent="0.4">
      <c r="A77" s="1">
        <v>45398</v>
      </c>
      <c r="B77">
        <v>18.399999999999999</v>
      </c>
      <c r="C77">
        <v>19.489999999999998</v>
      </c>
      <c r="D77">
        <v>19.559999999999999</v>
      </c>
      <c r="E77">
        <v>17.64</v>
      </c>
      <c r="G77" s="2">
        <v>-4.3200000000000002E-2</v>
      </c>
    </row>
    <row r="78" spans="1:7" x14ac:dyDescent="0.4">
      <c r="A78" s="1">
        <v>45399</v>
      </c>
      <c r="B78">
        <v>18.21</v>
      </c>
      <c r="C78">
        <v>18.239999999999998</v>
      </c>
      <c r="D78">
        <v>19.11</v>
      </c>
      <c r="E78">
        <v>17.54</v>
      </c>
      <c r="G78" s="2">
        <v>-1.03E-2</v>
      </c>
    </row>
    <row r="79" spans="1:7" x14ac:dyDescent="0.4">
      <c r="A79" s="1">
        <v>45400</v>
      </c>
      <c r="B79">
        <v>18</v>
      </c>
      <c r="C79">
        <v>17.91</v>
      </c>
      <c r="D79">
        <v>18.37</v>
      </c>
      <c r="E79">
        <v>17.21</v>
      </c>
      <c r="G79" s="2">
        <v>-1.15E-2</v>
      </c>
    </row>
    <row r="80" spans="1:7" x14ac:dyDescent="0.4">
      <c r="A80" s="1">
        <v>45401</v>
      </c>
      <c r="B80">
        <v>18.71</v>
      </c>
      <c r="C80">
        <v>21.33</v>
      </c>
      <c r="D80">
        <v>21.36</v>
      </c>
      <c r="E80">
        <v>18.170000000000002</v>
      </c>
      <c r="G80" s="2">
        <v>3.9399999999999998E-2</v>
      </c>
    </row>
    <row r="81" spans="1:7" x14ac:dyDescent="0.4">
      <c r="A81" s="1">
        <v>45404</v>
      </c>
      <c r="B81">
        <v>16.940000000000001</v>
      </c>
      <c r="C81">
        <v>18.59</v>
      </c>
      <c r="D81">
        <v>18.72</v>
      </c>
      <c r="E81">
        <v>16.690000000000001</v>
      </c>
      <c r="G81" s="2">
        <v>-9.4600000000000004E-2</v>
      </c>
    </row>
    <row r="82" spans="1:7" x14ac:dyDescent="0.4">
      <c r="A82" s="1">
        <v>45405</v>
      </c>
      <c r="B82">
        <v>15.69</v>
      </c>
      <c r="C82">
        <v>16.72</v>
      </c>
      <c r="D82">
        <v>16.760000000000002</v>
      </c>
      <c r="E82">
        <v>15.69</v>
      </c>
      <c r="G82" s="2">
        <v>-7.3800000000000004E-2</v>
      </c>
    </row>
    <row r="83" spans="1:7" x14ac:dyDescent="0.4">
      <c r="A83" s="1">
        <v>45406</v>
      </c>
      <c r="B83">
        <v>15.97</v>
      </c>
      <c r="C83">
        <v>15.76</v>
      </c>
      <c r="D83">
        <v>16.38</v>
      </c>
      <c r="E83">
        <v>15.58</v>
      </c>
      <c r="G83" s="2">
        <v>1.78E-2</v>
      </c>
    </row>
    <row r="84" spans="1:7" x14ac:dyDescent="0.4">
      <c r="A84" s="1">
        <v>45407</v>
      </c>
      <c r="B84">
        <v>15.37</v>
      </c>
      <c r="C84">
        <v>16.25</v>
      </c>
      <c r="D84">
        <v>17.55</v>
      </c>
      <c r="E84">
        <v>15.27</v>
      </c>
      <c r="G84" s="2">
        <v>-3.7600000000000001E-2</v>
      </c>
    </row>
    <row r="85" spans="1:7" x14ac:dyDescent="0.4">
      <c r="A85" s="1">
        <v>45408</v>
      </c>
      <c r="B85">
        <v>15.03</v>
      </c>
      <c r="C85">
        <v>15.49</v>
      </c>
      <c r="D85">
        <v>16.059999999999999</v>
      </c>
      <c r="E85">
        <v>14.92</v>
      </c>
      <c r="G85" s="2">
        <v>-2.2100000000000002E-2</v>
      </c>
    </row>
    <row r="86" spans="1:7" x14ac:dyDescent="0.4">
      <c r="A86" s="1">
        <v>45411</v>
      </c>
      <c r="B86">
        <v>14.67</v>
      </c>
      <c r="C86">
        <v>15.37</v>
      </c>
      <c r="D86">
        <v>15.42</v>
      </c>
      <c r="E86">
        <v>14.63</v>
      </c>
      <c r="G86" s="2">
        <v>-2.4E-2</v>
      </c>
    </row>
    <row r="87" spans="1:7" x14ac:dyDescent="0.4">
      <c r="A87" s="1">
        <v>45412</v>
      </c>
      <c r="B87">
        <v>15.65</v>
      </c>
      <c r="C87">
        <v>14.82</v>
      </c>
      <c r="D87">
        <v>15.9</v>
      </c>
      <c r="E87">
        <v>14.67</v>
      </c>
      <c r="G87" s="2">
        <v>6.6799999999999998E-2</v>
      </c>
    </row>
    <row r="88" spans="1:7" x14ac:dyDescent="0.4">
      <c r="A88" s="1">
        <v>45413</v>
      </c>
      <c r="B88">
        <v>15.39</v>
      </c>
      <c r="C88">
        <v>15.75</v>
      </c>
      <c r="D88">
        <v>16.22</v>
      </c>
      <c r="E88">
        <v>14.35</v>
      </c>
      <c r="G88" s="2">
        <v>-1.66E-2</v>
      </c>
    </row>
    <row r="89" spans="1:7" x14ac:dyDescent="0.4">
      <c r="A89" s="1">
        <v>45414</v>
      </c>
      <c r="B89">
        <v>14.68</v>
      </c>
      <c r="C89">
        <v>15.14</v>
      </c>
      <c r="D89">
        <v>16.09</v>
      </c>
      <c r="E89">
        <v>14.6</v>
      </c>
      <c r="G89" s="2">
        <v>-4.6100000000000002E-2</v>
      </c>
    </row>
    <row r="90" spans="1:7" x14ac:dyDescent="0.4">
      <c r="A90" s="1">
        <v>45415</v>
      </c>
      <c r="B90">
        <v>13.49</v>
      </c>
      <c r="C90">
        <v>14.51</v>
      </c>
      <c r="D90">
        <v>14.58</v>
      </c>
      <c r="E90">
        <v>13.48</v>
      </c>
      <c r="G90" s="2">
        <v>-8.1100000000000005E-2</v>
      </c>
    </row>
    <row r="91" spans="1:7" x14ac:dyDescent="0.4">
      <c r="A91" s="1">
        <v>45418</v>
      </c>
      <c r="B91">
        <v>13.49</v>
      </c>
      <c r="C91">
        <v>13.98</v>
      </c>
      <c r="D91">
        <v>14.02</v>
      </c>
      <c r="E91">
        <v>13.44</v>
      </c>
      <c r="G91" s="2">
        <v>0</v>
      </c>
    </row>
    <row r="92" spans="1:7" x14ac:dyDescent="0.4">
      <c r="A92" s="1">
        <v>45419</v>
      </c>
      <c r="B92">
        <v>13.23</v>
      </c>
      <c r="C92">
        <v>13.52</v>
      </c>
      <c r="D92">
        <v>13.64</v>
      </c>
      <c r="E92">
        <v>13.16</v>
      </c>
      <c r="G92" s="2">
        <v>-1.9300000000000001E-2</v>
      </c>
    </row>
    <row r="93" spans="1:7" x14ac:dyDescent="0.4">
      <c r="A93" s="1">
        <v>45420</v>
      </c>
      <c r="B93">
        <v>13</v>
      </c>
      <c r="C93">
        <v>13.24</v>
      </c>
      <c r="D93">
        <v>13.51</v>
      </c>
      <c r="E93">
        <v>12.94</v>
      </c>
      <c r="G93" s="2">
        <v>-1.7399999999999999E-2</v>
      </c>
    </row>
    <row r="94" spans="1:7" x14ac:dyDescent="0.4">
      <c r="A94" s="1">
        <v>45421</v>
      </c>
      <c r="B94">
        <v>12.69</v>
      </c>
      <c r="C94">
        <v>13.08</v>
      </c>
      <c r="D94">
        <v>13.29</v>
      </c>
      <c r="E94">
        <v>12.68</v>
      </c>
      <c r="G94" s="2">
        <v>-2.3800000000000002E-2</v>
      </c>
    </row>
    <row r="95" spans="1:7" x14ac:dyDescent="0.4">
      <c r="A95" s="1">
        <v>45422</v>
      </c>
      <c r="B95">
        <v>12.55</v>
      </c>
      <c r="C95">
        <v>12.77</v>
      </c>
      <c r="D95">
        <v>12.96</v>
      </c>
      <c r="E95">
        <v>12.5</v>
      </c>
      <c r="G95" s="2">
        <v>-1.0999999999999999E-2</v>
      </c>
    </row>
    <row r="96" spans="1:7" x14ac:dyDescent="0.4">
      <c r="A96" s="1">
        <v>45425</v>
      </c>
      <c r="B96">
        <v>13.6</v>
      </c>
      <c r="C96">
        <v>13.26</v>
      </c>
      <c r="D96">
        <v>13.66</v>
      </c>
      <c r="E96">
        <v>13.25</v>
      </c>
      <c r="G96" s="2">
        <v>8.3699999999999997E-2</v>
      </c>
    </row>
    <row r="97" spans="1:7" x14ac:dyDescent="0.4">
      <c r="A97" s="1">
        <v>45426</v>
      </c>
      <c r="B97">
        <v>13.42</v>
      </c>
      <c r="C97">
        <v>13.71</v>
      </c>
      <c r="D97">
        <v>14.03</v>
      </c>
      <c r="E97">
        <v>13.27</v>
      </c>
      <c r="G97" s="2">
        <v>-1.32E-2</v>
      </c>
    </row>
    <row r="98" spans="1:7" x14ac:dyDescent="0.4">
      <c r="A98" s="1">
        <v>45427</v>
      </c>
      <c r="B98">
        <v>12.45</v>
      </c>
      <c r="C98">
        <v>13.73</v>
      </c>
      <c r="D98">
        <v>13.94</v>
      </c>
      <c r="E98">
        <v>12.38</v>
      </c>
      <c r="G98" s="2">
        <v>-7.2300000000000003E-2</v>
      </c>
    </row>
    <row r="99" spans="1:7" x14ac:dyDescent="0.4">
      <c r="A99" s="1">
        <v>45428</v>
      </c>
      <c r="B99">
        <v>12.42</v>
      </c>
      <c r="C99">
        <v>12.52</v>
      </c>
      <c r="D99">
        <v>12.67</v>
      </c>
      <c r="E99">
        <v>12.33</v>
      </c>
      <c r="G99" s="2">
        <v>-2.3999999999999998E-3</v>
      </c>
    </row>
    <row r="100" spans="1:7" x14ac:dyDescent="0.4">
      <c r="A100" s="1">
        <v>45429</v>
      </c>
      <c r="B100">
        <v>11.99</v>
      </c>
      <c r="C100">
        <v>12.28</v>
      </c>
      <c r="D100">
        <v>12.48</v>
      </c>
      <c r="E100">
        <v>11.91</v>
      </c>
      <c r="G100" s="2">
        <v>-3.4599999999999999E-2</v>
      </c>
    </row>
    <row r="101" spans="1:7" x14ac:dyDescent="0.4">
      <c r="A101" s="1">
        <v>45432</v>
      </c>
      <c r="B101">
        <v>12.15</v>
      </c>
      <c r="C101">
        <v>12.27</v>
      </c>
      <c r="D101">
        <v>12.59</v>
      </c>
      <c r="E101">
        <v>12.07</v>
      </c>
      <c r="G101" s="2">
        <v>1.3299999999999999E-2</v>
      </c>
    </row>
    <row r="102" spans="1:7" x14ac:dyDescent="0.4">
      <c r="A102" s="1">
        <v>45433</v>
      </c>
      <c r="B102">
        <v>11.86</v>
      </c>
      <c r="C102">
        <v>12.3</v>
      </c>
      <c r="D102">
        <v>12.56</v>
      </c>
      <c r="E102">
        <v>11.84</v>
      </c>
      <c r="G102" s="2">
        <v>-2.3900000000000001E-2</v>
      </c>
    </row>
    <row r="103" spans="1:7" x14ac:dyDescent="0.4">
      <c r="A103" s="1">
        <v>45434</v>
      </c>
      <c r="B103">
        <v>12.29</v>
      </c>
      <c r="C103">
        <v>12.05</v>
      </c>
      <c r="D103">
        <v>12.81</v>
      </c>
      <c r="E103">
        <v>11.78</v>
      </c>
      <c r="G103" s="2">
        <v>3.6299999999999999E-2</v>
      </c>
    </row>
    <row r="104" spans="1:7" x14ac:dyDescent="0.4">
      <c r="A104" s="1">
        <v>45435</v>
      </c>
      <c r="B104">
        <v>12.77</v>
      </c>
      <c r="C104">
        <v>11.53</v>
      </c>
      <c r="D104">
        <v>13.37</v>
      </c>
      <c r="E104">
        <v>11.52</v>
      </c>
      <c r="G104" s="2">
        <v>3.9100000000000003E-2</v>
      </c>
    </row>
    <row r="105" spans="1:7" x14ac:dyDescent="0.4">
      <c r="A105" s="1">
        <v>45436</v>
      </c>
      <c r="B105">
        <v>11.93</v>
      </c>
      <c r="C105">
        <v>12.86</v>
      </c>
      <c r="D105">
        <v>12.89</v>
      </c>
      <c r="E105">
        <v>11.89</v>
      </c>
      <c r="G105" s="2">
        <v>-6.5799999999999997E-2</v>
      </c>
    </row>
    <row r="106" spans="1:7" x14ac:dyDescent="0.4">
      <c r="A106" s="1">
        <v>45439</v>
      </c>
      <c r="B106">
        <v>12.36</v>
      </c>
      <c r="C106">
        <v>12.41</v>
      </c>
      <c r="D106">
        <v>12.49</v>
      </c>
      <c r="E106">
        <v>12.35</v>
      </c>
      <c r="G106" s="2">
        <v>3.5999999999999997E-2</v>
      </c>
    </row>
    <row r="107" spans="1:7" x14ac:dyDescent="0.4">
      <c r="A107" s="1">
        <v>45440</v>
      </c>
      <c r="B107">
        <v>12.92</v>
      </c>
      <c r="C107">
        <v>12.51</v>
      </c>
      <c r="D107">
        <v>13.44</v>
      </c>
      <c r="E107">
        <v>12.36</v>
      </c>
      <c r="G107" s="2">
        <v>4.53E-2</v>
      </c>
    </row>
    <row r="108" spans="1:7" x14ac:dyDescent="0.4">
      <c r="A108" s="1">
        <v>45441</v>
      </c>
      <c r="B108">
        <v>14.28</v>
      </c>
      <c r="C108">
        <v>13.75</v>
      </c>
      <c r="D108">
        <v>14.32</v>
      </c>
      <c r="E108">
        <v>13.69</v>
      </c>
      <c r="G108" s="2">
        <v>0.1053</v>
      </c>
    </row>
    <row r="109" spans="1:7" x14ac:dyDescent="0.4">
      <c r="A109" s="1">
        <v>45442</v>
      </c>
      <c r="B109">
        <v>14.47</v>
      </c>
      <c r="C109">
        <v>14.82</v>
      </c>
      <c r="D109">
        <v>14.88</v>
      </c>
      <c r="E109">
        <v>13.67</v>
      </c>
      <c r="G109" s="2">
        <v>1.3299999999999999E-2</v>
      </c>
    </row>
    <row r="110" spans="1:7" x14ac:dyDescent="0.4">
      <c r="A110" s="1">
        <v>45443</v>
      </c>
      <c r="B110">
        <v>12.92</v>
      </c>
      <c r="C110">
        <v>14.5</v>
      </c>
      <c r="D110">
        <v>14.87</v>
      </c>
      <c r="E110">
        <v>12.84</v>
      </c>
      <c r="G110" s="2">
        <v>-0.1071</v>
      </c>
    </row>
    <row r="111" spans="1:7" x14ac:dyDescent="0.4">
      <c r="A111" s="1">
        <v>45446</v>
      </c>
      <c r="B111">
        <v>13.11</v>
      </c>
      <c r="C111">
        <v>13.08</v>
      </c>
      <c r="D111">
        <v>14.31</v>
      </c>
      <c r="E111">
        <v>13</v>
      </c>
      <c r="G111" s="2">
        <v>1.47E-2</v>
      </c>
    </row>
    <row r="112" spans="1:7" x14ac:dyDescent="0.4">
      <c r="A112" s="1">
        <v>45447</v>
      </c>
      <c r="B112">
        <v>13.16</v>
      </c>
      <c r="C112">
        <v>13.51</v>
      </c>
      <c r="D112">
        <v>14.08</v>
      </c>
      <c r="E112">
        <v>13.11</v>
      </c>
      <c r="G112" s="2">
        <v>3.8E-3</v>
      </c>
    </row>
    <row r="113" spans="1:7" x14ac:dyDescent="0.4">
      <c r="A113" s="1">
        <v>45448</v>
      </c>
      <c r="B113">
        <v>12.63</v>
      </c>
      <c r="C113">
        <v>13.14</v>
      </c>
      <c r="D113">
        <v>13.25</v>
      </c>
      <c r="E113">
        <v>12.6</v>
      </c>
      <c r="G113" s="2">
        <v>-4.0300000000000002E-2</v>
      </c>
    </row>
    <row r="114" spans="1:7" x14ac:dyDescent="0.4">
      <c r="A114" s="1">
        <v>45449</v>
      </c>
      <c r="B114">
        <v>12.58</v>
      </c>
      <c r="C114">
        <v>12.75</v>
      </c>
      <c r="D114">
        <v>12.98</v>
      </c>
      <c r="E114">
        <v>12.54</v>
      </c>
      <c r="G114" s="2">
        <v>-4.0000000000000001E-3</v>
      </c>
    </row>
    <row r="115" spans="1:7" x14ac:dyDescent="0.4">
      <c r="A115" s="1">
        <v>45450</v>
      </c>
      <c r="B115">
        <v>12.22</v>
      </c>
      <c r="C115">
        <v>12.69</v>
      </c>
      <c r="D115">
        <v>13.08</v>
      </c>
      <c r="E115">
        <v>12.11</v>
      </c>
      <c r="G115" s="2">
        <v>-2.86E-2</v>
      </c>
    </row>
    <row r="116" spans="1:7" x14ac:dyDescent="0.4">
      <c r="A116" s="1">
        <v>45453</v>
      </c>
      <c r="B116">
        <v>12.74</v>
      </c>
      <c r="C116">
        <v>13.09</v>
      </c>
      <c r="D116">
        <v>13.28</v>
      </c>
      <c r="E116">
        <v>12.62</v>
      </c>
      <c r="G116" s="2">
        <v>4.2599999999999999E-2</v>
      </c>
    </row>
    <row r="117" spans="1:7" x14ac:dyDescent="0.4">
      <c r="A117" s="1">
        <v>45454</v>
      </c>
      <c r="B117">
        <v>12.85</v>
      </c>
      <c r="C117">
        <v>12.85</v>
      </c>
      <c r="D117">
        <v>13.47</v>
      </c>
      <c r="E117">
        <v>12.78</v>
      </c>
      <c r="G117" s="2">
        <v>8.6E-3</v>
      </c>
    </row>
    <row r="118" spans="1:7" x14ac:dyDescent="0.4">
      <c r="A118" s="1">
        <v>45455</v>
      </c>
      <c r="B118">
        <v>12.04</v>
      </c>
      <c r="C118">
        <v>13.1</v>
      </c>
      <c r="D118">
        <v>13.15</v>
      </c>
      <c r="E118">
        <v>11.94</v>
      </c>
      <c r="G118" s="2">
        <v>-6.3E-2</v>
      </c>
    </row>
    <row r="119" spans="1:7" x14ac:dyDescent="0.4">
      <c r="A119" s="1">
        <v>45456</v>
      </c>
      <c r="B119">
        <v>11.94</v>
      </c>
      <c r="C119">
        <v>12.05</v>
      </c>
      <c r="D119">
        <v>12.68</v>
      </c>
      <c r="E119">
        <v>11.88</v>
      </c>
      <c r="G119" s="2">
        <v>-8.3000000000000001E-3</v>
      </c>
    </row>
    <row r="120" spans="1:7" x14ac:dyDescent="0.4">
      <c r="A120" s="1">
        <v>45457</v>
      </c>
      <c r="B120">
        <v>12.66</v>
      </c>
      <c r="C120">
        <v>12.22</v>
      </c>
      <c r="D120">
        <v>13.45</v>
      </c>
      <c r="E120">
        <v>12.12</v>
      </c>
      <c r="G120" s="2">
        <v>6.0299999999999999E-2</v>
      </c>
    </row>
    <row r="121" spans="1:7" x14ac:dyDescent="0.4">
      <c r="A121" s="1">
        <v>45460</v>
      </c>
      <c r="B121">
        <v>12.75</v>
      </c>
      <c r="C121">
        <v>13.07</v>
      </c>
      <c r="D121">
        <v>13.29</v>
      </c>
      <c r="E121">
        <v>12.5</v>
      </c>
      <c r="G121" s="2">
        <v>7.1000000000000004E-3</v>
      </c>
    </row>
    <row r="122" spans="1:7" x14ac:dyDescent="0.4">
      <c r="A122" s="1">
        <v>45461</v>
      </c>
      <c r="B122">
        <v>12.3</v>
      </c>
      <c r="C122">
        <v>12.7</v>
      </c>
      <c r="D122">
        <v>12.74</v>
      </c>
      <c r="E122">
        <v>12.24</v>
      </c>
      <c r="G122" s="2">
        <v>-3.5299999999999998E-2</v>
      </c>
    </row>
    <row r="123" spans="1:7" x14ac:dyDescent="0.4">
      <c r="A123" s="1">
        <v>45462</v>
      </c>
      <c r="B123">
        <v>12.48</v>
      </c>
      <c r="C123">
        <v>12.32</v>
      </c>
      <c r="D123">
        <v>12.55</v>
      </c>
      <c r="E123">
        <v>12.32</v>
      </c>
      <c r="G123" s="2">
        <v>1.46E-2</v>
      </c>
    </row>
    <row r="124" spans="1:7" x14ac:dyDescent="0.4">
      <c r="A124" s="1">
        <v>45463</v>
      </c>
      <c r="B124">
        <v>13.28</v>
      </c>
      <c r="C124">
        <v>12.5</v>
      </c>
      <c r="D124">
        <v>13.55</v>
      </c>
      <c r="E124">
        <v>12.18</v>
      </c>
      <c r="G124" s="2">
        <v>6.4100000000000004E-2</v>
      </c>
    </row>
    <row r="125" spans="1:7" x14ac:dyDescent="0.4">
      <c r="A125" s="1">
        <v>45464</v>
      </c>
      <c r="B125">
        <v>13.2</v>
      </c>
      <c r="C125">
        <v>13.22</v>
      </c>
      <c r="D125">
        <v>13.78</v>
      </c>
      <c r="E125">
        <v>12.99</v>
      </c>
      <c r="G125" s="2">
        <v>-6.0000000000000001E-3</v>
      </c>
    </row>
    <row r="126" spans="1:7" x14ac:dyDescent="0.4">
      <c r="A126" s="1">
        <v>45467</v>
      </c>
      <c r="B126">
        <v>13.33</v>
      </c>
      <c r="C126">
        <v>13.85</v>
      </c>
      <c r="D126">
        <v>13.88</v>
      </c>
      <c r="E126">
        <v>13.15</v>
      </c>
      <c r="G126" s="2">
        <v>9.7999999999999997E-3</v>
      </c>
    </row>
    <row r="127" spans="1:7" x14ac:dyDescent="0.4">
      <c r="A127" s="1">
        <v>45468</v>
      </c>
      <c r="B127">
        <v>12.84</v>
      </c>
      <c r="C127">
        <v>13.48</v>
      </c>
      <c r="D127">
        <v>13.52</v>
      </c>
      <c r="E127">
        <v>12.84</v>
      </c>
      <c r="G127" s="2">
        <v>-3.6799999999999999E-2</v>
      </c>
    </row>
    <row r="128" spans="1:7" x14ac:dyDescent="0.4">
      <c r="A128" s="1">
        <v>45469</v>
      </c>
      <c r="B128">
        <v>12.55</v>
      </c>
      <c r="C128">
        <v>12.81</v>
      </c>
      <c r="D128">
        <v>13.24</v>
      </c>
      <c r="E128">
        <v>12.37</v>
      </c>
      <c r="G128" s="2">
        <v>-2.2599999999999999E-2</v>
      </c>
    </row>
    <row r="129" spans="1:7" x14ac:dyDescent="0.4">
      <c r="A129" s="1">
        <v>45470</v>
      </c>
      <c r="B129">
        <v>12.24</v>
      </c>
      <c r="C129">
        <v>12.69</v>
      </c>
      <c r="D129">
        <v>12.77</v>
      </c>
      <c r="E129">
        <v>12.21</v>
      </c>
      <c r="G129" s="2">
        <v>-2.47E-2</v>
      </c>
    </row>
    <row r="130" spans="1:7" x14ac:dyDescent="0.4">
      <c r="A130" s="1">
        <v>45471</v>
      </c>
      <c r="B130">
        <v>12.44</v>
      </c>
      <c r="C130">
        <v>12.24</v>
      </c>
      <c r="D130">
        <v>12.76</v>
      </c>
      <c r="E130">
        <v>11.87</v>
      </c>
      <c r="G130" s="2">
        <v>1.6299999999999999E-2</v>
      </c>
    </row>
    <row r="131" spans="1:7" x14ac:dyDescent="0.4">
      <c r="A131" s="1">
        <v>45474</v>
      </c>
      <c r="B131">
        <v>12.22</v>
      </c>
      <c r="C131">
        <v>12.98</v>
      </c>
      <c r="D131">
        <v>13.26</v>
      </c>
      <c r="E131">
        <v>12.1</v>
      </c>
      <c r="G131" s="2">
        <v>-1.77E-2</v>
      </c>
    </row>
    <row r="132" spans="1:7" x14ac:dyDescent="0.4">
      <c r="A132" s="1">
        <v>45475</v>
      </c>
      <c r="B132">
        <v>12.03</v>
      </c>
      <c r="C132">
        <v>12.67</v>
      </c>
      <c r="D132">
        <v>12.88</v>
      </c>
      <c r="E132">
        <v>11.85</v>
      </c>
      <c r="G132" s="2">
        <v>-1.55E-2</v>
      </c>
    </row>
    <row r="133" spans="1:7" x14ac:dyDescent="0.4">
      <c r="A133" s="1">
        <v>45476</v>
      </c>
      <c r="B133">
        <v>12.09</v>
      </c>
      <c r="C133">
        <v>12.13</v>
      </c>
      <c r="D133">
        <v>12.23</v>
      </c>
      <c r="E133">
        <v>11.95</v>
      </c>
      <c r="G133" s="2">
        <v>5.0000000000000001E-3</v>
      </c>
    </row>
    <row r="134" spans="1:7" x14ac:dyDescent="0.4">
      <c r="A134" s="1">
        <v>45477</v>
      </c>
      <c r="B134">
        <v>12.26</v>
      </c>
      <c r="C134">
        <v>12.1</v>
      </c>
      <c r="D134">
        <v>12.35</v>
      </c>
      <c r="E134">
        <v>12.09</v>
      </c>
      <c r="G134" s="2">
        <v>1.41E-2</v>
      </c>
    </row>
    <row r="135" spans="1:7" x14ac:dyDescent="0.4">
      <c r="A135" s="1">
        <v>45478</v>
      </c>
      <c r="B135">
        <v>12.48</v>
      </c>
      <c r="C135">
        <v>12.37</v>
      </c>
      <c r="D135">
        <v>12.61</v>
      </c>
      <c r="E135">
        <v>11.84</v>
      </c>
      <c r="G135" s="2">
        <v>1.7899999999999999E-2</v>
      </c>
    </row>
    <row r="136" spans="1:7" x14ac:dyDescent="0.4">
      <c r="A136" s="1">
        <v>45481</v>
      </c>
      <c r="B136">
        <v>12.37</v>
      </c>
      <c r="C136">
        <v>12.91</v>
      </c>
      <c r="D136">
        <v>12.91</v>
      </c>
      <c r="E136">
        <v>12.31</v>
      </c>
      <c r="G136" s="2">
        <v>-8.8000000000000005E-3</v>
      </c>
    </row>
    <row r="137" spans="1:7" x14ac:dyDescent="0.4">
      <c r="A137" s="1">
        <v>45482</v>
      </c>
      <c r="B137">
        <v>12.51</v>
      </c>
      <c r="C137">
        <v>12.48</v>
      </c>
      <c r="D137">
        <v>12.61</v>
      </c>
      <c r="E137">
        <v>12.35</v>
      </c>
      <c r="G137" s="2">
        <v>1.1299999999999999E-2</v>
      </c>
    </row>
    <row r="138" spans="1:7" x14ac:dyDescent="0.4">
      <c r="A138" s="1">
        <v>45483</v>
      </c>
      <c r="B138">
        <v>12.85</v>
      </c>
      <c r="C138">
        <v>12.51</v>
      </c>
      <c r="D138">
        <v>12.92</v>
      </c>
      <c r="E138">
        <v>12.39</v>
      </c>
      <c r="G138" s="2">
        <v>2.7199999999999998E-2</v>
      </c>
    </row>
    <row r="139" spans="1:7" x14ac:dyDescent="0.4">
      <c r="A139" s="1">
        <v>45484</v>
      </c>
      <c r="B139">
        <v>12.92</v>
      </c>
      <c r="C139">
        <v>12.88</v>
      </c>
      <c r="D139">
        <v>13.33</v>
      </c>
      <c r="E139">
        <v>12.23</v>
      </c>
      <c r="G139" s="2">
        <v>5.4000000000000003E-3</v>
      </c>
    </row>
    <row r="140" spans="1:7" x14ac:dyDescent="0.4">
      <c r="A140" s="1">
        <v>45485</v>
      </c>
      <c r="B140">
        <v>12.46</v>
      </c>
      <c r="C140">
        <v>12.87</v>
      </c>
      <c r="D140">
        <v>12.89</v>
      </c>
      <c r="E140">
        <v>12.11</v>
      </c>
      <c r="G140" s="2">
        <v>-3.56E-2</v>
      </c>
    </row>
    <row r="141" spans="1:7" x14ac:dyDescent="0.4">
      <c r="A141" s="1">
        <v>45488</v>
      </c>
      <c r="B141">
        <v>13.12</v>
      </c>
      <c r="C141">
        <v>12.78</v>
      </c>
      <c r="D141">
        <v>13.26</v>
      </c>
      <c r="E141">
        <v>12.75</v>
      </c>
      <c r="G141" s="2">
        <v>5.2999999999999999E-2</v>
      </c>
    </row>
    <row r="142" spans="1:7" x14ac:dyDescent="0.4">
      <c r="A142" s="1">
        <v>45489</v>
      </c>
      <c r="B142">
        <v>13.19</v>
      </c>
      <c r="C142">
        <v>13.38</v>
      </c>
      <c r="D142">
        <v>13.47</v>
      </c>
      <c r="E142">
        <v>12.95</v>
      </c>
      <c r="G142" s="2">
        <v>5.3E-3</v>
      </c>
    </row>
    <row r="143" spans="1:7" x14ac:dyDescent="0.4">
      <c r="A143" s="1">
        <v>45490</v>
      </c>
      <c r="B143">
        <v>14.48</v>
      </c>
      <c r="C143">
        <v>13.6</v>
      </c>
      <c r="D143">
        <v>14.88</v>
      </c>
      <c r="E143">
        <v>13.54</v>
      </c>
      <c r="G143" s="2">
        <v>9.7799999999999998E-2</v>
      </c>
    </row>
    <row r="144" spans="1:7" x14ac:dyDescent="0.4">
      <c r="A144" s="1">
        <v>45491</v>
      </c>
      <c r="B144">
        <v>15.93</v>
      </c>
      <c r="C144">
        <v>14.27</v>
      </c>
      <c r="D144">
        <v>16.43</v>
      </c>
      <c r="E144">
        <v>14.08</v>
      </c>
      <c r="G144" s="2">
        <v>0.10009999999999999</v>
      </c>
    </row>
    <row r="145" spans="1:7" x14ac:dyDescent="0.4">
      <c r="A145" s="1">
        <v>45492</v>
      </c>
      <c r="B145">
        <v>16.52</v>
      </c>
      <c r="C145">
        <v>16.440000000000001</v>
      </c>
      <c r="D145">
        <v>17.190000000000001</v>
      </c>
      <c r="E145">
        <v>10.62</v>
      </c>
      <c r="G145" s="2">
        <v>3.6999999999999998E-2</v>
      </c>
    </row>
    <row r="146" spans="1:7" x14ac:dyDescent="0.4">
      <c r="A146" s="1">
        <v>45495</v>
      </c>
      <c r="B146">
        <v>14.91</v>
      </c>
      <c r="C146">
        <v>16.79</v>
      </c>
      <c r="D146">
        <v>16.89</v>
      </c>
      <c r="E146">
        <v>14.75</v>
      </c>
      <c r="G146" s="2">
        <v>-9.7500000000000003E-2</v>
      </c>
    </row>
    <row r="147" spans="1:7" x14ac:dyDescent="0.4">
      <c r="A147" s="1">
        <v>45496</v>
      </c>
      <c r="B147">
        <v>14.72</v>
      </c>
      <c r="C147">
        <v>15.21</v>
      </c>
      <c r="D147">
        <v>15.35</v>
      </c>
      <c r="E147">
        <v>13.9</v>
      </c>
      <c r="G147" s="2">
        <v>-1.2699999999999999E-2</v>
      </c>
    </row>
    <row r="148" spans="1:7" x14ac:dyDescent="0.4">
      <c r="A148" s="1">
        <v>45497</v>
      </c>
      <c r="B148">
        <v>18.04</v>
      </c>
      <c r="C148">
        <v>15.35</v>
      </c>
      <c r="D148">
        <v>18.46</v>
      </c>
      <c r="E148">
        <v>15.18</v>
      </c>
      <c r="G148" s="2">
        <v>0.22550000000000001</v>
      </c>
    </row>
    <row r="149" spans="1:7" x14ac:dyDescent="0.4">
      <c r="A149" s="1">
        <v>45498</v>
      </c>
      <c r="B149">
        <v>18.46</v>
      </c>
      <c r="C149">
        <v>18.41</v>
      </c>
      <c r="D149">
        <v>19.36</v>
      </c>
      <c r="E149">
        <v>16.420000000000002</v>
      </c>
      <c r="G149" s="2">
        <v>2.3300000000000001E-2</v>
      </c>
    </row>
    <row r="150" spans="1:7" x14ac:dyDescent="0.4">
      <c r="A150" s="1">
        <v>45499</v>
      </c>
      <c r="B150">
        <v>16.39</v>
      </c>
      <c r="C150">
        <v>17.97</v>
      </c>
      <c r="D150">
        <v>18.05</v>
      </c>
      <c r="E150">
        <v>16.37</v>
      </c>
      <c r="G150" s="2">
        <v>-0.11210000000000001</v>
      </c>
    </row>
    <row r="151" spans="1:7" x14ac:dyDescent="0.4">
      <c r="A151" s="1">
        <v>45502</v>
      </c>
      <c r="B151">
        <v>16.600000000000001</v>
      </c>
      <c r="C151">
        <v>16.59</v>
      </c>
      <c r="D151">
        <v>17.21</v>
      </c>
      <c r="E151">
        <v>16.23</v>
      </c>
      <c r="G151" s="2">
        <v>1.2800000000000001E-2</v>
      </c>
    </row>
    <row r="152" spans="1:7" x14ac:dyDescent="0.4">
      <c r="A152" s="1">
        <v>45503</v>
      </c>
      <c r="B152">
        <v>17.690000000000001</v>
      </c>
      <c r="C152">
        <v>16.64</v>
      </c>
      <c r="D152">
        <v>18.32</v>
      </c>
      <c r="E152">
        <v>16.260000000000002</v>
      </c>
      <c r="G152" s="2">
        <v>6.5699999999999995E-2</v>
      </c>
    </row>
    <row r="153" spans="1:7" x14ac:dyDescent="0.4">
      <c r="A153" s="1">
        <v>45504</v>
      </c>
      <c r="B153">
        <v>16.36</v>
      </c>
      <c r="C153">
        <v>16.66</v>
      </c>
      <c r="D153">
        <v>16.77</v>
      </c>
      <c r="E153">
        <v>15.71</v>
      </c>
      <c r="G153" s="2">
        <v>-7.5200000000000003E-2</v>
      </c>
    </row>
    <row r="154" spans="1:7" x14ac:dyDescent="0.4">
      <c r="A154" s="1">
        <v>45505</v>
      </c>
      <c r="B154">
        <v>18.59</v>
      </c>
      <c r="C154">
        <v>16.2</v>
      </c>
      <c r="D154">
        <v>19.48</v>
      </c>
      <c r="E154">
        <v>15.95</v>
      </c>
      <c r="G154" s="2">
        <v>0.1363</v>
      </c>
    </row>
    <row r="155" spans="1:7" x14ac:dyDescent="0.4">
      <c r="A155" s="1">
        <v>45506</v>
      </c>
      <c r="B155">
        <v>23.39</v>
      </c>
      <c r="C155">
        <v>20.52</v>
      </c>
      <c r="D155">
        <v>29.66</v>
      </c>
      <c r="E155">
        <v>20.010000000000002</v>
      </c>
      <c r="G155" s="2">
        <v>0.25819999999999999</v>
      </c>
    </row>
    <row r="156" spans="1:7" x14ac:dyDescent="0.4">
      <c r="A156" s="1">
        <v>45509</v>
      </c>
      <c r="B156">
        <v>38.57</v>
      </c>
      <c r="C156">
        <v>23.39</v>
      </c>
      <c r="D156">
        <v>65.73</v>
      </c>
      <c r="E156">
        <v>23.39</v>
      </c>
      <c r="G156" s="2">
        <v>0.64900000000000002</v>
      </c>
    </row>
    <row r="157" spans="1:7" x14ac:dyDescent="0.4">
      <c r="A157" s="1">
        <v>45510</v>
      </c>
      <c r="B157">
        <v>27.71</v>
      </c>
      <c r="C157">
        <v>33.71</v>
      </c>
      <c r="D157">
        <v>34.770000000000003</v>
      </c>
      <c r="E157">
        <v>24.02</v>
      </c>
      <c r="G157" s="2">
        <v>-0.28160000000000002</v>
      </c>
    </row>
    <row r="158" spans="1:7" x14ac:dyDescent="0.4">
      <c r="A158" s="1">
        <v>45511</v>
      </c>
      <c r="B158">
        <v>27.85</v>
      </c>
      <c r="C158">
        <v>24.77</v>
      </c>
      <c r="D158">
        <v>29.76</v>
      </c>
      <c r="E158">
        <v>21.97</v>
      </c>
      <c r="G158" s="2">
        <v>5.1000000000000004E-3</v>
      </c>
    </row>
    <row r="159" spans="1:7" x14ac:dyDescent="0.4">
      <c r="A159" s="1">
        <v>45512</v>
      </c>
      <c r="B159">
        <v>23.79</v>
      </c>
      <c r="C159">
        <v>28.34</v>
      </c>
      <c r="D159">
        <v>29.47</v>
      </c>
      <c r="E159">
        <v>23.36</v>
      </c>
      <c r="G159" s="2">
        <v>-0.14580000000000001</v>
      </c>
    </row>
    <row r="160" spans="1:7" x14ac:dyDescent="0.4">
      <c r="A160" s="1">
        <v>45513</v>
      </c>
      <c r="B160">
        <v>20.37</v>
      </c>
      <c r="C160">
        <v>23.78</v>
      </c>
      <c r="D160">
        <v>24.52</v>
      </c>
      <c r="E160">
        <v>20.260000000000002</v>
      </c>
      <c r="G160" s="2">
        <v>-0.14380000000000001</v>
      </c>
    </row>
    <row r="161" spans="1:7" x14ac:dyDescent="0.4">
      <c r="A161" s="1">
        <v>45516</v>
      </c>
      <c r="B161">
        <v>20.71</v>
      </c>
      <c r="C161">
        <v>20.79</v>
      </c>
      <c r="D161">
        <v>21.19</v>
      </c>
      <c r="E161">
        <v>18.89</v>
      </c>
      <c r="G161" s="2">
        <v>1.67E-2</v>
      </c>
    </row>
    <row r="162" spans="1:7" x14ac:dyDescent="0.4">
      <c r="A162" s="1">
        <v>45517</v>
      </c>
      <c r="B162">
        <v>18.12</v>
      </c>
      <c r="C162">
        <v>20.059999999999999</v>
      </c>
      <c r="D162">
        <v>20.79</v>
      </c>
      <c r="E162">
        <v>17.95</v>
      </c>
      <c r="G162" s="2">
        <v>-0.12509999999999999</v>
      </c>
    </row>
    <row r="163" spans="1:7" x14ac:dyDescent="0.4">
      <c r="A163" s="1">
        <v>45518</v>
      </c>
      <c r="B163">
        <v>16.190000000000001</v>
      </c>
      <c r="C163">
        <v>18.41</v>
      </c>
      <c r="D163">
        <v>18.489999999999998</v>
      </c>
      <c r="E163">
        <v>16.12</v>
      </c>
      <c r="G163" s="2">
        <v>-0.1065</v>
      </c>
    </row>
    <row r="164" spans="1:7" x14ac:dyDescent="0.4">
      <c r="A164" s="1">
        <v>45519</v>
      </c>
      <c r="B164">
        <v>15.23</v>
      </c>
      <c r="C164">
        <v>16.27</v>
      </c>
      <c r="D164">
        <v>16.68</v>
      </c>
      <c r="E164">
        <v>14.77</v>
      </c>
      <c r="G164" s="2">
        <v>-5.9299999999999999E-2</v>
      </c>
    </row>
    <row r="165" spans="1:7" x14ac:dyDescent="0.4">
      <c r="A165" s="1">
        <v>45520</v>
      </c>
      <c r="B165">
        <v>14.8</v>
      </c>
      <c r="C165">
        <v>15.29</v>
      </c>
      <c r="D165">
        <v>15.76</v>
      </c>
      <c r="E165">
        <v>14.65</v>
      </c>
      <c r="G165" s="2">
        <v>-2.8199999999999999E-2</v>
      </c>
    </row>
    <row r="166" spans="1:7" x14ac:dyDescent="0.4">
      <c r="A166" s="1">
        <v>45523</v>
      </c>
      <c r="B166">
        <v>14.65</v>
      </c>
      <c r="C166">
        <v>15.94</v>
      </c>
      <c r="D166">
        <v>16.07</v>
      </c>
      <c r="E166">
        <v>14.46</v>
      </c>
      <c r="G166" s="2">
        <v>-1.01E-2</v>
      </c>
    </row>
    <row r="167" spans="1:7" x14ac:dyDescent="0.4">
      <c r="A167" s="1">
        <v>45524</v>
      </c>
      <c r="B167">
        <v>15.88</v>
      </c>
      <c r="C167">
        <v>14.89</v>
      </c>
      <c r="D167">
        <v>15.93</v>
      </c>
      <c r="E167">
        <v>14.78</v>
      </c>
      <c r="G167" s="2">
        <v>8.4000000000000005E-2</v>
      </c>
    </row>
    <row r="168" spans="1:7" x14ac:dyDescent="0.4">
      <c r="A168" s="1">
        <v>45525</v>
      </c>
      <c r="B168">
        <v>16.27</v>
      </c>
      <c r="C168">
        <v>16.25</v>
      </c>
      <c r="D168">
        <v>17.170000000000002</v>
      </c>
      <c r="E168">
        <v>15.92</v>
      </c>
      <c r="G168" s="2">
        <v>2.46E-2</v>
      </c>
    </row>
    <row r="169" spans="1:7" x14ac:dyDescent="0.4">
      <c r="A169" s="1">
        <v>45526</v>
      </c>
      <c r="B169">
        <v>17.55</v>
      </c>
      <c r="C169">
        <v>16.27</v>
      </c>
      <c r="D169">
        <v>18.059999999999999</v>
      </c>
      <c r="E169">
        <v>15.76</v>
      </c>
      <c r="G169" s="2">
        <v>7.8700000000000006E-2</v>
      </c>
    </row>
    <row r="170" spans="1:7" x14ac:dyDescent="0.4">
      <c r="A170" s="1">
        <v>45527</v>
      </c>
      <c r="B170">
        <v>15.86</v>
      </c>
      <c r="C170">
        <v>17.12</v>
      </c>
      <c r="D170">
        <v>17.21</v>
      </c>
      <c r="E170">
        <v>15.61</v>
      </c>
      <c r="G170" s="2">
        <v>-9.6299999999999997E-2</v>
      </c>
    </row>
    <row r="171" spans="1:7" x14ac:dyDescent="0.4">
      <c r="A171" s="1">
        <v>45530</v>
      </c>
      <c r="B171">
        <v>16.149999999999999</v>
      </c>
      <c r="C171">
        <v>16.27</v>
      </c>
      <c r="D171">
        <v>16.670000000000002</v>
      </c>
      <c r="E171">
        <v>15.81</v>
      </c>
      <c r="G171" s="2">
        <v>1.83E-2</v>
      </c>
    </row>
    <row r="172" spans="1:7" x14ac:dyDescent="0.4">
      <c r="A172" s="1">
        <v>45531</v>
      </c>
      <c r="B172">
        <v>15.43</v>
      </c>
      <c r="C172">
        <v>16.21</v>
      </c>
      <c r="D172">
        <v>16.809999999999999</v>
      </c>
      <c r="E172">
        <v>15.37</v>
      </c>
      <c r="G172" s="2">
        <v>-4.4600000000000001E-2</v>
      </c>
    </row>
    <row r="173" spans="1:7" x14ac:dyDescent="0.4">
      <c r="A173" s="1">
        <v>45532</v>
      </c>
      <c r="B173">
        <v>17.11</v>
      </c>
      <c r="C173">
        <v>15.51</v>
      </c>
      <c r="D173">
        <v>17.89</v>
      </c>
      <c r="E173">
        <v>15.46</v>
      </c>
      <c r="G173" s="2">
        <v>0.1089</v>
      </c>
    </row>
    <row r="174" spans="1:7" x14ac:dyDescent="0.4">
      <c r="A174" s="1">
        <v>45533</v>
      </c>
      <c r="B174">
        <v>15.65</v>
      </c>
      <c r="C174">
        <v>16.54</v>
      </c>
      <c r="D174">
        <v>16.57</v>
      </c>
      <c r="E174">
        <v>15.19</v>
      </c>
      <c r="G174" s="2">
        <v>-8.5300000000000001E-2</v>
      </c>
    </row>
    <row r="175" spans="1:7" x14ac:dyDescent="0.4">
      <c r="A175" s="1">
        <v>45534</v>
      </c>
      <c r="B175">
        <v>15</v>
      </c>
      <c r="C175">
        <v>15.67</v>
      </c>
      <c r="D175">
        <v>16.04</v>
      </c>
      <c r="E175">
        <v>14.78</v>
      </c>
      <c r="G175" s="2">
        <v>-4.1500000000000002E-2</v>
      </c>
    </row>
    <row r="176" spans="1:7" x14ac:dyDescent="0.4">
      <c r="A176" s="1">
        <v>45537</v>
      </c>
      <c r="B176">
        <v>15.55</v>
      </c>
      <c r="C176">
        <v>15.87</v>
      </c>
      <c r="D176">
        <v>15.99</v>
      </c>
      <c r="E176">
        <v>15.48</v>
      </c>
      <c r="G176" s="2">
        <v>3.6700000000000003E-2</v>
      </c>
    </row>
    <row r="177" spans="1:7" x14ac:dyDescent="0.4">
      <c r="A177" s="1">
        <v>45538</v>
      </c>
      <c r="B177">
        <v>20.72</v>
      </c>
      <c r="C177">
        <v>15.76</v>
      </c>
      <c r="D177">
        <v>21.99</v>
      </c>
      <c r="E177">
        <v>15.71</v>
      </c>
      <c r="G177" s="2">
        <v>0.33250000000000002</v>
      </c>
    </row>
    <row r="178" spans="1:7" x14ac:dyDescent="0.4">
      <c r="A178" s="1">
        <v>45539</v>
      </c>
      <c r="B178">
        <v>21.32</v>
      </c>
      <c r="C178">
        <v>23.2</v>
      </c>
      <c r="D178">
        <v>23.31</v>
      </c>
      <c r="E178">
        <v>19.34</v>
      </c>
      <c r="G178" s="2">
        <v>2.9000000000000001E-2</v>
      </c>
    </row>
    <row r="179" spans="1:7" x14ac:dyDescent="0.4">
      <c r="A179" s="1">
        <v>45540</v>
      </c>
      <c r="B179">
        <v>19.899999999999999</v>
      </c>
      <c r="C179">
        <v>20.75</v>
      </c>
      <c r="D179">
        <v>21.53</v>
      </c>
      <c r="E179">
        <v>19.21</v>
      </c>
      <c r="G179" s="2">
        <v>-6.6600000000000006E-2</v>
      </c>
    </row>
    <row r="180" spans="1:7" x14ac:dyDescent="0.4">
      <c r="A180" s="1">
        <v>45541</v>
      </c>
      <c r="B180">
        <v>22.38</v>
      </c>
      <c r="C180">
        <v>21.98</v>
      </c>
      <c r="D180">
        <v>23.76</v>
      </c>
      <c r="E180">
        <v>18.829999999999998</v>
      </c>
      <c r="G180" s="2">
        <v>0.1246</v>
      </c>
    </row>
    <row r="181" spans="1:7" x14ac:dyDescent="0.4">
      <c r="A181" s="1">
        <v>45544</v>
      </c>
      <c r="B181">
        <v>19.45</v>
      </c>
      <c r="C181">
        <v>21.32</v>
      </c>
      <c r="D181">
        <v>21.41</v>
      </c>
      <c r="E181">
        <v>19.29</v>
      </c>
      <c r="G181" s="2">
        <v>-0.13089999999999999</v>
      </c>
    </row>
    <row r="182" spans="1:7" x14ac:dyDescent="0.4">
      <c r="A182" s="1">
        <v>45545</v>
      </c>
      <c r="B182">
        <v>19.079999999999998</v>
      </c>
      <c r="C182">
        <v>19.86</v>
      </c>
      <c r="D182">
        <v>20.74</v>
      </c>
      <c r="E182">
        <v>18.899999999999999</v>
      </c>
      <c r="G182" s="2">
        <v>-1.9E-2</v>
      </c>
    </row>
    <row r="183" spans="1:7" x14ac:dyDescent="0.4">
      <c r="A183" s="1">
        <v>45546</v>
      </c>
      <c r="B183">
        <v>17.690000000000001</v>
      </c>
      <c r="C183">
        <v>19.41</v>
      </c>
      <c r="D183">
        <v>21.41</v>
      </c>
      <c r="E183">
        <v>17.55</v>
      </c>
      <c r="G183" s="2">
        <v>-7.2900000000000006E-2</v>
      </c>
    </row>
    <row r="184" spans="1:7" x14ac:dyDescent="0.4">
      <c r="A184" s="1">
        <v>45547</v>
      </c>
      <c r="B184">
        <v>17.07</v>
      </c>
      <c r="C184">
        <v>17.62</v>
      </c>
      <c r="D184">
        <v>18.59</v>
      </c>
      <c r="E184">
        <v>16.89</v>
      </c>
      <c r="G184" s="2">
        <v>-3.5000000000000003E-2</v>
      </c>
    </row>
    <row r="185" spans="1:7" x14ac:dyDescent="0.4">
      <c r="A185" s="1">
        <v>45548</v>
      </c>
      <c r="B185">
        <v>16.559999999999999</v>
      </c>
      <c r="C185">
        <v>17.03</v>
      </c>
      <c r="D185">
        <v>17.18</v>
      </c>
      <c r="E185">
        <v>16.23</v>
      </c>
      <c r="G185" s="2">
        <v>-2.9899999999999999E-2</v>
      </c>
    </row>
    <row r="186" spans="1:7" x14ac:dyDescent="0.4">
      <c r="A186" s="1">
        <v>45551</v>
      </c>
      <c r="B186">
        <v>17.14</v>
      </c>
      <c r="C186">
        <v>17.16</v>
      </c>
      <c r="D186">
        <v>17.690000000000001</v>
      </c>
      <c r="E186">
        <v>16.91</v>
      </c>
      <c r="G186" s="2">
        <v>3.5000000000000003E-2</v>
      </c>
    </row>
    <row r="187" spans="1:7" x14ac:dyDescent="0.4">
      <c r="A187" s="1">
        <v>45552</v>
      </c>
      <c r="B187">
        <v>17.61</v>
      </c>
      <c r="C187">
        <v>17.16</v>
      </c>
      <c r="D187">
        <v>18.079999999999998</v>
      </c>
      <c r="E187">
        <v>16.670000000000002</v>
      </c>
      <c r="G187" s="2">
        <v>2.7400000000000001E-2</v>
      </c>
    </row>
    <row r="188" spans="1:7" x14ac:dyDescent="0.4">
      <c r="A188" s="1">
        <v>45553</v>
      </c>
      <c r="B188">
        <v>18.23</v>
      </c>
      <c r="C188">
        <v>17.579999999999998</v>
      </c>
      <c r="D188">
        <v>19.39</v>
      </c>
      <c r="E188">
        <v>17.11</v>
      </c>
      <c r="G188" s="2">
        <v>3.5200000000000002E-2</v>
      </c>
    </row>
    <row r="189" spans="1:7" x14ac:dyDescent="0.4">
      <c r="A189" s="1">
        <v>45554</v>
      </c>
      <c r="B189">
        <v>16.329999999999998</v>
      </c>
      <c r="C189">
        <v>17.21</v>
      </c>
      <c r="D189">
        <v>17.27</v>
      </c>
      <c r="E189">
        <v>16.21</v>
      </c>
      <c r="G189" s="2">
        <v>-0.1042</v>
      </c>
    </row>
    <row r="190" spans="1:7" x14ac:dyDescent="0.4">
      <c r="A190" s="1">
        <v>45555</v>
      </c>
      <c r="B190">
        <v>16.149999999999999</v>
      </c>
      <c r="C190">
        <v>16.350000000000001</v>
      </c>
      <c r="D190">
        <v>16.68</v>
      </c>
      <c r="E190">
        <v>15.81</v>
      </c>
      <c r="G190" s="2">
        <v>-1.0999999999999999E-2</v>
      </c>
    </row>
    <row r="191" spans="1:7" x14ac:dyDescent="0.4">
      <c r="A191" s="1">
        <v>45558</v>
      </c>
      <c r="B191">
        <v>15.89</v>
      </c>
      <c r="C191">
        <v>16.71</v>
      </c>
      <c r="D191">
        <v>16.95</v>
      </c>
      <c r="E191">
        <v>15.75</v>
      </c>
      <c r="G191" s="2">
        <v>-1.61E-2</v>
      </c>
    </row>
    <row r="192" spans="1:7" x14ac:dyDescent="0.4">
      <c r="A192" s="1">
        <v>45559</v>
      </c>
      <c r="B192">
        <v>15.39</v>
      </c>
      <c r="C192">
        <v>15.87</v>
      </c>
      <c r="D192">
        <v>16.670000000000002</v>
      </c>
      <c r="E192">
        <v>15.27</v>
      </c>
      <c r="G192" s="2">
        <v>-3.15E-2</v>
      </c>
    </row>
    <row r="193" spans="1:7" x14ac:dyDescent="0.4">
      <c r="A193" s="1">
        <v>45560</v>
      </c>
      <c r="B193">
        <v>15.41</v>
      </c>
      <c r="C193">
        <v>15.82</v>
      </c>
      <c r="D193">
        <v>15.82</v>
      </c>
      <c r="E193">
        <v>15.17</v>
      </c>
      <c r="G193" s="2">
        <v>1.2999999999999999E-3</v>
      </c>
    </row>
    <row r="194" spans="1:7" x14ac:dyDescent="0.4">
      <c r="A194" s="1">
        <v>45561</v>
      </c>
      <c r="B194">
        <v>15.37</v>
      </c>
      <c r="C194">
        <v>15.06</v>
      </c>
      <c r="D194">
        <v>15.83</v>
      </c>
      <c r="E194">
        <v>14.9</v>
      </c>
      <c r="G194" s="2">
        <v>-2.5999999999999999E-3</v>
      </c>
    </row>
    <row r="195" spans="1:7" x14ac:dyDescent="0.4">
      <c r="A195" s="1">
        <v>45562</v>
      </c>
      <c r="B195">
        <v>16.96</v>
      </c>
      <c r="C195">
        <v>15.64</v>
      </c>
      <c r="D195">
        <v>16.97</v>
      </c>
      <c r="E195">
        <v>15.2</v>
      </c>
      <c r="G195" s="2">
        <v>0.10340000000000001</v>
      </c>
    </row>
    <row r="196" spans="1:7" x14ac:dyDescent="0.4">
      <c r="A196" s="1">
        <v>45565</v>
      </c>
      <c r="B196">
        <v>16.73</v>
      </c>
      <c r="C196">
        <v>17.010000000000002</v>
      </c>
      <c r="D196">
        <v>17.79</v>
      </c>
      <c r="E196">
        <v>16.47</v>
      </c>
      <c r="G196" s="2">
        <v>-1.3599999999999999E-2</v>
      </c>
    </row>
    <row r="197" spans="1:7" x14ac:dyDescent="0.4">
      <c r="A197" s="1">
        <v>45566</v>
      </c>
      <c r="B197">
        <v>19.260000000000002</v>
      </c>
      <c r="C197">
        <v>16.96</v>
      </c>
      <c r="D197">
        <v>20.73</v>
      </c>
      <c r="E197">
        <v>16.61</v>
      </c>
      <c r="G197" s="2">
        <v>0.1512</v>
      </c>
    </row>
    <row r="198" spans="1:7" x14ac:dyDescent="0.4">
      <c r="A198" s="1">
        <v>45567</v>
      </c>
      <c r="B198">
        <v>18.899999999999999</v>
      </c>
      <c r="C198">
        <v>19.649999999999999</v>
      </c>
      <c r="D198">
        <v>20.36</v>
      </c>
      <c r="E198">
        <v>18.579999999999998</v>
      </c>
      <c r="G198" s="2">
        <v>-1.8700000000000001E-2</v>
      </c>
    </row>
    <row r="199" spans="1:7" x14ac:dyDescent="0.4">
      <c r="A199" s="1">
        <v>45568</v>
      </c>
      <c r="B199">
        <v>20.49</v>
      </c>
      <c r="C199">
        <v>19.63</v>
      </c>
      <c r="D199">
        <v>20.75</v>
      </c>
      <c r="E199">
        <v>19.16</v>
      </c>
      <c r="G199" s="2">
        <v>8.4099999999999994E-2</v>
      </c>
    </row>
    <row r="200" spans="1:7" x14ac:dyDescent="0.4">
      <c r="A200" s="1">
        <v>45569</v>
      </c>
      <c r="B200">
        <v>19.21</v>
      </c>
      <c r="C200">
        <v>20.48</v>
      </c>
      <c r="D200">
        <v>20.48</v>
      </c>
      <c r="E200">
        <v>18.48</v>
      </c>
      <c r="G200" s="2">
        <v>-6.25E-2</v>
      </c>
    </row>
    <row r="201" spans="1:7" x14ac:dyDescent="0.4">
      <c r="A201" s="1">
        <v>45572</v>
      </c>
      <c r="B201">
        <v>22.64</v>
      </c>
      <c r="C201">
        <v>20.76</v>
      </c>
      <c r="D201">
        <v>23.03</v>
      </c>
      <c r="E201">
        <v>20.65</v>
      </c>
      <c r="G201" s="2">
        <v>0.17860000000000001</v>
      </c>
    </row>
    <row r="202" spans="1:7" x14ac:dyDescent="0.4">
      <c r="A202" s="1">
        <v>45573</v>
      </c>
      <c r="B202">
        <v>21.42</v>
      </c>
      <c r="C202">
        <v>22.92</v>
      </c>
      <c r="D202">
        <v>23.14</v>
      </c>
      <c r="E202">
        <v>21.14</v>
      </c>
      <c r="G202" s="2">
        <v>-5.3900000000000003E-2</v>
      </c>
    </row>
    <row r="203" spans="1:7" x14ac:dyDescent="0.4">
      <c r="A203" s="1">
        <v>45574</v>
      </c>
      <c r="B203">
        <v>20.86</v>
      </c>
      <c r="C203">
        <v>21.98</v>
      </c>
      <c r="D203">
        <v>22.01</v>
      </c>
      <c r="E203">
        <v>20.71</v>
      </c>
      <c r="G203" s="2">
        <v>-2.6100000000000002E-2</v>
      </c>
    </row>
    <row r="204" spans="1:7" x14ac:dyDescent="0.4">
      <c r="A204" s="1">
        <v>45575</v>
      </c>
      <c r="B204">
        <v>20.93</v>
      </c>
      <c r="C204">
        <v>20.91</v>
      </c>
      <c r="D204">
        <v>21.39</v>
      </c>
      <c r="E204">
        <v>20.64</v>
      </c>
      <c r="G204" s="2">
        <v>3.3999999999999998E-3</v>
      </c>
    </row>
    <row r="205" spans="1:7" x14ac:dyDescent="0.4">
      <c r="A205" s="1">
        <v>45576</v>
      </c>
      <c r="B205">
        <v>20.46</v>
      </c>
      <c r="C205">
        <v>20.87</v>
      </c>
      <c r="D205">
        <v>21.16</v>
      </c>
      <c r="E205">
        <v>20.14</v>
      </c>
      <c r="G205" s="2">
        <v>-2.2499999999999999E-2</v>
      </c>
    </row>
    <row r="206" spans="1:7" x14ac:dyDescent="0.4">
      <c r="A206" s="1">
        <v>45579</v>
      </c>
      <c r="B206">
        <v>19.7</v>
      </c>
      <c r="C206">
        <v>20.86</v>
      </c>
      <c r="D206">
        <v>20.86</v>
      </c>
      <c r="E206">
        <v>19.690000000000001</v>
      </c>
      <c r="G206" s="2">
        <v>-3.7100000000000001E-2</v>
      </c>
    </row>
    <row r="207" spans="1:7" x14ac:dyDescent="0.4">
      <c r="A207" s="1">
        <v>45580</v>
      </c>
      <c r="B207">
        <v>20.64</v>
      </c>
      <c r="C207">
        <v>19.61</v>
      </c>
      <c r="D207">
        <v>20.89</v>
      </c>
      <c r="E207">
        <v>19.440000000000001</v>
      </c>
      <c r="G207" s="2">
        <v>4.7699999999999999E-2</v>
      </c>
    </row>
    <row r="208" spans="1:7" x14ac:dyDescent="0.4">
      <c r="A208" s="1">
        <v>45581</v>
      </c>
      <c r="B208">
        <v>19.579999999999998</v>
      </c>
      <c r="C208">
        <v>20.77</v>
      </c>
      <c r="D208">
        <v>21.01</v>
      </c>
      <c r="E208">
        <v>19.45</v>
      </c>
      <c r="G208" s="2">
        <v>-5.1400000000000001E-2</v>
      </c>
    </row>
    <row r="209" spans="1:7" x14ac:dyDescent="0.4">
      <c r="A209" s="1">
        <v>45582</v>
      </c>
      <c r="B209">
        <v>19.11</v>
      </c>
      <c r="C209">
        <v>19.55</v>
      </c>
      <c r="D209">
        <v>19.649999999999999</v>
      </c>
      <c r="E209">
        <v>18.88</v>
      </c>
      <c r="G209" s="2">
        <v>-2.4E-2</v>
      </c>
    </row>
    <row r="210" spans="1:7" x14ac:dyDescent="0.4">
      <c r="A210" s="1">
        <v>45583</v>
      </c>
      <c r="B210">
        <v>18.03</v>
      </c>
      <c r="C210">
        <v>19.3</v>
      </c>
      <c r="D210">
        <v>19.32</v>
      </c>
      <c r="E210">
        <v>17.989999999999998</v>
      </c>
      <c r="G210" s="2">
        <v>-5.6500000000000002E-2</v>
      </c>
    </row>
    <row r="211" spans="1:7" x14ac:dyDescent="0.4">
      <c r="A211" s="1">
        <v>45586</v>
      </c>
      <c r="B211">
        <v>18.37</v>
      </c>
      <c r="C211">
        <v>18.78</v>
      </c>
      <c r="D211">
        <v>19.34</v>
      </c>
      <c r="E211">
        <v>18.36</v>
      </c>
      <c r="G211" s="2">
        <v>1.89E-2</v>
      </c>
    </row>
    <row r="212" spans="1:7" x14ac:dyDescent="0.4">
      <c r="A212" s="1">
        <v>45587</v>
      </c>
      <c r="B212">
        <v>18.2</v>
      </c>
      <c r="C212">
        <v>18.79</v>
      </c>
      <c r="D212">
        <v>19.440000000000001</v>
      </c>
      <c r="E212">
        <v>18.05</v>
      </c>
      <c r="G212" s="2">
        <v>-9.2999999999999992E-3</v>
      </c>
    </row>
    <row r="213" spans="1:7" x14ac:dyDescent="0.4">
      <c r="A213" s="1">
        <v>45588</v>
      </c>
      <c r="B213">
        <v>19.239999999999998</v>
      </c>
      <c r="C213">
        <v>18.21</v>
      </c>
      <c r="D213">
        <v>20.47</v>
      </c>
      <c r="E213">
        <v>18.18</v>
      </c>
      <c r="G213" s="2">
        <v>5.7099999999999998E-2</v>
      </c>
    </row>
    <row r="214" spans="1:7" x14ac:dyDescent="0.4">
      <c r="A214" s="1">
        <v>45589</v>
      </c>
      <c r="B214">
        <v>19.079999999999998</v>
      </c>
      <c r="C214">
        <v>18.87</v>
      </c>
      <c r="D214">
        <v>20.239999999999998</v>
      </c>
      <c r="E214">
        <v>18.63</v>
      </c>
      <c r="G214" s="2">
        <v>-8.3000000000000001E-3</v>
      </c>
    </row>
    <row r="215" spans="1:7" x14ac:dyDescent="0.4">
      <c r="A215" s="1">
        <v>45590</v>
      </c>
      <c r="B215">
        <v>20.329999999999998</v>
      </c>
      <c r="C215">
        <v>19.22</v>
      </c>
      <c r="D215">
        <v>20.51</v>
      </c>
      <c r="E215">
        <v>18.23</v>
      </c>
      <c r="G215" s="2">
        <v>6.5500000000000003E-2</v>
      </c>
    </row>
    <row r="216" spans="1:7" x14ac:dyDescent="0.4">
      <c r="A216" s="1">
        <v>45593</v>
      </c>
      <c r="B216">
        <v>19.8</v>
      </c>
      <c r="C216">
        <v>19.11</v>
      </c>
      <c r="D216">
        <v>19.88</v>
      </c>
      <c r="E216">
        <v>18.91</v>
      </c>
      <c r="G216" s="2">
        <v>-2.6100000000000002E-2</v>
      </c>
    </row>
    <row r="217" spans="1:7" x14ac:dyDescent="0.4">
      <c r="A217" s="1">
        <v>45594</v>
      </c>
      <c r="B217">
        <v>19.34</v>
      </c>
      <c r="C217">
        <v>19.75</v>
      </c>
      <c r="D217">
        <v>20.53</v>
      </c>
      <c r="E217">
        <v>19.059999999999999</v>
      </c>
      <c r="G217" s="2">
        <v>-2.3199999999999998E-2</v>
      </c>
    </row>
    <row r="218" spans="1:7" x14ac:dyDescent="0.4">
      <c r="A218" s="1">
        <v>45595</v>
      </c>
      <c r="B218">
        <v>20.350000000000001</v>
      </c>
      <c r="C218">
        <v>19.329999999999998</v>
      </c>
      <c r="D218">
        <v>20.440000000000001</v>
      </c>
      <c r="E218">
        <v>19.3</v>
      </c>
      <c r="G218" s="2">
        <v>5.2200000000000003E-2</v>
      </c>
    </row>
    <row r="219" spans="1:7" x14ac:dyDescent="0.4">
      <c r="A219" s="1">
        <v>45596</v>
      </c>
      <c r="B219">
        <v>23.16</v>
      </c>
      <c r="C219">
        <v>21.44</v>
      </c>
      <c r="D219">
        <v>23.42</v>
      </c>
      <c r="E219">
        <v>21.12</v>
      </c>
      <c r="G219" s="2">
        <v>0.1381</v>
      </c>
    </row>
    <row r="220" spans="1:7" x14ac:dyDescent="0.4">
      <c r="A220" s="1">
        <v>45597</v>
      </c>
      <c r="B220">
        <v>21.88</v>
      </c>
      <c r="C220">
        <v>22.96</v>
      </c>
      <c r="D220">
        <v>23.09</v>
      </c>
      <c r="E220">
        <v>21.16</v>
      </c>
      <c r="G220" s="2">
        <v>-5.5300000000000002E-2</v>
      </c>
    </row>
    <row r="221" spans="1:7" x14ac:dyDescent="0.4">
      <c r="A221" s="1">
        <v>45600</v>
      </c>
      <c r="B221">
        <v>21.98</v>
      </c>
      <c r="C221">
        <v>22.5</v>
      </c>
      <c r="D221">
        <v>23.07</v>
      </c>
      <c r="E221">
        <v>21.73</v>
      </c>
      <c r="G221" s="2">
        <v>4.5999999999999999E-3</v>
      </c>
    </row>
    <row r="222" spans="1:7" x14ac:dyDescent="0.4">
      <c r="A222" s="1">
        <v>45601</v>
      </c>
      <c r="B222">
        <v>20.49</v>
      </c>
      <c r="C222">
        <v>21.98</v>
      </c>
      <c r="D222">
        <v>22.06</v>
      </c>
      <c r="E222">
        <v>20.2</v>
      </c>
      <c r="G222" s="2">
        <v>-6.7799999999999999E-2</v>
      </c>
    </row>
    <row r="223" spans="1:7" x14ac:dyDescent="0.4">
      <c r="A223" s="1">
        <v>45602</v>
      </c>
      <c r="B223">
        <v>16.27</v>
      </c>
      <c r="C223">
        <v>16.059999999999999</v>
      </c>
      <c r="D223">
        <v>16.82</v>
      </c>
      <c r="E223">
        <v>15.44</v>
      </c>
      <c r="G223" s="2">
        <v>-0.20599999999999999</v>
      </c>
    </row>
    <row r="224" spans="1:7" x14ac:dyDescent="0.4">
      <c r="A224" s="1">
        <v>45603</v>
      </c>
      <c r="B224">
        <v>15.2</v>
      </c>
      <c r="C224">
        <v>15.86</v>
      </c>
      <c r="D224">
        <v>15.86</v>
      </c>
      <c r="E224">
        <v>15.13</v>
      </c>
      <c r="G224" s="2">
        <v>-6.5799999999999997E-2</v>
      </c>
    </row>
    <row r="225" spans="1:7" x14ac:dyDescent="0.4">
      <c r="A225" s="1">
        <v>45604</v>
      </c>
      <c r="B225">
        <v>14.94</v>
      </c>
      <c r="C225">
        <v>15.13</v>
      </c>
      <c r="D225">
        <v>15.33</v>
      </c>
      <c r="E225">
        <v>14.66</v>
      </c>
      <c r="G225" s="2">
        <v>-1.7100000000000001E-2</v>
      </c>
    </row>
    <row r="226" spans="1:7" x14ac:dyDescent="0.4">
      <c r="A226" s="1">
        <v>45607</v>
      </c>
      <c r="B226">
        <v>14.97</v>
      </c>
      <c r="C226">
        <v>15.33</v>
      </c>
      <c r="D226">
        <v>15.56</v>
      </c>
      <c r="E226">
        <v>14.89</v>
      </c>
      <c r="G226" s="2">
        <v>2E-3</v>
      </c>
    </row>
    <row r="227" spans="1:7" x14ac:dyDescent="0.4">
      <c r="A227" s="1">
        <v>45608</v>
      </c>
      <c r="B227">
        <v>14.71</v>
      </c>
      <c r="C227">
        <v>15.09</v>
      </c>
      <c r="D227">
        <v>15.37</v>
      </c>
      <c r="E227">
        <v>14.69</v>
      </c>
      <c r="G227" s="2">
        <v>-1.7399999999999999E-2</v>
      </c>
    </row>
    <row r="228" spans="1:7" x14ac:dyDescent="0.4">
      <c r="A228" s="1">
        <v>45609</v>
      </c>
      <c r="B228">
        <v>14.02</v>
      </c>
      <c r="C228">
        <v>15.09</v>
      </c>
      <c r="D228">
        <v>15.26</v>
      </c>
      <c r="E228">
        <v>13.77</v>
      </c>
      <c r="G228" s="2">
        <v>-4.6899999999999997E-2</v>
      </c>
    </row>
    <row r="229" spans="1:7" x14ac:dyDescent="0.4">
      <c r="A229" s="1">
        <v>45610</v>
      </c>
      <c r="B229">
        <v>14.31</v>
      </c>
      <c r="C229">
        <v>14.17</v>
      </c>
      <c r="D229">
        <v>14.32</v>
      </c>
      <c r="E229">
        <v>13.59</v>
      </c>
      <c r="G229" s="2">
        <v>2.07E-2</v>
      </c>
    </row>
    <row r="230" spans="1:7" x14ac:dyDescent="0.4">
      <c r="A230" s="1">
        <v>45611</v>
      </c>
      <c r="B230">
        <v>16.14</v>
      </c>
      <c r="C230">
        <v>15.02</v>
      </c>
      <c r="D230">
        <v>17.55</v>
      </c>
      <c r="E230">
        <v>14.56</v>
      </c>
      <c r="G230" s="2">
        <v>0.12790000000000001</v>
      </c>
    </row>
    <row r="231" spans="1:7" x14ac:dyDescent="0.4">
      <c r="A231" s="1">
        <v>45614</v>
      </c>
      <c r="B231">
        <v>15.58</v>
      </c>
      <c r="C231">
        <v>16.600000000000001</v>
      </c>
      <c r="D231">
        <v>17</v>
      </c>
      <c r="E231">
        <v>15.35</v>
      </c>
      <c r="G231" s="2">
        <v>-3.4700000000000002E-2</v>
      </c>
    </row>
    <row r="232" spans="1:7" x14ac:dyDescent="0.4">
      <c r="A232" s="1">
        <v>45615</v>
      </c>
      <c r="B232">
        <v>16.350000000000001</v>
      </c>
      <c r="C232">
        <v>15.44</v>
      </c>
      <c r="D232">
        <v>17.93</v>
      </c>
      <c r="E232">
        <v>15.37</v>
      </c>
      <c r="G232" s="2">
        <v>4.9399999999999999E-2</v>
      </c>
    </row>
    <row r="233" spans="1:7" x14ac:dyDescent="0.4">
      <c r="A233" s="1">
        <v>45616</v>
      </c>
      <c r="B233">
        <v>17.16</v>
      </c>
      <c r="C233">
        <v>16.190000000000001</v>
      </c>
      <c r="D233">
        <v>18.79</v>
      </c>
      <c r="E233">
        <v>16.04</v>
      </c>
      <c r="G233" s="2">
        <v>4.9500000000000002E-2</v>
      </c>
    </row>
    <row r="234" spans="1:7" x14ac:dyDescent="0.4">
      <c r="A234" s="1">
        <v>45617</v>
      </c>
      <c r="B234">
        <v>16.87</v>
      </c>
      <c r="C234">
        <v>17.100000000000001</v>
      </c>
      <c r="D234">
        <v>17.989999999999998</v>
      </c>
      <c r="E234">
        <v>15.73</v>
      </c>
      <c r="G234" s="2">
        <v>-1.6899999999999998E-2</v>
      </c>
    </row>
    <row r="235" spans="1:7" x14ac:dyDescent="0.4">
      <c r="A235" s="1">
        <v>45618</v>
      </c>
      <c r="B235">
        <v>15.24</v>
      </c>
      <c r="C235">
        <v>16.670000000000002</v>
      </c>
      <c r="D235">
        <v>17.559999999999999</v>
      </c>
      <c r="E235">
        <v>15.24</v>
      </c>
      <c r="G235" s="2">
        <v>-9.6600000000000005E-2</v>
      </c>
    </row>
    <row r="236" spans="1:7" x14ac:dyDescent="0.4">
      <c r="A236" s="1">
        <v>45621</v>
      </c>
      <c r="B236">
        <v>14.6</v>
      </c>
      <c r="C236">
        <v>15.23</v>
      </c>
      <c r="D236">
        <v>15.72</v>
      </c>
      <c r="E236">
        <v>14.54</v>
      </c>
      <c r="G236" s="2">
        <v>-4.2000000000000003E-2</v>
      </c>
    </row>
    <row r="237" spans="1:7" x14ac:dyDescent="0.4">
      <c r="A237" s="1">
        <v>45622</v>
      </c>
      <c r="B237">
        <v>14.1</v>
      </c>
      <c r="C237">
        <v>14.95</v>
      </c>
      <c r="D237">
        <v>15.03</v>
      </c>
      <c r="E237">
        <v>13.88</v>
      </c>
      <c r="G237" s="2">
        <v>-3.4200000000000001E-2</v>
      </c>
    </row>
    <row r="238" spans="1:7" x14ac:dyDescent="0.4">
      <c r="A238" s="1">
        <v>45623</v>
      </c>
      <c r="B238">
        <v>14.1</v>
      </c>
      <c r="C238">
        <v>14.28</v>
      </c>
      <c r="D238">
        <v>15.13</v>
      </c>
      <c r="E238">
        <v>13.96</v>
      </c>
      <c r="G238" s="2">
        <v>0</v>
      </c>
    </row>
    <row r="239" spans="1:7" x14ac:dyDescent="0.4">
      <c r="A239" s="1">
        <v>45624</v>
      </c>
      <c r="B239">
        <v>13.9</v>
      </c>
      <c r="C239">
        <v>14.07</v>
      </c>
      <c r="D239">
        <v>14.07</v>
      </c>
      <c r="E239">
        <v>13.87</v>
      </c>
      <c r="G239" s="2">
        <v>-1.4200000000000001E-2</v>
      </c>
    </row>
    <row r="240" spans="1:7" x14ac:dyDescent="0.4">
      <c r="A240" s="1">
        <v>45625</v>
      </c>
      <c r="B240">
        <v>13.51</v>
      </c>
      <c r="C240">
        <v>14</v>
      </c>
      <c r="D240">
        <v>14.15</v>
      </c>
      <c r="E240">
        <v>13.49</v>
      </c>
      <c r="G240" s="2">
        <v>-2.81E-2</v>
      </c>
    </row>
    <row r="241" spans="1:7" x14ac:dyDescent="0.4">
      <c r="A241" s="1">
        <v>45628</v>
      </c>
      <c r="B241">
        <v>13.34</v>
      </c>
      <c r="C241">
        <v>14.08</v>
      </c>
      <c r="D241">
        <v>14.1</v>
      </c>
      <c r="E241">
        <v>13.3</v>
      </c>
      <c r="G241" s="2">
        <v>-1.26E-2</v>
      </c>
    </row>
    <row r="242" spans="1:7" x14ac:dyDescent="0.4">
      <c r="A242" s="1">
        <v>45629</v>
      </c>
      <c r="B242">
        <v>13.3</v>
      </c>
      <c r="C242">
        <v>13.38</v>
      </c>
      <c r="D242">
        <v>13.77</v>
      </c>
      <c r="E242">
        <v>13.19</v>
      </c>
      <c r="G242" s="2">
        <v>-3.0000000000000001E-3</v>
      </c>
    </row>
    <row r="243" spans="1:7" x14ac:dyDescent="0.4">
      <c r="A243" s="1">
        <v>45630</v>
      </c>
      <c r="B243">
        <v>13.45</v>
      </c>
      <c r="C243">
        <v>13.16</v>
      </c>
      <c r="D243">
        <v>13.61</v>
      </c>
      <c r="E243">
        <v>12.89</v>
      </c>
      <c r="G243" s="2">
        <v>1.1299999999999999E-2</v>
      </c>
    </row>
    <row r="244" spans="1:7" x14ac:dyDescent="0.4">
      <c r="A244" s="1">
        <v>45631</v>
      </c>
      <c r="B244">
        <v>13.54</v>
      </c>
      <c r="C244">
        <v>13.46</v>
      </c>
      <c r="D244">
        <v>13.7</v>
      </c>
      <c r="E244">
        <v>13.26</v>
      </c>
      <c r="G244" s="2">
        <v>6.7000000000000002E-3</v>
      </c>
    </row>
    <row r="245" spans="1:7" x14ac:dyDescent="0.4">
      <c r="A245" s="1">
        <v>45632</v>
      </c>
      <c r="B245">
        <v>12.77</v>
      </c>
      <c r="C245">
        <v>13.62</v>
      </c>
      <c r="D245">
        <v>13.74</v>
      </c>
      <c r="E245">
        <v>12.7</v>
      </c>
      <c r="G245" s="2">
        <v>-5.6899999999999999E-2</v>
      </c>
    </row>
    <row r="246" spans="1:7" x14ac:dyDescent="0.4">
      <c r="A246" s="1">
        <v>45635</v>
      </c>
      <c r="B246">
        <v>14.19</v>
      </c>
      <c r="C246">
        <v>13.36</v>
      </c>
      <c r="D246">
        <v>14.23</v>
      </c>
      <c r="E246">
        <v>13.35</v>
      </c>
      <c r="G246" s="2">
        <v>0.11119999999999999</v>
      </c>
    </row>
    <row r="247" spans="1:7" x14ac:dyDescent="0.4">
      <c r="A247" s="1">
        <v>45636</v>
      </c>
      <c r="B247">
        <v>14.18</v>
      </c>
      <c r="C247">
        <v>14.3</v>
      </c>
      <c r="D247">
        <v>14.54</v>
      </c>
      <c r="E247">
        <v>13.86</v>
      </c>
      <c r="G247" s="2">
        <v>-6.9999999999999999E-4</v>
      </c>
    </row>
    <row r="248" spans="1:7" x14ac:dyDescent="0.4">
      <c r="A248" s="1">
        <v>45637</v>
      </c>
      <c r="B248">
        <v>13.58</v>
      </c>
      <c r="C248">
        <v>14.42</v>
      </c>
      <c r="D248">
        <v>14.43</v>
      </c>
      <c r="E248">
        <v>13.52</v>
      </c>
      <c r="G248" s="2">
        <v>-4.2299999999999997E-2</v>
      </c>
    </row>
    <row r="249" spans="1:7" x14ac:dyDescent="0.4">
      <c r="A249" s="1">
        <v>45638</v>
      </c>
      <c r="B249">
        <v>13.92</v>
      </c>
      <c r="C249">
        <v>13.73</v>
      </c>
      <c r="D249">
        <v>13.95</v>
      </c>
      <c r="E249">
        <v>13.39</v>
      </c>
      <c r="G249" s="2">
        <v>2.5000000000000001E-2</v>
      </c>
    </row>
    <row r="250" spans="1:7" x14ac:dyDescent="0.4">
      <c r="A250" s="1">
        <v>45639</v>
      </c>
      <c r="B250">
        <v>13.81</v>
      </c>
      <c r="C250">
        <v>13.57</v>
      </c>
      <c r="D250">
        <v>14.25</v>
      </c>
      <c r="E250">
        <v>13.24</v>
      </c>
      <c r="G250" s="2">
        <v>-7.9000000000000008E-3</v>
      </c>
    </row>
    <row r="251" spans="1:7" x14ac:dyDescent="0.4">
      <c r="A251" s="1">
        <v>45642</v>
      </c>
      <c r="B251">
        <v>14.69</v>
      </c>
      <c r="C251">
        <v>14.37</v>
      </c>
      <c r="D251">
        <v>14.69</v>
      </c>
      <c r="E251">
        <v>13.99</v>
      </c>
      <c r="G251" s="2">
        <v>6.3700000000000007E-2</v>
      </c>
    </row>
    <row r="252" spans="1:7" x14ac:dyDescent="0.4">
      <c r="A252" s="1">
        <v>45643</v>
      </c>
      <c r="B252">
        <v>15.87</v>
      </c>
      <c r="C252">
        <v>14.98</v>
      </c>
      <c r="D252">
        <v>15.94</v>
      </c>
      <c r="E252">
        <v>14.78</v>
      </c>
      <c r="G252" s="2">
        <v>8.0299999999999996E-2</v>
      </c>
    </row>
    <row r="253" spans="1:7" x14ac:dyDescent="0.4">
      <c r="A253" s="1">
        <v>45644</v>
      </c>
      <c r="B253">
        <v>27.62</v>
      </c>
      <c r="C253">
        <v>15.57</v>
      </c>
      <c r="D253">
        <v>28.32</v>
      </c>
      <c r="E253">
        <v>14.82</v>
      </c>
      <c r="G253" s="2">
        <v>0.74039999999999995</v>
      </c>
    </row>
    <row r="254" spans="1:7" x14ac:dyDescent="0.4">
      <c r="A254" s="1">
        <v>45645</v>
      </c>
      <c r="B254">
        <v>24.09</v>
      </c>
      <c r="C254">
        <v>21.61</v>
      </c>
      <c r="D254">
        <v>24.12</v>
      </c>
      <c r="E254">
        <v>20.16</v>
      </c>
      <c r="G254" s="2">
        <v>-0.1278</v>
      </c>
    </row>
    <row r="255" spans="1:7" x14ac:dyDescent="0.4">
      <c r="A255" s="1">
        <v>45646</v>
      </c>
      <c r="B255">
        <v>18.36</v>
      </c>
      <c r="C255">
        <v>24.14</v>
      </c>
      <c r="D255">
        <v>26.51</v>
      </c>
      <c r="E255">
        <v>17.82</v>
      </c>
      <c r="G255" s="2">
        <v>-0.2379</v>
      </c>
    </row>
    <row r="256" spans="1:7" x14ac:dyDescent="0.4">
      <c r="A256" s="1">
        <v>45649</v>
      </c>
      <c r="B256">
        <v>16.78</v>
      </c>
      <c r="C256">
        <v>18.09</v>
      </c>
      <c r="D256">
        <v>20.02</v>
      </c>
      <c r="E256">
        <v>16.739999999999998</v>
      </c>
      <c r="G256" s="2">
        <v>-8.6099999999999996E-2</v>
      </c>
    </row>
    <row r="257" spans="1:7" x14ac:dyDescent="0.4">
      <c r="A257" s="1">
        <v>45650</v>
      </c>
      <c r="B257">
        <v>14.27</v>
      </c>
      <c r="C257">
        <v>16.97</v>
      </c>
      <c r="D257">
        <v>17.04</v>
      </c>
      <c r="E257">
        <v>14.27</v>
      </c>
      <c r="G257" s="2">
        <v>-0.14960000000000001</v>
      </c>
    </row>
    <row r="258" spans="1:7" x14ac:dyDescent="0.4">
      <c r="A258" s="1">
        <v>45652</v>
      </c>
      <c r="B258">
        <v>14.73</v>
      </c>
      <c r="C258">
        <v>14.99</v>
      </c>
      <c r="D258">
        <v>15.93</v>
      </c>
      <c r="E258">
        <v>14.55</v>
      </c>
      <c r="G258" s="2">
        <v>3.2199999999999999E-2</v>
      </c>
    </row>
    <row r="259" spans="1:7" x14ac:dyDescent="0.4">
      <c r="A259" s="1">
        <v>45653</v>
      </c>
      <c r="B259">
        <v>15.95</v>
      </c>
      <c r="C259">
        <v>15.38</v>
      </c>
      <c r="D259">
        <v>18.45</v>
      </c>
      <c r="E259">
        <v>15.29</v>
      </c>
      <c r="G259" s="2">
        <v>8.2799999999999999E-2</v>
      </c>
    </row>
    <row r="260" spans="1:7" x14ac:dyDescent="0.4">
      <c r="A260" s="1">
        <v>45656</v>
      </c>
      <c r="B260">
        <v>17.399999999999999</v>
      </c>
      <c r="C260">
        <v>17.21</v>
      </c>
      <c r="D260">
        <v>19.22</v>
      </c>
      <c r="E260">
        <v>16.440000000000001</v>
      </c>
      <c r="G260" s="2">
        <v>9.0899999999999995E-2</v>
      </c>
    </row>
    <row r="261" spans="1:7" x14ac:dyDescent="0.4">
      <c r="A261" s="1">
        <v>45657</v>
      </c>
      <c r="B261">
        <v>17.350000000000001</v>
      </c>
      <c r="C261">
        <v>17.39</v>
      </c>
      <c r="D261">
        <v>17.809999999999999</v>
      </c>
      <c r="E261">
        <v>16.68</v>
      </c>
      <c r="G261" s="2">
        <v>-2.8999999999999998E-3</v>
      </c>
    </row>
    <row r="262" spans="1:7" x14ac:dyDescent="0.4">
      <c r="A262" s="1">
        <v>45659</v>
      </c>
      <c r="B262">
        <v>17.93</v>
      </c>
      <c r="C262">
        <v>17.21</v>
      </c>
      <c r="D262">
        <v>19.5</v>
      </c>
      <c r="E262">
        <v>16.96</v>
      </c>
      <c r="G262" s="2">
        <v>3.3399999999999999E-2</v>
      </c>
    </row>
    <row r="263" spans="1:7" x14ac:dyDescent="0.4">
      <c r="A263" s="1">
        <v>45660</v>
      </c>
      <c r="B263">
        <v>16.13</v>
      </c>
      <c r="C263">
        <v>17.66</v>
      </c>
      <c r="D263">
        <v>17.940000000000001</v>
      </c>
      <c r="E263">
        <v>16.11</v>
      </c>
      <c r="G263" s="2">
        <v>-0.1004</v>
      </c>
    </row>
    <row r="264" spans="1:7" x14ac:dyDescent="0.4">
      <c r="A264" s="1">
        <v>45663</v>
      </c>
      <c r="B264">
        <v>16.04</v>
      </c>
      <c r="C264">
        <v>16.77</v>
      </c>
      <c r="D264">
        <v>16.87</v>
      </c>
      <c r="E264">
        <v>15.71</v>
      </c>
      <c r="G264" s="2">
        <v>-5.5999999999999999E-3</v>
      </c>
    </row>
    <row r="265" spans="1:7" x14ac:dyDescent="0.4">
      <c r="A265" s="1">
        <v>45664</v>
      </c>
      <c r="B265">
        <v>17.82</v>
      </c>
      <c r="C265">
        <v>16.48</v>
      </c>
      <c r="D265">
        <v>18.899999999999999</v>
      </c>
      <c r="E265">
        <v>15.79</v>
      </c>
      <c r="G265" s="2">
        <v>0.111</v>
      </c>
    </row>
    <row r="266" spans="1:7" x14ac:dyDescent="0.4">
      <c r="A266" s="1">
        <v>45665</v>
      </c>
      <c r="B266">
        <v>17.7</v>
      </c>
      <c r="C266">
        <v>17.91</v>
      </c>
      <c r="D266">
        <v>19.5</v>
      </c>
      <c r="E266">
        <v>17.37</v>
      </c>
      <c r="G266" s="2">
        <v>-6.7000000000000002E-3</v>
      </c>
    </row>
    <row r="267" spans="1:7" x14ac:dyDescent="0.4">
      <c r="A267" s="1">
        <v>45666</v>
      </c>
      <c r="B267">
        <v>18.07</v>
      </c>
      <c r="C267">
        <v>18.510000000000002</v>
      </c>
      <c r="D267">
        <v>18.52</v>
      </c>
      <c r="E267">
        <v>17.95</v>
      </c>
      <c r="G267" s="2">
        <v>2.0899999999999998E-2</v>
      </c>
    </row>
    <row r="268" spans="1:7" x14ac:dyDescent="0.4">
      <c r="A268" s="1">
        <v>45667</v>
      </c>
      <c r="B268">
        <v>19.54</v>
      </c>
      <c r="C268">
        <v>18.29</v>
      </c>
      <c r="D268">
        <v>20.309999999999999</v>
      </c>
      <c r="E268">
        <v>18.05</v>
      </c>
      <c r="G268" s="2">
        <v>8.14E-2</v>
      </c>
    </row>
    <row r="269" spans="1:7" x14ac:dyDescent="0.4">
      <c r="A269" s="1">
        <v>45670</v>
      </c>
      <c r="B269">
        <v>19.190000000000001</v>
      </c>
      <c r="C269">
        <v>21.18</v>
      </c>
      <c r="D269">
        <v>22.04</v>
      </c>
      <c r="E269">
        <v>19.149999999999999</v>
      </c>
      <c r="G269" s="2">
        <v>-1.7899999999999999E-2</v>
      </c>
    </row>
    <row r="270" spans="1:7" x14ac:dyDescent="0.4">
      <c r="A270" s="1">
        <v>45671</v>
      </c>
      <c r="B270">
        <v>18.71</v>
      </c>
      <c r="C270">
        <v>18.79</v>
      </c>
      <c r="D270">
        <v>19.66</v>
      </c>
      <c r="E270">
        <v>18.239999999999998</v>
      </c>
      <c r="G270" s="2">
        <v>-2.5000000000000001E-2</v>
      </c>
    </row>
    <row r="271" spans="1:7" x14ac:dyDescent="0.4">
      <c r="A271" s="1">
        <v>45672</v>
      </c>
      <c r="B271">
        <v>16.12</v>
      </c>
      <c r="C271">
        <v>19.079999999999998</v>
      </c>
      <c r="D271">
        <v>19.14</v>
      </c>
      <c r="E271">
        <v>15.96</v>
      </c>
      <c r="G271" s="2">
        <v>-0.1384</v>
      </c>
    </row>
    <row r="272" spans="1:7" x14ac:dyDescent="0.4">
      <c r="A272" s="1">
        <v>45673</v>
      </c>
      <c r="B272">
        <v>16.600000000000001</v>
      </c>
      <c r="C272">
        <v>15.87</v>
      </c>
      <c r="D272">
        <v>16.600000000000001</v>
      </c>
      <c r="E272">
        <v>15.64</v>
      </c>
      <c r="G272" s="2">
        <v>2.98E-2</v>
      </c>
    </row>
    <row r="273" spans="1:7" x14ac:dyDescent="0.4">
      <c r="A273" s="1">
        <v>45674</v>
      </c>
      <c r="B273">
        <v>15.97</v>
      </c>
      <c r="C273">
        <v>16.190000000000001</v>
      </c>
      <c r="D273">
        <v>16.23</v>
      </c>
      <c r="E273">
        <v>15.53</v>
      </c>
      <c r="G273" s="2">
        <v>-3.7999999999999999E-2</v>
      </c>
    </row>
    <row r="274" spans="1:7" x14ac:dyDescent="0.4">
      <c r="A274" s="1">
        <v>45677</v>
      </c>
      <c r="B274">
        <v>15.81</v>
      </c>
      <c r="C274">
        <v>16.46</v>
      </c>
      <c r="D274">
        <v>16.59</v>
      </c>
      <c r="E274">
        <v>15.8</v>
      </c>
      <c r="G274" s="2">
        <v>-0.01</v>
      </c>
    </row>
    <row r="275" spans="1:7" x14ac:dyDescent="0.4">
      <c r="A275" s="1">
        <v>45678</v>
      </c>
      <c r="B275">
        <v>15.06</v>
      </c>
      <c r="C275">
        <v>16.29</v>
      </c>
      <c r="D275">
        <v>16.29</v>
      </c>
      <c r="E275">
        <v>14.93</v>
      </c>
      <c r="G275" s="2">
        <v>-4.7399999999999998E-2</v>
      </c>
    </row>
    <row r="276" spans="1:7" x14ac:dyDescent="0.4">
      <c r="A276" s="1">
        <v>45679</v>
      </c>
      <c r="B276">
        <v>15.1</v>
      </c>
      <c r="C276">
        <v>14.89</v>
      </c>
      <c r="D276">
        <v>15.29</v>
      </c>
      <c r="E276">
        <v>14.59</v>
      </c>
      <c r="G276" s="2">
        <v>2.7000000000000001E-3</v>
      </c>
    </row>
    <row r="277" spans="1:7" x14ac:dyDescent="0.4">
      <c r="A277" s="1">
        <v>45680</v>
      </c>
      <c r="B277">
        <v>15.02</v>
      </c>
      <c r="C277">
        <v>15.28</v>
      </c>
      <c r="D277">
        <v>15.39</v>
      </c>
      <c r="E277">
        <v>14.59</v>
      </c>
      <c r="G277" s="2">
        <v>-5.3E-3</v>
      </c>
    </row>
    <row r="278" spans="1:7" x14ac:dyDescent="0.4">
      <c r="A278" s="1">
        <v>45681</v>
      </c>
      <c r="B278">
        <v>14.85</v>
      </c>
      <c r="C278">
        <v>15.02</v>
      </c>
      <c r="D278">
        <v>15.16</v>
      </c>
      <c r="E278">
        <v>14.58</v>
      </c>
      <c r="G278" s="2">
        <v>-1.1299999999999999E-2</v>
      </c>
    </row>
    <row r="279" spans="1:7" x14ac:dyDescent="0.4">
      <c r="A279" s="1">
        <v>45684</v>
      </c>
      <c r="B279">
        <v>17.899999999999999</v>
      </c>
      <c r="C279">
        <v>18.829999999999998</v>
      </c>
      <c r="D279">
        <v>22.51</v>
      </c>
      <c r="E279">
        <v>17.57</v>
      </c>
      <c r="G279" s="2">
        <v>0.2054</v>
      </c>
    </row>
    <row r="280" spans="1:7" x14ac:dyDescent="0.4">
      <c r="A280" s="1">
        <v>45685</v>
      </c>
      <c r="B280">
        <v>16.41</v>
      </c>
      <c r="C280">
        <v>18.29</v>
      </c>
      <c r="D280">
        <v>18.39</v>
      </c>
      <c r="E280">
        <v>16.25</v>
      </c>
      <c r="G280" s="2">
        <v>-8.3199999999999996E-2</v>
      </c>
    </row>
    <row r="281" spans="1:7" x14ac:dyDescent="0.4">
      <c r="A281" s="1">
        <v>45686</v>
      </c>
      <c r="B281">
        <v>16.559999999999999</v>
      </c>
      <c r="C281">
        <v>16.420000000000002</v>
      </c>
      <c r="D281">
        <v>18.079999999999998</v>
      </c>
      <c r="E281">
        <v>16.170000000000002</v>
      </c>
      <c r="G281" s="2">
        <v>9.1000000000000004E-3</v>
      </c>
    </row>
    <row r="282" spans="1:7" x14ac:dyDescent="0.4">
      <c r="A282" s="1">
        <v>45687</v>
      </c>
      <c r="B282">
        <v>15.84</v>
      </c>
      <c r="C282">
        <v>15.93</v>
      </c>
      <c r="D282">
        <v>16.420000000000002</v>
      </c>
      <c r="E282">
        <v>15.32</v>
      </c>
      <c r="G282" s="2">
        <v>-4.3499999999999997E-2</v>
      </c>
    </row>
    <row r="283" spans="1:7" x14ac:dyDescent="0.4">
      <c r="A283" s="1">
        <v>45688</v>
      </c>
      <c r="B283">
        <v>16.43</v>
      </c>
      <c r="C283">
        <v>15.45</v>
      </c>
      <c r="D283">
        <v>17.09</v>
      </c>
      <c r="E283">
        <v>14.9</v>
      </c>
      <c r="G283" s="2">
        <v>3.7199999999999997E-2</v>
      </c>
    </row>
    <row r="284" spans="1:7" x14ac:dyDescent="0.4">
      <c r="A284" s="1">
        <v>45691</v>
      </c>
      <c r="B284">
        <v>18.62</v>
      </c>
      <c r="C284">
        <v>20.36</v>
      </c>
      <c r="D284">
        <v>20.420000000000002</v>
      </c>
      <c r="E284">
        <v>17.66</v>
      </c>
      <c r="G284" s="2">
        <v>0.1333</v>
      </c>
    </row>
    <row r="285" spans="1:7" x14ac:dyDescent="0.4">
      <c r="A285" s="1">
        <v>45692</v>
      </c>
      <c r="B285">
        <v>17.21</v>
      </c>
      <c r="C285">
        <v>18.78</v>
      </c>
      <c r="D285">
        <v>19.11</v>
      </c>
      <c r="E285">
        <v>16.78</v>
      </c>
      <c r="G285" s="2">
        <v>-7.5700000000000003E-2</v>
      </c>
    </row>
    <row r="286" spans="1:7" x14ac:dyDescent="0.4">
      <c r="A286" s="1">
        <v>45693</v>
      </c>
      <c r="B286">
        <v>15.77</v>
      </c>
      <c r="C286">
        <v>17.54</v>
      </c>
      <c r="D286">
        <v>17.75</v>
      </c>
      <c r="E286">
        <v>15.77</v>
      </c>
      <c r="G286" s="2">
        <v>-8.3699999999999997E-2</v>
      </c>
    </row>
    <row r="287" spans="1:7" x14ac:dyDescent="0.4">
      <c r="A287" s="1">
        <v>45694</v>
      </c>
      <c r="B287">
        <v>15.5</v>
      </c>
      <c r="C287">
        <v>15.88</v>
      </c>
      <c r="D287">
        <v>16.149999999999999</v>
      </c>
      <c r="E287">
        <v>14.99</v>
      </c>
      <c r="G287" s="2">
        <v>-1.7100000000000001E-2</v>
      </c>
    </row>
    <row r="288" spans="1:7" x14ac:dyDescent="0.4">
      <c r="A288" s="1">
        <v>45695</v>
      </c>
      <c r="B288">
        <v>16.54</v>
      </c>
      <c r="C288">
        <v>15.38</v>
      </c>
      <c r="D288">
        <v>16.66</v>
      </c>
      <c r="E288">
        <v>14.79</v>
      </c>
      <c r="G288" s="2">
        <v>6.7100000000000007E-2</v>
      </c>
    </row>
    <row r="289" spans="1:7" x14ac:dyDescent="0.4">
      <c r="A289" s="1">
        <v>45698</v>
      </c>
      <c r="B289">
        <v>15.81</v>
      </c>
      <c r="C289">
        <v>16.579999999999998</v>
      </c>
      <c r="D289">
        <v>16.61</v>
      </c>
      <c r="E289">
        <v>15.7</v>
      </c>
      <c r="G289" s="2">
        <v>-4.41E-2</v>
      </c>
    </row>
    <row r="290" spans="1:7" x14ac:dyDescent="0.4">
      <c r="A290" s="1">
        <v>45699</v>
      </c>
      <c r="B290">
        <v>16.02</v>
      </c>
      <c r="C290">
        <v>16.13</v>
      </c>
      <c r="D290">
        <v>16.420000000000002</v>
      </c>
      <c r="E290">
        <v>15.75</v>
      </c>
      <c r="G290" s="2">
        <v>1.3299999999999999E-2</v>
      </c>
    </row>
    <row r="291" spans="1:7" x14ac:dyDescent="0.4">
      <c r="A291" s="1">
        <v>45700</v>
      </c>
      <c r="B291">
        <v>15.89</v>
      </c>
      <c r="C291">
        <v>15.91</v>
      </c>
      <c r="D291">
        <v>17.18</v>
      </c>
      <c r="E291">
        <v>15.64</v>
      </c>
      <c r="G291" s="2">
        <v>-8.0999999999999996E-3</v>
      </c>
    </row>
    <row r="292" spans="1:7" x14ac:dyDescent="0.4">
      <c r="A292" s="1">
        <v>45701</v>
      </c>
      <c r="B292">
        <v>15.1</v>
      </c>
      <c r="C292">
        <v>15.97</v>
      </c>
      <c r="D292">
        <v>16.329999999999998</v>
      </c>
      <c r="E292">
        <v>14.98</v>
      </c>
      <c r="G292" s="2">
        <v>-4.9700000000000001E-2</v>
      </c>
    </row>
    <row r="293" spans="1:7" x14ac:dyDescent="0.4">
      <c r="A293" s="1">
        <v>45702</v>
      </c>
      <c r="B293">
        <v>14.77</v>
      </c>
      <c r="C293">
        <v>15.08</v>
      </c>
      <c r="D293">
        <v>15.42</v>
      </c>
      <c r="E293">
        <v>14.74</v>
      </c>
      <c r="G293" s="2">
        <v>-2.1899999999999999E-2</v>
      </c>
    </row>
    <row r="294" spans="1:7" x14ac:dyDescent="0.4">
      <c r="A294" s="1">
        <v>45705</v>
      </c>
      <c r="B294">
        <v>15.37</v>
      </c>
      <c r="C294">
        <v>15.38</v>
      </c>
      <c r="D294">
        <v>15.57</v>
      </c>
      <c r="E294">
        <v>15.34</v>
      </c>
      <c r="G294" s="2">
        <v>4.0599999999999997E-2</v>
      </c>
    </row>
    <row r="295" spans="1:7" x14ac:dyDescent="0.4">
      <c r="A295" s="1">
        <v>45706</v>
      </c>
      <c r="B295">
        <v>15.35</v>
      </c>
      <c r="C295">
        <v>15.57</v>
      </c>
      <c r="D295">
        <v>16.03</v>
      </c>
      <c r="E295">
        <v>15.35</v>
      </c>
      <c r="G295" s="2">
        <v>-1.2999999999999999E-3</v>
      </c>
    </row>
    <row r="296" spans="1:7" x14ac:dyDescent="0.4">
      <c r="A296" s="1">
        <v>45707</v>
      </c>
      <c r="B296">
        <v>15.27</v>
      </c>
      <c r="C296">
        <v>15.14</v>
      </c>
      <c r="D296">
        <v>15.96</v>
      </c>
      <c r="E296">
        <v>15.05</v>
      </c>
      <c r="G296" s="2">
        <v>-5.1999999999999998E-3</v>
      </c>
    </row>
    <row r="297" spans="1:7" x14ac:dyDescent="0.4">
      <c r="A297" s="1">
        <v>45708</v>
      </c>
      <c r="B297">
        <v>15.66</v>
      </c>
      <c r="C297">
        <v>15.61</v>
      </c>
      <c r="D297">
        <v>16.63</v>
      </c>
      <c r="E297">
        <v>15.12</v>
      </c>
      <c r="G297" s="2">
        <v>2.5499999999999998E-2</v>
      </c>
    </row>
    <row r="298" spans="1:7" x14ac:dyDescent="0.4">
      <c r="A298" s="1">
        <v>45709</v>
      </c>
      <c r="B298">
        <v>18.21</v>
      </c>
      <c r="C298">
        <v>15.63</v>
      </c>
      <c r="D298">
        <v>19.03</v>
      </c>
      <c r="E298">
        <v>15.28</v>
      </c>
      <c r="G298" s="2">
        <v>0.1628</v>
      </c>
    </row>
    <row r="299" spans="1:7" x14ac:dyDescent="0.4">
      <c r="A299" s="1">
        <v>45712</v>
      </c>
      <c r="B299">
        <v>18.98</v>
      </c>
      <c r="C299">
        <v>18.079999999999998</v>
      </c>
      <c r="D299">
        <v>20.239999999999998</v>
      </c>
      <c r="E299">
        <v>17.309999999999999</v>
      </c>
      <c r="G299" s="2">
        <v>4.2299999999999997E-2</v>
      </c>
    </row>
    <row r="300" spans="1:7" x14ac:dyDescent="0.4">
      <c r="A300" s="1">
        <v>45713</v>
      </c>
      <c r="B300">
        <v>19.43</v>
      </c>
      <c r="C300">
        <v>19.09</v>
      </c>
      <c r="D300">
        <v>21.48</v>
      </c>
      <c r="E300">
        <v>18.850000000000001</v>
      </c>
      <c r="G300" s="2">
        <v>2.3699999999999999E-2</v>
      </c>
    </row>
    <row r="301" spans="1:7" x14ac:dyDescent="0.4">
      <c r="A301" s="1">
        <v>45714</v>
      </c>
      <c r="B301">
        <v>19.100000000000001</v>
      </c>
      <c r="C301">
        <v>18.96</v>
      </c>
      <c r="D301">
        <v>20.059999999999999</v>
      </c>
      <c r="E301">
        <v>17.829999999999998</v>
      </c>
      <c r="G301" s="2">
        <v>-1.7000000000000001E-2</v>
      </c>
    </row>
    <row r="302" spans="1:7" x14ac:dyDescent="0.4">
      <c r="A302" s="1">
        <v>45715</v>
      </c>
      <c r="B302">
        <v>21.13</v>
      </c>
      <c r="C302">
        <v>18.25</v>
      </c>
      <c r="D302">
        <v>21.47</v>
      </c>
      <c r="E302">
        <v>17.670000000000002</v>
      </c>
      <c r="G302" s="2">
        <v>0.10630000000000001</v>
      </c>
    </row>
    <row r="303" spans="1:7" x14ac:dyDescent="0.4">
      <c r="A303" s="1">
        <v>45716</v>
      </c>
      <c r="B303">
        <v>19.63</v>
      </c>
      <c r="C303">
        <v>21.21</v>
      </c>
      <c r="D303">
        <v>22.4</v>
      </c>
      <c r="E303">
        <v>19.05</v>
      </c>
      <c r="G303" s="2">
        <v>-7.0999999999999994E-2</v>
      </c>
    </row>
    <row r="304" spans="1:7" x14ac:dyDescent="0.4">
      <c r="A304" s="1">
        <v>45719</v>
      </c>
      <c r="B304">
        <v>22.78</v>
      </c>
      <c r="C304">
        <v>19.829999999999998</v>
      </c>
      <c r="D304">
        <v>24.31</v>
      </c>
      <c r="E304">
        <v>19.25</v>
      </c>
      <c r="G304" s="2">
        <v>0.1605</v>
      </c>
    </row>
    <row r="305" spans="1:7" x14ac:dyDescent="0.4">
      <c r="A305" s="1">
        <v>45720</v>
      </c>
      <c r="B305">
        <v>23.51</v>
      </c>
      <c r="C305">
        <v>22.96</v>
      </c>
      <c r="D305">
        <v>26.35</v>
      </c>
      <c r="E305">
        <v>21.71</v>
      </c>
      <c r="G305" s="2">
        <v>3.2000000000000001E-2</v>
      </c>
    </row>
    <row r="306" spans="1:7" x14ac:dyDescent="0.4">
      <c r="A306" s="1">
        <v>45721</v>
      </c>
      <c r="B306">
        <v>21.93</v>
      </c>
      <c r="C306">
        <v>23.03</v>
      </c>
      <c r="D306">
        <v>24.84</v>
      </c>
      <c r="E306">
        <v>21.37</v>
      </c>
      <c r="G306" s="2">
        <v>-6.7199999999999996E-2</v>
      </c>
    </row>
    <row r="307" spans="1:7" x14ac:dyDescent="0.4">
      <c r="A307" s="1">
        <v>45722</v>
      </c>
      <c r="B307">
        <v>24.87</v>
      </c>
      <c r="C307">
        <v>22.6</v>
      </c>
      <c r="D307">
        <v>25.92</v>
      </c>
      <c r="E307">
        <v>22.39</v>
      </c>
      <c r="G307" s="2">
        <v>0.1341</v>
      </c>
    </row>
    <row r="308" spans="1:7" x14ac:dyDescent="0.4">
      <c r="A308" s="1">
        <v>45723</v>
      </c>
      <c r="B308">
        <v>23.37</v>
      </c>
      <c r="C308">
        <v>24.85</v>
      </c>
      <c r="D308">
        <v>26.56</v>
      </c>
      <c r="E308">
        <v>23.09</v>
      </c>
      <c r="G308" s="2">
        <v>-6.0299999999999999E-2</v>
      </c>
    </row>
    <row r="309" spans="1:7" x14ac:dyDescent="0.4">
      <c r="A309" s="1">
        <v>45726</v>
      </c>
      <c r="B309">
        <v>27.86</v>
      </c>
      <c r="C309">
        <v>24.7</v>
      </c>
      <c r="D309">
        <v>29.56</v>
      </c>
      <c r="E309">
        <v>24.68</v>
      </c>
      <c r="G309" s="2">
        <v>0.19209999999999999</v>
      </c>
    </row>
    <row r="310" spans="1:7" x14ac:dyDescent="0.4">
      <c r="A310" s="1">
        <v>45727</v>
      </c>
      <c r="B310">
        <v>26.92</v>
      </c>
      <c r="C310">
        <v>27.94</v>
      </c>
      <c r="D310">
        <v>29.57</v>
      </c>
      <c r="E310">
        <v>26.18</v>
      </c>
      <c r="G310" s="2">
        <v>-3.3700000000000001E-2</v>
      </c>
    </row>
    <row r="311" spans="1:7" x14ac:dyDescent="0.4">
      <c r="A311" s="1">
        <v>45728</v>
      </c>
      <c r="B311">
        <v>24.23</v>
      </c>
      <c r="C311">
        <v>26.88</v>
      </c>
      <c r="D311">
        <v>26.91</v>
      </c>
      <c r="E311">
        <v>23.89</v>
      </c>
      <c r="G311" s="2">
        <v>-9.9900000000000003E-2</v>
      </c>
    </row>
    <row r="312" spans="1:7" x14ac:dyDescent="0.4">
      <c r="A312" s="1">
        <v>45729</v>
      </c>
      <c r="B312">
        <v>24.66</v>
      </c>
      <c r="C312">
        <v>24.92</v>
      </c>
      <c r="D312">
        <v>26.13</v>
      </c>
      <c r="E312">
        <v>23.46</v>
      </c>
      <c r="G312" s="2">
        <v>1.77E-2</v>
      </c>
    </row>
    <row r="313" spans="1:7" x14ac:dyDescent="0.4">
      <c r="A313" s="1">
        <v>45730</v>
      </c>
      <c r="B313">
        <v>21.77</v>
      </c>
      <c r="C313">
        <v>24.35</v>
      </c>
      <c r="D313">
        <v>24.36</v>
      </c>
      <c r="E313">
        <v>21.48</v>
      </c>
      <c r="G313" s="2">
        <v>-0.1172</v>
      </c>
    </row>
    <row r="314" spans="1:7" x14ac:dyDescent="0.4">
      <c r="A314" s="1">
        <v>45733</v>
      </c>
      <c r="B314">
        <v>20.51</v>
      </c>
      <c r="C314">
        <v>22.89</v>
      </c>
      <c r="D314">
        <v>22.95</v>
      </c>
      <c r="E314">
        <v>20.32</v>
      </c>
      <c r="G314" s="2">
        <v>-5.79E-2</v>
      </c>
    </row>
    <row r="315" spans="1:7" x14ac:dyDescent="0.4">
      <c r="A315" s="1">
        <v>45734</v>
      </c>
      <c r="B315">
        <v>21.7</v>
      </c>
      <c r="C315">
        <v>20.83</v>
      </c>
      <c r="D315">
        <v>22.57</v>
      </c>
      <c r="E315">
        <v>20.41</v>
      </c>
      <c r="G315" s="2">
        <v>5.8000000000000003E-2</v>
      </c>
    </row>
    <row r="316" spans="1:7" x14ac:dyDescent="0.4">
      <c r="A316" s="1">
        <v>45735</v>
      </c>
      <c r="B316">
        <v>19.899999999999999</v>
      </c>
      <c r="C316">
        <v>21.84</v>
      </c>
      <c r="D316">
        <v>22.1</v>
      </c>
      <c r="E316">
        <v>19.420000000000002</v>
      </c>
      <c r="G316" s="2">
        <v>-8.2900000000000001E-2</v>
      </c>
    </row>
    <row r="317" spans="1:7" x14ac:dyDescent="0.4">
      <c r="A317" s="1">
        <v>45736</v>
      </c>
      <c r="B317">
        <v>19.8</v>
      </c>
      <c r="C317">
        <v>19.52</v>
      </c>
      <c r="D317">
        <v>21.17</v>
      </c>
      <c r="E317">
        <v>19.3</v>
      </c>
      <c r="G317" s="2">
        <v>-5.0000000000000001E-3</v>
      </c>
    </row>
    <row r="318" spans="1:7" x14ac:dyDescent="0.4">
      <c r="A318" s="1">
        <v>45737</v>
      </c>
      <c r="B318">
        <v>19.28</v>
      </c>
      <c r="C318">
        <v>20.02</v>
      </c>
      <c r="D318">
        <v>21.14</v>
      </c>
      <c r="E318">
        <v>19.149999999999999</v>
      </c>
      <c r="G318" s="2">
        <v>-2.63E-2</v>
      </c>
    </row>
    <row r="319" spans="1:7" x14ac:dyDescent="0.4">
      <c r="A319" s="1">
        <v>45740</v>
      </c>
      <c r="B319">
        <v>17.48</v>
      </c>
      <c r="C319">
        <v>19.13</v>
      </c>
      <c r="D319">
        <v>19.14</v>
      </c>
      <c r="E319">
        <v>17.46</v>
      </c>
      <c r="G319" s="2">
        <v>-9.3399999999999997E-2</v>
      </c>
    </row>
    <row r="320" spans="1:7" x14ac:dyDescent="0.4">
      <c r="A320" s="1">
        <v>45741</v>
      </c>
      <c r="B320">
        <v>17.149999999999999</v>
      </c>
      <c r="C320">
        <v>17.579999999999998</v>
      </c>
      <c r="D320">
        <v>17.77</v>
      </c>
      <c r="E320">
        <v>17.02</v>
      </c>
      <c r="G320" s="2">
        <v>-1.89E-2</v>
      </c>
    </row>
    <row r="321" spans="1:7" x14ac:dyDescent="0.4">
      <c r="A321" s="1">
        <v>45742</v>
      </c>
      <c r="B321">
        <v>18.329999999999998</v>
      </c>
      <c r="C321">
        <v>17.23</v>
      </c>
      <c r="D321">
        <v>19.07</v>
      </c>
      <c r="E321">
        <v>16.97</v>
      </c>
      <c r="G321" s="2">
        <v>6.88E-2</v>
      </c>
    </row>
    <row r="322" spans="1:7" x14ac:dyDescent="0.4">
      <c r="A322" s="1">
        <v>45743</v>
      </c>
      <c r="B322">
        <v>18.690000000000001</v>
      </c>
      <c r="C322">
        <v>18.36</v>
      </c>
      <c r="D322">
        <v>19.28</v>
      </c>
      <c r="E322">
        <v>17.95</v>
      </c>
      <c r="G322" s="2">
        <v>1.9599999999999999E-2</v>
      </c>
    </row>
    <row r="323" spans="1:7" x14ac:dyDescent="0.4">
      <c r="A323" s="1">
        <v>45744</v>
      </c>
      <c r="B323">
        <v>21.65</v>
      </c>
      <c r="C323">
        <v>19.079999999999998</v>
      </c>
      <c r="D323">
        <v>22.18</v>
      </c>
      <c r="E323">
        <v>18.920000000000002</v>
      </c>
      <c r="G323" s="2">
        <v>0.15840000000000001</v>
      </c>
    </row>
    <row r="324" spans="1:7" x14ac:dyDescent="0.4">
      <c r="A324" s="1">
        <v>45747</v>
      </c>
      <c r="B324">
        <v>22.28</v>
      </c>
      <c r="C324">
        <v>24.11</v>
      </c>
      <c r="D324">
        <v>24.8</v>
      </c>
      <c r="E324">
        <v>21.67</v>
      </c>
      <c r="G324" s="2">
        <v>2.9100000000000001E-2</v>
      </c>
    </row>
    <row r="325" spans="1:7" x14ac:dyDescent="0.4">
      <c r="A325" s="1">
        <v>45748</v>
      </c>
      <c r="B325">
        <v>21.77</v>
      </c>
      <c r="C325">
        <v>22.06</v>
      </c>
      <c r="D325">
        <v>23.52</v>
      </c>
      <c r="E325">
        <v>21.58</v>
      </c>
      <c r="G325" s="2">
        <v>-2.29E-2</v>
      </c>
    </row>
    <row r="326" spans="1:7" x14ac:dyDescent="0.4">
      <c r="A326" s="1">
        <v>45749</v>
      </c>
      <c r="B326">
        <v>21.51</v>
      </c>
      <c r="C326">
        <v>22.3</v>
      </c>
      <c r="D326">
        <v>23.66</v>
      </c>
      <c r="E326">
        <v>20.68</v>
      </c>
      <c r="G326" s="2">
        <v>-1.1900000000000001E-2</v>
      </c>
    </row>
    <row r="327" spans="1:7" x14ac:dyDescent="0.4">
      <c r="A327" s="1">
        <v>45750</v>
      </c>
      <c r="B327">
        <v>30.02</v>
      </c>
      <c r="C327">
        <v>26.38</v>
      </c>
      <c r="D327">
        <v>30.02</v>
      </c>
      <c r="E327">
        <v>24.93</v>
      </c>
      <c r="G327" s="2">
        <v>0.39560000000000001</v>
      </c>
    </row>
    <row r="328" spans="1:7" x14ac:dyDescent="0.4">
      <c r="A328" s="1">
        <v>45751</v>
      </c>
      <c r="B328">
        <v>45.31</v>
      </c>
      <c r="C328">
        <v>30.12</v>
      </c>
      <c r="D328">
        <v>45.61</v>
      </c>
      <c r="E328">
        <v>29.99</v>
      </c>
      <c r="G328" s="2">
        <v>0.50929999999999997</v>
      </c>
    </row>
    <row r="329" spans="1:7" x14ac:dyDescent="0.4">
      <c r="A329" s="1">
        <v>45754</v>
      </c>
      <c r="B329">
        <v>46.98</v>
      </c>
      <c r="C329">
        <v>60.13</v>
      </c>
      <c r="D329">
        <v>60.13</v>
      </c>
      <c r="E329">
        <v>38.58</v>
      </c>
      <c r="G329" s="2">
        <v>3.6900000000000002E-2</v>
      </c>
    </row>
    <row r="330" spans="1:7" x14ac:dyDescent="0.4">
      <c r="A330" s="1">
        <v>45755</v>
      </c>
      <c r="B330">
        <v>52.33</v>
      </c>
      <c r="C330">
        <v>44.04</v>
      </c>
      <c r="D330">
        <v>57.52</v>
      </c>
      <c r="E330">
        <v>36.479999999999997</v>
      </c>
      <c r="G330" s="2">
        <v>0.1139</v>
      </c>
    </row>
    <row r="331" spans="1:7" x14ac:dyDescent="0.4">
      <c r="A331" s="1">
        <v>45756</v>
      </c>
      <c r="B331">
        <v>33.619999999999997</v>
      </c>
      <c r="C331">
        <v>50.98</v>
      </c>
      <c r="D331">
        <v>57.96</v>
      </c>
      <c r="E331">
        <v>31.9</v>
      </c>
      <c r="G331" s="2">
        <v>-0.35749999999999998</v>
      </c>
    </row>
    <row r="332" spans="1:7" x14ac:dyDescent="0.4">
      <c r="A332" s="1">
        <v>45757</v>
      </c>
      <c r="B332">
        <v>40.72</v>
      </c>
      <c r="C332">
        <v>34.44</v>
      </c>
      <c r="D332">
        <v>54.87</v>
      </c>
      <c r="E332">
        <v>34.44</v>
      </c>
      <c r="G332" s="2">
        <v>0.2112</v>
      </c>
    </row>
    <row r="333" spans="1:7" x14ac:dyDescent="0.4">
      <c r="A333" s="1">
        <v>45758</v>
      </c>
      <c r="B333">
        <v>37.56</v>
      </c>
      <c r="C333">
        <v>40.799999999999997</v>
      </c>
      <c r="D333">
        <v>46.12</v>
      </c>
      <c r="E333">
        <v>36.85</v>
      </c>
      <c r="G333" s="2">
        <v>-7.7600000000000002E-2</v>
      </c>
    </row>
    <row r="334" spans="1:7" x14ac:dyDescent="0.4">
      <c r="A334" s="1">
        <v>45761</v>
      </c>
      <c r="B334">
        <v>30.89</v>
      </c>
      <c r="C334">
        <v>34.76</v>
      </c>
      <c r="D334">
        <v>35.17</v>
      </c>
      <c r="E334">
        <v>29.75</v>
      </c>
      <c r="G334" s="2">
        <v>-0.17760000000000001</v>
      </c>
    </row>
    <row r="335" spans="1:7" x14ac:dyDescent="0.4">
      <c r="A335" s="1">
        <v>45762</v>
      </c>
      <c r="B335">
        <v>30.12</v>
      </c>
      <c r="C335">
        <v>30.01</v>
      </c>
      <c r="D335">
        <v>31.45</v>
      </c>
      <c r="E335">
        <v>28.29</v>
      </c>
      <c r="G335" s="2">
        <v>-2.4899999999999999E-2</v>
      </c>
    </row>
    <row r="336" spans="1:7" x14ac:dyDescent="0.4">
      <c r="A336" s="1">
        <v>45763</v>
      </c>
      <c r="B336">
        <v>32.64</v>
      </c>
      <c r="C336">
        <v>33.24</v>
      </c>
      <c r="D336">
        <v>34.96</v>
      </c>
      <c r="E336">
        <v>29.48</v>
      </c>
      <c r="G336" s="2">
        <v>8.3699999999999997E-2</v>
      </c>
    </row>
    <row r="337" spans="1:7" x14ac:dyDescent="0.4">
      <c r="A337" s="1">
        <v>45764</v>
      </c>
      <c r="B337">
        <v>29.65</v>
      </c>
      <c r="C337">
        <v>30.79</v>
      </c>
      <c r="D337">
        <v>32.549999999999997</v>
      </c>
      <c r="E337">
        <v>29.57</v>
      </c>
      <c r="G337" s="2">
        <v>-9.1600000000000001E-2</v>
      </c>
    </row>
    <row r="338" spans="1:7" x14ac:dyDescent="0.4">
      <c r="A338" s="1">
        <v>45768</v>
      </c>
      <c r="B338">
        <v>33.82</v>
      </c>
      <c r="C338">
        <v>32.75</v>
      </c>
      <c r="D338">
        <v>35.75</v>
      </c>
      <c r="E338">
        <v>31.79</v>
      </c>
      <c r="G338" s="2">
        <v>0.1406</v>
      </c>
    </row>
    <row r="339" spans="1:7" x14ac:dyDescent="0.4">
      <c r="A339" s="1">
        <v>45769</v>
      </c>
      <c r="B339">
        <v>30.57</v>
      </c>
      <c r="C339">
        <v>32.61</v>
      </c>
      <c r="D339">
        <v>32.68</v>
      </c>
      <c r="E339">
        <v>30.08</v>
      </c>
      <c r="G339" s="2">
        <v>-9.6100000000000005E-2</v>
      </c>
    </row>
    <row r="340" spans="1:7" x14ac:dyDescent="0.4">
      <c r="A340" s="1">
        <v>45770</v>
      </c>
      <c r="B340">
        <v>28.45</v>
      </c>
      <c r="C340">
        <v>28.75</v>
      </c>
      <c r="D340">
        <v>30.29</v>
      </c>
      <c r="E340">
        <v>27.11</v>
      </c>
      <c r="G340" s="2">
        <v>-6.93E-2</v>
      </c>
    </row>
    <row r="341" spans="1:7" x14ac:dyDescent="0.4">
      <c r="A341" s="1">
        <v>45771</v>
      </c>
      <c r="B341">
        <v>26.47</v>
      </c>
      <c r="C341">
        <v>28.69</v>
      </c>
      <c r="D341">
        <v>29.66</v>
      </c>
      <c r="E341">
        <v>26.36</v>
      </c>
      <c r="G341" s="2">
        <v>-6.9599999999999995E-2</v>
      </c>
    </row>
    <row r="342" spans="1:7" x14ac:dyDescent="0.4">
      <c r="A342" s="1">
        <v>45772</v>
      </c>
      <c r="B342">
        <v>24.84</v>
      </c>
      <c r="C342">
        <v>26.22</v>
      </c>
      <c r="D342">
        <v>27.2</v>
      </c>
      <c r="E342">
        <v>24.84</v>
      </c>
      <c r="G342" s="2">
        <v>-6.1600000000000002E-2</v>
      </c>
    </row>
    <row r="343" spans="1:7" x14ac:dyDescent="0.4">
      <c r="A343" s="1">
        <v>45775</v>
      </c>
      <c r="B343">
        <v>25.15</v>
      </c>
      <c r="C343">
        <v>25.75</v>
      </c>
      <c r="D343">
        <v>26.93</v>
      </c>
      <c r="E343">
        <v>24.7</v>
      </c>
      <c r="G343" s="2">
        <v>1.2500000000000001E-2</v>
      </c>
    </row>
    <row r="344" spans="1:7" x14ac:dyDescent="0.4">
      <c r="A344" s="1">
        <v>45776</v>
      </c>
      <c r="B344">
        <v>24.17</v>
      </c>
      <c r="C344">
        <v>24.76</v>
      </c>
      <c r="D344">
        <v>25.99</v>
      </c>
      <c r="E344">
        <v>23.76</v>
      </c>
      <c r="G344" s="2">
        <v>-3.9E-2</v>
      </c>
    </row>
    <row r="345" spans="1:7" x14ac:dyDescent="0.4">
      <c r="A345" s="1">
        <v>45777</v>
      </c>
      <c r="B345">
        <v>24.7</v>
      </c>
      <c r="C345">
        <v>24.35</v>
      </c>
      <c r="D345">
        <v>28.17</v>
      </c>
      <c r="E345">
        <v>24.23</v>
      </c>
      <c r="G345" s="2">
        <v>2.1899999999999999E-2</v>
      </c>
    </row>
    <row r="346" spans="1:7" x14ac:dyDescent="0.4">
      <c r="A346" s="1">
        <v>45778</v>
      </c>
      <c r="B346">
        <v>24.6</v>
      </c>
      <c r="C346">
        <v>23.94</v>
      </c>
      <c r="D346">
        <v>25.18</v>
      </c>
      <c r="E346">
        <v>23.3</v>
      </c>
      <c r="G346" s="2">
        <v>-4.0000000000000001E-3</v>
      </c>
    </row>
    <row r="347" spans="1:7" x14ac:dyDescent="0.4">
      <c r="A347" s="1">
        <v>45779</v>
      </c>
      <c r="B347">
        <v>22.68</v>
      </c>
      <c r="C347">
        <v>23.63</v>
      </c>
      <c r="D347">
        <v>24.32</v>
      </c>
      <c r="E347">
        <v>22.34</v>
      </c>
      <c r="G347" s="2">
        <v>-7.8E-2</v>
      </c>
    </row>
    <row r="348" spans="1:7" x14ac:dyDescent="0.4">
      <c r="A348" s="1">
        <v>45782</v>
      </c>
      <c r="B348">
        <v>23.64</v>
      </c>
      <c r="C348">
        <v>24.25</v>
      </c>
      <c r="D348">
        <v>24.63</v>
      </c>
      <c r="E348">
        <v>22.81</v>
      </c>
      <c r="G348" s="2">
        <v>4.2299999999999997E-2</v>
      </c>
    </row>
    <row r="349" spans="1:7" x14ac:dyDescent="0.4">
      <c r="A349" s="1">
        <v>45783</v>
      </c>
      <c r="B349" s="9">
        <v>24.76</v>
      </c>
      <c r="C349" s="7">
        <v>23.97</v>
      </c>
      <c r="D349" s="7">
        <v>25.11</v>
      </c>
      <c r="E349" s="7">
        <v>23.9</v>
      </c>
      <c r="F349" s="7"/>
      <c r="G349" s="10">
        <v>4.7399999999999998E-2</v>
      </c>
    </row>
    <row r="350" spans="1:7" x14ac:dyDescent="0.4">
      <c r="A350" s="1">
        <v>45784</v>
      </c>
      <c r="B350" s="12">
        <v>23.55</v>
      </c>
      <c r="C350" s="13">
        <v>24.56</v>
      </c>
      <c r="D350" s="13">
        <v>25.62</v>
      </c>
      <c r="E350" s="13">
        <v>23.29</v>
      </c>
      <c r="F350" s="13"/>
      <c r="G350" s="14">
        <v>-4.8899999999999999E-2</v>
      </c>
    </row>
    <row r="351" spans="1:7" x14ac:dyDescent="0.4">
      <c r="A351" s="1">
        <v>45785</v>
      </c>
      <c r="B351" s="12">
        <v>22.45</v>
      </c>
      <c r="C351" s="13">
        <v>22.84</v>
      </c>
      <c r="D351" s="13">
        <v>23.61</v>
      </c>
      <c r="E351" s="13">
        <v>21.88</v>
      </c>
      <c r="F351" s="13"/>
      <c r="G351" s="14">
        <v>-4.6699999999999998E-2</v>
      </c>
    </row>
    <row r="352" spans="1:7" x14ac:dyDescent="0.4">
      <c r="A352" s="1">
        <v>45786</v>
      </c>
      <c r="B352" s="11">
        <v>21.9</v>
      </c>
      <c r="C352" s="7">
        <v>22.4</v>
      </c>
      <c r="D352" s="7">
        <v>22.82</v>
      </c>
      <c r="E352" s="7">
        <v>21.83</v>
      </c>
      <c r="F352" s="7"/>
      <c r="G352" s="8">
        <v>-2.58E-2</v>
      </c>
    </row>
    <row r="353" spans="1:7" x14ac:dyDescent="0.4">
      <c r="A353" s="1">
        <v>45789</v>
      </c>
      <c r="B353" s="11">
        <v>18.350000000000001</v>
      </c>
      <c r="C353" s="7">
        <v>19.84</v>
      </c>
      <c r="D353" s="7">
        <v>20.440000000000001</v>
      </c>
      <c r="E353" s="7">
        <v>18.14</v>
      </c>
      <c r="F353" s="7"/>
      <c r="G353" s="8">
        <v>-0.16209999999999999</v>
      </c>
    </row>
    <row r="354" spans="1:7" x14ac:dyDescent="0.4">
      <c r="A354" s="1">
        <v>45790</v>
      </c>
      <c r="B354" s="11">
        <v>18.22</v>
      </c>
      <c r="C354" s="7">
        <v>18.690000000000001</v>
      </c>
      <c r="D354" s="7">
        <v>18.850000000000001</v>
      </c>
      <c r="E354" s="7">
        <v>17.649999999999999</v>
      </c>
      <c r="F354" s="7"/>
      <c r="G354" s="8">
        <v>-9.1999999999999998E-3</v>
      </c>
    </row>
    <row r="355" spans="1:7" x14ac:dyDescent="0.4">
      <c r="A355" s="1">
        <v>45791</v>
      </c>
      <c r="B355" s="9">
        <v>18.62</v>
      </c>
      <c r="C355" s="7">
        <v>18.100000000000001</v>
      </c>
      <c r="D355" s="7">
        <v>18.82</v>
      </c>
      <c r="E355" s="7">
        <v>18.059999999999999</v>
      </c>
      <c r="F355" s="7"/>
      <c r="G355" s="10">
        <v>2.1999999999999999E-2</v>
      </c>
    </row>
    <row r="356" spans="1:7" x14ac:dyDescent="0.4">
      <c r="A356" s="1">
        <v>45792</v>
      </c>
      <c r="B356" s="12">
        <v>17.82</v>
      </c>
      <c r="C356" s="13">
        <v>19.190000000000001</v>
      </c>
      <c r="D356" s="13">
        <v>19.38</v>
      </c>
      <c r="E356" s="13">
        <v>17.77</v>
      </c>
      <c r="F356" s="13"/>
    </row>
    <row r="357" spans="1:7" x14ac:dyDescent="0.4">
      <c r="A357" s="1">
        <v>45793</v>
      </c>
      <c r="B357" s="12">
        <v>17.239999999999998</v>
      </c>
      <c r="C357" s="13">
        <v>17.96</v>
      </c>
      <c r="D357" s="13">
        <v>17.96</v>
      </c>
      <c r="E357" s="13">
        <v>17.149999999999999</v>
      </c>
      <c r="F357" s="13"/>
    </row>
    <row r="358" spans="1:7" x14ac:dyDescent="0.4">
      <c r="A358" s="1">
        <v>45796</v>
      </c>
      <c r="B358" s="20">
        <v>18.149999999999999</v>
      </c>
      <c r="C358" s="13">
        <v>19.84</v>
      </c>
      <c r="D358" s="13">
        <v>19.920000000000002</v>
      </c>
      <c r="E358" s="13">
        <v>17.920000000000002</v>
      </c>
      <c r="F358" s="13"/>
    </row>
    <row r="359" spans="1:7" x14ac:dyDescent="0.4">
      <c r="A359" s="1">
        <v>45797</v>
      </c>
      <c r="B359" s="12">
        <v>18.100000000000001</v>
      </c>
      <c r="C359" s="13">
        <v>18.46</v>
      </c>
      <c r="D359" s="13">
        <v>18.68</v>
      </c>
      <c r="E359" s="13">
        <v>17.7</v>
      </c>
    </row>
    <row r="360" spans="1:7" x14ac:dyDescent="0.4">
      <c r="A360" s="1">
        <v>45798</v>
      </c>
      <c r="B360" s="20">
        <v>20.88</v>
      </c>
      <c r="C360" s="13">
        <v>18.77</v>
      </c>
      <c r="D360" s="13">
        <v>21.05</v>
      </c>
      <c r="E360" s="13">
        <v>17.77</v>
      </c>
      <c r="F360" s="13"/>
    </row>
    <row r="361" spans="1:7" x14ac:dyDescent="0.4">
      <c r="A361" s="1">
        <v>45799</v>
      </c>
      <c r="B361" s="12">
        <v>19.73</v>
      </c>
      <c r="C361" s="13">
        <v>20.62</v>
      </c>
      <c r="D361" s="13">
        <v>22.07</v>
      </c>
      <c r="E361" s="13">
        <v>19.71</v>
      </c>
      <c r="F361" s="13"/>
      <c r="G361" s="14">
        <v>-5.4600000000000003E-2</v>
      </c>
    </row>
    <row r="362" spans="1:7" x14ac:dyDescent="0.4">
      <c r="A362" s="1">
        <v>45800</v>
      </c>
      <c r="B362" s="9">
        <v>22.29</v>
      </c>
      <c r="C362" s="7">
        <v>20.14</v>
      </c>
      <c r="D362" s="7">
        <v>25.53</v>
      </c>
      <c r="E362" s="7">
        <v>19.829999999999998</v>
      </c>
      <c r="F362" s="7"/>
    </row>
    <row r="363" spans="1:7" x14ac:dyDescent="0.4">
      <c r="A363" s="1">
        <v>45804</v>
      </c>
      <c r="B363" s="12">
        <v>18.98</v>
      </c>
      <c r="C363" s="13">
        <v>20.63</v>
      </c>
      <c r="D363" s="13">
        <v>21.01</v>
      </c>
      <c r="E363" s="13">
        <v>18.97</v>
      </c>
      <c r="F363" s="13"/>
    </row>
    <row r="364" spans="1:7" x14ac:dyDescent="0.4">
      <c r="A364" s="1">
        <v>45805</v>
      </c>
      <c r="B364" s="20">
        <v>19.3</v>
      </c>
      <c r="C364" s="13">
        <v>19.21</v>
      </c>
      <c r="D364" s="13">
        <v>19.43</v>
      </c>
      <c r="E364" s="13">
        <v>18.68</v>
      </c>
      <c r="F364" s="13"/>
    </row>
    <row r="365" spans="1:7" x14ac:dyDescent="0.4">
      <c r="A365" s="1">
        <v>45806</v>
      </c>
      <c r="B365" s="12">
        <v>19.18</v>
      </c>
      <c r="C365" s="13">
        <v>18.25</v>
      </c>
      <c r="D365" s="13">
        <v>20.2</v>
      </c>
      <c r="E365" s="13">
        <v>18.11</v>
      </c>
      <c r="F365" s="13"/>
    </row>
    <row r="366" spans="1:7" x14ac:dyDescent="0.4">
      <c r="A366" s="1">
        <v>45807</v>
      </c>
      <c r="B366" s="12">
        <v>18.57</v>
      </c>
      <c r="C366" s="13">
        <v>19.61</v>
      </c>
      <c r="D366" s="13">
        <v>20.55</v>
      </c>
      <c r="E366" s="13">
        <v>18.57</v>
      </c>
      <c r="F366" s="13"/>
    </row>
    <row r="367" spans="1:7" x14ac:dyDescent="0.4">
      <c r="A367" s="1">
        <v>45810</v>
      </c>
      <c r="B367" s="12">
        <v>18.36</v>
      </c>
      <c r="C367" s="13">
        <v>19.809999999999999</v>
      </c>
      <c r="D367" s="13">
        <v>20.45</v>
      </c>
      <c r="E367" s="13">
        <v>18.36</v>
      </c>
      <c r="F367" s="13"/>
    </row>
    <row r="368" spans="1:7" x14ac:dyDescent="0.4">
      <c r="A368" s="1">
        <v>45811</v>
      </c>
      <c r="B368" s="12">
        <v>17.690000000000001</v>
      </c>
      <c r="C368" s="13">
        <v>18.829999999999998</v>
      </c>
      <c r="D368" s="13">
        <v>19.21</v>
      </c>
      <c r="E368" s="13">
        <v>17.64</v>
      </c>
      <c r="F368" s="13"/>
    </row>
    <row r="369" spans="1:6" x14ac:dyDescent="0.4">
      <c r="A369" s="1">
        <v>45812</v>
      </c>
      <c r="B369" s="12">
        <v>17.600000000000001</v>
      </c>
      <c r="C369" s="13">
        <v>17.68</v>
      </c>
      <c r="D369" s="13">
        <v>18.07</v>
      </c>
      <c r="E369" s="13">
        <v>17.41</v>
      </c>
      <c r="F369" s="13"/>
    </row>
    <row r="370" spans="1:6" x14ac:dyDescent="0.4">
      <c r="A370" s="1">
        <v>45813</v>
      </c>
      <c r="B370" s="20">
        <v>18.48</v>
      </c>
      <c r="C370" s="13">
        <v>17.68</v>
      </c>
      <c r="D370" s="13">
        <v>18.8</v>
      </c>
      <c r="E370" s="13">
        <v>17.079999999999998</v>
      </c>
      <c r="F370" s="13"/>
    </row>
    <row r="371" spans="1:6" x14ac:dyDescent="0.4">
      <c r="A371" s="1">
        <v>45814</v>
      </c>
      <c r="B371" s="12">
        <v>16.77</v>
      </c>
      <c r="C371" s="13">
        <v>18.16</v>
      </c>
      <c r="D371" s="13">
        <v>18.350000000000001</v>
      </c>
      <c r="E371" s="13">
        <v>16.649999999999999</v>
      </c>
      <c r="F371" s="13"/>
    </row>
    <row r="372" spans="1:6" x14ac:dyDescent="0.4">
      <c r="A372" s="1">
        <v>45817</v>
      </c>
      <c r="B372" s="20">
        <v>17.170000000000002</v>
      </c>
      <c r="C372" s="13">
        <v>17.690000000000001</v>
      </c>
      <c r="D372" s="13">
        <v>17.72</v>
      </c>
      <c r="E372" s="13">
        <v>16.82</v>
      </c>
      <c r="F372" s="13"/>
    </row>
    <row r="373" spans="1:6" x14ac:dyDescent="0.4">
      <c r="A373" s="1">
        <v>45818</v>
      </c>
      <c r="B373" s="11">
        <v>16.87</v>
      </c>
      <c r="C373" s="7">
        <v>17.5</v>
      </c>
      <c r="D373" s="7">
        <v>17.989999999999998</v>
      </c>
      <c r="E373" s="7">
        <v>16.68</v>
      </c>
    </row>
    <row r="374" spans="1:6" x14ac:dyDescent="0.4">
      <c r="A374" s="1">
        <v>45819</v>
      </c>
      <c r="B374" s="20">
        <v>17.25</v>
      </c>
      <c r="C374" s="13">
        <v>17.04</v>
      </c>
      <c r="D374" s="13">
        <v>18.09</v>
      </c>
      <c r="E374" s="13">
        <v>16.23</v>
      </c>
      <c r="F374" s="13"/>
    </row>
    <row r="375" spans="1:6" x14ac:dyDescent="0.4">
      <c r="A375" s="1">
        <v>45820</v>
      </c>
      <c r="B375" s="9">
        <v>17.940000000000001</v>
      </c>
      <c r="C375" s="7">
        <v>17.87</v>
      </c>
      <c r="D375" s="7">
        <v>18.87</v>
      </c>
      <c r="E375" s="7">
        <v>17.43</v>
      </c>
      <c r="F375" s="7"/>
    </row>
    <row r="376" spans="1:6" x14ac:dyDescent="0.4">
      <c r="A376" s="1">
        <v>45821</v>
      </c>
      <c r="B376" s="20">
        <v>20.82</v>
      </c>
      <c r="C376" s="13">
        <v>21.76</v>
      </c>
      <c r="D376" s="13">
        <v>22</v>
      </c>
      <c r="E376" s="13">
        <v>18.88</v>
      </c>
      <c r="F376" s="13"/>
    </row>
    <row r="377" spans="1:6" x14ac:dyDescent="0.4">
      <c r="A377" s="1">
        <v>45824</v>
      </c>
      <c r="B377" s="12">
        <v>19.149999999999999</v>
      </c>
      <c r="C377" s="13">
        <v>19.78</v>
      </c>
      <c r="D377" s="13">
        <v>20.22</v>
      </c>
      <c r="E377" s="13">
        <v>18.670000000000002</v>
      </c>
      <c r="F377" s="13"/>
    </row>
    <row r="378" spans="1:6" x14ac:dyDescent="0.4">
      <c r="A378" s="1">
        <v>45825</v>
      </c>
      <c r="B378" s="20">
        <v>21.62</v>
      </c>
      <c r="C378" s="13">
        <v>20.53</v>
      </c>
      <c r="D378" s="13">
        <v>21.79</v>
      </c>
      <c r="E378" s="13">
        <v>19.55</v>
      </c>
      <c r="F378" s="13"/>
    </row>
    <row r="379" spans="1:6" x14ac:dyDescent="0.4">
      <c r="A379" s="1">
        <v>45826</v>
      </c>
      <c r="B379" s="12">
        <v>20.149999999999999</v>
      </c>
      <c r="C379" s="13">
        <v>20.9</v>
      </c>
      <c r="D379" s="13">
        <v>21.58</v>
      </c>
      <c r="E379" s="13">
        <v>19.59</v>
      </c>
      <c r="F379" s="13"/>
    </row>
    <row r="380" spans="1:6" x14ac:dyDescent="0.4">
      <c r="A380" s="1">
        <v>45828</v>
      </c>
      <c r="B380" s="12">
        <v>20.62</v>
      </c>
      <c r="C380" s="13">
        <v>20.74</v>
      </c>
      <c r="D380" s="13">
        <v>21.07</v>
      </c>
      <c r="E380" s="13">
        <v>19.11</v>
      </c>
      <c r="F380" s="13"/>
    </row>
    <row r="381" spans="1:6" x14ac:dyDescent="0.4">
      <c r="A381" s="1">
        <v>45831</v>
      </c>
      <c r="B381" s="12">
        <v>19.850000000000001</v>
      </c>
      <c r="C381" s="13">
        <v>21.15</v>
      </c>
      <c r="D381" s="13">
        <v>22.51</v>
      </c>
      <c r="E381" s="13">
        <v>19.82</v>
      </c>
      <c r="F381" s="13"/>
    </row>
    <row r="382" spans="1:6" x14ac:dyDescent="0.4">
      <c r="A382" s="1">
        <v>45832</v>
      </c>
      <c r="B382" s="12">
        <v>17.48</v>
      </c>
      <c r="C382" s="13">
        <v>18.190000000000001</v>
      </c>
      <c r="D382" s="13">
        <v>18.72</v>
      </c>
      <c r="E382" s="13">
        <v>17.329999999999998</v>
      </c>
      <c r="F382" s="13"/>
    </row>
    <row r="383" spans="1:6" x14ac:dyDescent="0.4">
      <c r="A383" s="1">
        <v>45833</v>
      </c>
      <c r="B383" s="12">
        <v>16.77</v>
      </c>
      <c r="C383" s="13">
        <v>17.28</v>
      </c>
      <c r="D383" s="13">
        <v>17.510000000000002</v>
      </c>
      <c r="E383" s="13">
        <v>16.77</v>
      </c>
      <c r="F383" s="13"/>
    </row>
    <row r="384" spans="1:6" x14ac:dyDescent="0.4">
      <c r="A384" s="1">
        <v>45834</v>
      </c>
      <c r="B384" s="12">
        <v>16.52</v>
      </c>
      <c r="C384" s="13">
        <v>16.670000000000002</v>
      </c>
      <c r="D384" s="13">
        <v>16.78</v>
      </c>
      <c r="E384" s="13">
        <v>16.11</v>
      </c>
      <c r="F384" s="13"/>
    </row>
    <row r="385" spans="1:6" x14ac:dyDescent="0.4">
      <c r="A385" s="1">
        <v>45835</v>
      </c>
      <c r="B385" s="12">
        <v>16.32</v>
      </c>
      <c r="C385" s="13">
        <v>16.309999999999999</v>
      </c>
      <c r="D385" s="13">
        <v>17.29</v>
      </c>
      <c r="E385" s="13">
        <v>16.12</v>
      </c>
      <c r="F385" s="13"/>
    </row>
    <row r="386" spans="1:6" x14ac:dyDescent="0.4">
      <c r="A386" s="1">
        <v>45838</v>
      </c>
      <c r="B386" s="20">
        <v>16.73</v>
      </c>
      <c r="C386" s="13">
        <v>17.190000000000001</v>
      </c>
      <c r="D386" s="13">
        <v>17.43</v>
      </c>
      <c r="E386" s="13">
        <v>16.55</v>
      </c>
      <c r="F386" s="13"/>
    </row>
    <row r="387" spans="1:6" x14ac:dyDescent="0.4">
      <c r="A387" s="1">
        <v>45839</v>
      </c>
      <c r="B387" s="9">
        <v>16.829999999999998</v>
      </c>
      <c r="C387" s="7">
        <v>16.98</v>
      </c>
      <c r="D387" s="7">
        <v>17.48</v>
      </c>
      <c r="E387" s="7">
        <v>16.510000000000002</v>
      </c>
      <c r="F387" s="7"/>
    </row>
    <row r="388" spans="1:6" x14ac:dyDescent="0.4">
      <c r="A388" s="1">
        <v>45840</v>
      </c>
      <c r="B388" s="12">
        <v>16.63</v>
      </c>
      <c r="C388" s="13">
        <v>16.75</v>
      </c>
      <c r="D388" s="13">
        <v>17.37</v>
      </c>
      <c r="E388" s="13">
        <v>16.54</v>
      </c>
      <c r="F388" s="13"/>
    </row>
    <row r="389" spans="1:6" x14ac:dyDescent="0.4">
      <c r="A389" s="1">
        <v>45841</v>
      </c>
      <c r="B389" s="12">
        <v>16.38</v>
      </c>
      <c r="C389" s="13">
        <v>16.649999999999999</v>
      </c>
      <c r="D389" s="13">
        <v>16.829999999999998</v>
      </c>
      <c r="E389" s="13">
        <v>16.14</v>
      </c>
      <c r="F389" s="13"/>
    </row>
    <row r="390" spans="1:6" x14ac:dyDescent="0.4">
      <c r="A390" s="1">
        <v>45845</v>
      </c>
      <c r="B390" s="20">
        <v>17.79</v>
      </c>
      <c r="C390" s="13">
        <v>17.829999999999998</v>
      </c>
      <c r="D390" s="13">
        <v>18.5</v>
      </c>
      <c r="E390" s="13">
        <v>17.510000000000002</v>
      </c>
      <c r="F390" s="13"/>
    </row>
    <row r="391" spans="1:6" x14ac:dyDescent="0.4">
      <c r="A391" s="1">
        <v>45846</v>
      </c>
      <c r="B391" s="12">
        <v>16.809999999999999</v>
      </c>
      <c r="C391" s="13">
        <v>17.41</v>
      </c>
      <c r="D391" s="13">
        <v>17.440000000000001</v>
      </c>
      <c r="E391" s="13">
        <v>16.54</v>
      </c>
      <c r="F391" s="13"/>
    </row>
    <row r="392" spans="1:6" x14ac:dyDescent="0.4">
      <c r="A392" s="1">
        <v>45847</v>
      </c>
      <c r="B392" s="12">
        <v>15.92</v>
      </c>
      <c r="C392" s="13">
        <v>16.760000000000002</v>
      </c>
      <c r="D392" s="13">
        <v>16.760000000000002</v>
      </c>
      <c r="E392" s="13">
        <v>15.76</v>
      </c>
      <c r="F392" s="13"/>
    </row>
    <row r="393" spans="1:6" x14ac:dyDescent="0.4">
      <c r="A393" s="1">
        <v>45848</v>
      </c>
      <c r="B393" s="12">
        <v>15.79</v>
      </c>
      <c r="C393" s="13">
        <v>16.23</v>
      </c>
      <c r="D393" s="13">
        <v>16.239999999999998</v>
      </c>
      <c r="E393" s="13">
        <v>15.7</v>
      </c>
      <c r="F393" s="13"/>
    </row>
    <row r="394" spans="1:6" x14ac:dyDescent="0.4">
      <c r="A394" s="1">
        <v>45849</v>
      </c>
      <c r="B394" s="20">
        <v>16.399999999999999</v>
      </c>
      <c r="C394" s="13">
        <v>16.41</v>
      </c>
      <c r="D394" s="13">
        <v>17.239999999999998</v>
      </c>
      <c r="E394" s="13">
        <v>15.98</v>
      </c>
    </row>
    <row r="395" spans="1:6" x14ac:dyDescent="0.4">
      <c r="A395" s="1">
        <v>45852</v>
      </c>
      <c r="B395" s="20">
        <v>17.25</v>
      </c>
      <c r="C395" s="13">
        <v>17.73</v>
      </c>
      <c r="D395" s="13">
        <v>17.850000000000001</v>
      </c>
      <c r="E395" s="13">
        <v>16.91</v>
      </c>
      <c r="F395" s="13"/>
    </row>
    <row r="396" spans="1:6" x14ac:dyDescent="0.4">
      <c r="A396" s="1">
        <v>45853</v>
      </c>
      <c r="B396" s="20">
        <v>17.350000000000001</v>
      </c>
      <c r="C396" s="13">
        <v>16.89</v>
      </c>
      <c r="D396" s="13">
        <v>17.39</v>
      </c>
      <c r="E396" s="13">
        <v>16.559999999999999</v>
      </c>
      <c r="F396" s="13"/>
    </row>
    <row r="397" spans="1:6" x14ac:dyDescent="0.4">
      <c r="A397" s="1">
        <v>45854</v>
      </c>
      <c r="B397" s="12">
        <v>17.16</v>
      </c>
      <c r="C397" s="13">
        <v>17.66</v>
      </c>
      <c r="D397" s="13">
        <v>19.48</v>
      </c>
      <c r="E397" s="13">
        <v>16.690000000000001</v>
      </c>
      <c r="F397" s="13"/>
    </row>
    <row r="398" spans="1:6" x14ac:dyDescent="0.4">
      <c r="A398" s="1">
        <v>45855</v>
      </c>
      <c r="B398" s="12">
        <v>16.53</v>
      </c>
      <c r="C398" s="13">
        <v>17.149999999999999</v>
      </c>
      <c r="D398" s="13">
        <v>17.37</v>
      </c>
      <c r="E398" s="13">
        <v>16.48</v>
      </c>
      <c r="F398" s="13"/>
    </row>
    <row r="399" spans="1:6" x14ac:dyDescent="0.4">
      <c r="A399" s="1">
        <v>45856</v>
      </c>
      <c r="B399" s="11">
        <v>16.41</v>
      </c>
      <c r="C399" s="7">
        <v>16.43</v>
      </c>
      <c r="D399" s="7">
        <v>16.809999999999999</v>
      </c>
      <c r="E399" s="7">
        <v>16.28</v>
      </c>
      <c r="F399" s="7"/>
    </row>
    <row r="400" spans="1:6" x14ac:dyDescent="0.4">
      <c r="A400" s="1">
        <v>45859</v>
      </c>
      <c r="B400" s="20">
        <v>16.649999999999999</v>
      </c>
      <c r="C400" s="13">
        <v>16.87</v>
      </c>
      <c r="D400" s="13">
        <v>16.989999999999998</v>
      </c>
      <c r="E400" s="13">
        <v>16.3</v>
      </c>
      <c r="F400" s="13"/>
    </row>
    <row r="401" spans="1:6" x14ac:dyDescent="0.4">
      <c r="A401" s="1">
        <v>45860</v>
      </c>
      <c r="B401" s="12">
        <v>16.53</v>
      </c>
      <c r="C401" s="13">
        <v>16.75</v>
      </c>
      <c r="D401" s="13">
        <v>17.48</v>
      </c>
      <c r="E401" s="13">
        <v>16.43</v>
      </c>
      <c r="F401" s="13"/>
    </row>
    <row r="402" spans="1:6" x14ac:dyDescent="0.4">
      <c r="A402" s="1">
        <v>45861</v>
      </c>
      <c r="B402" s="12">
        <v>15.38</v>
      </c>
      <c r="C402" s="13">
        <v>16.23</v>
      </c>
      <c r="D402" s="13">
        <v>16.32</v>
      </c>
      <c r="E402" s="13">
        <v>15.32</v>
      </c>
      <c r="F402" s="13"/>
    </row>
    <row r="403" spans="1:6" x14ac:dyDescent="0.4">
      <c r="A403" s="1">
        <v>45862</v>
      </c>
      <c r="B403" s="20">
        <v>15.43</v>
      </c>
      <c r="C403" s="13">
        <v>15.39</v>
      </c>
      <c r="D403" s="13">
        <v>15.54</v>
      </c>
      <c r="E403" s="13">
        <v>14.95</v>
      </c>
      <c r="F403" s="13"/>
    </row>
    <row r="404" spans="1:6" x14ac:dyDescent="0.4">
      <c r="A404" s="1">
        <v>45863</v>
      </c>
      <c r="B404" s="12">
        <v>14.93</v>
      </c>
      <c r="C404" s="13">
        <v>15.33</v>
      </c>
      <c r="D404" s="13">
        <v>15.39</v>
      </c>
      <c r="E404" s="13">
        <v>14.92</v>
      </c>
      <c r="F404" s="13"/>
    </row>
    <row r="405" spans="1:6" x14ac:dyDescent="0.4">
      <c r="A405" s="1">
        <v>45867</v>
      </c>
      <c r="B405" s="20">
        <v>15.98</v>
      </c>
      <c r="C405" s="13">
        <v>14.95</v>
      </c>
      <c r="D405" s="13">
        <v>16.12</v>
      </c>
      <c r="E405" s="13">
        <v>14.7</v>
      </c>
      <c r="F405" s="13"/>
    </row>
    <row r="406" spans="1:6" x14ac:dyDescent="0.4">
      <c r="A406" s="1">
        <v>45868</v>
      </c>
      <c r="B406" s="12">
        <v>15.6</v>
      </c>
      <c r="C406" s="13">
        <v>15.87</v>
      </c>
      <c r="D406" s="13">
        <v>17.27</v>
      </c>
      <c r="E406" s="13">
        <v>15.53</v>
      </c>
      <c r="F406" s="13"/>
    </row>
    <row r="407" spans="1:6" x14ac:dyDescent="0.4">
      <c r="A407" s="1">
        <v>45869</v>
      </c>
      <c r="B407" s="20">
        <v>16.75</v>
      </c>
      <c r="C407" s="13">
        <v>14.99</v>
      </c>
      <c r="D407" s="13">
        <v>17.170000000000002</v>
      </c>
      <c r="E407" s="13">
        <v>14.74</v>
      </c>
      <c r="F407" s="13"/>
    </row>
    <row r="408" spans="1:6" x14ac:dyDescent="0.4">
      <c r="A408" s="1">
        <v>45870</v>
      </c>
      <c r="B408" s="20">
        <v>20.41</v>
      </c>
      <c r="C408" s="13">
        <v>17.399999999999999</v>
      </c>
      <c r="D408" s="13">
        <v>21.9</v>
      </c>
      <c r="E408" s="13">
        <v>17.39</v>
      </c>
      <c r="F408" s="13"/>
    </row>
    <row r="409" spans="1:6" x14ac:dyDescent="0.4">
      <c r="A409" s="1">
        <v>45873</v>
      </c>
      <c r="B409" s="12">
        <v>17.52</v>
      </c>
      <c r="C409" s="13">
        <v>19.559999999999999</v>
      </c>
      <c r="D409" s="13">
        <v>19.579999999999998</v>
      </c>
      <c r="E409" s="13">
        <v>17.48</v>
      </c>
      <c r="F409" s="13"/>
    </row>
    <row r="410" spans="1:6" x14ac:dyDescent="0.4">
      <c r="A410" s="1">
        <v>45874</v>
      </c>
      <c r="B410" s="20">
        <v>17.850000000000001</v>
      </c>
      <c r="C410" s="13">
        <v>17.21</v>
      </c>
      <c r="D410" s="13">
        <v>18.940000000000001</v>
      </c>
      <c r="E410" s="13">
        <v>17.11</v>
      </c>
      <c r="F410" s="13"/>
    </row>
    <row r="411" spans="1:6" x14ac:dyDescent="0.4">
      <c r="A411" s="1">
        <v>45875</v>
      </c>
      <c r="B411" s="12">
        <v>16.71</v>
      </c>
      <c r="C411" s="13">
        <v>17.22</v>
      </c>
      <c r="D411" s="13">
        <v>17.88</v>
      </c>
      <c r="E411" s="13">
        <v>16.559999999999999</v>
      </c>
      <c r="F411" s="13"/>
    </row>
    <row r="412" spans="1:6" x14ac:dyDescent="0.4">
      <c r="A412" s="1">
        <v>45876</v>
      </c>
      <c r="B412" s="12">
        <v>16.57</v>
      </c>
      <c r="C412" s="13">
        <v>16.41</v>
      </c>
      <c r="D412" s="13">
        <v>17.64</v>
      </c>
      <c r="E412" s="13">
        <v>15.98</v>
      </c>
      <c r="F412" s="13"/>
    </row>
    <row r="413" spans="1:6" x14ac:dyDescent="0.4">
      <c r="A413" s="1">
        <v>45877</v>
      </c>
      <c r="B413" s="11">
        <v>15.15</v>
      </c>
      <c r="C413" s="7">
        <v>16.48</v>
      </c>
      <c r="D413" s="7">
        <v>16.52</v>
      </c>
      <c r="E413" s="7">
        <v>15.15</v>
      </c>
      <c r="F413" s="7"/>
    </row>
    <row r="414" spans="1:6" x14ac:dyDescent="0.4">
      <c r="A414" s="1">
        <v>45880</v>
      </c>
      <c r="B414" s="20">
        <v>16.12</v>
      </c>
      <c r="C414" s="13">
        <v>15.81</v>
      </c>
      <c r="D414" s="13">
        <v>16.13</v>
      </c>
      <c r="E414" s="13">
        <v>15.52</v>
      </c>
      <c r="F414" s="13"/>
    </row>
    <row r="415" spans="1:6" x14ac:dyDescent="0.4">
      <c r="A415" s="1">
        <v>45881</v>
      </c>
      <c r="B415" s="12">
        <v>14.79</v>
      </c>
      <c r="C415" s="13">
        <v>16.09</v>
      </c>
      <c r="D415" s="13">
        <v>16.559999999999999</v>
      </c>
      <c r="E415" s="13">
        <v>14.66</v>
      </c>
      <c r="F415" s="13"/>
    </row>
    <row r="416" spans="1:6" x14ac:dyDescent="0.4">
      <c r="A416" s="1">
        <v>45882</v>
      </c>
      <c r="B416" s="12">
        <v>14.48</v>
      </c>
      <c r="C416" s="13">
        <v>14.62</v>
      </c>
      <c r="D416" s="13">
        <v>14.81</v>
      </c>
      <c r="E416" s="13">
        <v>14.3</v>
      </c>
      <c r="F416" s="13"/>
    </row>
    <row r="417" spans="1:7" x14ac:dyDescent="0.4">
      <c r="A417" s="1">
        <v>45883</v>
      </c>
      <c r="B417" s="20">
        <v>14.84</v>
      </c>
      <c r="C417" s="13">
        <v>14.66</v>
      </c>
      <c r="D417" s="13">
        <v>15.39</v>
      </c>
      <c r="E417" s="13">
        <v>14.57</v>
      </c>
      <c r="F417" s="13"/>
    </row>
    <row r="418" spans="1:7" x14ac:dyDescent="0.4">
      <c r="A418" s="1">
        <v>45884</v>
      </c>
      <c r="B418" s="20">
        <v>15.09</v>
      </c>
      <c r="C418" s="13">
        <v>14.43</v>
      </c>
      <c r="D418" s="13">
        <v>15.18</v>
      </c>
      <c r="E418" s="13">
        <v>14.4</v>
      </c>
      <c r="F418" s="13"/>
    </row>
    <row r="419" spans="1:7" x14ac:dyDescent="0.4">
      <c r="A419" s="1">
        <v>45887</v>
      </c>
      <c r="B419" s="12">
        <v>15.08</v>
      </c>
      <c r="C419" s="13">
        <v>15.73</v>
      </c>
      <c r="D419" s="13">
        <v>15.95</v>
      </c>
      <c r="E419" s="13">
        <v>14.98</v>
      </c>
      <c r="F419" s="13"/>
    </row>
    <row r="420" spans="1:7" x14ac:dyDescent="0.4">
      <c r="A420" s="1">
        <v>45888</v>
      </c>
      <c r="B420" s="20">
        <v>15.57</v>
      </c>
      <c r="C420" s="13">
        <v>15.23</v>
      </c>
      <c r="D420" s="13">
        <v>15.91</v>
      </c>
      <c r="E420" s="13">
        <v>14.76</v>
      </c>
      <c r="F420" s="13"/>
    </row>
    <row r="421" spans="1:7" x14ac:dyDescent="0.4">
      <c r="A421" s="1">
        <v>45889</v>
      </c>
      <c r="B421" s="20">
        <v>15.72</v>
      </c>
      <c r="C421" s="13">
        <v>15.95</v>
      </c>
      <c r="D421" s="13">
        <v>17.190000000000001</v>
      </c>
      <c r="E421" s="13">
        <v>15.57</v>
      </c>
      <c r="F421" s="13"/>
    </row>
    <row r="422" spans="1:7" x14ac:dyDescent="0.4">
      <c r="A422" s="1">
        <v>45890</v>
      </c>
      <c r="B422" s="20">
        <v>16.61</v>
      </c>
      <c r="C422" s="13">
        <v>15.72</v>
      </c>
      <c r="D422" s="13">
        <v>17.239999999999998</v>
      </c>
      <c r="E422" s="13">
        <v>15.65</v>
      </c>
      <c r="F422" s="13"/>
      <c r="G422" s="21"/>
    </row>
    <row r="423" spans="1:7" x14ac:dyDescent="0.4">
      <c r="A423" s="1">
        <v>45891</v>
      </c>
      <c r="B423" s="12">
        <v>14.23</v>
      </c>
      <c r="C423" s="13">
        <v>16.809999999999999</v>
      </c>
      <c r="D423" s="13">
        <v>16.829999999999998</v>
      </c>
      <c r="E423" s="13">
        <v>14.21</v>
      </c>
      <c r="F423" s="13"/>
    </row>
    <row r="424" spans="1:7" x14ac:dyDescent="0.4">
      <c r="A424" s="1">
        <v>45894</v>
      </c>
      <c r="B424" s="20">
        <v>14.79</v>
      </c>
      <c r="C424" s="13">
        <v>15.05</v>
      </c>
      <c r="D424" s="13">
        <v>15.19</v>
      </c>
      <c r="E424" s="13">
        <v>14.24</v>
      </c>
      <c r="F424" s="13"/>
    </row>
    <row r="425" spans="1:7" x14ac:dyDescent="0.4">
      <c r="A425" s="1">
        <v>45895</v>
      </c>
      <c r="B425" s="11">
        <v>14.62</v>
      </c>
      <c r="C425" s="7">
        <v>15.75</v>
      </c>
      <c r="D425" s="7">
        <v>15.75</v>
      </c>
      <c r="E425" s="7">
        <v>14.62</v>
      </c>
      <c r="F425" s="7"/>
      <c r="G425" s="22"/>
    </row>
    <row r="426" spans="1:7" x14ac:dyDescent="0.4">
      <c r="A426" s="1">
        <v>45896</v>
      </c>
      <c r="B426" s="20">
        <v>14.87</v>
      </c>
      <c r="C426" s="13">
        <v>14.66</v>
      </c>
      <c r="D426" s="13">
        <v>15.23</v>
      </c>
      <c r="E426" s="13">
        <v>14.66</v>
      </c>
      <c r="F426" s="13"/>
    </row>
    <row r="427" spans="1:7" x14ac:dyDescent="0.4">
      <c r="A427" s="1">
        <v>45897</v>
      </c>
      <c r="B427" s="12">
        <v>14.43</v>
      </c>
      <c r="C427" s="13">
        <v>14.42</v>
      </c>
      <c r="D427" s="13">
        <v>14.69</v>
      </c>
      <c r="E427" s="13">
        <v>14.12</v>
      </c>
      <c r="F427" s="13"/>
    </row>
    <row r="428" spans="1:7" x14ac:dyDescent="0.4">
      <c r="A428" s="1">
        <v>45898</v>
      </c>
      <c r="B428" s="9">
        <v>15.36</v>
      </c>
      <c r="C428" s="7">
        <v>14.31</v>
      </c>
      <c r="D428" s="7">
        <v>15.97</v>
      </c>
      <c r="E428" s="7">
        <v>14.31</v>
      </c>
      <c r="F428" s="7"/>
    </row>
    <row r="429" spans="1:7" x14ac:dyDescent="0.4">
      <c r="A429" s="1">
        <v>45902</v>
      </c>
      <c r="B429" s="20">
        <v>17.53</v>
      </c>
      <c r="C429" s="13">
        <v>16.649999999999999</v>
      </c>
      <c r="D429" s="13">
        <v>19.38</v>
      </c>
      <c r="E429" s="13">
        <v>16.55</v>
      </c>
      <c r="F429" s="13"/>
    </row>
    <row r="430" spans="1:7" x14ac:dyDescent="0.4">
      <c r="A430" s="1">
        <v>45903</v>
      </c>
      <c r="B430" s="12">
        <v>16.38</v>
      </c>
      <c r="C430" s="13">
        <v>17.399999999999999</v>
      </c>
      <c r="D430" s="13">
        <v>17.57</v>
      </c>
      <c r="E430" s="13">
        <v>16.36</v>
      </c>
      <c r="F430" s="13"/>
    </row>
    <row r="431" spans="1:7" x14ac:dyDescent="0.4">
      <c r="A431" s="1">
        <v>45904</v>
      </c>
      <c r="B431" s="11">
        <v>15.37</v>
      </c>
      <c r="C431" s="7">
        <v>16.22</v>
      </c>
      <c r="D431" s="7">
        <v>16.350000000000001</v>
      </c>
      <c r="E431" s="7">
        <v>15.36</v>
      </c>
      <c r="F431" s="7"/>
    </row>
    <row r="432" spans="1:7" x14ac:dyDescent="0.4">
      <c r="A432" s="1">
        <v>45905</v>
      </c>
      <c r="B432" s="12">
        <v>15.18</v>
      </c>
      <c r="C432" s="13">
        <v>15.23</v>
      </c>
      <c r="D432" s="13">
        <v>16.920000000000002</v>
      </c>
      <c r="E432" s="13">
        <v>14.74</v>
      </c>
      <c r="F432" s="13"/>
    </row>
    <row r="433" spans="1:6" x14ac:dyDescent="0.4">
      <c r="A433" s="1">
        <v>45908</v>
      </c>
      <c r="B433" s="12">
        <v>15.13</v>
      </c>
      <c r="C433" s="13">
        <v>15.58</v>
      </c>
      <c r="D433" s="13">
        <v>15.65</v>
      </c>
      <c r="E433" s="13">
        <v>14.99</v>
      </c>
      <c r="F433" s="13"/>
    </row>
    <row r="434" spans="1:6" x14ac:dyDescent="0.4">
      <c r="A434" s="1">
        <v>45909</v>
      </c>
      <c r="B434" s="20">
        <v>15.17</v>
      </c>
      <c r="C434" s="13">
        <v>15.02</v>
      </c>
      <c r="D434" s="13">
        <v>15.82</v>
      </c>
      <c r="E434" s="13">
        <v>14.97</v>
      </c>
      <c r="F434" s="13"/>
    </row>
    <row r="435" spans="1:6" x14ac:dyDescent="0.4">
      <c r="A435" s="1">
        <v>45910</v>
      </c>
      <c r="B435" s="20">
        <v>15.37</v>
      </c>
      <c r="C435" s="13">
        <v>14.98</v>
      </c>
      <c r="D435" s="13">
        <v>15.63</v>
      </c>
      <c r="E435" s="13">
        <v>14.63</v>
      </c>
      <c r="F435" s="13"/>
    </row>
    <row r="436" spans="1:6" x14ac:dyDescent="0.4">
      <c r="A436" s="1">
        <v>45911</v>
      </c>
      <c r="B436" s="12">
        <v>14.71</v>
      </c>
      <c r="C436" s="13">
        <v>14.95</v>
      </c>
      <c r="D436" s="13">
        <v>15.24</v>
      </c>
      <c r="E436" s="13">
        <v>14.65</v>
      </c>
      <c r="F436" s="13"/>
    </row>
    <row r="437" spans="1:6" x14ac:dyDescent="0.4">
      <c r="A437" s="1">
        <v>45912</v>
      </c>
      <c r="B437" s="20">
        <v>14.76</v>
      </c>
      <c r="C437" s="13">
        <v>14.62</v>
      </c>
      <c r="D437" s="13">
        <v>14.97</v>
      </c>
      <c r="E437" s="13">
        <v>14.41</v>
      </c>
      <c r="F437" s="13"/>
    </row>
    <row r="438" spans="1:6" x14ac:dyDescent="0.4">
      <c r="A438" s="1">
        <v>45915</v>
      </c>
      <c r="B438" s="20">
        <v>15.69</v>
      </c>
      <c r="C438" s="13">
        <v>15.14</v>
      </c>
      <c r="D438" s="13">
        <v>15.84</v>
      </c>
      <c r="E438" s="13">
        <v>14.92</v>
      </c>
    </row>
    <row r="439" spans="1:6" x14ac:dyDescent="0.4">
      <c r="A439" s="1">
        <v>45916</v>
      </c>
      <c r="B439" s="20">
        <v>16.29</v>
      </c>
      <c r="C439" s="13">
        <v>15.6</v>
      </c>
      <c r="D439" s="13">
        <v>16.37</v>
      </c>
      <c r="E439" s="13">
        <v>15.44</v>
      </c>
      <c r="F439" s="13"/>
    </row>
    <row r="440" spans="1:6" x14ac:dyDescent="0.4">
      <c r="A440" s="1">
        <v>45917</v>
      </c>
      <c r="B440" s="12">
        <v>15.72</v>
      </c>
      <c r="C440" s="13">
        <v>16.420000000000002</v>
      </c>
      <c r="D440" s="13">
        <v>16.75</v>
      </c>
      <c r="E440" s="13">
        <v>15.26</v>
      </c>
      <c r="F440" s="13"/>
    </row>
    <row r="441" spans="1:6" x14ac:dyDescent="0.4">
      <c r="A441" s="1">
        <v>45918</v>
      </c>
      <c r="B441" s="12">
        <v>15.7</v>
      </c>
      <c r="C441" s="13">
        <v>14.93</v>
      </c>
      <c r="D441" s="13">
        <v>15.8</v>
      </c>
      <c r="E441" s="13">
        <v>14.33</v>
      </c>
      <c r="F441" s="13"/>
    </row>
    <row r="442" spans="1:6" x14ac:dyDescent="0.4">
      <c r="A442" s="1">
        <v>45919</v>
      </c>
      <c r="B442" s="11">
        <v>15.45</v>
      </c>
      <c r="C442" s="7">
        <v>15.76</v>
      </c>
      <c r="D442" s="7">
        <v>16.13</v>
      </c>
      <c r="E442" s="7">
        <v>15.29</v>
      </c>
      <c r="F442" s="7"/>
    </row>
    <row r="443" spans="1:6" x14ac:dyDescent="0.4">
      <c r="A443" s="1">
        <v>45922</v>
      </c>
      <c r="B443" s="20">
        <v>16.11</v>
      </c>
      <c r="C443" s="13">
        <v>16.14</v>
      </c>
      <c r="D443" s="13">
        <v>16.350000000000001</v>
      </c>
      <c r="E443" s="13">
        <v>15.78</v>
      </c>
      <c r="F443" s="13"/>
    </row>
    <row r="444" spans="1:6" x14ac:dyDescent="0.4">
      <c r="A444" s="1">
        <v>45923</v>
      </c>
      <c r="B444" s="20">
        <v>16.649999999999999</v>
      </c>
      <c r="C444" s="13">
        <v>16.11</v>
      </c>
      <c r="D444" s="13">
        <v>17.07</v>
      </c>
      <c r="E444" s="13">
        <v>15.95</v>
      </c>
      <c r="F444" s="13"/>
    </row>
    <row r="445" spans="1:6" x14ac:dyDescent="0.4">
      <c r="A445" s="1">
        <v>45924</v>
      </c>
      <c r="B445" s="12">
        <v>16.510000000000002</v>
      </c>
      <c r="C445" s="13">
        <v>16.57</v>
      </c>
      <c r="D445" s="13">
        <v>17.21</v>
      </c>
      <c r="E445" s="13">
        <v>16.27</v>
      </c>
      <c r="F445" s="13"/>
    </row>
    <row r="446" spans="1:6" x14ac:dyDescent="0.4">
      <c r="A446" s="1">
        <v>45925</v>
      </c>
      <c r="B446" s="20">
        <v>16.739999999999998</v>
      </c>
      <c r="C446" s="13">
        <v>16.55</v>
      </c>
      <c r="D446" s="13">
        <v>17.739999999999998</v>
      </c>
      <c r="E446" s="13">
        <v>16.32</v>
      </c>
      <c r="F446" s="13"/>
    </row>
    <row r="447" spans="1:6" x14ac:dyDescent="0.4">
      <c r="A447" s="1">
        <v>45926</v>
      </c>
      <c r="B447" s="12">
        <v>15.29</v>
      </c>
      <c r="C447" s="13">
        <v>16.89</v>
      </c>
      <c r="D447" s="13">
        <v>17.05</v>
      </c>
      <c r="E447" s="13">
        <v>15.29</v>
      </c>
      <c r="F447" s="13"/>
    </row>
    <row r="448" spans="1:6" x14ac:dyDescent="0.4">
      <c r="A448" s="1">
        <v>45929</v>
      </c>
      <c r="B448" s="20">
        <v>16.11</v>
      </c>
      <c r="C448" s="13">
        <v>15.84</v>
      </c>
      <c r="D448" s="13">
        <v>16.29</v>
      </c>
      <c r="E448" s="13">
        <v>15.74</v>
      </c>
      <c r="F448" s="13"/>
    </row>
    <row r="449" spans="1:6" x14ac:dyDescent="0.4">
      <c r="A449" s="1">
        <v>45930</v>
      </c>
      <c r="B449" s="20">
        <v>16.28</v>
      </c>
      <c r="C449" s="13">
        <v>16.489999999999998</v>
      </c>
      <c r="D449" s="13">
        <v>16.7</v>
      </c>
      <c r="E449" s="13">
        <v>16.02</v>
      </c>
      <c r="F449" s="13"/>
    </row>
    <row r="450" spans="1:6" x14ac:dyDescent="0.4">
      <c r="A450" s="1">
        <v>45931</v>
      </c>
      <c r="B450" s="12">
        <v>16.28</v>
      </c>
      <c r="C450" s="13">
        <v>17.28</v>
      </c>
      <c r="D450" s="13">
        <v>17.28</v>
      </c>
      <c r="E450" s="13">
        <v>15.98</v>
      </c>
      <c r="F450" s="13"/>
    </row>
    <row r="451" spans="1:6" x14ac:dyDescent="0.4">
      <c r="A451" s="1">
        <v>45932</v>
      </c>
      <c r="B451" s="9">
        <v>16.63</v>
      </c>
      <c r="C451" s="7">
        <v>16.12</v>
      </c>
      <c r="D451" s="7">
        <v>16.920000000000002</v>
      </c>
      <c r="E451" s="7">
        <v>15.93</v>
      </c>
      <c r="F451" s="7"/>
    </row>
    <row r="452" spans="1:6" x14ac:dyDescent="0.4">
      <c r="A452" s="1">
        <v>45933</v>
      </c>
      <c r="B452" s="20">
        <v>16.649999999999999</v>
      </c>
      <c r="C452" s="13">
        <v>16.350000000000001</v>
      </c>
      <c r="D452" s="13">
        <v>17.059999999999999</v>
      </c>
      <c r="E452" s="13">
        <v>16.2</v>
      </c>
      <c r="F452" s="13"/>
    </row>
    <row r="453" spans="1:6" x14ac:dyDescent="0.4">
      <c r="A453" s="1">
        <v>45936</v>
      </c>
      <c r="B453" s="11">
        <v>16.329999999999998</v>
      </c>
      <c r="C453" s="7">
        <v>16.739999999999998</v>
      </c>
      <c r="D453" s="7">
        <v>17.09</v>
      </c>
      <c r="E453" s="7">
        <v>16.29</v>
      </c>
      <c r="F453" s="7"/>
    </row>
    <row r="454" spans="1:6" x14ac:dyDescent="0.4">
      <c r="A454" s="1">
        <v>45937</v>
      </c>
      <c r="B454" s="9">
        <v>17.25</v>
      </c>
      <c r="C454" s="7">
        <v>16.579999999999998</v>
      </c>
      <c r="D454" s="7">
        <v>17.55</v>
      </c>
      <c r="E454" s="7">
        <v>16.190000000000001</v>
      </c>
      <c r="F454" s="7"/>
    </row>
    <row r="455" spans="1:6" x14ac:dyDescent="0.4">
      <c r="A455" s="1">
        <v>45938</v>
      </c>
      <c r="B455" s="11">
        <v>16.3</v>
      </c>
      <c r="C455" s="7">
        <v>17.170000000000002</v>
      </c>
      <c r="D455" s="7">
        <v>17.2</v>
      </c>
      <c r="E455" s="7">
        <v>16.23</v>
      </c>
      <c r="F455" s="7"/>
    </row>
    <row r="456" spans="1:6" x14ac:dyDescent="0.4">
      <c r="A456" s="1">
        <v>45939</v>
      </c>
      <c r="B456" s="9">
        <v>16.43</v>
      </c>
      <c r="C456" s="7">
        <v>16.309999999999999</v>
      </c>
      <c r="D456" s="7">
        <v>17.27</v>
      </c>
      <c r="E456" s="7">
        <v>16.260000000000002</v>
      </c>
    </row>
    <row r="457" spans="1:6" x14ac:dyDescent="0.4">
      <c r="A457" s="1">
        <v>45940</v>
      </c>
      <c r="B457" s="9">
        <v>21.63</v>
      </c>
      <c r="C457" s="7">
        <v>16.36</v>
      </c>
      <c r="D457" s="7">
        <v>22.44</v>
      </c>
      <c r="E457" s="7">
        <v>16.23</v>
      </c>
      <c r="F457" s="7"/>
    </row>
    <row r="458" spans="1:6" x14ac:dyDescent="0.4">
      <c r="A458" s="1">
        <v>45943</v>
      </c>
      <c r="B458" s="11">
        <v>19.04</v>
      </c>
      <c r="C458" s="7">
        <v>19.45</v>
      </c>
      <c r="D458" s="7">
        <v>20.77</v>
      </c>
      <c r="E458" s="7">
        <v>18.61</v>
      </c>
      <c r="F458" s="7"/>
    </row>
    <row r="459" spans="1:6" x14ac:dyDescent="0.4">
      <c r="A459" s="1">
        <v>45944</v>
      </c>
      <c r="B459" s="9">
        <v>20.8</v>
      </c>
      <c r="C459" s="7">
        <v>21.46</v>
      </c>
      <c r="D459" s="7">
        <v>22.94</v>
      </c>
      <c r="E459" s="7">
        <v>19.18</v>
      </c>
      <c r="F459" s="7"/>
    </row>
    <row r="460" spans="1:6" x14ac:dyDescent="0.4">
      <c r="A460" s="1">
        <v>45945</v>
      </c>
      <c r="B460" s="11">
        <v>20.64</v>
      </c>
      <c r="C460" s="7">
        <v>20.02</v>
      </c>
      <c r="D460" s="7">
        <v>22.44</v>
      </c>
      <c r="E460" s="7">
        <v>19.11</v>
      </c>
      <c r="F460" s="7"/>
    </row>
    <row r="461" spans="1:6" x14ac:dyDescent="0.4">
      <c r="A461" s="1">
        <v>45946</v>
      </c>
      <c r="B461" s="9">
        <v>25.3</v>
      </c>
      <c r="C461" s="7">
        <v>20.49</v>
      </c>
      <c r="D461" s="7">
        <v>25.43</v>
      </c>
      <c r="E461" s="7">
        <v>19.850000000000001</v>
      </c>
      <c r="F461" s="7"/>
    </row>
    <row r="462" spans="1:6" x14ac:dyDescent="0.4">
      <c r="A462" s="1">
        <v>45947</v>
      </c>
      <c r="B462" s="11">
        <v>20.78</v>
      </c>
      <c r="C462" s="7">
        <v>28.41</v>
      </c>
      <c r="D462" s="7">
        <v>28.99</v>
      </c>
      <c r="E462" s="7">
        <v>20.73</v>
      </c>
      <c r="F462" s="7"/>
    </row>
    <row r="463" spans="1:6" x14ac:dyDescent="0.4">
      <c r="A463" s="1">
        <v>45950</v>
      </c>
      <c r="B463" s="11">
        <v>18.23</v>
      </c>
      <c r="C463" s="7">
        <v>20.53</v>
      </c>
      <c r="D463" s="7">
        <v>21.02</v>
      </c>
      <c r="E463" s="7">
        <v>18.23</v>
      </c>
      <c r="F463" s="7"/>
    </row>
    <row r="464" spans="1:6" x14ac:dyDescent="0.4">
      <c r="A464" s="1">
        <v>45951</v>
      </c>
      <c r="B464" s="12">
        <v>17.87</v>
      </c>
      <c r="C464" s="13">
        <v>18.649999999999999</v>
      </c>
      <c r="D464" s="13">
        <v>18.89</v>
      </c>
      <c r="E464" s="13">
        <v>17.399999999999999</v>
      </c>
      <c r="F464" s="13"/>
    </row>
    <row r="465" spans="1:7" x14ac:dyDescent="0.4">
      <c r="A465" s="1">
        <v>45952</v>
      </c>
      <c r="B465" s="9">
        <v>18.600000000000001</v>
      </c>
      <c r="C465" s="7">
        <v>17.84</v>
      </c>
      <c r="D465" s="7">
        <v>21.01</v>
      </c>
      <c r="E465" s="7">
        <v>17.73</v>
      </c>
      <c r="F465" s="7"/>
    </row>
    <row r="466" spans="1:7" x14ac:dyDescent="0.4">
      <c r="A466" s="1">
        <v>45953</v>
      </c>
      <c r="B466" s="12">
        <v>17.28</v>
      </c>
      <c r="C466" s="13">
        <v>18.36</v>
      </c>
      <c r="D466" s="13">
        <v>19.350000000000001</v>
      </c>
      <c r="E466" s="13">
        <v>17.079999999999998</v>
      </c>
      <c r="F466" s="13"/>
    </row>
    <row r="467" spans="1:7" x14ac:dyDescent="0.4">
      <c r="A467" s="1">
        <v>45954</v>
      </c>
      <c r="B467" s="12">
        <v>16.37</v>
      </c>
      <c r="C467" s="13">
        <v>17.02</v>
      </c>
      <c r="D467" s="13">
        <v>17.22</v>
      </c>
      <c r="E467" s="13">
        <v>16.02</v>
      </c>
      <c r="F467" s="13"/>
    </row>
    <row r="468" spans="1:7" x14ac:dyDescent="0.4">
      <c r="A468" s="1">
        <v>45957</v>
      </c>
      <c r="B468" s="11">
        <v>15.79</v>
      </c>
      <c r="C468" s="7">
        <v>15.73</v>
      </c>
      <c r="D468" s="7">
        <v>16.07</v>
      </c>
      <c r="E468" s="7">
        <v>15.62</v>
      </c>
      <c r="F468" s="7"/>
    </row>
    <row r="469" spans="1:7" x14ac:dyDescent="0.4">
      <c r="A469" s="1">
        <v>45958</v>
      </c>
      <c r="B469" s="20">
        <v>16.420000000000002</v>
      </c>
      <c r="C469" s="13">
        <v>15.95</v>
      </c>
      <c r="D469" s="13">
        <v>16.55</v>
      </c>
      <c r="E469" s="13">
        <v>15.66</v>
      </c>
      <c r="F469" s="13"/>
    </row>
    <row r="470" spans="1:7" x14ac:dyDescent="0.4">
      <c r="A470" s="1">
        <v>45959</v>
      </c>
      <c r="B470" s="20">
        <v>16.93</v>
      </c>
      <c r="C470" s="13">
        <v>16.34</v>
      </c>
      <c r="D470" s="13">
        <v>17.579999999999998</v>
      </c>
      <c r="E470" s="13">
        <v>16.260000000000002</v>
      </c>
      <c r="F470" s="13"/>
    </row>
    <row r="471" spans="1:7" x14ac:dyDescent="0.4">
      <c r="A471" s="1">
        <v>45960</v>
      </c>
      <c r="B471" s="20">
        <v>16.95</v>
      </c>
      <c r="C471" s="13">
        <v>16.260000000000002</v>
      </c>
      <c r="D471" s="13">
        <v>17.41</v>
      </c>
      <c r="E471" s="13">
        <v>15.73</v>
      </c>
      <c r="F471" s="13"/>
    </row>
    <row r="472" spans="1:7" x14ac:dyDescent="0.4">
      <c r="A472" s="1">
        <v>45961</v>
      </c>
      <c r="B472" s="20">
        <v>17.440000000000001</v>
      </c>
      <c r="C472" s="13">
        <v>16.43</v>
      </c>
      <c r="D472" s="13">
        <v>18.54</v>
      </c>
      <c r="E472" s="13">
        <v>15.96</v>
      </c>
      <c r="F472" s="13"/>
    </row>
    <row r="473" spans="1:7" x14ac:dyDescent="0.4">
      <c r="A473" s="1">
        <v>45964</v>
      </c>
      <c r="B473" s="12">
        <v>17.18</v>
      </c>
      <c r="C473" s="13">
        <v>18.059999999999999</v>
      </c>
      <c r="D473" s="13">
        <v>18.829999999999998</v>
      </c>
      <c r="E473" s="13">
        <v>17</v>
      </c>
      <c r="F473" s="13"/>
    </row>
    <row r="474" spans="1:7" x14ac:dyDescent="0.4">
      <c r="A474" s="1">
        <v>45965</v>
      </c>
      <c r="B474" s="12">
        <v>17.18</v>
      </c>
      <c r="C474" s="13">
        <v>18.059999999999999</v>
      </c>
      <c r="D474" s="13">
        <v>18.829999999999998</v>
      </c>
      <c r="E474" s="13">
        <v>17</v>
      </c>
      <c r="F474" s="13"/>
    </row>
    <row r="475" spans="1:7" x14ac:dyDescent="0.4">
      <c r="A475" s="1">
        <v>45966</v>
      </c>
      <c r="B475" s="12">
        <v>17.97</v>
      </c>
      <c r="C475" s="13">
        <v>19.37</v>
      </c>
      <c r="D475" s="13">
        <v>20.02</v>
      </c>
      <c r="E475" s="13">
        <v>17.309999999999999</v>
      </c>
      <c r="F475" s="13"/>
    </row>
    <row r="476" spans="1:7" x14ac:dyDescent="0.4">
      <c r="A476" s="1">
        <v>45967</v>
      </c>
      <c r="B476" s="20">
        <v>19.52</v>
      </c>
      <c r="C476" s="13">
        <v>18.36</v>
      </c>
      <c r="D476" s="13">
        <v>20.309999999999999</v>
      </c>
      <c r="E476" s="13">
        <v>17.64</v>
      </c>
      <c r="F476" s="13"/>
    </row>
    <row r="477" spans="1:7" x14ac:dyDescent="0.4">
      <c r="A477" s="1">
        <v>45968</v>
      </c>
      <c r="B477" s="12">
        <v>19.079999999999998</v>
      </c>
      <c r="C477" s="13">
        <v>19.52</v>
      </c>
      <c r="D477" s="13">
        <v>22.72</v>
      </c>
      <c r="E477" s="13">
        <v>19.079999999999998</v>
      </c>
      <c r="F477" s="13"/>
    </row>
    <row r="478" spans="1:7" x14ac:dyDescent="0.4">
      <c r="A478" s="1">
        <v>45971</v>
      </c>
      <c r="B478" s="11">
        <v>17.600000000000001</v>
      </c>
      <c r="C478" s="7">
        <v>18.579999999999998</v>
      </c>
      <c r="D478" s="7">
        <v>18.82</v>
      </c>
      <c r="E478" s="7">
        <v>17.600000000000001</v>
      </c>
      <c r="F478" s="7"/>
    </row>
    <row r="479" spans="1:7" x14ac:dyDescent="0.4">
      <c r="A479" s="1">
        <v>45972</v>
      </c>
      <c r="B479" s="12">
        <v>17.28</v>
      </c>
      <c r="C479" s="13">
        <v>17.899999999999999</v>
      </c>
      <c r="D479" s="13">
        <v>18.010000000000002</v>
      </c>
      <c r="E479" s="13">
        <v>17.260000000000002</v>
      </c>
      <c r="F479" s="13"/>
      <c r="G479" s="23"/>
    </row>
    <row r="480" spans="1:7" x14ac:dyDescent="0.4">
      <c r="A480" s="1">
        <v>45973</v>
      </c>
      <c r="B480" s="20">
        <v>17.52</v>
      </c>
      <c r="C480" s="13">
        <v>17.21</v>
      </c>
      <c r="D480" s="13">
        <v>18.059999999999999</v>
      </c>
      <c r="E480" s="13">
        <v>17.100000000000001</v>
      </c>
      <c r="F480" s="13"/>
    </row>
    <row r="481" spans="1:7" x14ac:dyDescent="0.4">
      <c r="A481" s="1">
        <v>45974</v>
      </c>
      <c r="B481" s="20">
        <v>20.68</v>
      </c>
      <c r="C481" s="13">
        <v>17.61</v>
      </c>
      <c r="D481" s="13">
        <v>21.31</v>
      </c>
      <c r="E481" s="13">
        <v>17.510000000000002</v>
      </c>
      <c r="F481" s="13"/>
    </row>
    <row r="482" spans="1:7" x14ac:dyDescent="0.4">
      <c r="A482" s="1">
        <v>45975</v>
      </c>
      <c r="B482" s="12">
        <v>19.829999999999998</v>
      </c>
      <c r="C482" s="13">
        <v>21.33</v>
      </c>
      <c r="D482" s="13">
        <v>23.03</v>
      </c>
      <c r="E482" s="13">
        <v>19.559999999999999</v>
      </c>
      <c r="F482" s="13"/>
    </row>
    <row r="483" spans="1:7" x14ac:dyDescent="0.4">
      <c r="A483" s="1">
        <v>45978</v>
      </c>
      <c r="B483" s="20">
        <v>22.38</v>
      </c>
      <c r="C483" s="13">
        <v>19.579999999999998</v>
      </c>
      <c r="D483" s="13">
        <v>23.44</v>
      </c>
      <c r="E483" s="13">
        <v>19.54</v>
      </c>
      <c r="F483" s="13"/>
    </row>
    <row r="484" spans="1:7" x14ac:dyDescent="0.4">
      <c r="A484" s="1">
        <v>45979</v>
      </c>
      <c r="B484" s="20">
        <v>23.93</v>
      </c>
      <c r="C484" s="13">
        <v>23.54</v>
      </c>
      <c r="D484" s="13">
        <v>25.84</v>
      </c>
      <c r="E484" s="13">
        <v>22.91</v>
      </c>
      <c r="F484" s="13"/>
    </row>
    <row r="485" spans="1:7" x14ac:dyDescent="0.4">
      <c r="A485" s="1">
        <v>45980</v>
      </c>
      <c r="B485" s="12">
        <v>23.69</v>
      </c>
      <c r="C485" s="13">
        <v>24.52</v>
      </c>
      <c r="D485" s="13">
        <v>24.79</v>
      </c>
      <c r="E485" s="13">
        <v>21.93</v>
      </c>
      <c r="F485" s="13"/>
    </row>
    <row r="486" spans="1:7" x14ac:dyDescent="0.4">
      <c r="A486" s="1">
        <v>45981</v>
      </c>
      <c r="B486" s="20">
        <v>26.52</v>
      </c>
      <c r="C486" s="13">
        <v>20.78</v>
      </c>
      <c r="D486" s="13">
        <v>28.27</v>
      </c>
      <c r="E486" s="13">
        <v>19.28</v>
      </c>
      <c r="F486" s="13"/>
      <c r="G486" s="21"/>
    </row>
    <row r="487" spans="1:7" x14ac:dyDescent="0.4">
      <c r="A487" s="1">
        <v>45982</v>
      </c>
      <c r="B487" s="12">
        <v>23.43</v>
      </c>
      <c r="C487" s="13">
        <v>25.97</v>
      </c>
      <c r="D487" s="13">
        <v>27.84</v>
      </c>
      <c r="E487" s="13">
        <v>22.54</v>
      </c>
      <c r="F487" s="13"/>
    </row>
    <row r="488" spans="1:7" x14ac:dyDescent="0.4">
      <c r="A488" s="1">
        <v>45985</v>
      </c>
      <c r="B488" s="12">
        <v>20.69</v>
      </c>
      <c r="C488" s="13">
        <v>22.69</v>
      </c>
      <c r="D488" s="13">
        <v>23.68</v>
      </c>
      <c r="E488" s="13">
        <v>20.55</v>
      </c>
      <c r="F488" s="13"/>
    </row>
    <row r="489" spans="1:7" x14ac:dyDescent="0.4">
      <c r="A489" s="1">
        <v>45986</v>
      </c>
      <c r="B489" s="12">
        <v>18.55</v>
      </c>
      <c r="C489" s="13">
        <v>20.55</v>
      </c>
      <c r="D489" s="13">
        <v>21.77</v>
      </c>
      <c r="E489" s="13">
        <v>18.39</v>
      </c>
      <c r="F489" s="13"/>
    </row>
    <row r="490" spans="1:7" x14ac:dyDescent="0.4">
      <c r="A490" s="1">
        <v>45987</v>
      </c>
      <c r="B490" s="12">
        <v>17.14</v>
      </c>
      <c r="C490" s="13">
        <v>18.25</v>
      </c>
      <c r="D490" s="13">
        <v>18.7</v>
      </c>
      <c r="E490" s="13">
        <v>16.93</v>
      </c>
      <c r="F490" s="13"/>
    </row>
    <row r="491" spans="1:7" x14ac:dyDescent="0.4">
      <c r="A491" s="1">
        <v>45989</v>
      </c>
      <c r="B491" s="11">
        <v>16.350000000000001</v>
      </c>
      <c r="C491" s="7">
        <v>17.41</v>
      </c>
      <c r="D491" s="7">
        <v>18.52</v>
      </c>
      <c r="E491" s="7">
        <v>15.78</v>
      </c>
      <c r="F491" s="7"/>
    </row>
    <row r="492" spans="1:7" x14ac:dyDescent="0.4">
      <c r="A492" s="1">
        <v>45992</v>
      </c>
      <c r="B492" s="9">
        <v>17.239999999999998</v>
      </c>
      <c r="C492" s="7">
        <v>18.05</v>
      </c>
      <c r="D492" s="7">
        <v>18.329999999999998</v>
      </c>
      <c r="E492" s="7">
        <v>16.579999999999998</v>
      </c>
      <c r="F492" s="7"/>
    </row>
    <row r="493" spans="1:7" x14ac:dyDescent="0.4">
      <c r="A493" s="1">
        <v>45993</v>
      </c>
      <c r="B493" s="12">
        <v>16.59</v>
      </c>
      <c r="C493" s="13">
        <v>17.28</v>
      </c>
      <c r="D493" s="13">
        <v>17.309999999999999</v>
      </c>
      <c r="E493" s="13">
        <v>16.39</v>
      </c>
      <c r="F493" s="13"/>
    </row>
    <row r="494" spans="1:7" x14ac:dyDescent="0.4">
      <c r="A494" s="1">
        <v>45994</v>
      </c>
      <c r="B494" s="12">
        <v>16.079999999999998</v>
      </c>
      <c r="C494" s="13">
        <v>16.43</v>
      </c>
      <c r="D494" s="13">
        <v>17.28</v>
      </c>
      <c r="E494" s="13">
        <v>15.93</v>
      </c>
      <c r="F494" s="13"/>
    </row>
    <row r="495" spans="1:7" x14ac:dyDescent="0.4">
      <c r="A495" s="1">
        <v>45995</v>
      </c>
      <c r="B495" s="11">
        <v>15.78</v>
      </c>
      <c r="C495" s="7">
        <v>16.23</v>
      </c>
      <c r="D495" s="7">
        <v>16.63</v>
      </c>
      <c r="E495" s="7">
        <v>15.68</v>
      </c>
      <c r="F495" s="7"/>
    </row>
    <row r="496" spans="1:7" x14ac:dyDescent="0.4">
      <c r="A496" s="1">
        <v>45996</v>
      </c>
      <c r="B496" s="12">
        <v>15.41</v>
      </c>
      <c r="C496" s="13">
        <v>15.58</v>
      </c>
      <c r="D496" s="13">
        <v>16.18</v>
      </c>
      <c r="E496" s="13">
        <v>15.28</v>
      </c>
      <c r="F496" s="13"/>
    </row>
    <row r="497" spans="1:6" x14ac:dyDescent="0.4">
      <c r="A497" s="1">
        <v>45999</v>
      </c>
      <c r="B497" s="20">
        <v>16.66</v>
      </c>
      <c r="C497" s="13">
        <v>16.149999999999999</v>
      </c>
      <c r="D497" s="13">
        <v>17.09</v>
      </c>
      <c r="E497" s="13">
        <v>16.100000000000001</v>
      </c>
      <c r="F497" s="13"/>
    </row>
    <row r="498" spans="1:6" x14ac:dyDescent="0.4">
      <c r="A498" s="1">
        <v>46000</v>
      </c>
      <c r="B498" s="20">
        <v>16.93</v>
      </c>
      <c r="C498" s="13">
        <v>16.66</v>
      </c>
      <c r="D498" s="13">
        <v>17.2</v>
      </c>
      <c r="E498" s="13">
        <v>16.45</v>
      </c>
      <c r="F498" s="13"/>
    </row>
    <row r="499" spans="1:6" x14ac:dyDescent="0.4">
      <c r="A499" s="1">
        <v>46001</v>
      </c>
      <c r="B499" s="12">
        <v>15.77</v>
      </c>
      <c r="C499" s="13">
        <v>16.940000000000001</v>
      </c>
      <c r="D499" s="13">
        <v>17.66</v>
      </c>
      <c r="E499" s="13">
        <v>15.56</v>
      </c>
      <c r="F499" s="13"/>
    </row>
    <row r="500" spans="1:6" x14ac:dyDescent="0.4">
      <c r="A500" s="1">
        <v>46002</v>
      </c>
      <c r="B500" s="12">
        <v>14.85</v>
      </c>
      <c r="C500" s="13">
        <v>16.84</v>
      </c>
      <c r="D500" s="13">
        <v>16.88</v>
      </c>
      <c r="E500" s="13">
        <v>14.85</v>
      </c>
      <c r="F500" s="13"/>
    </row>
    <row r="501" spans="1:6" x14ac:dyDescent="0.4">
      <c r="A501" s="1">
        <v>46003</v>
      </c>
      <c r="B501" s="20">
        <v>15.74</v>
      </c>
      <c r="C501" s="13">
        <v>14.99</v>
      </c>
      <c r="D501" s="13">
        <v>17.850000000000001</v>
      </c>
      <c r="E501" s="13">
        <v>14.85</v>
      </c>
      <c r="F501" s="13"/>
    </row>
    <row r="502" spans="1:6" x14ac:dyDescent="0.4">
      <c r="A502" s="1">
        <v>46006</v>
      </c>
      <c r="B502" s="20">
        <v>16.52</v>
      </c>
      <c r="C502" s="13">
        <v>16.510000000000002</v>
      </c>
      <c r="D502" s="13">
        <v>17.350000000000001</v>
      </c>
      <c r="E502" s="13">
        <v>15.99</v>
      </c>
      <c r="F502" s="13"/>
    </row>
    <row r="503" spans="1:6" x14ac:dyDescent="0.4">
      <c r="A503" s="1">
        <v>46007</v>
      </c>
      <c r="B503" s="12">
        <v>16.5</v>
      </c>
      <c r="C503" s="13">
        <v>17.28</v>
      </c>
      <c r="D503" s="13">
        <v>17.61</v>
      </c>
      <c r="E503" s="13">
        <v>16.190000000000001</v>
      </c>
      <c r="F503" s="13"/>
    </row>
    <row r="504" spans="1:6" x14ac:dyDescent="0.4">
      <c r="A504" s="1">
        <v>46008</v>
      </c>
      <c r="B504" s="12">
        <v>17.62</v>
      </c>
    </row>
  </sheetData>
  <autoFilter ref="A1:G1" xr:uid="{00000000-0009-0000-0000-000003000000}">
    <sortState xmlns:xlrd2="http://schemas.microsoft.com/office/spreadsheetml/2017/richdata2" ref="A2:G348">
      <sortCondition ref="A1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503"/>
  <sheetViews>
    <sheetView topLeftCell="A493" workbookViewId="0">
      <selection activeCell="B504" sqref="B504"/>
    </sheetView>
  </sheetViews>
  <sheetFormatPr defaultRowHeight="17.399999999999999" x14ac:dyDescent="0.4"/>
  <cols>
    <col min="1" max="1" width="11.09765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4">
      <c r="A2" s="1">
        <v>45292</v>
      </c>
      <c r="B2">
        <v>3.8980000000000001</v>
      </c>
      <c r="C2">
        <v>3.879</v>
      </c>
      <c r="D2">
        <v>3.8980000000000001</v>
      </c>
      <c r="E2">
        <v>3.8660000000000001</v>
      </c>
      <c r="F2" s="2">
        <v>8.3000000000000001E-3</v>
      </c>
    </row>
    <row r="3" spans="1:6" x14ac:dyDescent="0.4">
      <c r="A3" s="1">
        <v>45293</v>
      </c>
      <c r="B3">
        <v>3.9409999999999998</v>
      </c>
      <c r="C3">
        <v>3.899</v>
      </c>
      <c r="D3">
        <v>4.0229999999999997</v>
      </c>
      <c r="E3">
        <v>3.8809999999999998</v>
      </c>
      <c r="F3" s="2">
        <v>1.09E-2</v>
      </c>
    </row>
    <row r="4" spans="1:6" x14ac:dyDescent="0.4">
      <c r="A4" s="1">
        <v>45294</v>
      </c>
      <c r="B4">
        <v>3.92</v>
      </c>
      <c r="C4">
        <v>3.95</v>
      </c>
      <c r="D4">
        <v>4.01</v>
      </c>
      <c r="E4">
        <v>3.8940000000000001</v>
      </c>
      <c r="F4" s="2">
        <v>-5.3E-3</v>
      </c>
    </row>
    <row r="5" spans="1:6" x14ac:dyDescent="0.4">
      <c r="A5" s="1">
        <v>45295</v>
      </c>
      <c r="B5">
        <v>4.0030000000000001</v>
      </c>
      <c r="C5">
        <v>3.9140000000000001</v>
      </c>
      <c r="D5">
        <v>4.0060000000000002</v>
      </c>
      <c r="E5">
        <v>3.9009999999999998</v>
      </c>
      <c r="F5" s="2">
        <v>2.1100000000000001E-2</v>
      </c>
    </row>
    <row r="6" spans="1:6" x14ac:dyDescent="0.4">
      <c r="A6" s="1">
        <v>45296</v>
      </c>
      <c r="B6">
        <v>4.0510000000000002</v>
      </c>
      <c r="C6">
        <v>4.0030000000000001</v>
      </c>
      <c r="D6">
        <v>4.1029999999999998</v>
      </c>
      <c r="E6">
        <v>3.9529999999999998</v>
      </c>
      <c r="F6" s="2">
        <v>1.2200000000000001E-2</v>
      </c>
    </row>
    <row r="7" spans="1:6" x14ac:dyDescent="0.4">
      <c r="A7" s="1">
        <v>45299</v>
      </c>
      <c r="B7">
        <v>4.0270000000000001</v>
      </c>
      <c r="C7">
        <v>4.0609999999999999</v>
      </c>
      <c r="D7">
        <v>4.0679999999999996</v>
      </c>
      <c r="E7">
        <v>3.9660000000000002</v>
      </c>
      <c r="F7" s="2">
        <v>-6.1000000000000004E-3</v>
      </c>
    </row>
    <row r="8" spans="1:6" x14ac:dyDescent="0.4">
      <c r="A8" s="1">
        <v>45300</v>
      </c>
      <c r="B8">
        <v>4.0149999999999997</v>
      </c>
      <c r="C8">
        <v>4.0229999999999997</v>
      </c>
      <c r="D8">
        <v>4.0529999999999999</v>
      </c>
      <c r="E8">
        <v>3.996</v>
      </c>
      <c r="F8" s="2">
        <v>-2.8999999999999998E-3</v>
      </c>
    </row>
    <row r="9" spans="1:6" x14ac:dyDescent="0.4">
      <c r="A9" s="1">
        <v>45301</v>
      </c>
      <c r="B9">
        <v>4.03</v>
      </c>
      <c r="C9">
        <v>4.0060000000000002</v>
      </c>
      <c r="D9">
        <v>4.0430000000000001</v>
      </c>
      <c r="E9">
        <v>3.9790000000000001</v>
      </c>
      <c r="F9" s="2">
        <v>3.7000000000000002E-3</v>
      </c>
    </row>
    <row r="10" spans="1:6" x14ac:dyDescent="0.4">
      <c r="A10" s="1">
        <v>45302</v>
      </c>
      <c r="B10">
        <v>3.9750000000000001</v>
      </c>
      <c r="C10">
        <v>4.0279999999999996</v>
      </c>
      <c r="D10">
        <v>4.0679999999999996</v>
      </c>
      <c r="E10">
        <v>3.968</v>
      </c>
      <c r="F10" s="2">
        <v>-1.3599999999999999E-2</v>
      </c>
    </row>
    <row r="11" spans="1:6" x14ac:dyDescent="0.4">
      <c r="A11" s="1">
        <v>45303</v>
      </c>
      <c r="B11">
        <v>3.9390000000000001</v>
      </c>
      <c r="C11">
        <v>3.9620000000000002</v>
      </c>
      <c r="D11">
        <v>4.0069999999999997</v>
      </c>
      <c r="E11">
        <v>3.9159999999999999</v>
      </c>
      <c r="F11" s="2">
        <v>-9.1000000000000004E-3</v>
      </c>
    </row>
    <row r="12" spans="1:6" x14ac:dyDescent="0.4">
      <c r="A12" s="1">
        <v>45305</v>
      </c>
      <c r="B12">
        <v>3.968</v>
      </c>
      <c r="C12">
        <v>3.956</v>
      </c>
      <c r="D12">
        <v>3.968</v>
      </c>
      <c r="E12">
        <v>3.956</v>
      </c>
      <c r="F12" s="2">
        <v>7.4000000000000003E-3</v>
      </c>
    </row>
    <row r="13" spans="1:6" x14ac:dyDescent="0.4">
      <c r="A13" s="1">
        <v>45306</v>
      </c>
      <c r="B13">
        <v>3.9860000000000002</v>
      </c>
      <c r="C13">
        <v>3.9660000000000002</v>
      </c>
      <c r="D13">
        <v>4.0019999999999998</v>
      </c>
      <c r="E13">
        <v>3.9489999999999998</v>
      </c>
      <c r="F13" s="2">
        <v>4.4999999999999997E-3</v>
      </c>
    </row>
    <row r="14" spans="1:6" x14ac:dyDescent="0.4">
      <c r="A14" s="1">
        <v>45307</v>
      </c>
      <c r="B14">
        <v>4.0540000000000003</v>
      </c>
      <c r="C14">
        <v>3.9860000000000002</v>
      </c>
      <c r="D14">
        <v>4.0830000000000002</v>
      </c>
      <c r="E14">
        <v>3.9769999999999999</v>
      </c>
      <c r="F14" s="2">
        <v>1.7100000000000001E-2</v>
      </c>
    </row>
    <row r="15" spans="1:6" x14ac:dyDescent="0.4">
      <c r="A15" s="1">
        <v>45308</v>
      </c>
      <c r="B15">
        <v>4.1059999999999999</v>
      </c>
      <c r="C15">
        <v>4.0620000000000003</v>
      </c>
      <c r="D15">
        <v>4.1289999999999996</v>
      </c>
      <c r="E15">
        <v>4.0369999999999999</v>
      </c>
      <c r="F15" s="2">
        <v>1.2699999999999999E-2</v>
      </c>
    </row>
    <row r="16" spans="1:6" x14ac:dyDescent="0.4">
      <c r="A16" s="1">
        <v>45309</v>
      </c>
      <c r="B16">
        <v>4.1420000000000003</v>
      </c>
      <c r="C16">
        <v>4.1040000000000001</v>
      </c>
      <c r="D16">
        <v>4.1539999999999999</v>
      </c>
      <c r="E16">
        <v>4.0709999999999997</v>
      </c>
      <c r="F16" s="2">
        <v>8.8000000000000005E-3</v>
      </c>
    </row>
    <row r="17" spans="1:6" x14ac:dyDescent="0.4">
      <c r="A17" s="1">
        <v>45310</v>
      </c>
      <c r="B17">
        <v>4.13</v>
      </c>
      <c r="C17">
        <v>4.1520000000000001</v>
      </c>
      <c r="D17">
        <v>4.1980000000000004</v>
      </c>
      <c r="E17">
        <v>4.1230000000000002</v>
      </c>
      <c r="F17" s="2">
        <v>-2.8E-3</v>
      </c>
    </row>
    <row r="18" spans="1:6" x14ac:dyDescent="0.4">
      <c r="A18" s="1">
        <v>45313</v>
      </c>
      <c r="B18">
        <v>4.1070000000000002</v>
      </c>
      <c r="C18">
        <v>4.1360000000000001</v>
      </c>
      <c r="D18">
        <v>4.1399999999999997</v>
      </c>
      <c r="E18">
        <v>4.0750000000000002</v>
      </c>
      <c r="F18" s="2">
        <v>-5.5999999999999999E-3</v>
      </c>
    </row>
    <row r="19" spans="1:6" x14ac:dyDescent="0.4">
      <c r="A19" s="1">
        <v>45314</v>
      </c>
      <c r="B19">
        <v>4.1319999999999997</v>
      </c>
      <c r="C19">
        <v>4.101</v>
      </c>
      <c r="D19">
        <v>4.1550000000000002</v>
      </c>
      <c r="E19">
        <v>4.0880000000000001</v>
      </c>
      <c r="F19" s="2">
        <v>6.0000000000000001E-3</v>
      </c>
    </row>
    <row r="20" spans="1:6" x14ac:dyDescent="0.4">
      <c r="A20" s="1">
        <v>45315</v>
      </c>
      <c r="B20">
        <v>4.18</v>
      </c>
      <c r="C20">
        <v>4.1340000000000003</v>
      </c>
      <c r="D20">
        <v>4.1879999999999997</v>
      </c>
      <c r="E20">
        <v>4.0860000000000003</v>
      </c>
      <c r="F20" s="2">
        <v>1.1599999999999999E-2</v>
      </c>
    </row>
    <row r="21" spans="1:6" x14ac:dyDescent="0.4">
      <c r="A21" s="1">
        <v>45316</v>
      </c>
      <c r="B21">
        <v>4.12</v>
      </c>
      <c r="C21">
        <v>4.1840000000000002</v>
      </c>
      <c r="D21">
        <v>4.1950000000000003</v>
      </c>
      <c r="E21">
        <v>4.12</v>
      </c>
      <c r="F21" s="2">
        <v>-1.43E-2</v>
      </c>
    </row>
    <row r="22" spans="1:6" x14ac:dyDescent="0.4">
      <c r="A22" s="1">
        <v>45317</v>
      </c>
      <c r="B22">
        <v>4.1390000000000002</v>
      </c>
      <c r="C22">
        <v>4.1130000000000004</v>
      </c>
      <c r="D22">
        <v>4.1660000000000004</v>
      </c>
      <c r="E22">
        <v>4.093</v>
      </c>
      <c r="F22" s="2">
        <v>4.5999999999999999E-3</v>
      </c>
    </row>
    <row r="23" spans="1:6" x14ac:dyDescent="0.4">
      <c r="A23" s="1">
        <v>45320</v>
      </c>
      <c r="B23">
        <v>4.0759999999999996</v>
      </c>
      <c r="C23">
        <v>4.1390000000000002</v>
      </c>
      <c r="D23">
        <v>4.1449999999999996</v>
      </c>
      <c r="E23">
        <v>4.0590000000000002</v>
      </c>
      <c r="F23" s="2">
        <v>-1.5299999999999999E-2</v>
      </c>
    </row>
    <row r="24" spans="1:6" x14ac:dyDescent="0.4">
      <c r="A24" s="1">
        <v>45321</v>
      </c>
      <c r="B24">
        <v>4.0359999999999996</v>
      </c>
      <c r="C24">
        <v>4.0780000000000003</v>
      </c>
      <c r="D24">
        <v>4.1029999999999998</v>
      </c>
      <c r="E24">
        <v>4.0339999999999998</v>
      </c>
      <c r="F24" s="2">
        <v>-9.9000000000000008E-3</v>
      </c>
    </row>
    <row r="25" spans="1:6" x14ac:dyDescent="0.4">
      <c r="A25" s="1">
        <v>45322</v>
      </c>
      <c r="B25">
        <v>3.9180000000000001</v>
      </c>
      <c r="C25">
        <v>4.04</v>
      </c>
      <c r="D25">
        <v>4.0430000000000001</v>
      </c>
      <c r="E25">
        <v>3.9119999999999999</v>
      </c>
      <c r="F25" s="2">
        <v>-2.92E-2</v>
      </c>
    </row>
    <row r="26" spans="1:6" x14ac:dyDescent="0.4">
      <c r="A26" s="1">
        <v>45323</v>
      </c>
      <c r="B26">
        <v>3.8820000000000001</v>
      </c>
      <c r="C26">
        <v>3.931</v>
      </c>
      <c r="D26">
        <v>3.9580000000000002</v>
      </c>
      <c r="E26">
        <v>3.8159999999999998</v>
      </c>
      <c r="F26" s="2">
        <v>-9.1999999999999998E-3</v>
      </c>
    </row>
    <row r="27" spans="1:6" x14ac:dyDescent="0.4">
      <c r="A27" s="1">
        <v>45324</v>
      </c>
      <c r="B27">
        <v>4.024</v>
      </c>
      <c r="C27">
        <v>3.8759999999999999</v>
      </c>
      <c r="D27">
        <v>4.0540000000000003</v>
      </c>
      <c r="E27">
        <v>3.8730000000000002</v>
      </c>
      <c r="F27" s="2">
        <v>3.6499999999999998E-2</v>
      </c>
    </row>
    <row r="28" spans="1:6" x14ac:dyDescent="0.4">
      <c r="A28" s="1">
        <v>45327</v>
      </c>
      <c r="B28">
        <v>4.1619999999999999</v>
      </c>
      <c r="C28">
        <v>4.0540000000000003</v>
      </c>
      <c r="D28">
        <v>4.1769999999999996</v>
      </c>
      <c r="E28">
        <v>4.0490000000000004</v>
      </c>
      <c r="F28" s="2">
        <v>3.4299999999999997E-2</v>
      </c>
    </row>
    <row r="29" spans="1:6" x14ac:dyDescent="0.4">
      <c r="A29" s="1">
        <v>45328</v>
      </c>
      <c r="B29">
        <v>4.09</v>
      </c>
      <c r="C29">
        <v>4.1459999999999999</v>
      </c>
      <c r="D29">
        <v>4.1710000000000003</v>
      </c>
      <c r="E29">
        <v>4.0789999999999997</v>
      </c>
      <c r="F29" s="2">
        <v>-1.7100000000000001E-2</v>
      </c>
    </row>
    <row r="30" spans="1:6" x14ac:dyDescent="0.4">
      <c r="A30" s="1">
        <v>45329</v>
      </c>
      <c r="B30">
        <v>4.1150000000000002</v>
      </c>
      <c r="C30">
        <v>4.1020000000000003</v>
      </c>
      <c r="D30">
        <v>4.1349999999999998</v>
      </c>
      <c r="E30">
        <v>4.0650000000000004</v>
      </c>
      <c r="F30" s="2">
        <v>6.1000000000000004E-3</v>
      </c>
    </row>
    <row r="31" spans="1:6" x14ac:dyDescent="0.4">
      <c r="A31" s="1">
        <v>45330</v>
      </c>
      <c r="B31">
        <v>4.1580000000000004</v>
      </c>
      <c r="C31">
        <v>4.1059999999999999</v>
      </c>
      <c r="D31">
        <v>4.173</v>
      </c>
      <c r="E31">
        <v>4.0880000000000001</v>
      </c>
      <c r="F31" s="2">
        <v>1.04E-2</v>
      </c>
    </row>
    <row r="32" spans="1:6" x14ac:dyDescent="0.4">
      <c r="A32" s="1">
        <v>45331</v>
      </c>
      <c r="B32">
        <v>4.1769999999999996</v>
      </c>
      <c r="C32">
        <v>4.1539999999999999</v>
      </c>
      <c r="D32">
        <v>4.1950000000000003</v>
      </c>
      <c r="E32">
        <v>4.125</v>
      </c>
      <c r="F32" s="2">
        <v>4.7000000000000002E-3</v>
      </c>
    </row>
    <row r="33" spans="1:6" x14ac:dyDescent="0.4">
      <c r="A33" s="1">
        <v>45334</v>
      </c>
      <c r="B33">
        <v>4.1790000000000003</v>
      </c>
      <c r="C33">
        <v>4.1829999999999998</v>
      </c>
      <c r="D33">
        <v>4.1970000000000001</v>
      </c>
      <c r="E33">
        <v>4.1459999999999999</v>
      </c>
      <c r="F33" s="2">
        <v>5.0000000000000001E-4</v>
      </c>
    </row>
    <row r="34" spans="1:6" x14ac:dyDescent="0.4">
      <c r="A34" s="1">
        <v>45335</v>
      </c>
      <c r="B34">
        <v>4.3259999999999996</v>
      </c>
      <c r="C34">
        <v>4.1790000000000003</v>
      </c>
      <c r="D34">
        <v>4.3280000000000003</v>
      </c>
      <c r="E34">
        <v>4.1500000000000004</v>
      </c>
      <c r="F34" s="2">
        <v>3.5099999999999999E-2</v>
      </c>
    </row>
    <row r="35" spans="1:6" x14ac:dyDescent="0.4">
      <c r="A35" s="1">
        <v>45336</v>
      </c>
      <c r="B35">
        <v>4.2610000000000001</v>
      </c>
      <c r="C35">
        <v>4.3280000000000003</v>
      </c>
      <c r="D35">
        <v>4.3319999999999999</v>
      </c>
      <c r="E35">
        <v>4.2460000000000004</v>
      </c>
      <c r="F35" s="2">
        <v>-1.4999999999999999E-2</v>
      </c>
    </row>
    <row r="36" spans="1:6" x14ac:dyDescent="0.4">
      <c r="A36" s="1">
        <v>45337</v>
      </c>
      <c r="B36">
        <v>4.234</v>
      </c>
      <c r="C36">
        <v>4.2549999999999999</v>
      </c>
      <c r="D36">
        <v>4.2569999999999997</v>
      </c>
      <c r="E36">
        <v>4.1870000000000003</v>
      </c>
      <c r="F36" s="2">
        <v>-6.4000000000000003E-3</v>
      </c>
    </row>
    <row r="37" spans="1:6" x14ac:dyDescent="0.4">
      <c r="A37" s="1">
        <v>45338</v>
      </c>
      <c r="B37">
        <v>4.2809999999999997</v>
      </c>
      <c r="C37">
        <v>4.2380000000000004</v>
      </c>
      <c r="D37">
        <v>4.33</v>
      </c>
      <c r="E37">
        <v>4.2359999999999998</v>
      </c>
      <c r="F37" s="2">
        <v>1.11E-2</v>
      </c>
    </row>
    <row r="38" spans="1:6" x14ac:dyDescent="0.4">
      <c r="A38" s="1">
        <v>45340</v>
      </c>
      <c r="B38">
        <v>4.2960000000000003</v>
      </c>
      <c r="C38">
        <v>4.2869999999999999</v>
      </c>
      <c r="D38">
        <v>4.3010000000000002</v>
      </c>
      <c r="E38">
        <v>4.2869999999999999</v>
      </c>
      <c r="F38" s="2">
        <v>3.5000000000000001E-3</v>
      </c>
    </row>
    <row r="39" spans="1:6" x14ac:dyDescent="0.4">
      <c r="A39" s="1">
        <v>45341</v>
      </c>
      <c r="B39">
        <v>4.3170000000000002</v>
      </c>
      <c r="C39">
        <v>4.2960000000000003</v>
      </c>
      <c r="D39">
        <v>4.3280000000000003</v>
      </c>
      <c r="E39">
        <v>4.282</v>
      </c>
      <c r="F39" s="2">
        <v>4.7999999999999996E-3</v>
      </c>
    </row>
    <row r="40" spans="1:6" x14ac:dyDescent="0.4">
      <c r="A40" s="1">
        <v>45342</v>
      </c>
      <c r="B40">
        <v>4.2750000000000004</v>
      </c>
      <c r="C40">
        <v>4.3170000000000002</v>
      </c>
      <c r="D40">
        <v>4.319</v>
      </c>
      <c r="E40">
        <v>4.2439999999999998</v>
      </c>
      <c r="F40" s="2">
        <v>-9.5999999999999992E-3</v>
      </c>
    </row>
    <row r="41" spans="1:6" x14ac:dyDescent="0.4">
      <c r="A41" s="1">
        <v>45343</v>
      </c>
      <c r="B41">
        <v>4.319</v>
      </c>
      <c r="C41">
        <v>4.2830000000000004</v>
      </c>
      <c r="D41">
        <v>4.3310000000000004</v>
      </c>
      <c r="E41">
        <v>4.25</v>
      </c>
      <c r="F41" s="2">
        <v>1.0200000000000001E-2</v>
      </c>
    </row>
    <row r="42" spans="1:6" x14ac:dyDescent="0.4">
      <c r="A42" s="1">
        <v>45344</v>
      </c>
      <c r="B42">
        <v>4.3310000000000004</v>
      </c>
      <c r="C42">
        <v>4.3230000000000004</v>
      </c>
      <c r="D42">
        <v>4.3540000000000001</v>
      </c>
      <c r="E42">
        <v>4.2949999999999999</v>
      </c>
      <c r="F42" s="2">
        <v>2.8E-3</v>
      </c>
    </row>
    <row r="43" spans="1:6" x14ac:dyDescent="0.4">
      <c r="A43" s="1">
        <v>45345</v>
      </c>
      <c r="B43">
        <v>4.2480000000000002</v>
      </c>
      <c r="C43">
        <v>4.343</v>
      </c>
      <c r="D43">
        <v>4.351</v>
      </c>
      <c r="E43">
        <v>4.2460000000000004</v>
      </c>
      <c r="F43" s="2">
        <v>-1.9099999999999999E-2</v>
      </c>
    </row>
    <row r="44" spans="1:6" x14ac:dyDescent="0.4">
      <c r="A44" s="1">
        <v>45348</v>
      </c>
      <c r="B44">
        <v>4.2809999999999997</v>
      </c>
      <c r="C44">
        <v>4.258</v>
      </c>
      <c r="D44">
        <v>4.3090000000000002</v>
      </c>
      <c r="E44">
        <v>4.2169999999999996</v>
      </c>
      <c r="F44" s="2">
        <v>7.9000000000000008E-3</v>
      </c>
    </row>
    <row r="45" spans="1:6" x14ac:dyDescent="0.4">
      <c r="A45" s="1">
        <v>45349</v>
      </c>
      <c r="B45">
        <v>4.3029999999999999</v>
      </c>
      <c r="C45">
        <v>4.2830000000000004</v>
      </c>
      <c r="D45">
        <v>4.3209999999999997</v>
      </c>
      <c r="E45">
        <v>4.258</v>
      </c>
      <c r="F45" s="2">
        <v>5.1000000000000004E-3</v>
      </c>
    </row>
    <row r="46" spans="1:6" x14ac:dyDescent="0.4">
      <c r="A46" s="1">
        <v>45350</v>
      </c>
      <c r="B46">
        <v>4.266</v>
      </c>
      <c r="C46">
        <v>4.3049999999999997</v>
      </c>
      <c r="D46">
        <v>4.3090000000000002</v>
      </c>
      <c r="E46">
        <v>4.2640000000000002</v>
      </c>
      <c r="F46" s="2">
        <v>-8.6999999999999994E-3</v>
      </c>
    </row>
    <row r="47" spans="1:6" x14ac:dyDescent="0.4">
      <c r="A47" s="1">
        <v>45351</v>
      </c>
      <c r="B47">
        <v>4.2539999999999996</v>
      </c>
      <c r="C47">
        <v>4.266</v>
      </c>
      <c r="D47">
        <v>4.319</v>
      </c>
      <c r="E47">
        <v>4.2249999999999996</v>
      </c>
      <c r="F47" s="2">
        <v>-2.7000000000000001E-3</v>
      </c>
    </row>
    <row r="48" spans="1:6" x14ac:dyDescent="0.4">
      <c r="A48" s="1">
        <v>45352</v>
      </c>
      <c r="B48">
        <v>4.1859999999999999</v>
      </c>
      <c r="C48">
        <v>4.2539999999999996</v>
      </c>
      <c r="D48">
        <v>4.2960000000000003</v>
      </c>
      <c r="E48">
        <v>4.1779999999999999</v>
      </c>
      <c r="F48" s="2">
        <v>-1.61E-2</v>
      </c>
    </row>
    <row r="49" spans="1:6" x14ac:dyDescent="0.4">
      <c r="A49" s="1">
        <v>45355</v>
      </c>
      <c r="B49">
        <v>4.2169999999999996</v>
      </c>
      <c r="C49">
        <v>4.1929999999999996</v>
      </c>
      <c r="D49">
        <v>4.2350000000000003</v>
      </c>
      <c r="E49">
        <v>4.1890000000000001</v>
      </c>
      <c r="F49" s="2">
        <v>7.4999999999999997E-3</v>
      </c>
    </row>
    <row r="50" spans="1:6" x14ac:dyDescent="0.4">
      <c r="A50" s="1">
        <v>45356</v>
      </c>
      <c r="B50">
        <v>4.1509999999999998</v>
      </c>
      <c r="C50">
        <v>4.2229999999999999</v>
      </c>
      <c r="D50">
        <v>4.2229999999999999</v>
      </c>
      <c r="E50">
        <v>4.1120000000000001</v>
      </c>
      <c r="F50" s="2">
        <v>-1.5699999999999999E-2</v>
      </c>
    </row>
    <row r="51" spans="1:6" x14ac:dyDescent="0.4">
      <c r="A51" s="1">
        <v>45357</v>
      </c>
      <c r="B51">
        <v>4.1079999999999997</v>
      </c>
      <c r="C51">
        <v>4.1550000000000002</v>
      </c>
      <c r="D51">
        <v>4.17</v>
      </c>
      <c r="E51">
        <v>4.0789999999999997</v>
      </c>
      <c r="F51" s="2">
        <v>-1.03E-2</v>
      </c>
    </row>
    <row r="52" spans="1:6" x14ac:dyDescent="0.4">
      <c r="A52" s="1">
        <v>45358</v>
      </c>
      <c r="B52">
        <v>4.0890000000000004</v>
      </c>
      <c r="C52">
        <v>4.1040000000000001</v>
      </c>
      <c r="D52">
        <v>4.1269999999999998</v>
      </c>
      <c r="E52">
        <v>4.0540000000000003</v>
      </c>
      <c r="F52" s="2">
        <v>-4.7000000000000002E-3</v>
      </c>
    </row>
    <row r="53" spans="1:6" x14ac:dyDescent="0.4">
      <c r="A53" s="1">
        <v>45359</v>
      </c>
      <c r="B53">
        <v>4.077</v>
      </c>
      <c r="C53">
        <v>4.09</v>
      </c>
      <c r="D53">
        <v>4.1310000000000002</v>
      </c>
      <c r="E53">
        <v>4.0380000000000003</v>
      </c>
      <c r="F53" s="2">
        <v>-2.8E-3</v>
      </c>
    </row>
    <row r="54" spans="1:6" x14ac:dyDescent="0.4">
      <c r="A54" s="1">
        <v>45362</v>
      </c>
      <c r="B54">
        <v>4.0979999999999999</v>
      </c>
      <c r="C54">
        <v>4.0830000000000002</v>
      </c>
      <c r="D54">
        <v>4.1159999999999997</v>
      </c>
      <c r="E54">
        <v>4.0519999999999996</v>
      </c>
      <c r="F54" s="2">
        <v>5.1999999999999998E-3</v>
      </c>
    </row>
    <row r="55" spans="1:6" x14ac:dyDescent="0.4">
      <c r="A55" s="1">
        <v>45363</v>
      </c>
      <c r="B55">
        <v>4.1509999999999998</v>
      </c>
      <c r="C55">
        <v>4.0940000000000003</v>
      </c>
      <c r="D55">
        <v>4.1719999999999997</v>
      </c>
      <c r="E55">
        <v>4.0810000000000004</v>
      </c>
      <c r="F55" s="2">
        <v>1.2800000000000001E-2</v>
      </c>
    </row>
    <row r="56" spans="1:6" x14ac:dyDescent="0.4">
      <c r="A56" s="1">
        <v>45364</v>
      </c>
      <c r="B56">
        <v>4.1879999999999997</v>
      </c>
      <c r="C56">
        <v>4.1470000000000002</v>
      </c>
      <c r="D56">
        <v>4.1980000000000004</v>
      </c>
      <c r="E56">
        <v>4.1310000000000002</v>
      </c>
      <c r="F56" s="2">
        <v>8.9999999999999993E-3</v>
      </c>
    </row>
    <row r="57" spans="1:6" x14ac:dyDescent="0.4">
      <c r="A57" s="1">
        <v>45365</v>
      </c>
      <c r="B57">
        <v>4.2919999999999998</v>
      </c>
      <c r="C57">
        <v>4.1900000000000004</v>
      </c>
      <c r="D57">
        <v>4.3</v>
      </c>
      <c r="E57">
        <v>4.1859999999999999</v>
      </c>
      <c r="F57" s="2">
        <v>2.4899999999999999E-2</v>
      </c>
    </row>
    <row r="58" spans="1:6" x14ac:dyDescent="0.4">
      <c r="A58" s="1">
        <v>45366</v>
      </c>
      <c r="B58">
        <v>4.3079999999999998</v>
      </c>
      <c r="C58">
        <v>4.2960000000000003</v>
      </c>
      <c r="D58">
        <v>4.3220000000000001</v>
      </c>
      <c r="E58">
        <v>4.2690000000000001</v>
      </c>
      <c r="F58" s="2">
        <v>3.8E-3</v>
      </c>
    </row>
    <row r="59" spans="1:6" x14ac:dyDescent="0.4">
      <c r="A59" s="1">
        <v>45369</v>
      </c>
      <c r="B59">
        <v>4.3280000000000003</v>
      </c>
      <c r="C59">
        <v>4.3079999999999998</v>
      </c>
      <c r="D59">
        <v>4.3479999999999999</v>
      </c>
      <c r="E59">
        <v>4.2910000000000004</v>
      </c>
      <c r="F59" s="2">
        <v>4.5999999999999999E-3</v>
      </c>
    </row>
    <row r="60" spans="1:6" x14ac:dyDescent="0.4">
      <c r="A60" s="1">
        <v>45370</v>
      </c>
      <c r="B60">
        <v>4.2930000000000001</v>
      </c>
      <c r="C60">
        <v>4.3280000000000003</v>
      </c>
      <c r="D60">
        <v>4.3360000000000003</v>
      </c>
      <c r="E60">
        <v>4.2869999999999999</v>
      </c>
      <c r="F60" s="2">
        <v>-8.2000000000000007E-3</v>
      </c>
    </row>
    <row r="61" spans="1:6" x14ac:dyDescent="0.4">
      <c r="A61" s="1">
        <v>45371</v>
      </c>
      <c r="B61">
        <v>4.2770000000000001</v>
      </c>
      <c r="C61">
        <v>4.2850000000000001</v>
      </c>
      <c r="D61">
        <v>4.3239999999999998</v>
      </c>
      <c r="E61">
        <v>4.2329999999999997</v>
      </c>
      <c r="F61" s="2">
        <v>-3.7000000000000002E-3</v>
      </c>
    </row>
    <row r="62" spans="1:6" x14ac:dyDescent="0.4">
      <c r="A62" s="1">
        <v>45372</v>
      </c>
      <c r="B62">
        <v>4.2690000000000001</v>
      </c>
      <c r="C62">
        <v>4.2729999999999997</v>
      </c>
      <c r="D62">
        <v>4.2930000000000001</v>
      </c>
      <c r="E62">
        <v>4.218</v>
      </c>
      <c r="F62" s="2">
        <v>-1.8E-3</v>
      </c>
    </row>
    <row r="63" spans="1:6" x14ac:dyDescent="0.4">
      <c r="A63" s="1">
        <v>45373</v>
      </c>
      <c r="B63">
        <v>4.202</v>
      </c>
      <c r="C63">
        <v>4.2649999999999997</v>
      </c>
      <c r="D63">
        <v>4.2690000000000001</v>
      </c>
      <c r="E63">
        <v>4.1980000000000004</v>
      </c>
      <c r="F63" s="2">
        <v>-1.5699999999999999E-2</v>
      </c>
    </row>
    <row r="64" spans="1:6" x14ac:dyDescent="0.4">
      <c r="A64" s="1">
        <v>45376</v>
      </c>
      <c r="B64">
        <v>4.2489999999999997</v>
      </c>
      <c r="C64">
        <v>4.1980000000000004</v>
      </c>
      <c r="D64">
        <v>4.2610000000000001</v>
      </c>
      <c r="E64">
        <v>4.1900000000000004</v>
      </c>
      <c r="F64" s="2">
        <v>1.1299999999999999E-2</v>
      </c>
    </row>
    <row r="65" spans="1:6" x14ac:dyDescent="0.4">
      <c r="A65" s="1">
        <v>45377</v>
      </c>
      <c r="B65">
        <v>4.2380000000000004</v>
      </c>
      <c r="C65">
        <v>4.2430000000000003</v>
      </c>
      <c r="D65">
        <v>4.2729999999999997</v>
      </c>
      <c r="E65">
        <v>4.2220000000000004</v>
      </c>
      <c r="F65" s="2">
        <v>-2.8E-3</v>
      </c>
    </row>
    <row r="66" spans="1:6" x14ac:dyDescent="0.4">
      <c r="A66" s="1">
        <v>45378</v>
      </c>
      <c r="B66">
        <v>4.1879999999999997</v>
      </c>
      <c r="C66">
        <v>4.2380000000000004</v>
      </c>
      <c r="D66">
        <v>4.2409999999999997</v>
      </c>
      <c r="E66">
        <v>4.1820000000000004</v>
      </c>
      <c r="F66" s="2">
        <v>-1.1599999999999999E-2</v>
      </c>
    </row>
    <row r="67" spans="1:6" x14ac:dyDescent="0.4">
      <c r="A67" s="1">
        <v>45379</v>
      </c>
      <c r="B67">
        <v>4.2060000000000004</v>
      </c>
      <c r="C67">
        <v>4.2060000000000004</v>
      </c>
      <c r="D67">
        <v>4.2380000000000004</v>
      </c>
      <c r="E67">
        <v>4.1829999999999998</v>
      </c>
      <c r="F67" s="2">
        <v>4.1999999999999997E-3</v>
      </c>
    </row>
    <row r="68" spans="1:6" x14ac:dyDescent="0.4">
      <c r="A68" s="1">
        <v>45380</v>
      </c>
      <c r="B68">
        <v>4.21</v>
      </c>
      <c r="C68">
        <v>4.21</v>
      </c>
      <c r="D68">
        <v>4.21</v>
      </c>
      <c r="E68">
        <v>4.21</v>
      </c>
      <c r="F68" s="2">
        <v>8.9999999999999998E-4</v>
      </c>
    </row>
    <row r="69" spans="1:6" x14ac:dyDescent="0.4">
      <c r="A69" s="1">
        <v>45383</v>
      </c>
      <c r="B69">
        <v>4.3170000000000002</v>
      </c>
      <c r="C69">
        <v>4.1900000000000004</v>
      </c>
      <c r="D69">
        <v>4.3369999999999997</v>
      </c>
      <c r="E69">
        <v>4.1879999999999997</v>
      </c>
      <c r="F69" s="2">
        <v>2.5399999999999999E-2</v>
      </c>
    </row>
    <row r="70" spans="1:6" x14ac:dyDescent="0.4">
      <c r="A70" s="1">
        <v>45384</v>
      </c>
      <c r="B70">
        <v>4.3529999999999998</v>
      </c>
      <c r="C70">
        <v>4.3049999999999997</v>
      </c>
      <c r="D70">
        <v>4.4050000000000002</v>
      </c>
      <c r="E70">
        <v>4.3029999999999999</v>
      </c>
      <c r="F70" s="2">
        <v>8.3000000000000001E-3</v>
      </c>
    </row>
    <row r="71" spans="1:6" x14ac:dyDescent="0.4">
      <c r="A71" s="1">
        <v>45385</v>
      </c>
      <c r="B71">
        <v>4.351</v>
      </c>
      <c r="C71">
        <v>4.3570000000000002</v>
      </c>
      <c r="D71">
        <v>4.4290000000000003</v>
      </c>
      <c r="E71">
        <v>4.343</v>
      </c>
      <c r="F71" s="2">
        <v>-4.0000000000000002E-4</v>
      </c>
    </row>
    <row r="72" spans="1:6" x14ac:dyDescent="0.4">
      <c r="A72" s="1">
        <v>45386</v>
      </c>
      <c r="B72">
        <v>4.3070000000000004</v>
      </c>
      <c r="C72">
        <v>4.343</v>
      </c>
      <c r="D72">
        <v>4.3810000000000002</v>
      </c>
      <c r="E72">
        <v>4.2990000000000004</v>
      </c>
      <c r="F72" s="2">
        <v>-1.01E-2</v>
      </c>
    </row>
    <row r="73" spans="1:6" x14ac:dyDescent="0.4">
      <c r="A73" s="1">
        <v>45387</v>
      </c>
      <c r="B73">
        <v>4.4000000000000004</v>
      </c>
      <c r="C73">
        <v>4.3090000000000002</v>
      </c>
      <c r="D73">
        <v>4.4059999999999997</v>
      </c>
      <c r="E73">
        <v>4.3049999999999997</v>
      </c>
      <c r="F73" s="2">
        <v>2.1399999999999999E-2</v>
      </c>
    </row>
    <row r="74" spans="1:6" x14ac:dyDescent="0.4">
      <c r="A74" s="1">
        <v>45390</v>
      </c>
      <c r="B74">
        <v>4.4219999999999997</v>
      </c>
      <c r="C74">
        <v>4.4139999999999997</v>
      </c>
      <c r="D74">
        <v>4.4640000000000004</v>
      </c>
      <c r="E74">
        <v>4.4059999999999997</v>
      </c>
      <c r="F74" s="2">
        <v>5.0000000000000001E-3</v>
      </c>
    </row>
    <row r="75" spans="1:6" x14ac:dyDescent="0.4">
      <c r="A75" s="1">
        <v>45391</v>
      </c>
      <c r="B75">
        <v>4.3620000000000001</v>
      </c>
      <c r="C75">
        <v>4.4260000000000002</v>
      </c>
      <c r="D75">
        <v>4.4320000000000004</v>
      </c>
      <c r="E75">
        <v>4.3540000000000001</v>
      </c>
      <c r="F75" s="2">
        <v>-1.3599999999999999E-2</v>
      </c>
    </row>
    <row r="76" spans="1:6" x14ac:dyDescent="0.4">
      <c r="A76" s="1">
        <v>45392</v>
      </c>
      <c r="B76">
        <v>4.5460000000000003</v>
      </c>
      <c r="C76">
        <v>4.3659999999999997</v>
      </c>
      <c r="D76">
        <v>4.5679999999999996</v>
      </c>
      <c r="E76">
        <v>4.3419999999999996</v>
      </c>
      <c r="F76" s="2">
        <v>4.2200000000000001E-2</v>
      </c>
    </row>
    <row r="77" spans="1:6" x14ac:dyDescent="0.4">
      <c r="A77" s="1">
        <v>45393</v>
      </c>
      <c r="B77">
        <v>4.5839999999999996</v>
      </c>
      <c r="C77">
        <v>4.548</v>
      </c>
      <c r="D77">
        <v>4.593</v>
      </c>
      <c r="E77">
        <v>4.5129999999999999</v>
      </c>
      <c r="F77" s="2">
        <v>8.6E-3</v>
      </c>
    </row>
    <row r="78" spans="1:6" x14ac:dyDescent="0.4">
      <c r="A78" s="1">
        <v>45394</v>
      </c>
      <c r="B78">
        <v>4.5170000000000003</v>
      </c>
      <c r="C78">
        <v>4.5819999999999999</v>
      </c>
      <c r="D78">
        <v>4.5839999999999996</v>
      </c>
      <c r="E78">
        <v>4.4829999999999997</v>
      </c>
      <c r="F78" s="2">
        <v>-1.46E-2</v>
      </c>
    </row>
    <row r="79" spans="1:6" x14ac:dyDescent="0.4">
      <c r="A79" s="1">
        <v>45397</v>
      </c>
      <c r="B79">
        <v>4.6100000000000003</v>
      </c>
      <c r="C79">
        <v>4.5339999999999998</v>
      </c>
      <c r="D79">
        <v>4.6630000000000003</v>
      </c>
      <c r="E79">
        <v>4.5199999999999996</v>
      </c>
      <c r="F79" s="2">
        <v>2.0400000000000001E-2</v>
      </c>
    </row>
    <row r="80" spans="1:6" x14ac:dyDescent="0.4">
      <c r="A80" s="1">
        <v>45398</v>
      </c>
      <c r="B80">
        <v>4.6689999999999996</v>
      </c>
      <c r="C80">
        <v>4.6139999999999999</v>
      </c>
      <c r="D80">
        <v>4.6959999999999997</v>
      </c>
      <c r="E80">
        <v>4.5910000000000002</v>
      </c>
      <c r="F80" s="2">
        <v>1.2999999999999999E-2</v>
      </c>
    </row>
    <row r="81" spans="1:6" x14ac:dyDescent="0.4">
      <c r="A81" s="1">
        <v>45399</v>
      </c>
      <c r="B81">
        <v>4.5890000000000004</v>
      </c>
      <c r="C81">
        <v>4.6740000000000004</v>
      </c>
      <c r="D81">
        <v>4.6840000000000002</v>
      </c>
      <c r="E81">
        <v>4.5750000000000002</v>
      </c>
      <c r="F81" s="2">
        <v>-1.72E-2</v>
      </c>
    </row>
    <row r="82" spans="1:6" x14ac:dyDescent="0.4">
      <c r="A82" s="1">
        <v>45400</v>
      </c>
      <c r="B82">
        <v>4.6369999999999996</v>
      </c>
      <c r="C82">
        <v>4.5869999999999997</v>
      </c>
      <c r="D82">
        <v>4.6529999999999996</v>
      </c>
      <c r="E82">
        <v>4.5609999999999999</v>
      </c>
      <c r="F82" s="2">
        <v>1.03E-2</v>
      </c>
    </row>
    <row r="83" spans="1:6" x14ac:dyDescent="0.4">
      <c r="A83" s="1">
        <v>45401</v>
      </c>
      <c r="B83">
        <v>4.6230000000000002</v>
      </c>
      <c r="C83">
        <v>4.6269999999999998</v>
      </c>
      <c r="D83">
        <v>4.6349999999999998</v>
      </c>
      <c r="E83">
        <v>4.4960000000000004</v>
      </c>
      <c r="F83" s="2">
        <v>-3.0000000000000001E-3</v>
      </c>
    </row>
    <row r="84" spans="1:6" x14ac:dyDescent="0.4">
      <c r="A84" s="1">
        <v>45404</v>
      </c>
      <c r="B84">
        <v>4.6100000000000003</v>
      </c>
      <c r="C84">
        <v>4.6310000000000002</v>
      </c>
      <c r="D84">
        <v>4.6680000000000001</v>
      </c>
      <c r="E84">
        <v>4.609</v>
      </c>
      <c r="F84" s="2">
        <v>-2.7000000000000001E-3</v>
      </c>
    </row>
    <row r="85" spans="1:6" x14ac:dyDescent="0.4">
      <c r="A85" s="1">
        <v>45405</v>
      </c>
      <c r="B85">
        <v>4.6070000000000002</v>
      </c>
      <c r="C85">
        <v>4.6130000000000004</v>
      </c>
      <c r="D85">
        <v>4.6539999999999999</v>
      </c>
      <c r="E85">
        <v>4.5679999999999996</v>
      </c>
      <c r="F85" s="2">
        <v>-8.0000000000000004E-4</v>
      </c>
    </row>
    <row r="86" spans="1:6" x14ac:dyDescent="0.4">
      <c r="A86" s="1">
        <v>45406</v>
      </c>
      <c r="B86">
        <v>4.6479999999999997</v>
      </c>
      <c r="C86">
        <v>4.5999999999999996</v>
      </c>
      <c r="D86">
        <v>4.6710000000000003</v>
      </c>
      <c r="E86">
        <v>4.5999999999999996</v>
      </c>
      <c r="F86" s="2">
        <v>8.9999999999999993E-3</v>
      </c>
    </row>
    <row r="87" spans="1:6" x14ac:dyDescent="0.4">
      <c r="A87" s="1">
        <v>45407</v>
      </c>
      <c r="B87">
        <v>4.7039999999999997</v>
      </c>
      <c r="C87">
        <v>4.6459999999999999</v>
      </c>
      <c r="D87">
        <v>4.7389999999999999</v>
      </c>
      <c r="E87">
        <v>4.6189999999999998</v>
      </c>
      <c r="F87" s="2">
        <v>1.21E-2</v>
      </c>
    </row>
    <row r="88" spans="1:6" x14ac:dyDescent="0.4">
      <c r="A88" s="1">
        <v>45408</v>
      </c>
      <c r="B88">
        <v>4.6630000000000003</v>
      </c>
      <c r="C88">
        <v>4.7140000000000004</v>
      </c>
      <c r="D88">
        <v>4.7160000000000002</v>
      </c>
      <c r="E88">
        <v>4.6399999999999997</v>
      </c>
      <c r="F88" s="2">
        <v>-8.6999999999999994E-3</v>
      </c>
    </row>
    <row r="89" spans="1:6" x14ac:dyDescent="0.4">
      <c r="A89" s="1">
        <v>45411</v>
      </c>
      <c r="B89">
        <v>4.6109999999999998</v>
      </c>
      <c r="C89">
        <v>4.6550000000000002</v>
      </c>
      <c r="D89">
        <v>4.6589999999999998</v>
      </c>
      <c r="E89">
        <v>4.6070000000000002</v>
      </c>
      <c r="F89" s="2">
        <v>-1.0999999999999999E-2</v>
      </c>
    </row>
    <row r="90" spans="1:6" x14ac:dyDescent="0.4">
      <c r="A90" s="1">
        <v>45412</v>
      </c>
      <c r="B90">
        <v>4.6820000000000004</v>
      </c>
      <c r="C90">
        <v>4.6109999999999998</v>
      </c>
      <c r="D90">
        <v>4.6920000000000002</v>
      </c>
      <c r="E90">
        <v>4.6029999999999998</v>
      </c>
      <c r="F90" s="2">
        <v>1.5299999999999999E-2</v>
      </c>
    </row>
    <row r="91" spans="1:6" x14ac:dyDescent="0.4">
      <c r="A91" s="1">
        <v>45413</v>
      </c>
      <c r="B91">
        <v>4.641</v>
      </c>
      <c r="C91">
        <v>4.6820000000000004</v>
      </c>
      <c r="D91">
        <v>4.694</v>
      </c>
      <c r="E91">
        <v>4.5810000000000004</v>
      </c>
      <c r="F91" s="2">
        <v>-8.8000000000000005E-3</v>
      </c>
    </row>
    <row r="92" spans="1:6" x14ac:dyDescent="0.4">
      <c r="A92" s="1">
        <v>45414</v>
      </c>
      <c r="B92">
        <v>4.5890000000000004</v>
      </c>
      <c r="C92">
        <v>4.63</v>
      </c>
      <c r="D92">
        <v>4.6509999999999998</v>
      </c>
      <c r="E92">
        <v>4.5670000000000002</v>
      </c>
      <c r="F92" s="2">
        <v>-1.11E-2</v>
      </c>
    </row>
    <row r="93" spans="1:6" x14ac:dyDescent="0.4">
      <c r="A93" s="1">
        <v>45415</v>
      </c>
      <c r="B93">
        <v>4.4969999999999999</v>
      </c>
      <c r="C93">
        <v>4.5830000000000002</v>
      </c>
      <c r="D93">
        <v>4.5960000000000001</v>
      </c>
      <c r="E93">
        <v>4.4530000000000003</v>
      </c>
      <c r="F93" s="2">
        <v>-0.02</v>
      </c>
    </row>
    <row r="94" spans="1:6" x14ac:dyDescent="0.4">
      <c r="A94" s="1">
        <v>45418</v>
      </c>
      <c r="B94">
        <v>4.4870000000000001</v>
      </c>
      <c r="C94">
        <v>4.4829999999999997</v>
      </c>
      <c r="D94">
        <v>4.5140000000000002</v>
      </c>
      <c r="E94">
        <v>4.4690000000000003</v>
      </c>
      <c r="F94" s="2">
        <v>-2.2000000000000001E-3</v>
      </c>
    </row>
    <row r="95" spans="1:6" x14ac:dyDescent="0.4">
      <c r="A95" s="1">
        <v>45419</v>
      </c>
      <c r="B95">
        <v>4.4610000000000003</v>
      </c>
      <c r="C95">
        <v>4.4960000000000004</v>
      </c>
      <c r="D95">
        <v>4.4960000000000004</v>
      </c>
      <c r="E95">
        <v>4.42</v>
      </c>
      <c r="F95" s="2">
        <v>-5.8999999999999999E-3</v>
      </c>
    </row>
    <row r="96" spans="1:6" x14ac:dyDescent="0.4">
      <c r="A96" s="1">
        <v>45420</v>
      </c>
      <c r="B96">
        <v>4.5</v>
      </c>
      <c r="C96">
        <v>4.4569999999999999</v>
      </c>
      <c r="D96">
        <v>4.5</v>
      </c>
      <c r="E96">
        <v>4.4509999999999996</v>
      </c>
      <c r="F96" s="2">
        <v>8.6999999999999994E-3</v>
      </c>
    </row>
    <row r="97" spans="1:6" x14ac:dyDescent="0.4">
      <c r="A97" s="1">
        <v>45421</v>
      </c>
      <c r="B97">
        <v>4.4589999999999996</v>
      </c>
      <c r="C97">
        <v>4.49</v>
      </c>
      <c r="D97">
        <v>4.5199999999999996</v>
      </c>
      <c r="E97">
        <v>4.4470000000000001</v>
      </c>
      <c r="F97" s="2">
        <v>-9.1000000000000004E-3</v>
      </c>
    </row>
    <row r="98" spans="1:6" x14ac:dyDescent="0.4">
      <c r="A98" s="1">
        <v>45422</v>
      </c>
      <c r="B98">
        <v>4.5</v>
      </c>
      <c r="C98">
        <v>4.4649999999999999</v>
      </c>
      <c r="D98">
        <v>4.508</v>
      </c>
      <c r="E98">
        <v>4.4409999999999998</v>
      </c>
      <c r="F98" s="2">
        <v>9.2999999999999992E-3</v>
      </c>
    </row>
    <row r="99" spans="1:6" x14ac:dyDescent="0.4">
      <c r="A99" s="1">
        <v>45425</v>
      </c>
      <c r="B99">
        <v>4.49</v>
      </c>
      <c r="C99">
        <v>4.49</v>
      </c>
      <c r="D99">
        <v>4.4960000000000004</v>
      </c>
      <c r="E99">
        <v>4.4589999999999996</v>
      </c>
      <c r="F99" s="2">
        <v>-2.2000000000000001E-3</v>
      </c>
    </row>
    <row r="100" spans="1:6" x14ac:dyDescent="0.4">
      <c r="A100" s="1">
        <v>45426</v>
      </c>
      <c r="B100">
        <v>4.4450000000000003</v>
      </c>
      <c r="C100">
        <v>4.4889999999999999</v>
      </c>
      <c r="D100">
        <v>4.5339999999999998</v>
      </c>
      <c r="E100">
        <v>4.4409999999999998</v>
      </c>
      <c r="F100" s="2">
        <v>-0.01</v>
      </c>
    </row>
    <row r="101" spans="1:6" x14ac:dyDescent="0.4">
      <c r="A101" s="1">
        <v>45427</v>
      </c>
      <c r="B101">
        <v>4.3440000000000003</v>
      </c>
      <c r="C101">
        <v>4.4489999999999998</v>
      </c>
      <c r="D101">
        <v>4.4489999999999998</v>
      </c>
      <c r="E101">
        <v>4.34</v>
      </c>
      <c r="F101" s="2">
        <v>-2.2800000000000001E-2</v>
      </c>
    </row>
    <row r="102" spans="1:6" x14ac:dyDescent="0.4">
      <c r="A102" s="1">
        <v>45428</v>
      </c>
      <c r="B102">
        <v>4.3769999999999998</v>
      </c>
      <c r="C102">
        <v>4.3360000000000003</v>
      </c>
      <c r="D102">
        <v>4.3849999999999998</v>
      </c>
      <c r="E102">
        <v>4.3129999999999997</v>
      </c>
      <c r="F102" s="2">
        <v>7.6E-3</v>
      </c>
    </row>
    <row r="103" spans="1:6" x14ac:dyDescent="0.4">
      <c r="A103" s="1">
        <v>45429</v>
      </c>
      <c r="B103">
        <v>4.4219999999999997</v>
      </c>
      <c r="C103">
        <v>4.3689999999999998</v>
      </c>
      <c r="D103">
        <v>4.4260000000000002</v>
      </c>
      <c r="E103">
        <v>4.3630000000000004</v>
      </c>
      <c r="F103" s="2">
        <v>1.03E-2</v>
      </c>
    </row>
    <row r="104" spans="1:6" x14ac:dyDescent="0.4">
      <c r="A104" s="1">
        <v>45432</v>
      </c>
      <c r="B104">
        <v>4.4470000000000001</v>
      </c>
      <c r="C104">
        <v>4.4139999999999997</v>
      </c>
      <c r="D104">
        <v>4.4550000000000001</v>
      </c>
      <c r="E104">
        <v>4.4059999999999997</v>
      </c>
      <c r="F104" s="2">
        <v>5.7000000000000002E-3</v>
      </c>
    </row>
    <row r="105" spans="1:6" x14ac:dyDescent="0.4">
      <c r="A105" s="1">
        <v>45433</v>
      </c>
      <c r="B105">
        <v>4.4119999999999999</v>
      </c>
      <c r="C105">
        <v>4.4450000000000003</v>
      </c>
      <c r="D105">
        <v>4.4509999999999996</v>
      </c>
      <c r="E105">
        <v>4.3979999999999997</v>
      </c>
      <c r="F105" s="2">
        <v>-7.9000000000000008E-3</v>
      </c>
    </row>
    <row r="106" spans="1:6" x14ac:dyDescent="0.4">
      <c r="A106" s="1">
        <v>45434</v>
      </c>
      <c r="B106">
        <v>4.4260000000000002</v>
      </c>
      <c r="C106">
        <v>4.4139999999999997</v>
      </c>
      <c r="D106">
        <v>4.4610000000000003</v>
      </c>
      <c r="E106">
        <v>4.41</v>
      </c>
      <c r="F106" s="2">
        <v>3.0999999999999999E-3</v>
      </c>
    </row>
    <row r="107" spans="1:6" x14ac:dyDescent="0.4">
      <c r="A107" s="1">
        <v>45435</v>
      </c>
      <c r="B107">
        <v>4.4790000000000001</v>
      </c>
      <c r="C107">
        <v>4.4260000000000002</v>
      </c>
      <c r="D107">
        <v>4.4980000000000002</v>
      </c>
      <c r="E107">
        <v>4.4080000000000004</v>
      </c>
      <c r="F107" s="2">
        <v>1.2E-2</v>
      </c>
    </row>
    <row r="108" spans="1:6" x14ac:dyDescent="0.4">
      <c r="A108" s="1">
        <v>45436</v>
      </c>
      <c r="B108">
        <v>4.4669999999999996</v>
      </c>
      <c r="C108">
        <v>4.4770000000000003</v>
      </c>
      <c r="D108">
        <v>4.5019999999999998</v>
      </c>
      <c r="E108">
        <v>4.4630000000000001</v>
      </c>
      <c r="F108" s="2">
        <v>-2.5999999999999999E-3</v>
      </c>
    </row>
    <row r="109" spans="1:6" x14ac:dyDescent="0.4">
      <c r="A109" s="1">
        <v>45439</v>
      </c>
      <c r="B109">
        <v>4.4610000000000003</v>
      </c>
      <c r="C109">
        <v>4.4509999999999996</v>
      </c>
      <c r="D109">
        <v>4.4729999999999999</v>
      </c>
      <c r="E109">
        <v>4.4459999999999997</v>
      </c>
      <c r="F109" s="2">
        <v>-1.2999999999999999E-3</v>
      </c>
    </row>
    <row r="110" spans="1:6" x14ac:dyDescent="0.4">
      <c r="A110" s="1">
        <v>45440</v>
      </c>
      <c r="B110">
        <v>4.548</v>
      </c>
      <c r="C110">
        <v>4.4589999999999996</v>
      </c>
      <c r="D110">
        <v>4.5540000000000003</v>
      </c>
      <c r="E110">
        <v>4.4450000000000003</v>
      </c>
      <c r="F110" s="2">
        <v>1.95E-2</v>
      </c>
    </row>
    <row r="111" spans="1:6" x14ac:dyDescent="0.4">
      <c r="A111" s="1">
        <v>45441</v>
      </c>
      <c r="B111">
        <v>4.6159999999999997</v>
      </c>
      <c r="C111">
        <v>4.548</v>
      </c>
      <c r="D111">
        <v>4.6379999999999999</v>
      </c>
      <c r="E111">
        <v>4.5419999999999998</v>
      </c>
      <c r="F111" s="2">
        <v>1.49E-2</v>
      </c>
    </row>
    <row r="112" spans="1:6" x14ac:dyDescent="0.4">
      <c r="A112" s="1">
        <v>45442</v>
      </c>
      <c r="B112">
        <v>4.55</v>
      </c>
      <c r="C112">
        <v>4.62</v>
      </c>
      <c r="D112">
        <v>4.6280000000000001</v>
      </c>
      <c r="E112">
        <v>4.5419999999999998</v>
      </c>
      <c r="F112" s="2">
        <v>-1.4200000000000001E-2</v>
      </c>
    </row>
    <row r="113" spans="1:6" x14ac:dyDescent="0.4">
      <c r="A113" s="1">
        <v>45443</v>
      </c>
      <c r="B113">
        <v>4.5030000000000001</v>
      </c>
      <c r="C113">
        <v>4.5439999999999996</v>
      </c>
      <c r="D113">
        <v>4.5720000000000001</v>
      </c>
      <c r="E113">
        <v>4.4850000000000003</v>
      </c>
      <c r="F113" s="2">
        <v>-1.04E-2</v>
      </c>
    </row>
    <row r="114" spans="1:6" x14ac:dyDescent="0.4">
      <c r="A114" s="1">
        <v>45446</v>
      </c>
      <c r="B114">
        <v>4.3920000000000003</v>
      </c>
      <c r="C114">
        <v>4.4930000000000003</v>
      </c>
      <c r="D114">
        <v>4.5010000000000003</v>
      </c>
      <c r="E114">
        <v>4.3899999999999997</v>
      </c>
      <c r="F114" s="2">
        <v>-2.4500000000000001E-2</v>
      </c>
    </row>
    <row r="115" spans="1:6" x14ac:dyDescent="0.4">
      <c r="A115" s="1">
        <v>45447</v>
      </c>
      <c r="B115">
        <v>4.33</v>
      </c>
      <c r="C115">
        <v>4.3959999999999999</v>
      </c>
      <c r="D115">
        <v>4.4139999999999997</v>
      </c>
      <c r="E115">
        <v>4.3140000000000001</v>
      </c>
      <c r="F115" s="2">
        <v>-1.4200000000000001E-2</v>
      </c>
    </row>
    <row r="116" spans="1:6" x14ac:dyDescent="0.4">
      <c r="A116" s="1">
        <v>45448</v>
      </c>
      <c r="B116">
        <v>4.2770000000000001</v>
      </c>
      <c r="C116">
        <v>4.33</v>
      </c>
      <c r="D116">
        <v>4.359</v>
      </c>
      <c r="E116">
        <v>4.2750000000000004</v>
      </c>
      <c r="F116" s="2">
        <v>-1.21E-2</v>
      </c>
    </row>
    <row r="117" spans="1:6" x14ac:dyDescent="0.4">
      <c r="A117" s="1">
        <v>45449</v>
      </c>
      <c r="B117">
        <v>4.2869999999999999</v>
      </c>
      <c r="C117">
        <v>4.2889999999999997</v>
      </c>
      <c r="D117">
        <v>4.3220000000000001</v>
      </c>
      <c r="E117">
        <v>4.2750000000000004</v>
      </c>
      <c r="F117" s="2">
        <v>2.2000000000000001E-3</v>
      </c>
    </row>
    <row r="118" spans="1:6" x14ac:dyDescent="0.4">
      <c r="A118" s="1">
        <v>45450</v>
      </c>
      <c r="B118">
        <v>4.4329999999999998</v>
      </c>
      <c r="C118">
        <v>4.2930000000000001</v>
      </c>
      <c r="D118">
        <v>4.4359999999999999</v>
      </c>
      <c r="E118">
        <v>4.2889999999999997</v>
      </c>
      <c r="F118" s="2">
        <v>3.4200000000000001E-2</v>
      </c>
    </row>
    <row r="119" spans="1:6" x14ac:dyDescent="0.4">
      <c r="A119" s="1">
        <v>45453</v>
      </c>
      <c r="B119">
        <v>4.4710000000000001</v>
      </c>
      <c r="C119">
        <v>4.4530000000000003</v>
      </c>
      <c r="D119">
        <v>4.4790000000000001</v>
      </c>
      <c r="E119">
        <v>4.4409999999999998</v>
      </c>
      <c r="F119" s="2">
        <v>8.5000000000000006E-3</v>
      </c>
    </row>
    <row r="120" spans="1:6" x14ac:dyDescent="0.4">
      <c r="A120" s="1">
        <v>45454</v>
      </c>
      <c r="B120">
        <v>4.4020000000000001</v>
      </c>
      <c r="C120">
        <v>4.4630000000000001</v>
      </c>
      <c r="D120">
        <v>4.4649999999999999</v>
      </c>
      <c r="E120">
        <v>4.3940000000000001</v>
      </c>
      <c r="F120" s="2">
        <v>-1.54E-2</v>
      </c>
    </row>
    <row r="121" spans="1:6" x14ac:dyDescent="0.4">
      <c r="A121" s="1">
        <v>45455</v>
      </c>
      <c r="B121">
        <v>4.3179999999999996</v>
      </c>
      <c r="C121">
        <v>4.41</v>
      </c>
      <c r="D121">
        <v>4.4279999999999999</v>
      </c>
      <c r="E121">
        <v>4.25</v>
      </c>
      <c r="F121" s="2">
        <v>-1.9099999999999999E-2</v>
      </c>
    </row>
    <row r="122" spans="1:6" x14ac:dyDescent="0.4">
      <c r="A122" s="1">
        <v>45456</v>
      </c>
      <c r="B122">
        <v>4.2480000000000002</v>
      </c>
      <c r="C122">
        <v>4.3040000000000003</v>
      </c>
      <c r="D122">
        <v>4.3280000000000003</v>
      </c>
      <c r="E122">
        <v>4.2229999999999999</v>
      </c>
      <c r="F122" s="2">
        <v>-1.6199999999999999E-2</v>
      </c>
    </row>
    <row r="123" spans="1:6" x14ac:dyDescent="0.4">
      <c r="A123" s="1">
        <v>45457</v>
      </c>
      <c r="B123">
        <v>4.2210000000000001</v>
      </c>
      <c r="C123">
        <v>4.2519999999999998</v>
      </c>
      <c r="D123">
        <v>4.2729999999999997</v>
      </c>
      <c r="E123">
        <v>4.1879999999999997</v>
      </c>
      <c r="F123" s="2">
        <v>-6.4000000000000003E-3</v>
      </c>
    </row>
    <row r="124" spans="1:6" x14ac:dyDescent="0.4">
      <c r="A124" s="1">
        <v>45460</v>
      </c>
      <c r="B124">
        <v>4.2850000000000001</v>
      </c>
      <c r="C124">
        <v>4.2439999999999998</v>
      </c>
      <c r="D124">
        <v>4.2939999999999996</v>
      </c>
      <c r="E124">
        <v>4.2309999999999999</v>
      </c>
      <c r="F124" s="2">
        <v>1.5100000000000001E-2</v>
      </c>
    </row>
    <row r="125" spans="1:6" x14ac:dyDescent="0.4">
      <c r="A125" s="1">
        <v>45461</v>
      </c>
      <c r="B125">
        <v>4.2190000000000003</v>
      </c>
      <c r="C125">
        <v>4.2750000000000004</v>
      </c>
      <c r="D125">
        <v>4.3</v>
      </c>
      <c r="E125">
        <v>4.2069999999999999</v>
      </c>
      <c r="F125" s="2">
        <v>-1.54E-2</v>
      </c>
    </row>
    <row r="126" spans="1:6" x14ac:dyDescent="0.4">
      <c r="A126" s="1">
        <v>45462</v>
      </c>
      <c r="B126">
        <v>4.2359999999999998</v>
      </c>
      <c r="C126">
        <v>4.2249999999999996</v>
      </c>
      <c r="D126">
        <v>4.2409999999999997</v>
      </c>
      <c r="E126">
        <v>4.2229999999999999</v>
      </c>
      <c r="F126" s="2">
        <v>4.1000000000000003E-3</v>
      </c>
    </row>
    <row r="127" spans="1:6" x14ac:dyDescent="0.4">
      <c r="A127" s="1">
        <v>45463</v>
      </c>
      <c r="B127">
        <v>4.2610000000000001</v>
      </c>
      <c r="C127">
        <v>4.234</v>
      </c>
      <c r="D127">
        <v>4.2939999999999996</v>
      </c>
      <c r="E127">
        <v>4.2279999999999998</v>
      </c>
      <c r="F127" s="2">
        <v>5.8999999999999999E-3</v>
      </c>
    </row>
    <row r="128" spans="1:6" x14ac:dyDescent="0.4">
      <c r="A128" s="1">
        <v>45464</v>
      </c>
      <c r="B128">
        <v>4.2569999999999997</v>
      </c>
      <c r="C128">
        <v>4.2649999999999997</v>
      </c>
      <c r="D128">
        <v>4.2789999999999999</v>
      </c>
      <c r="E128">
        <v>4.2169999999999996</v>
      </c>
      <c r="F128" s="2">
        <v>-8.9999999999999998E-4</v>
      </c>
    </row>
    <row r="129" spans="1:6" x14ac:dyDescent="0.4">
      <c r="A129" s="1">
        <v>45467</v>
      </c>
      <c r="B129">
        <v>4.234</v>
      </c>
      <c r="C129">
        <v>4.2569999999999997</v>
      </c>
      <c r="D129">
        <v>4.2770000000000001</v>
      </c>
      <c r="E129">
        <v>4.226</v>
      </c>
      <c r="F129" s="2">
        <v>-5.4999999999999997E-3</v>
      </c>
    </row>
    <row r="130" spans="1:6" x14ac:dyDescent="0.4">
      <c r="A130" s="1">
        <v>45468</v>
      </c>
      <c r="B130">
        <v>4.2480000000000002</v>
      </c>
      <c r="C130">
        <v>4.2380000000000004</v>
      </c>
      <c r="D130">
        <v>4.2590000000000003</v>
      </c>
      <c r="E130">
        <v>4.2089999999999996</v>
      </c>
      <c r="F130" s="2">
        <v>3.2000000000000002E-3</v>
      </c>
    </row>
    <row r="131" spans="1:6" x14ac:dyDescent="0.4">
      <c r="A131" s="1">
        <v>45469</v>
      </c>
      <c r="B131">
        <v>4.3289999999999997</v>
      </c>
      <c r="C131">
        <v>4.2439999999999998</v>
      </c>
      <c r="D131">
        <v>4.3310000000000004</v>
      </c>
      <c r="E131">
        <v>4.242</v>
      </c>
      <c r="F131" s="2">
        <v>1.9300000000000001E-2</v>
      </c>
    </row>
    <row r="132" spans="1:6" x14ac:dyDescent="0.4">
      <c r="A132" s="1">
        <v>45470</v>
      </c>
      <c r="B132">
        <v>4.2859999999999996</v>
      </c>
      <c r="C132">
        <v>4.3330000000000002</v>
      </c>
      <c r="D132">
        <v>4.3470000000000004</v>
      </c>
      <c r="E132">
        <v>4.2750000000000004</v>
      </c>
      <c r="F132" s="2">
        <v>-9.9000000000000008E-3</v>
      </c>
    </row>
    <row r="133" spans="1:6" x14ac:dyDescent="0.4">
      <c r="A133" s="1">
        <v>45471</v>
      </c>
      <c r="B133">
        <v>4.3920000000000003</v>
      </c>
      <c r="C133">
        <v>4.2880000000000003</v>
      </c>
      <c r="D133">
        <v>4.4039999999999999</v>
      </c>
      <c r="E133">
        <v>4.2610000000000001</v>
      </c>
      <c r="F133" s="2">
        <v>2.47E-2</v>
      </c>
    </row>
    <row r="134" spans="1:6" x14ac:dyDescent="0.4">
      <c r="A134" s="1">
        <v>45474</v>
      </c>
      <c r="B134">
        <v>4.4710000000000001</v>
      </c>
      <c r="C134">
        <v>4.4119999999999999</v>
      </c>
      <c r="D134">
        <v>4.4930000000000003</v>
      </c>
      <c r="E134">
        <v>4.3860000000000001</v>
      </c>
      <c r="F134" s="2">
        <v>1.7999999999999999E-2</v>
      </c>
    </row>
    <row r="135" spans="1:6" x14ac:dyDescent="0.4">
      <c r="A135" s="1">
        <v>45475</v>
      </c>
      <c r="B135">
        <v>4.4379999999999997</v>
      </c>
      <c r="C135">
        <v>4.4569999999999999</v>
      </c>
      <c r="D135">
        <v>4.4649999999999999</v>
      </c>
      <c r="E135">
        <v>4.4139999999999997</v>
      </c>
      <c r="F135" s="2">
        <v>-7.4999999999999997E-3</v>
      </c>
    </row>
    <row r="136" spans="1:6" x14ac:dyDescent="0.4">
      <c r="A136" s="1">
        <v>45476</v>
      </c>
      <c r="B136">
        <v>4.3550000000000004</v>
      </c>
      <c r="C136">
        <v>4.4260000000000002</v>
      </c>
      <c r="D136">
        <v>4.4450000000000003</v>
      </c>
      <c r="E136">
        <v>4.3390000000000004</v>
      </c>
      <c r="F136" s="2">
        <v>-1.8700000000000001E-2</v>
      </c>
    </row>
    <row r="137" spans="1:6" x14ac:dyDescent="0.4">
      <c r="A137" s="1">
        <v>45477</v>
      </c>
      <c r="B137">
        <v>4.3719999999999999</v>
      </c>
      <c r="C137">
        <v>4.3639999999999999</v>
      </c>
      <c r="D137">
        <v>4.3760000000000003</v>
      </c>
      <c r="E137">
        <v>4.3529999999999998</v>
      </c>
      <c r="F137" s="2">
        <v>4.1000000000000003E-3</v>
      </c>
    </row>
    <row r="138" spans="1:6" x14ac:dyDescent="0.4">
      <c r="A138" s="1">
        <v>45478</v>
      </c>
      <c r="B138">
        <v>4.2779999999999996</v>
      </c>
      <c r="C138">
        <v>4.3739999999999997</v>
      </c>
      <c r="D138">
        <v>4.4039999999999999</v>
      </c>
      <c r="E138">
        <v>4.2690000000000001</v>
      </c>
      <c r="F138" s="2">
        <v>-2.1499999999999998E-2</v>
      </c>
    </row>
    <row r="139" spans="1:6" x14ac:dyDescent="0.4">
      <c r="A139" s="1">
        <v>45481</v>
      </c>
      <c r="B139">
        <v>4.28</v>
      </c>
      <c r="C139">
        <v>4.29</v>
      </c>
      <c r="D139">
        <v>4.3170000000000002</v>
      </c>
      <c r="E139">
        <v>4.2649999999999997</v>
      </c>
      <c r="F139" s="2">
        <v>4.0000000000000002E-4</v>
      </c>
    </row>
    <row r="140" spans="1:6" x14ac:dyDescent="0.4">
      <c r="A140" s="1">
        <v>45482</v>
      </c>
      <c r="B140">
        <v>4.298</v>
      </c>
      <c r="C140">
        <v>4.282</v>
      </c>
      <c r="D140">
        <v>4.3289999999999997</v>
      </c>
      <c r="E140">
        <v>4.274</v>
      </c>
      <c r="F140" s="2">
        <v>4.1000000000000003E-3</v>
      </c>
    </row>
    <row r="141" spans="1:6" x14ac:dyDescent="0.4">
      <c r="A141" s="1">
        <v>45483</v>
      </c>
      <c r="B141">
        <v>4.282</v>
      </c>
      <c r="C141">
        <v>4.2960000000000003</v>
      </c>
      <c r="D141">
        <v>4.3120000000000003</v>
      </c>
      <c r="E141">
        <v>4.2670000000000003</v>
      </c>
      <c r="F141" s="2">
        <v>-3.5999999999999999E-3</v>
      </c>
    </row>
    <row r="142" spans="1:6" x14ac:dyDescent="0.4">
      <c r="A142" s="1">
        <v>45484</v>
      </c>
      <c r="B142">
        <v>4.2119999999999997</v>
      </c>
      <c r="C142">
        <v>4.2880000000000003</v>
      </c>
      <c r="D142">
        <v>4.3150000000000004</v>
      </c>
      <c r="E142">
        <v>4.1680000000000001</v>
      </c>
      <c r="F142" s="2">
        <v>-1.6400000000000001E-2</v>
      </c>
    </row>
    <row r="143" spans="1:6" x14ac:dyDescent="0.4">
      <c r="A143" s="1">
        <v>45485</v>
      </c>
      <c r="B143">
        <v>4.1870000000000003</v>
      </c>
      <c r="C143">
        <v>4.2119999999999997</v>
      </c>
      <c r="D143">
        <v>4.2409999999999997</v>
      </c>
      <c r="E143">
        <v>4.1769999999999996</v>
      </c>
      <c r="F143" s="2">
        <v>-6.0000000000000001E-3</v>
      </c>
    </row>
    <row r="144" spans="1:6" x14ac:dyDescent="0.4">
      <c r="A144" s="1">
        <v>45488</v>
      </c>
      <c r="B144">
        <v>4.2309999999999999</v>
      </c>
      <c r="C144">
        <v>4.2430000000000003</v>
      </c>
      <c r="D144">
        <v>4.2489999999999997</v>
      </c>
      <c r="E144">
        <v>4.1980000000000004</v>
      </c>
      <c r="F144" s="2">
        <v>1.0699999999999999E-2</v>
      </c>
    </row>
    <row r="145" spans="1:6" x14ac:dyDescent="0.4">
      <c r="A145" s="1">
        <v>45489</v>
      </c>
      <c r="B145">
        <v>4.16</v>
      </c>
      <c r="C145">
        <v>4.2220000000000004</v>
      </c>
      <c r="D145">
        <v>4.2220000000000004</v>
      </c>
      <c r="E145">
        <v>4.1559999999999997</v>
      </c>
      <c r="F145" s="2">
        <v>-1.7000000000000001E-2</v>
      </c>
    </row>
    <row r="146" spans="1:6" x14ac:dyDescent="0.4">
      <c r="A146" s="1">
        <v>45490</v>
      </c>
      <c r="B146">
        <v>4.16</v>
      </c>
      <c r="C146">
        <v>4.1609999999999996</v>
      </c>
      <c r="D146">
        <v>4.1959999999999997</v>
      </c>
      <c r="E146">
        <v>4.1440000000000001</v>
      </c>
      <c r="F146" s="2">
        <v>0</v>
      </c>
    </row>
    <row r="147" spans="1:6" x14ac:dyDescent="0.4">
      <c r="A147" s="1">
        <v>45491</v>
      </c>
      <c r="B147">
        <v>4.202</v>
      </c>
      <c r="C147">
        <v>4.1609999999999996</v>
      </c>
      <c r="D147">
        <v>4.2060000000000004</v>
      </c>
      <c r="E147">
        <v>4.1559999999999997</v>
      </c>
      <c r="F147" s="2">
        <v>1.0200000000000001E-2</v>
      </c>
    </row>
    <row r="148" spans="1:6" x14ac:dyDescent="0.4">
      <c r="A148" s="1">
        <v>45492</v>
      </c>
      <c r="B148">
        <v>4.2430000000000003</v>
      </c>
      <c r="C148">
        <v>4.194</v>
      </c>
      <c r="D148">
        <v>4.2489999999999997</v>
      </c>
      <c r="E148">
        <v>4.1849999999999996</v>
      </c>
      <c r="F148" s="2">
        <v>9.7000000000000003E-3</v>
      </c>
    </row>
    <row r="149" spans="1:6" x14ac:dyDescent="0.4">
      <c r="A149" s="1">
        <v>45495</v>
      </c>
      <c r="B149">
        <v>4.2539999999999996</v>
      </c>
      <c r="C149">
        <v>4.218</v>
      </c>
      <c r="D149">
        <v>4.2779999999999996</v>
      </c>
      <c r="E149">
        <v>4.2039999999999997</v>
      </c>
      <c r="F149" s="2">
        <v>2.8E-3</v>
      </c>
    </row>
    <row r="150" spans="1:6" x14ac:dyDescent="0.4">
      <c r="A150" s="1">
        <v>45496</v>
      </c>
      <c r="B150">
        <v>4.2539999999999996</v>
      </c>
      <c r="C150">
        <v>4.2530000000000001</v>
      </c>
      <c r="D150">
        <v>4.2560000000000002</v>
      </c>
      <c r="E150">
        <v>4.2210000000000001</v>
      </c>
      <c r="F150" s="2">
        <v>0</v>
      </c>
    </row>
    <row r="151" spans="1:6" x14ac:dyDescent="0.4">
      <c r="A151" s="1">
        <v>45497</v>
      </c>
      <c r="B151">
        <v>4.2859999999999996</v>
      </c>
      <c r="C151">
        <v>4.2539999999999996</v>
      </c>
      <c r="D151">
        <v>4.2919999999999998</v>
      </c>
      <c r="E151">
        <v>4.21</v>
      </c>
      <c r="F151" s="2">
        <v>7.3000000000000001E-3</v>
      </c>
    </row>
    <row r="152" spans="1:6" x14ac:dyDescent="0.4">
      <c r="A152" s="1">
        <v>45498</v>
      </c>
      <c r="B152">
        <v>4.2450000000000001</v>
      </c>
      <c r="C152">
        <v>4.2779999999999996</v>
      </c>
      <c r="D152">
        <v>4.2779999999999996</v>
      </c>
      <c r="E152">
        <v>4.1959999999999997</v>
      </c>
      <c r="F152" s="2">
        <v>-9.5999999999999992E-3</v>
      </c>
    </row>
    <row r="153" spans="1:6" x14ac:dyDescent="0.4">
      <c r="A153" s="1">
        <v>45499</v>
      </c>
      <c r="B153">
        <v>4.194</v>
      </c>
      <c r="C153">
        <v>4.2430000000000003</v>
      </c>
      <c r="D153">
        <v>4.2640000000000002</v>
      </c>
      <c r="E153">
        <v>4.1900000000000004</v>
      </c>
      <c r="F153" s="2">
        <v>-1.1900000000000001E-2</v>
      </c>
    </row>
    <row r="154" spans="1:6" x14ac:dyDescent="0.4">
      <c r="A154" s="1">
        <v>45502</v>
      </c>
      <c r="B154">
        <v>4.1719999999999997</v>
      </c>
      <c r="C154">
        <v>4.1959999999999997</v>
      </c>
      <c r="D154">
        <v>4.1959999999999997</v>
      </c>
      <c r="E154">
        <v>4.1509999999999998</v>
      </c>
      <c r="F154" s="2">
        <v>-5.1000000000000004E-3</v>
      </c>
    </row>
    <row r="155" spans="1:6" x14ac:dyDescent="0.4">
      <c r="A155" s="1">
        <v>45503</v>
      </c>
      <c r="B155">
        <v>4.141</v>
      </c>
      <c r="C155">
        <v>4.1779999999999999</v>
      </c>
      <c r="D155">
        <v>4.1879999999999997</v>
      </c>
      <c r="E155">
        <v>4.13</v>
      </c>
      <c r="F155" s="2">
        <v>-7.4000000000000003E-3</v>
      </c>
    </row>
    <row r="156" spans="1:6" x14ac:dyDescent="0.4">
      <c r="A156" s="1">
        <v>45504</v>
      </c>
      <c r="B156">
        <v>4.0330000000000004</v>
      </c>
      <c r="C156">
        <v>4.1509999999999998</v>
      </c>
      <c r="D156">
        <v>4.1550000000000002</v>
      </c>
      <c r="E156">
        <v>4.0309999999999997</v>
      </c>
      <c r="F156" s="2">
        <v>-2.6100000000000002E-2</v>
      </c>
    </row>
    <row r="157" spans="1:6" x14ac:dyDescent="0.4">
      <c r="A157" s="1">
        <v>45505</v>
      </c>
      <c r="B157">
        <v>3.9820000000000002</v>
      </c>
      <c r="C157">
        <v>4.056</v>
      </c>
      <c r="D157">
        <v>4.0659999999999998</v>
      </c>
      <c r="E157">
        <v>3.9649999999999999</v>
      </c>
      <c r="F157" s="2">
        <v>-1.2800000000000001E-2</v>
      </c>
    </row>
    <row r="158" spans="1:6" x14ac:dyDescent="0.4">
      <c r="A158" s="1">
        <v>45506</v>
      </c>
      <c r="B158">
        <v>3.7919999999999998</v>
      </c>
      <c r="C158">
        <v>3.97</v>
      </c>
      <c r="D158">
        <v>3.9740000000000002</v>
      </c>
      <c r="E158">
        <v>3.7869999999999999</v>
      </c>
      <c r="F158" s="2">
        <v>-4.7600000000000003E-2</v>
      </c>
    </row>
    <row r="159" spans="1:6" x14ac:dyDescent="0.4">
      <c r="A159" s="1">
        <v>45509</v>
      </c>
      <c r="B159">
        <v>3.7789999999999999</v>
      </c>
      <c r="C159">
        <v>3.7890000000000001</v>
      </c>
      <c r="D159">
        <v>3.8319999999999999</v>
      </c>
      <c r="E159">
        <v>3.6669999999999998</v>
      </c>
      <c r="F159" s="2">
        <v>-3.5000000000000001E-3</v>
      </c>
    </row>
    <row r="160" spans="1:6" x14ac:dyDescent="0.4">
      <c r="A160" s="1">
        <v>45510</v>
      </c>
      <c r="B160">
        <v>3.9009999999999998</v>
      </c>
      <c r="C160">
        <v>3.835</v>
      </c>
      <c r="D160">
        <v>3.9089999999999998</v>
      </c>
      <c r="E160">
        <v>3.8050000000000002</v>
      </c>
      <c r="F160" s="2">
        <v>3.2399999999999998E-2</v>
      </c>
    </row>
    <row r="161" spans="1:6" x14ac:dyDescent="0.4">
      <c r="A161" s="1">
        <v>45511</v>
      </c>
      <c r="B161">
        <v>3.9529999999999998</v>
      </c>
      <c r="C161">
        <v>3.8839999999999999</v>
      </c>
      <c r="D161">
        <v>3.9769999999999999</v>
      </c>
      <c r="E161">
        <v>3.875</v>
      </c>
      <c r="F161" s="2">
        <v>1.3100000000000001E-2</v>
      </c>
    </row>
    <row r="162" spans="1:6" x14ac:dyDescent="0.4">
      <c r="A162" s="1">
        <v>45512</v>
      </c>
      <c r="B162">
        <v>3.99</v>
      </c>
      <c r="C162">
        <v>3.9239999999999999</v>
      </c>
      <c r="D162">
        <v>4.0220000000000002</v>
      </c>
      <c r="E162">
        <v>3.8940000000000001</v>
      </c>
      <c r="F162" s="2">
        <v>9.4000000000000004E-3</v>
      </c>
    </row>
    <row r="163" spans="1:6" x14ac:dyDescent="0.4">
      <c r="A163" s="1">
        <v>45513</v>
      </c>
      <c r="B163">
        <v>3.94</v>
      </c>
      <c r="C163">
        <v>3.988</v>
      </c>
      <c r="D163">
        <v>3.99</v>
      </c>
      <c r="E163">
        <v>3.9209999999999998</v>
      </c>
      <c r="F163" s="2">
        <v>-1.2500000000000001E-2</v>
      </c>
    </row>
    <row r="164" spans="1:6" x14ac:dyDescent="0.4">
      <c r="A164" s="1">
        <v>45516</v>
      </c>
      <c r="B164">
        <v>3.907</v>
      </c>
      <c r="C164">
        <v>3.9420000000000002</v>
      </c>
      <c r="D164">
        <v>3.9670000000000001</v>
      </c>
      <c r="E164">
        <v>3.8959999999999999</v>
      </c>
      <c r="F164" s="2">
        <v>-8.2000000000000007E-3</v>
      </c>
    </row>
    <row r="165" spans="1:6" x14ac:dyDescent="0.4">
      <c r="A165" s="1">
        <v>45517</v>
      </c>
      <c r="B165">
        <v>3.8460000000000001</v>
      </c>
      <c r="C165">
        <v>3.9020000000000001</v>
      </c>
      <c r="D165">
        <v>3.9239999999999999</v>
      </c>
      <c r="E165">
        <v>3.8450000000000002</v>
      </c>
      <c r="F165" s="2">
        <v>-1.5599999999999999E-2</v>
      </c>
    </row>
    <row r="166" spans="1:6" x14ac:dyDescent="0.4">
      <c r="A166" s="1">
        <v>45518</v>
      </c>
      <c r="B166">
        <v>3.839</v>
      </c>
      <c r="C166">
        <v>3.8460000000000001</v>
      </c>
      <c r="D166">
        <v>3.8860000000000001</v>
      </c>
      <c r="E166">
        <v>3.8109999999999999</v>
      </c>
      <c r="F166" s="2">
        <v>-1.9E-3</v>
      </c>
    </row>
    <row r="167" spans="1:6" x14ac:dyDescent="0.4">
      <c r="A167" s="1">
        <v>45519</v>
      </c>
      <c r="B167">
        <v>3.919</v>
      </c>
      <c r="C167">
        <v>3.839</v>
      </c>
      <c r="D167">
        <v>3.9529999999999998</v>
      </c>
      <c r="E167">
        <v>3.8279999999999998</v>
      </c>
      <c r="F167" s="2">
        <v>2.0799999999999999E-2</v>
      </c>
    </row>
    <row r="168" spans="1:6" x14ac:dyDescent="0.4">
      <c r="A168" s="1">
        <v>45520</v>
      </c>
      <c r="B168">
        <v>3.883</v>
      </c>
      <c r="C168">
        <v>3.9239999999999999</v>
      </c>
      <c r="D168">
        <v>3.9239999999999999</v>
      </c>
      <c r="E168">
        <v>3.8639999999999999</v>
      </c>
      <c r="F168" s="2">
        <v>-9.1999999999999998E-3</v>
      </c>
    </row>
    <row r="169" spans="1:6" x14ac:dyDescent="0.4">
      <c r="A169" s="1">
        <v>45523</v>
      </c>
      <c r="B169">
        <v>3.875</v>
      </c>
      <c r="C169">
        <v>3.907</v>
      </c>
      <c r="D169">
        <v>3.907</v>
      </c>
      <c r="E169">
        <v>3.8519999999999999</v>
      </c>
      <c r="F169" s="2">
        <v>-2E-3</v>
      </c>
    </row>
    <row r="170" spans="1:6" x14ac:dyDescent="0.4">
      <c r="A170" s="1">
        <v>45524</v>
      </c>
      <c r="B170">
        <v>3.81</v>
      </c>
      <c r="C170">
        <v>3.871</v>
      </c>
      <c r="D170">
        <v>3.8860000000000001</v>
      </c>
      <c r="E170">
        <v>3.8090000000000002</v>
      </c>
      <c r="F170" s="2">
        <v>-1.66E-2</v>
      </c>
    </row>
    <row r="171" spans="1:6" x14ac:dyDescent="0.4">
      <c r="A171" s="1">
        <v>45525</v>
      </c>
      <c r="B171">
        <v>3.7989999999999999</v>
      </c>
      <c r="C171">
        <v>3.7989999999999999</v>
      </c>
      <c r="D171">
        <v>3.8330000000000002</v>
      </c>
      <c r="E171">
        <v>3.7610000000000001</v>
      </c>
      <c r="F171" s="2">
        <v>-3.0000000000000001E-3</v>
      </c>
    </row>
    <row r="172" spans="1:6" x14ac:dyDescent="0.4">
      <c r="A172" s="1">
        <v>45526</v>
      </c>
      <c r="B172">
        <v>3.8580000000000001</v>
      </c>
      <c r="C172">
        <v>3.8029999999999999</v>
      </c>
      <c r="D172">
        <v>3.8769999999999998</v>
      </c>
      <c r="E172">
        <v>3.7879999999999998</v>
      </c>
      <c r="F172" s="2">
        <v>1.55E-2</v>
      </c>
    </row>
    <row r="173" spans="1:6" x14ac:dyDescent="0.4">
      <c r="A173" s="1">
        <v>45527</v>
      </c>
      <c r="B173">
        <v>3.7949999999999999</v>
      </c>
      <c r="C173">
        <v>3.8450000000000002</v>
      </c>
      <c r="D173">
        <v>3.86</v>
      </c>
      <c r="E173">
        <v>3.7909999999999999</v>
      </c>
      <c r="F173" s="2">
        <v>-1.6199999999999999E-2</v>
      </c>
    </row>
    <row r="174" spans="1:6" x14ac:dyDescent="0.4">
      <c r="A174" s="1">
        <v>45530</v>
      </c>
      <c r="B174">
        <v>3.82</v>
      </c>
      <c r="C174">
        <v>3.7890000000000001</v>
      </c>
      <c r="D174">
        <v>3.8220000000000001</v>
      </c>
      <c r="E174">
        <v>3.774</v>
      </c>
      <c r="F174" s="2">
        <v>6.4999999999999997E-3</v>
      </c>
    </row>
    <row r="175" spans="1:6" x14ac:dyDescent="0.4">
      <c r="A175" s="1">
        <v>45531</v>
      </c>
      <c r="B175">
        <v>3.8290000000000002</v>
      </c>
      <c r="C175">
        <v>3.81</v>
      </c>
      <c r="D175">
        <v>3.867</v>
      </c>
      <c r="E175">
        <v>3.806</v>
      </c>
      <c r="F175" s="2">
        <v>2.5000000000000001E-3</v>
      </c>
    </row>
    <row r="176" spans="1:6" x14ac:dyDescent="0.4">
      <c r="A176" s="1">
        <v>45532</v>
      </c>
      <c r="B176">
        <v>3.839</v>
      </c>
      <c r="C176">
        <v>3.8180000000000001</v>
      </c>
      <c r="D176">
        <v>3.8479999999999999</v>
      </c>
      <c r="E176">
        <v>3.8050000000000002</v>
      </c>
      <c r="F176" s="2">
        <v>2.5000000000000001E-3</v>
      </c>
    </row>
    <row r="177" spans="1:6" x14ac:dyDescent="0.4">
      <c r="A177" s="1">
        <v>45533</v>
      </c>
      <c r="B177">
        <v>3.863</v>
      </c>
      <c r="C177">
        <v>3.835</v>
      </c>
      <c r="D177">
        <v>3.8879999999999999</v>
      </c>
      <c r="E177">
        <v>3.8159999999999998</v>
      </c>
      <c r="F177" s="2">
        <v>6.4000000000000003E-3</v>
      </c>
    </row>
    <row r="178" spans="1:6" x14ac:dyDescent="0.4">
      <c r="A178" s="1">
        <v>45534</v>
      </c>
      <c r="B178">
        <v>3.9089999999999998</v>
      </c>
      <c r="C178">
        <v>3.867</v>
      </c>
      <c r="D178">
        <v>3.9319999999999999</v>
      </c>
      <c r="E178">
        <v>3.8519999999999999</v>
      </c>
      <c r="F178" s="2">
        <v>1.1900000000000001E-2</v>
      </c>
    </row>
    <row r="179" spans="1:6" x14ac:dyDescent="0.4">
      <c r="A179" s="1">
        <v>45536</v>
      </c>
      <c r="B179">
        <v>3.907</v>
      </c>
      <c r="C179">
        <v>3.9140000000000001</v>
      </c>
      <c r="D179">
        <v>3.9169999999999998</v>
      </c>
      <c r="E179">
        <v>3.9049999999999998</v>
      </c>
      <c r="F179" s="2">
        <v>-5.9999999999999995E-4</v>
      </c>
    </row>
    <row r="180" spans="1:6" x14ac:dyDescent="0.4">
      <c r="A180" s="1">
        <v>45537</v>
      </c>
      <c r="B180">
        <v>3.9260000000000002</v>
      </c>
      <c r="C180">
        <v>3.9089999999999998</v>
      </c>
      <c r="D180">
        <v>3.9409999999999998</v>
      </c>
      <c r="E180">
        <v>3.9049999999999998</v>
      </c>
      <c r="F180" s="2">
        <v>4.8999999999999998E-3</v>
      </c>
    </row>
    <row r="181" spans="1:6" x14ac:dyDescent="0.4">
      <c r="A181" s="1">
        <v>45538</v>
      </c>
      <c r="B181">
        <v>3.831</v>
      </c>
      <c r="C181">
        <v>3.9279999999999999</v>
      </c>
      <c r="D181">
        <v>3.9319999999999999</v>
      </c>
      <c r="E181">
        <v>3.8250000000000002</v>
      </c>
      <c r="F181" s="2">
        <v>-2.4199999999999999E-2</v>
      </c>
    </row>
    <row r="182" spans="1:6" x14ac:dyDescent="0.4">
      <c r="A182" s="1">
        <v>45539</v>
      </c>
      <c r="B182">
        <v>3.7570000000000001</v>
      </c>
      <c r="C182">
        <v>3.8370000000000002</v>
      </c>
      <c r="D182">
        <v>3.8420000000000001</v>
      </c>
      <c r="E182">
        <v>3.7530000000000001</v>
      </c>
      <c r="F182" s="2">
        <v>-1.9300000000000001E-2</v>
      </c>
    </row>
    <row r="183" spans="1:6" x14ac:dyDescent="0.4">
      <c r="A183" s="1">
        <v>45540</v>
      </c>
      <c r="B183">
        <v>3.7250000000000001</v>
      </c>
      <c r="C183">
        <v>3.7549999999999999</v>
      </c>
      <c r="D183">
        <v>3.774</v>
      </c>
      <c r="E183">
        <v>3.7210000000000001</v>
      </c>
      <c r="F183" s="2">
        <v>-8.5000000000000006E-3</v>
      </c>
    </row>
    <row r="184" spans="1:6" x14ac:dyDescent="0.4">
      <c r="A184" s="1">
        <v>45541</v>
      </c>
      <c r="B184">
        <v>3.7160000000000002</v>
      </c>
      <c r="C184">
        <v>3.734</v>
      </c>
      <c r="D184">
        <v>3.77</v>
      </c>
      <c r="E184">
        <v>3.6480000000000001</v>
      </c>
      <c r="F184" s="2">
        <v>-2.5999999999999999E-3</v>
      </c>
    </row>
    <row r="185" spans="1:6" x14ac:dyDescent="0.4">
      <c r="A185" s="1">
        <v>45544</v>
      </c>
      <c r="B185">
        <v>3.702</v>
      </c>
      <c r="C185">
        <v>3.734</v>
      </c>
      <c r="D185">
        <v>3.7629999999999999</v>
      </c>
      <c r="E185">
        <v>3.6909999999999998</v>
      </c>
      <c r="F185" s="2">
        <v>-3.5999999999999999E-3</v>
      </c>
    </row>
    <row r="186" spans="1:6" x14ac:dyDescent="0.4">
      <c r="A186" s="1">
        <v>45545</v>
      </c>
      <c r="B186">
        <v>3.64</v>
      </c>
      <c r="C186">
        <v>3.7040000000000002</v>
      </c>
      <c r="D186">
        <v>3.7250000000000001</v>
      </c>
      <c r="E186">
        <v>3.637</v>
      </c>
      <c r="F186" s="2">
        <v>-1.67E-2</v>
      </c>
    </row>
    <row r="187" spans="1:6" x14ac:dyDescent="0.4">
      <c r="A187" s="1">
        <v>45546</v>
      </c>
      <c r="B187">
        <v>3.661</v>
      </c>
      <c r="C187">
        <v>3.637</v>
      </c>
      <c r="D187">
        <v>3.6890000000000001</v>
      </c>
      <c r="E187">
        <v>3.605</v>
      </c>
      <c r="F187" s="2">
        <v>5.5999999999999999E-3</v>
      </c>
    </row>
    <row r="188" spans="1:6" x14ac:dyDescent="0.4">
      <c r="A188" s="1">
        <v>45547</v>
      </c>
      <c r="B188">
        <v>3.68</v>
      </c>
      <c r="C188">
        <v>3.6589999999999998</v>
      </c>
      <c r="D188">
        <v>3.706</v>
      </c>
      <c r="E188">
        <v>3.6379999999999999</v>
      </c>
      <c r="F188" s="2">
        <v>5.1000000000000004E-3</v>
      </c>
    </row>
    <row r="189" spans="1:6" x14ac:dyDescent="0.4">
      <c r="A189" s="1">
        <v>45548</v>
      </c>
      <c r="B189">
        <v>3.657</v>
      </c>
      <c r="C189">
        <v>3.65</v>
      </c>
      <c r="D189">
        <v>3.6779999999999999</v>
      </c>
      <c r="E189">
        <v>3.6230000000000002</v>
      </c>
      <c r="F189" s="2">
        <v>-6.1000000000000004E-3</v>
      </c>
    </row>
    <row r="190" spans="1:6" x14ac:dyDescent="0.4">
      <c r="A190" s="1">
        <v>45551</v>
      </c>
      <c r="B190">
        <v>3.6179999999999999</v>
      </c>
      <c r="C190">
        <v>3.6459999999999999</v>
      </c>
      <c r="D190">
        <v>3.6619999999999999</v>
      </c>
      <c r="E190">
        <v>3.6179999999999999</v>
      </c>
      <c r="F190" s="2">
        <v>-1.0800000000000001E-2</v>
      </c>
    </row>
    <row r="191" spans="1:6" x14ac:dyDescent="0.4">
      <c r="A191" s="1">
        <v>45552</v>
      </c>
      <c r="B191">
        <v>3.6480000000000001</v>
      </c>
      <c r="C191">
        <v>3.6179999999999999</v>
      </c>
      <c r="D191">
        <v>3.6549999999999998</v>
      </c>
      <c r="E191">
        <v>3.5990000000000002</v>
      </c>
      <c r="F191" s="2">
        <v>8.3000000000000001E-3</v>
      </c>
    </row>
    <row r="192" spans="1:6" x14ac:dyDescent="0.4">
      <c r="A192" s="1">
        <v>45553</v>
      </c>
      <c r="B192">
        <v>3.7130000000000001</v>
      </c>
      <c r="C192">
        <v>3.6419999999999999</v>
      </c>
      <c r="D192">
        <v>3.7210000000000001</v>
      </c>
      <c r="E192">
        <v>3.6339999999999999</v>
      </c>
      <c r="F192" s="2">
        <v>1.7999999999999999E-2</v>
      </c>
    </row>
    <row r="193" spans="1:6" x14ac:dyDescent="0.4">
      <c r="A193" s="1">
        <v>45554</v>
      </c>
      <c r="B193">
        <v>3.7189999999999999</v>
      </c>
      <c r="C193">
        <v>3.7149999999999999</v>
      </c>
      <c r="D193">
        <v>3.7679999999999998</v>
      </c>
      <c r="E193">
        <v>3.6909999999999998</v>
      </c>
      <c r="F193" s="2">
        <v>1.5E-3</v>
      </c>
    </row>
    <row r="194" spans="1:6" x14ac:dyDescent="0.4">
      <c r="A194" s="1">
        <v>45555</v>
      </c>
      <c r="B194">
        <v>3.7410000000000001</v>
      </c>
      <c r="C194">
        <v>3.7130000000000001</v>
      </c>
      <c r="D194">
        <v>3.7639999999999998</v>
      </c>
      <c r="E194">
        <v>3.7</v>
      </c>
      <c r="F194" s="2">
        <v>6.1000000000000004E-3</v>
      </c>
    </row>
    <row r="195" spans="1:6" x14ac:dyDescent="0.4">
      <c r="A195" s="1">
        <v>45558</v>
      </c>
      <c r="B195">
        <v>3.7509999999999999</v>
      </c>
      <c r="C195">
        <v>3.7570000000000001</v>
      </c>
      <c r="D195">
        <v>3.794</v>
      </c>
      <c r="E195">
        <v>3.73</v>
      </c>
      <c r="F195" s="2">
        <v>2.5000000000000001E-3</v>
      </c>
    </row>
    <row r="196" spans="1:6" x14ac:dyDescent="0.4">
      <c r="A196" s="1">
        <v>45559</v>
      </c>
      <c r="B196">
        <v>3.7320000000000002</v>
      </c>
      <c r="C196">
        <v>3.7450000000000001</v>
      </c>
      <c r="D196">
        <v>3.81</v>
      </c>
      <c r="E196">
        <v>3.726</v>
      </c>
      <c r="F196" s="2">
        <v>-5.1000000000000004E-3</v>
      </c>
    </row>
    <row r="197" spans="1:6" x14ac:dyDescent="0.4">
      <c r="A197" s="1">
        <v>45560</v>
      </c>
      <c r="B197">
        <v>3.7909999999999999</v>
      </c>
      <c r="C197">
        <v>3.7320000000000002</v>
      </c>
      <c r="D197">
        <v>3.7930000000000001</v>
      </c>
      <c r="E197">
        <v>3.726</v>
      </c>
      <c r="F197" s="2">
        <v>1.5800000000000002E-2</v>
      </c>
    </row>
    <row r="198" spans="1:6" x14ac:dyDescent="0.4">
      <c r="A198" s="1">
        <v>45561</v>
      </c>
      <c r="B198">
        <v>3.7959999999999998</v>
      </c>
      <c r="C198">
        <v>3.7829999999999999</v>
      </c>
      <c r="D198">
        <v>3.8210000000000002</v>
      </c>
      <c r="E198">
        <v>3.754</v>
      </c>
      <c r="F198" s="2">
        <v>1.5E-3</v>
      </c>
    </row>
    <row r="199" spans="1:6" x14ac:dyDescent="0.4">
      <c r="A199" s="1">
        <v>45562</v>
      </c>
      <c r="B199">
        <v>3.7509999999999999</v>
      </c>
      <c r="C199">
        <v>3.7919999999999998</v>
      </c>
      <c r="D199">
        <v>3.8090000000000002</v>
      </c>
      <c r="E199">
        <v>3.7410000000000001</v>
      </c>
      <c r="F199" s="2">
        <v>-1.2E-2</v>
      </c>
    </row>
    <row r="200" spans="1:6" x14ac:dyDescent="0.4">
      <c r="A200" s="1">
        <v>45565</v>
      </c>
      <c r="B200">
        <v>3.7869999999999999</v>
      </c>
      <c r="C200">
        <v>3.7530000000000001</v>
      </c>
      <c r="D200">
        <v>3.806</v>
      </c>
      <c r="E200">
        <v>3.7490000000000001</v>
      </c>
      <c r="F200" s="2">
        <v>9.5999999999999992E-3</v>
      </c>
    </row>
    <row r="201" spans="1:6" x14ac:dyDescent="0.4">
      <c r="A201" s="1">
        <v>45566</v>
      </c>
      <c r="B201">
        <v>3.7309999999999999</v>
      </c>
      <c r="C201">
        <v>3.7789999999999999</v>
      </c>
      <c r="D201">
        <v>3.79</v>
      </c>
      <c r="E201">
        <v>3.6960000000000002</v>
      </c>
      <c r="F201" s="2">
        <v>-1.46E-2</v>
      </c>
    </row>
    <row r="202" spans="1:6" x14ac:dyDescent="0.4">
      <c r="A202" s="1">
        <v>45567</v>
      </c>
      <c r="B202">
        <v>3.7829999999999999</v>
      </c>
      <c r="C202">
        <v>3.7330000000000001</v>
      </c>
      <c r="D202">
        <v>3.8170000000000002</v>
      </c>
      <c r="E202">
        <v>3.7240000000000002</v>
      </c>
      <c r="F202" s="2">
        <v>1.37E-2</v>
      </c>
    </row>
    <row r="203" spans="1:6" x14ac:dyDescent="0.4">
      <c r="A203" s="1">
        <v>45568</v>
      </c>
      <c r="B203">
        <v>3.8460000000000001</v>
      </c>
      <c r="C203">
        <v>3.7890000000000001</v>
      </c>
      <c r="D203">
        <v>3.855</v>
      </c>
      <c r="E203">
        <v>3.7850000000000001</v>
      </c>
      <c r="F203" s="2">
        <v>1.67E-2</v>
      </c>
    </row>
    <row r="204" spans="1:6" x14ac:dyDescent="0.4">
      <c r="A204" s="1">
        <v>45569</v>
      </c>
      <c r="B204">
        <v>3.9809999999999999</v>
      </c>
      <c r="C204">
        <v>3.8439999999999999</v>
      </c>
      <c r="D204">
        <v>3.9849999999999999</v>
      </c>
      <c r="E204">
        <v>3.8340000000000001</v>
      </c>
      <c r="F204" s="2">
        <v>3.5200000000000002E-2</v>
      </c>
    </row>
    <row r="205" spans="1:6" x14ac:dyDescent="0.4">
      <c r="A205" s="1">
        <v>45572</v>
      </c>
      <c r="B205">
        <v>4.0259999999999998</v>
      </c>
      <c r="C205">
        <v>3.9809999999999999</v>
      </c>
      <c r="D205">
        <v>4.0330000000000004</v>
      </c>
      <c r="E205">
        <v>3.9670000000000001</v>
      </c>
      <c r="F205" s="2">
        <v>1.1299999999999999E-2</v>
      </c>
    </row>
    <row r="206" spans="1:6" x14ac:dyDescent="0.4">
      <c r="A206" s="1">
        <v>45573</v>
      </c>
      <c r="B206">
        <v>4.0350000000000001</v>
      </c>
      <c r="C206">
        <v>4.0199999999999996</v>
      </c>
      <c r="D206">
        <v>4.0570000000000004</v>
      </c>
      <c r="E206">
        <v>3.996</v>
      </c>
      <c r="F206" s="2">
        <v>2.2000000000000001E-3</v>
      </c>
    </row>
    <row r="207" spans="1:6" x14ac:dyDescent="0.4">
      <c r="A207" s="1">
        <v>45574</v>
      </c>
      <c r="B207">
        <v>4.0670000000000002</v>
      </c>
      <c r="C207">
        <v>4.0179999999999998</v>
      </c>
      <c r="D207">
        <v>4.0780000000000003</v>
      </c>
      <c r="E207">
        <v>4.0060000000000002</v>
      </c>
      <c r="F207" s="2">
        <v>7.9000000000000008E-3</v>
      </c>
    </row>
    <row r="208" spans="1:6" x14ac:dyDescent="0.4">
      <c r="A208" s="1">
        <v>45575</v>
      </c>
      <c r="B208">
        <v>4.0940000000000003</v>
      </c>
      <c r="C208">
        <v>4.0730000000000004</v>
      </c>
      <c r="D208">
        <v>4.12</v>
      </c>
      <c r="E208">
        <v>4.0510000000000002</v>
      </c>
      <c r="F208" s="2">
        <v>6.6E-3</v>
      </c>
    </row>
    <row r="209" spans="1:6" x14ac:dyDescent="0.4">
      <c r="A209" s="1">
        <v>45576</v>
      </c>
      <c r="B209">
        <v>4.0730000000000004</v>
      </c>
      <c r="C209">
        <v>4.069</v>
      </c>
      <c r="D209">
        <v>4.1180000000000003</v>
      </c>
      <c r="E209">
        <v>4.0590000000000002</v>
      </c>
      <c r="F209" s="2">
        <v>-5.1000000000000004E-3</v>
      </c>
    </row>
    <row r="210" spans="1:6" x14ac:dyDescent="0.4">
      <c r="A210" s="1">
        <v>45580</v>
      </c>
      <c r="B210">
        <v>4.0380000000000003</v>
      </c>
      <c r="C210">
        <v>4.0999999999999996</v>
      </c>
      <c r="D210">
        <v>4.1040000000000001</v>
      </c>
      <c r="E210">
        <v>4.0259999999999998</v>
      </c>
      <c r="F210" s="2">
        <v>-8.6E-3</v>
      </c>
    </row>
    <row r="211" spans="1:6" x14ac:dyDescent="0.4">
      <c r="A211" s="1">
        <v>45581</v>
      </c>
      <c r="B211">
        <v>4.016</v>
      </c>
      <c r="C211">
        <v>4.0369999999999999</v>
      </c>
      <c r="D211">
        <v>4.0430000000000001</v>
      </c>
      <c r="E211">
        <v>3.9950000000000001</v>
      </c>
      <c r="F211" s="2">
        <v>-5.4000000000000003E-3</v>
      </c>
    </row>
    <row r="212" spans="1:6" x14ac:dyDescent="0.4">
      <c r="A212" s="1">
        <v>45582</v>
      </c>
      <c r="B212">
        <v>4.0960000000000001</v>
      </c>
      <c r="C212">
        <v>4.0220000000000002</v>
      </c>
      <c r="D212">
        <v>4.0999999999999996</v>
      </c>
      <c r="E212">
        <v>4.0179999999999998</v>
      </c>
      <c r="F212" s="2">
        <v>1.9900000000000001E-2</v>
      </c>
    </row>
    <row r="213" spans="1:6" x14ac:dyDescent="0.4">
      <c r="A213" s="1">
        <v>45583</v>
      </c>
      <c r="B213">
        <v>4.0750000000000002</v>
      </c>
      <c r="C213">
        <v>4.093</v>
      </c>
      <c r="D213">
        <v>4.1180000000000003</v>
      </c>
      <c r="E213">
        <v>4.0650000000000004</v>
      </c>
      <c r="F213" s="2">
        <v>-5.1000000000000004E-3</v>
      </c>
    </row>
    <row r="214" spans="1:6" x14ac:dyDescent="0.4">
      <c r="A214" s="1">
        <v>45586</v>
      </c>
      <c r="B214">
        <v>4.1820000000000004</v>
      </c>
      <c r="C214">
        <v>4.0970000000000004</v>
      </c>
      <c r="D214">
        <v>4.1980000000000004</v>
      </c>
      <c r="E214">
        <v>4.077</v>
      </c>
      <c r="F214" s="2">
        <v>2.63E-2</v>
      </c>
    </row>
    <row r="215" spans="1:6" x14ac:dyDescent="0.4">
      <c r="A215" s="1">
        <v>45587</v>
      </c>
      <c r="B215">
        <v>4.2060000000000004</v>
      </c>
      <c r="C215">
        <v>4.194</v>
      </c>
      <c r="D215">
        <v>4.2220000000000004</v>
      </c>
      <c r="E215">
        <v>4.1639999999999997</v>
      </c>
      <c r="F215" s="2">
        <v>5.7000000000000002E-3</v>
      </c>
    </row>
    <row r="216" spans="1:6" x14ac:dyDescent="0.4">
      <c r="A216" s="1">
        <v>45588</v>
      </c>
      <c r="B216">
        <v>4.242</v>
      </c>
      <c r="C216">
        <v>4.2119999999999997</v>
      </c>
      <c r="D216">
        <v>4.26</v>
      </c>
      <c r="E216">
        <v>4.21</v>
      </c>
      <c r="F216" s="2">
        <v>8.6E-3</v>
      </c>
    </row>
    <row r="217" spans="1:6" x14ac:dyDescent="0.4">
      <c r="A217" s="1">
        <v>45589</v>
      </c>
      <c r="B217">
        <v>4.202</v>
      </c>
      <c r="C217">
        <v>4.2480000000000002</v>
      </c>
      <c r="D217">
        <v>4.2480000000000002</v>
      </c>
      <c r="E217">
        <v>4.1820000000000004</v>
      </c>
      <c r="F217" s="2">
        <v>-9.4000000000000004E-3</v>
      </c>
    </row>
    <row r="218" spans="1:6" x14ac:dyDescent="0.4">
      <c r="A218" s="1">
        <v>45590</v>
      </c>
      <c r="B218">
        <v>4.2320000000000002</v>
      </c>
      <c r="C218">
        <v>4.2039999999999997</v>
      </c>
      <c r="D218">
        <v>4.25</v>
      </c>
      <c r="E218">
        <v>4.1740000000000004</v>
      </c>
      <c r="F218" s="2">
        <v>7.1000000000000004E-3</v>
      </c>
    </row>
    <row r="219" spans="1:6" x14ac:dyDescent="0.4">
      <c r="A219" s="1">
        <v>45593</v>
      </c>
      <c r="B219">
        <v>4.2779999999999996</v>
      </c>
      <c r="C219">
        <v>4.266</v>
      </c>
      <c r="D219">
        <v>4.3</v>
      </c>
      <c r="E219">
        <v>4.2300000000000004</v>
      </c>
      <c r="F219" s="2">
        <v>1.09E-2</v>
      </c>
    </row>
    <row r="220" spans="1:6" x14ac:dyDescent="0.4">
      <c r="A220" s="1">
        <v>45594</v>
      </c>
      <c r="B220">
        <v>4.274</v>
      </c>
      <c r="C220">
        <v>4.2679999999999998</v>
      </c>
      <c r="D220">
        <v>4.3390000000000004</v>
      </c>
      <c r="E220">
        <v>4.2539999999999996</v>
      </c>
      <c r="F220" s="2">
        <v>-8.9999999999999998E-4</v>
      </c>
    </row>
    <row r="221" spans="1:6" x14ac:dyDescent="0.4">
      <c r="A221" s="1">
        <v>45595</v>
      </c>
      <c r="B221">
        <v>4.2990000000000004</v>
      </c>
      <c r="C221">
        <v>4.2519999999999998</v>
      </c>
      <c r="D221">
        <v>4.3040000000000003</v>
      </c>
      <c r="E221">
        <v>4.1980000000000004</v>
      </c>
      <c r="F221" s="2">
        <v>5.8999999999999999E-3</v>
      </c>
    </row>
    <row r="222" spans="1:6" x14ac:dyDescent="0.4">
      <c r="A222" s="1">
        <v>45596</v>
      </c>
      <c r="B222">
        <v>4.2809999999999997</v>
      </c>
      <c r="C222">
        <v>4.2939999999999996</v>
      </c>
      <c r="D222">
        <v>4.3330000000000002</v>
      </c>
      <c r="E222">
        <v>4.26</v>
      </c>
      <c r="F222" s="2">
        <v>-4.1999999999999997E-3</v>
      </c>
    </row>
    <row r="223" spans="1:6" x14ac:dyDescent="0.4">
      <c r="A223" s="1">
        <v>45597</v>
      </c>
      <c r="B223">
        <v>4.3849999999999998</v>
      </c>
      <c r="C223">
        <v>4.2919999999999998</v>
      </c>
      <c r="D223">
        <v>4.3879999999999999</v>
      </c>
      <c r="E223">
        <v>4.2220000000000004</v>
      </c>
      <c r="F223" s="2">
        <v>2.41E-2</v>
      </c>
    </row>
    <row r="224" spans="1:6" x14ac:dyDescent="0.4">
      <c r="A224" s="1">
        <v>45600</v>
      </c>
      <c r="B224">
        <v>4.2859999999999996</v>
      </c>
      <c r="C224">
        <v>4.2990000000000004</v>
      </c>
      <c r="D224">
        <v>4.3289999999999997</v>
      </c>
      <c r="E224">
        <v>4.2629999999999999</v>
      </c>
      <c r="F224" s="2">
        <v>-2.2599999999999999E-2</v>
      </c>
    </row>
    <row r="225" spans="1:6" x14ac:dyDescent="0.4">
      <c r="A225" s="1">
        <v>45601</v>
      </c>
      <c r="B225">
        <v>4.28</v>
      </c>
      <c r="C225">
        <v>4.2889999999999997</v>
      </c>
      <c r="D225">
        <v>4.3659999999999997</v>
      </c>
      <c r="E225">
        <v>4.2729999999999997</v>
      </c>
      <c r="F225" s="2">
        <v>-1.4E-3</v>
      </c>
    </row>
    <row r="226" spans="1:6" x14ac:dyDescent="0.4">
      <c r="A226" s="1">
        <v>45602</v>
      </c>
      <c r="B226">
        <v>4.431</v>
      </c>
      <c r="C226">
        <v>4.258</v>
      </c>
      <c r="D226">
        <v>4.4790000000000001</v>
      </c>
      <c r="E226">
        <v>4.258</v>
      </c>
      <c r="F226" s="2">
        <v>3.5200000000000002E-2</v>
      </c>
    </row>
    <row r="227" spans="1:6" x14ac:dyDescent="0.4">
      <c r="A227" s="1">
        <v>45603</v>
      </c>
      <c r="B227">
        <v>4.3250000000000002</v>
      </c>
      <c r="C227">
        <v>4.4249999999999998</v>
      </c>
      <c r="D227">
        <v>4.4550000000000001</v>
      </c>
      <c r="E227">
        <v>4.3099999999999996</v>
      </c>
      <c r="F227" s="2">
        <v>-2.3900000000000001E-2</v>
      </c>
    </row>
    <row r="228" spans="1:6" x14ac:dyDescent="0.4">
      <c r="A228" s="1">
        <v>45604</v>
      </c>
      <c r="B228">
        <v>4.3049999999999997</v>
      </c>
      <c r="C228">
        <v>4.3369999999999997</v>
      </c>
      <c r="D228">
        <v>4.3529999999999998</v>
      </c>
      <c r="E228">
        <v>4.2640000000000002</v>
      </c>
      <c r="F228" s="2">
        <v>-4.4999999999999997E-3</v>
      </c>
    </row>
    <row r="229" spans="1:6" x14ac:dyDescent="0.4">
      <c r="A229" s="1">
        <v>45608</v>
      </c>
      <c r="B229">
        <v>4.4290000000000003</v>
      </c>
      <c r="C229">
        <v>4.3239999999999998</v>
      </c>
      <c r="D229">
        <v>4.4429999999999996</v>
      </c>
      <c r="E229">
        <v>4.3140000000000001</v>
      </c>
      <c r="F229" s="2">
        <v>2.86E-2</v>
      </c>
    </row>
    <row r="230" spans="1:6" x14ac:dyDescent="0.4">
      <c r="A230" s="1">
        <v>45609</v>
      </c>
      <c r="B230">
        <v>4.45</v>
      </c>
      <c r="C230">
        <v>4.4349999999999996</v>
      </c>
      <c r="D230">
        <v>4.4630000000000001</v>
      </c>
      <c r="E230">
        <v>4.3570000000000002</v>
      </c>
      <c r="F230" s="2">
        <v>4.8999999999999998E-3</v>
      </c>
    </row>
    <row r="231" spans="1:6" x14ac:dyDescent="0.4">
      <c r="A231" s="1">
        <v>45610</v>
      </c>
      <c r="B231">
        <v>4.4450000000000003</v>
      </c>
      <c r="C231">
        <v>4.4550000000000001</v>
      </c>
      <c r="D231">
        <v>4.4829999999999997</v>
      </c>
      <c r="E231">
        <v>4.3860000000000001</v>
      </c>
      <c r="F231" s="2">
        <v>-1.1000000000000001E-3</v>
      </c>
    </row>
    <row r="232" spans="1:6" x14ac:dyDescent="0.4">
      <c r="A232" s="1">
        <v>45611</v>
      </c>
      <c r="B232">
        <v>4.444</v>
      </c>
      <c r="C232">
        <v>4.4489999999999998</v>
      </c>
      <c r="D232">
        <v>4.5049999999999999</v>
      </c>
      <c r="E232">
        <v>4.4000000000000004</v>
      </c>
      <c r="F232" s="2">
        <v>-2.0000000000000001E-4</v>
      </c>
    </row>
    <row r="233" spans="1:6" x14ac:dyDescent="0.4">
      <c r="A233" s="1">
        <v>45614</v>
      </c>
      <c r="B233">
        <v>4.4130000000000003</v>
      </c>
      <c r="C233">
        <v>4.4390000000000001</v>
      </c>
      <c r="D233">
        <v>4.4909999999999997</v>
      </c>
      <c r="E233">
        <v>4.4080000000000004</v>
      </c>
      <c r="F233" s="2">
        <v>-7.1000000000000004E-3</v>
      </c>
    </row>
    <row r="234" spans="1:6" x14ac:dyDescent="0.4">
      <c r="A234" s="1">
        <v>45615</v>
      </c>
      <c r="B234">
        <v>4.3949999999999996</v>
      </c>
      <c r="C234">
        <v>4.4119999999999999</v>
      </c>
      <c r="D234">
        <v>4.4180000000000001</v>
      </c>
      <c r="E234">
        <v>4.3369999999999997</v>
      </c>
      <c r="F234" s="2">
        <v>-4.0000000000000001E-3</v>
      </c>
    </row>
    <row r="235" spans="1:6" x14ac:dyDescent="0.4">
      <c r="A235" s="1">
        <v>45616</v>
      </c>
      <c r="B235">
        <v>4.4130000000000003</v>
      </c>
      <c r="C235">
        <v>4.4039999999999999</v>
      </c>
      <c r="D235">
        <v>4.4379999999999997</v>
      </c>
      <c r="E235">
        <v>4.3879999999999999</v>
      </c>
      <c r="F235" s="2">
        <v>4.0000000000000001E-3</v>
      </c>
    </row>
    <row r="236" spans="1:6" x14ac:dyDescent="0.4">
      <c r="A236" s="1">
        <v>45617</v>
      </c>
      <c r="B236">
        <v>4.4189999999999996</v>
      </c>
      <c r="C236">
        <v>4.41</v>
      </c>
      <c r="D236">
        <v>4.4390000000000001</v>
      </c>
      <c r="E236">
        <v>4.3769999999999998</v>
      </c>
      <c r="F236" s="2">
        <v>1.2999999999999999E-3</v>
      </c>
    </row>
    <row r="237" spans="1:6" x14ac:dyDescent="0.4">
      <c r="A237" s="1">
        <v>45618</v>
      </c>
      <c r="B237">
        <v>4.4109999999999996</v>
      </c>
      <c r="C237">
        <v>4.42</v>
      </c>
      <c r="D237">
        <v>4.43</v>
      </c>
      <c r="E237">
        <v>4.383</v>
      </c>
      <c r="F237" s="2">
        <v>-1.8E-3</v>
      </c>
    </row>
    <row r="238" spans="1:6" x14ac:dyDescent="0.4">
      <c r="A238" s="1">
        <v>45621</v>
      </c>
      <c r="B238">
        <v>4.274</v>
      </c>
      <c r="C238">
        <v>4.343</v>
      </c>
      <c r="D238">
        <v>4.3689999999999998</v>
      </c>
      <c r="E238">
        <v>4.2610000000000001</v>
      </c>
      <c r="F238" s="2">
        <v>-3.1E-2</v>
      </c>
    </row>
    <row r="239" spans="1:6" x14ac:dyDescent="0.4">
      <c r="A239" s="1">
        <v>45622</v>
      </c>
      <c r="B239">
        <v>4.2939999999999996</v>
      </c>
      <c r="C239">
        <v>4.2869999999999999</v>
      </c>
      <c r="D239">
        <v>4.3239999999999998</v>
      </c>
      <c r="E239">
        <v>4.2729999999999997</v>
      </c>
      <c r="F239" s="2">
        <v>4.5999999999999999E-3</v>
      </c>
    </row>
    <row r="240" spans="1:6" x14ac:dyDescent="0.4">
      <c r="A240" s="1">
        <v>45623</v>
      </c>
      <c r="B240">
        <v>4.26</v>
      </c>
      <c r="C240">
        <v>4.3079999999999998</v>
      </c>
      <c r="D240">
        <v>4.3099999999999996</v>
      </c>
      <c r="E240">
        <v>4.2270000000000003</v>
      </c>
      <c r="F240" s="2">
        <v>-7.9000000000000008E-3</v>
      </c>
    </row>
    <row r="241" spans="1:6" x14ac:dyDescent="0.4">
      <c r="A241" s="1">
        <v>45625</v>
      </c>
      <c r="B241">
        <v>4.1769999999999996</v>
      </c>
      <c r="C241">
        <v>4.2539999999999996</v>
      </c>
      <c r="D241">
        <v>4.2560000000000002</v>
      </c>
      <c r="E241">
        <v>4.1719999999999997</v>
      </c>
      <c r="F241" s="2">
        <v>-1.9300000000000001E-2</v>
      </c>
    </row>
    <row r="242" spans="1:6" x14ac:dyDescent="0.4">
      <c r="A242" s="1">
        <v>45628</v>
      </c>
      <c r="B242">
        <v>4.1950000000000003</v>
      </c>
      <c r="C242">
        <v>4.2069999999999999</v>
      </c>
      <c r="D242">
        <v>4.2480000000000002</v>
      </c>
      <c r="E242">
        <v>4.1740000000000004</v>
      </c>
      <c r="F242" s="2">
        <v>4.1999999999999997E-3</v>
      </c>
    </row>
    <row r="243" spans="1:6" x14ac:dyDescent="0.4">
      <c r="A243" s="1">
        <v>45629</v>
      </c>
      <c r="B243">
        <v>4.226</v>
      </c>
      <c r="C243">
        <v>4.1950000000000003</v>
      </c>
      <c r="D243">
        <v>4.24</v>
      </c>
      <c r="E243">
        <v>4.165</v>
      </c>
      <c r="F243" s="2">
        <v>7.4000000000000003E-3</v>
      </c>
    </row>
    <row r="244" spans="1:6" x14ac:dyDescent="0.4">
      <c r="A244" s="1">
        <v>45630</v>
      </c>
      <c r="B244">
        <v>4.1829999999999998</v>
      </c>
      <c r="C244">
        <v>4.2320000000000002</v>
      </c>
      <c r="D244">
        <v>4.2809999999999997</v>
      </c>
      <c r="E244">
        <v>4.1740000000000004</v>
      </c>
      <c r="F244" s="2">
        <v>-1.01E-2</v>
      </c>
    </row>
    <row r="245" spans="1:6" x14ac:dyDescent="0.4">
      <c r="A245" s="1">
        <v>45631</v>
      </c>
      <c r="B245">
        <v>4.1769999999999996</v>
      </c>
      <c r="C245">
        <v>4.194</v>
      </c>
      <c r="D245">
        <v>4.2249999999999996</v>
      </c>
      <c r="E245">
        <v>4.1740000000000004</v>
      </c>
      <c r="F245" s="2">
        <v>-1.4E-3</v>
      </c>
    </row>
    <row r="246" spans="1:6" x14ac:dyDescent="0.4">
      <c r="A246" s="1">
        <v>45632</v>
      </c>
      <c r="B246">
        <v>4.1479999999999997</v>
      </c>
      <c r="C246">
        <v>4.1820000000000004</v>
      </c>
      <c r="D246">
        <v>4.2220000000000004</v>
      </c>
      <c r="E246">
        <v>4.1260000000000003</v>
      </c>
      <c r="F246" s="2">
        <v>-6.8999999999999999E-3</v>
      </c>
    </row>
    <row r="247" spans="1:6" x14ac:dyDescent="0.4">
      <c r="A247" s="1">
        <v>45635</v>
      </c>
      <c r="B247">
        <v>4.2</v>
      </c>
      <c r="C247">
        <v>4.1509999999999998</v>
      </c>
      <c r="D247">
        <v>4.2030000000000003</v>
      </c>
      <c r="E247">
        <v>4.1349999999999998</v>
      </c>
      <c r="F247" s="2">
        <v>1.26E-2</v>
      </c>
    </row>
    <row r="248" spans="1:6" x14ac:dyDescent="0.4">
      <c r="A248" s="1">
        <v>45636</v>
      </c>
      <c r="B248">
        <v>4.2270000000000003</v>
      </c>
      <c r="C248">
        <v>4.1950000000000003</v>
      </c>
      <c r="D248">
        <v>4.2460000000000004</v>
      </c>
      <c r="E248">
        <v>4.1840000000000002</v>
      </c>
      <c r="F248" s="2">
        <v>6.4999999999999997E-3</v>
      </c>
    </row>
    <row r="249" spans="1:6" x14ac:dyDescent="0.4">
      <c r="A249" s="1">
        <v>45637</v>
      </c>
      <c r="B249">
        <v>4.274</v>
      </c>
      <c r="C249">
        <v>4.2240000000000002</v>
      </c>
      <c r="D249">
        <v>4.2770000000000001</v>
      </c>
      <c r="E249">
        <v>4.2009999999999996</v>
      </c>
      <c r="F249" s="2">
        <v>1.0999999999999999E-2</v>
      </c>
    </row>
    <row r="250" spans="1:6" x14ac:dyDescent="0.4">
      <c r="A250" s="1">
        <v>45638</v>
      </c>
      <c r="B250">
        <v>4.335</v>
      </c>
      <c r="C250">
        <v>4.2649999999999997</v>
      </c>
      <c r="D250">
        <v>4.3390000000000004</v>
      </c>
      <c r="E250">
        <v>4.2649999999999997</v>
      </c>
      <c r="F250" s="2">
        <v>1.4200000000000001E-2</v>
      </c>
    </row>
    <row r="251" spans="1:6" x14ac:dyDescent="0.4">
      <c r="A251" s="1">
        <v>45639</v>
      </c>
      <c r="B251">
        <v>4.3940000000000001</v>
      </c>
      <c r="C251">
        <v>4.3280000000000003</v>
      </c>
      <c r="D251">
        <v>4.407</v>
      </c>
      <c r="E251">
        <v>4.3120000000000003</v>
      </c>
      <c r="F251" s="2">
        <v>1.3599999999999999E-2</v>
      </c>
    </row>
    <row r="252" spans="1:6" x14ac:dyDescent="0.4">
      <c r="A252" s="1">
        <v>45642</v>
      </c>
      <c r="B252">
        <v>4.4020000000000001</v>
      </c>
      <c r="C252">
        <v>4.3869999999999996</v>
      </c>
      <c r="D252">
        <v>4.4119999999999999</v>
      </c>
      <c r="E252">
        <v>4.3609999999999998</v>
      </c>
      <c r="F252" s="2">
        <v>1.8E-3</v>
      </c>
    </row>
    <row r="253" spans="1:6" x14ac:dyDescent="0.4">
      <c r="A253" s="1">
        <v>45643</v>
      </c>
      <c r="B253">
        <v>4.3940000000000001</v>
      </c>
      <c r="C253">
        <v>4.3949999999999996</v>
      </c>
      <c r="D253">
        <v>4.4420000000000002</v>
      </c>
      <c r="E253">
        <v>4.3730000000000002</v>
      </c>
      <c r="F253" s="2">
        <v>-1.8E-3</v>
      </c>
    </row>
    <row r="254" spans="1:6" x14ac:dyDescent="0.4">
      <c r="A254" s="1">
        <v>45644</v>
      </c>
      <c r="B254">
        <v>4.5179999999999998</v>
      </c>
      <c r="C254">
        <v>4.391</v>
      </c>
      <c r="D254">
        <v>4.524</v>
      </c>
      <c r="E254">
        <v>4.3810000000000002</v>
      </c>
      <c r="F254" s="2">
        <v>2.8299999999999999E-2</v>
      </c>
    </row>
    <row r="255" spans="1:6" x14ac:dyDescent="0.4">
      <c r="A255" s="1">
        <v>45645</v>
      </c>
      <c r="B255">
        <v>4.5650000000000004</v>
      </c>
      <c r="C255">
        <v>4.5140000000000002</v>
      </c>
      <c r="D255">
        <v>4.5940000000000003</v>
      </c>
      <c r="E255">
        <v>4.5019999999999998</v>
      </c>
      <c r="F255" s="2">
        <v>1.04E-2</v>
      </c>
    </row>
    <row r="256" spans="1:6" x14ac:dyDescent="0.4">
      <c r="A256" s="1">
        <v>45646</v>
      </c>
      <c r="B256">
        <v>4.5289999999999999</v>
      </c>
      <c r="C256">
        <v>4.556</v>
      </c>
      <c r="D256">
        <v>4.5659999999999998</v>
      </c>
      <c r="E256">
        <v>4.484</v>
      </c>
      <c r="F256" s="2">
        <v>-7.9000000000000008E-3</v>
      </c>
    </row>
    <row r="257" spans="1:6" x14ac:dyDescent="0.4">
      <c r="A257" s="1">
        <v>45649</v>
      </c>
      <c r="B257">
        <v>4.5880000000000001</v>
      </c>
      <c r="C257">
        <v>4.5259999999999998</v>
      </c>
      <c r="D257">
        <v>4.5990000000000002</v>
      </c>
      <c r="E257">
        <v>4.5179999999999998</v>
      </c>
      <c r="F257" s="2">
        <v>1.29E-2</v>
      </c>
    </row>
    <row r="258" spans="1:6" x14ac:dyDescent="0.4">
      <c r="A258" s="1">
        <v>45650</v>
      </c>
      <c r="B258">
        <v>4.59</v>
      </c>
      <c r="C258">
        <v>4.5839999999999996</v>
      </c>
      <c r="D258">
        <v>4.6289999999999996</v>
      </c>
      <c r="E258">
        <v>4.5810000000000004</v>
      </c>
      <c r="F258" s="2">
        <v>5.0000000000000001E-4</v>
      </c>
    </row>
    <row r="259" spans="1:6" x14ac:dyDescent="0.4">
      <c r="A259" s="1">
        <v>45652</v>
      </c>
      <c r="B259">
        <v>4.5839999999999996</v>
      </c>
      <c r="C259">
        <v>4.5970000000000004</v>
      </c>
      <c r="D259">
        <v>4.641</v>
      </c>
      <c r="E259">
        <v>4.5730000000000004</v>
      </c>
      <c r="F259" s="2">
        <v>-1.2999999999999999E-3</v>
      </c>
    </row>
    <row r="260" spans="1:6" x14ac:dyDescent="0.4">
      <c r="A260" s="1">
        <v>45653</v>
      </c>
      <c r="B260">
        <v>4.6289999999999996</v>
      </c>
      <c r="C260">
        <v>4.585</v>
      </c>
      <c r="D260">
        <v>4.6310000000000002</v>
      </c>
      <c r="E260">
        <v>4.5730000000000004</v>
      </c>
      <c r="F260" s="2">
        <v>0.01</v>
      </c>
    </row>
    <row r="261" spans="1:6" x14ac:dyDescent="0.4">
      <c r="A261" s="1">
        <v>45656</v>
      </c>
      <c r="B261">
        <v>4.532</v>
      </c>
      <c r="C261">
        <v>4.6289999999999996</v>
      </c>
      <c r="D261">
        <v>4.6310000000000002</v>
      </c>
      <c r="E261">
        <v>4.5330000000000004</v>
      </c>
      <c r="F261" s="2">
        <v>-2.1100000000000001E-2</v>
      </c>
    </row>
    <row r="262" spans="1:6" x14ac:dyDescent="0.4">
      <c r="A262" s="1">
        <v>45657</v>
      </c>
      <c r="B262">
        <v>4.5720000000000001</v>
      </c>
      <c r="C262">
        <v>4.5149999999999997</v>
      </c>
      <c r="D262">
        <v>4.5890000000000004</v>
      </c>
      <c r="E262">
        <v>4.5069999999999997</v>
      </c>
      <c r="F262" s="2">
        <v>8.8999999999999999E-3</v>
      </c>
    </row>
    <row r="263" spans="1:6" x14ac:dyDescent="0.4">
      <c r="A263" s="1">
        <v>45659</v>
      </c>
      <c r="B263">
        <v>4.5609999999999999</v>
      </c>
      <c r="C263">
        <v>4.5709999999999997</v>
      </c>
      <c r="D263">
        <v>4.5990000000000002</v>
      </c>
      <c r="E263">
        <v>4.5170000000000003</v>
      </c>
      <c r="F263" s="2">
        <v>-2.3999999999999998E-3</v>
      </c>
    </row>
    <row r="264" spans="1:6" x14ac:dyDescent="0.4">
      <c r="A264" s="1">
        <v>45660</v>
      </c>
      <c r="B264">
        <v>4.601</v>
      </c>
      <c r="C264">
        <v>4.5449999999999999</v>
      </c>
      <c r="D264">
        <v>4.6040000000000001</v>
      </c>
      <c r="E264">
        <v>4.5350000000000001</v>
      </c>
      <c r="F264" s="2">
        <v>8.6999999999999994E-3</v>
      </c>
    </row>
    <row r="265" spans="1:6" x14ac:dyDescent="0.4">
      <c r="A265" s="1">
        <v>45663</v>
      </c>
      <c r="B265">
        <v>4.6230000000000002</v>
      </c>
      <c r="C265">
        <v>4.6180000000000003</v>
      </c>
      <c r="D265">
        <v>4.6440000000000001</v>
      </c>
      <c r="E265">
        <v>4.5750000000000002</v>
      </c>
      <c r="F265" s="2">
        <v>4.8999999999999998E-3</v>
      </c>
    </row>
    <row r="266" spans="1:6" x14ac:dyDescent="0.4">
      <c r="A266" s="1">
        <v>45664</v>
      </c>
      <c r="B266">
        <v>4.6840000000000002</v>
      </c>
      <c r="C266">
        <v>4.6319999999999997</v>
      </c>
      <c r="D266">
        <v>4.6989999999999998</v>
      </c>
      <c r="E266">
        <v>4.6059999999999999</v>
      </c>
      <c r="F266" s="2">
        <v>1.32E-2</v>
      </c>
    </row>
    <row r="267" spans="1:6" x14ac:dyDescent="0.4">
      <c r="A267" s="1">
        <v>45665</v>
      </c>
      <c r="B267">
        <v>4.6920000000000002</v>
      </c>
      <c r="C267">
        <v>4.6890000000000001</v>
      </c>
      <c r="D267">
        <v>4.7300000000000004</v>
      </c>
      <c r="E267">
        <v>4.6630000000000003</v>
      </c>
      <c r="F267" s="2">
        <v>1.8E-3</v>
      </c>
    </row>
    <row r="268" spans="1:6" x14ac:dyDescent="0.4">
      <c r="A268" s="1">
        <v>45666</v>
      </c>
      <c r="B268">
        <v>4.6879999999999997</v>
      </c>
      <c r="C268">
        <v>4.6890000000000001</v>
      </c>
      <c r="D268">
        <v>4.6909999999999998</v>
      </c>
      <c r="E268">
        <v>4.6420000000000003</v>
      </c>
      <c r="F268" s="2">
        <v>-8.0000000000000004E-4</v>
      </c>
    </row>
    <row r="269" spans="1:6" x14ac:dyDescent="0.4">
      <c r="A269" s="1">
        <v>45667</v>
      </c>
      <c r="B269">
        <v>4.7619999999999996</v>
      </c>
      <c r="C269">
        <v>4.673</v>
      </c>
      <c r="D269">
        <v>4.79</v>
      </c>
      <c r="E269">
        <v>4.673</v>
      </c>
      <c r="F269" s="2">
        <v>1.5800000000000002E-2</v>
      </c>
    </row>
    <row r="270" spans="1:6" x14ac:dyDescent="0.4">
      <c r="A270" s="1">
        <v>45670</v>
      </c>
      <c r="B270">
        <v>4.7889999999999997</v>
      </c>
      <c r="C270">
        <v>4.7990000000000004</v>
      </c>
      <c r="D270">
        <v>4.8049999999999997</v>
      </c>
      <c r="E270">
        <v>4.7590000000000003</v>
      </c>
      <c r="F270" s="2">
        <v>5.5999999999999999E-3</v>
      </c>
    </row>
    <row r="271" spans="1:6" x14ac:dyDescent="0.4">
      <c r="A271" s="1">
        <v>45671</v>
      </c>
      <c r="B271">
        <v>4.7919999999999998</v>
      </c>
      <c r="C271">
        <v>4.7629999999999999</v>
      </c>
      <c r="D271">
        <v>4.8090000000000002</v>
      </c>
      <c r="E271">
        <v>4.7489999999999997</v>
      </c>
      <c r="F271" s="2">
        <v>6.9999999999999999E-4</v>
      </c>
    </row>
    <row r="272" spans="1:6" x14ac:dyDescent="0.4">
      <c r="A272" s="1">
        <v>45672</v>
      </c>
      <c r="B272">
        <v>4.6539999999999999</v>
      </c>
      <c r="C272">
        <v>4.7880000000000003</v>
      </c>
      <c r="D272">
        <v>4.79</v>
      </c>
      <c r="E272">
        <v>4.6369999999999996</v>
      </c>
      <c r="F272" s="2">
        <v>-2.8899999999999999E-2</v>
      </c>
    </row>
    <row r="273" spans="1:6" x14ac:dyDescent="0.4">
      <c r="A273" s="1">
        <v>45673</v>
      </c>
      <c r="B273">
        <v>4.6109999999999998</v>
      </c>
      <c r="C273">
        <v>4.6529999999999996</v>
      </c>
      <c r="D273">
        <v>4.694</v>
      </c>
      <c r="E273">
        <v>4.5880000000000001</v>
      </c>
      <c r="F273" s="2">
        <v>-9.1999999999999998E-3</v>
      </c>
    </row>
    <row r="274" spans="1:6" x14ac:dyDescent="0.4">
      <c r="A274" s="1">
        <v>45674</v>
      </c>
      <c r="B274">
        <v>4.6219999999999999</v>
      </c>
      <c r="C274">
        <v>4.6210000000000004</v>
      </c>
      <c r="D274">
        <v>4.6289999999999996</v>
      </c>
      <c r="E274">
        <v>4.5659999999999998</v>
      </c>
      <c r="F274" s="2">
        <v>2.3E-3</v>
      </c>
    </row>
    <row r="275" spans="1:6" x14ac:dyDescent="0.4">
      <c r="A275" s="1">
        <v>45678</v>
      </c>
      <c r="B275">
        <v>4.5720000000000001</v>
      </c>
      <c r="C275">
        <v>4.5579999999999998</v>
      </c>
      <c r="D275">
        <v>4.5910000000000002</v>
      </c>
      <c r="E275">
        <v>4.53</v>
      </c>
      <c r="F275" s="2">
        <v>-1.0699999999999999E-2</v>
      </c>
    </row>
    <row r="276" spans="1:6" x14ac:dyDescent="0.4">
      <c r="A276" s="1">
        <v>45679</v>
      </c>
      <c r="B276">
        <v>4.6120000000000001</v>
      </c>
      <c r="C276">
        <v>4.5819999999999999</v>
      </c>
      <c r="D276">
        <v>4.617</v>
      </c>
      <c r="E276">
        <v>4.556</v>
      </c>
      <c r="F276" s="2">
        <v>8.6999999999999994E-3</v>
      </c>
    </row>
    <row r="277" spans="1:6" x14ac:dyDescent="0.4">
      <c r="A277" s="1">
        <v>45680</v>
      </c>
      <c r="B277">
        <v>4.6449999999999996</v>
      </c>
      <c r="C277">
        <v>4.609</v>
      </c>
      <c r="D277">
        <v>4.6639999999999997</v>
      </c>
      <c r="E277">
        <v>4.5949999999999998</v>
      </c>
      <c r="F277" s="2">
        <v>7.1000000000000004E-3</v>
      </c>
    </row>
    <row r="278" spans="1:6" x14ac:dyDescent="0.4">
      <c r="A278" s="1">
        <v>45681</v>
      </c>
      <c r="B278">
        <v>4.6159999999999997</v>
      </c>
      <c r="C278">
        <v>4.641</v>
      </c>
      <c r="D278">
        <v>4.6619999999999999</v>
      </c>
      <c r="E278">
        <v>4.6050000000000004</v>
      </c>
      <c r="F278" s="2">
        <v>-6.1000000000000004E-3</v>
      </c>
    </row>
    <row r="279" spans="1:6" x14ac:dyDescent="0.4">
      <c r="A279" s="1">
        <v>45684</v>
      </c>
      <c r="B279">
        <v>4.5330000000000004</v>
      </c>
      <c r="C279">
        <v>4.5990000000000002</v>
      </c>
      <c r="D279">
        <v>4.601</v>
      </c>
      <c r="E279">
        <v>4.4980000000000002</v>
      </c>
      <c r="F279" s="2">
        <v>-1.7999999999999999E-2</v>
      </c>
    </row>
    <row r="280" spans="1:6" x14ac:dyDescent="0.4">
      <c r="A280" s="1">
        <v>45685</v>
      </c>
      <c r="B280">
        <v>4.5330000000000004</v>
      </c>
      <c r="C280">
        <v>4.5439999999999996</v>
      </c>
      <c r="D280">
        <v>4.5789999999999997</v>
      </c>
      <c r="E280">
        <v>4.532</v>
      </c>
      <c r="F280" s="2">
        <v>0</v>
      </c>
    </row>
    <row r="281" spans="1:6" x14ac:dyDescent="0.4">
      <c r="A281" s="1">
        <v>45686</v>
      </c>
      <c r="B281">
        <v>4.5330000000000004</v>
      </c>
      <c r="C281">
        <v>4.532</v>
      </c>
      <c r="D281">
        <v>4.593</v>
      </c>
      <c r="E281">
        <v>4.51</v>
      </c>
      <c r="F281" s="2">
        <v>0</v>
      </c>
    </row>
    <row r="282" spans="1:6" x14ac:dyDescent="0.4">
      <c r="A282" s="1">
        <v>45687</v>
      </c>
      <c r="B282">
        <v>4.5190000000000001</v>
      </c>
      <c r="C282">
        <v>4.5380000000000003</v>
      </c>
      <c r="D282">
        <v>4.5439999999999996</v>
      </c>
      <c r="E282">
        <v>4.4859999999999998</v>
      </c>
      <c r="F282" s="2">
        <v>-3.0999999999999999E-3</v>
      </c>
    </row>
    <row r="283" spans="1:6" x14ac:dyDescent="0.4">
      <c r="A283" s="1">
        <v>45688</v>
      </c>
      <c r="B283">
        <v>4.5419999999999998</v>
      </c>
      <c r="C283">
        <v>4.524</v>
      </c>
      <c r="D283">
        <v>4.5830000000000002</v>
      </c>
      <c r="E283">
        <v>4.5</v>
      </c>
      <c r="F283" s="2">
        <v>5.0000000000000001E-3</v>
      </c>
    </row>
    <row r="284" spans="1:6" x14ac:dyDescent="0.4">
      <c r="A284" s="1">
        <v>45691</v>
      </c>
      <c r="B284">
        <v>4.5510000000000002</v>
      </c>
      <c r="C284">
        <v>4.5629999999999997</v>
      </c>
      <c r="D284">
        <v>4.5670000000000002</v>
      </c>
      <c r="E284">
        <v>4.4619999999999997</v>
      </c>
      <c r="F284" s="2">
        <v>2E-3</v>
      </c>
    </row>
    <row r="285" spans="1:6" x14ac:dyDescent="0.4">
      <c r="A285" s="1">
        <v>45692</v>
      </c>
      <c r="B285">
        <v>4.5119999999999996</v>
      </c>
      <c r="C285">
        <v>4.5629999999999997</v>
      </c>
      <c r="D285">
        <v>4.5979999999999999</v>
      </c>
      <c r="E285">
        <v>4.5090000000000003</v>
      </c>
      <c r="F285" s="2">
        <v>-8.6999999999999994E-3</v>
      </c>
    </row>
    <row r="286" spans="1:6" x14ac:dyDescent="0.4">
      <c r="A286" s="1">
        <v>45693</v>
      </c>
      <c r="B286">
        <v>4.423</v>
      </c>
      <c r="C286">
        <v>4.5250000000000004</v>
      </c>
      <c r="D286">
        <v>4.5289999999999999</v>
      </c>
      <c r="E286">
        <v>4.4000000000000004</v>
      </c>
      <c r="F286" s="2">
        <v>-1.9599999999999999E-2</v>
      </c>
    </row>
    <row r="287" spans="1:6" x14ac:dyDescent="0.4">
      <c r="A287" s="1">
        <v>45694</v>
      </c>
      <c r="B287">
        <v>4.4349999999999996</v>
      </c>
      <c r="C287">
        <v>4.4240000000000004</v>
      </c>
      <c r="D287">
        <v>4.46</v>
      </c>
      <c r="E287">
        <v>4.4119999999999999</v>
      </c>
      <c r="F287" s="2">
        <v>2.7000000000000001E-3</v>
      </c>
    </row>
    <row r="288" spans="1:6" x14ac:dyDescent="0.4">
      <c r="A288" s="1">
        <v>45695</v>
      </c>
      <c r="B288">
        <v>4.4939999999999998</v>
      </c>
      <c r="C288">
        <v>4.4320000000000004</v>
      </c>
      <c r="D288">
        <v>4.5149999999999997</v>
      </c>
      <c r="E288">
        <v>4.4279999999999999</v>
      </c>
      <c r="F288" s="2">
        <v>1.32E-2</v>
      </c>
    </row>
    <row r="289" spans="1:6" x14ac:dyDescent="0.4">
      <c r="A289" s="1">
        <v>45698</v>
      </c>
      <c r="B289">
        <v>4.5</v>
      </c>
      <c r="C289">
        <v>4.4889999999999999</v>
      </c>
      <c r="D289">
        <v>4.5090000000000003</v>
      </c>
      <c r="E289">
        <v>4.4580000000000002</v>
      </c>
      <c r="F289" s="2">
        <v>1.4E-3</v>
      </c>
    </row>
    <row r="290" spans="1:6" x14ac:dyDescent="0.4">
      <c r="A290" s="1">
        <v>45699</v>
      </c>
      <c r="B290">
        <v>4.5359999999999996</v>
      </c>
      <c r="C290">
        <v>4.5129999999999999</v>
      </c>
      <c r="D290">
        <v>4.5469999999999997</v>
      </c>
      <c r="E290">
        <v>4.5069999999999997</v>
      </c>
      <c r="F290" s="2">
        <v>8.0999999999999996E-3</v>
      </c>
    </row>
    <row r="291" spans="1:6" x14ac:dyDescent="0.4">
      <c r="A291" s="1">
        <v>45700</v>
      </c>
      <c r="B291">
        <v>4.625</v>
      </c>
      <c r="C291">
        <v>4.5410000000000004</v>
      </c>
      <c r="D291">
        <v>4.66</v>
      </c>
      <c r="E291">
        <v>4.5270000000000001</v>
      </c>
      <c r="F291" s="2">
        <v>1.95E-2</v>
      </c>
    </row>
    <row r="292" spans="1:6" x14ac:dyDescent="0.4">
      <c r="A292" s="1">
        <v>45701</v>
      </c>
      <c r="B292">
        <v>4.532</v>
      </c>
      <c r="C292">
        <v>4.6189999999999998</v>
      </c>
      <c r="D292">
        <v>4.6210000000000004</v>
      </c>
      <c r="E292">
        <v>4.5149999999999997</v>
      </c>
      <c r="F292" s="2">
        <v>-2.01E-2</v>
      </c>
    </row>
    <row r="293" spans="1:6" x14ac:dyDescent="0.4">
      <c r="A293" s="1">
        <v>45702</v>
      </c>
      <c r="B293">
        <v>4.4770000000000003</v>
      </c>
      <c r="C293">
        <v>4.5389999999999997</v>
      </c>
      <c r="D293">
        <v>4.5460000000000003</v>
      </c>
      <c r="E293">
        <v>4.4470000000000001</v>
      </c>
      <c r="F293" s="2">
        <v>-1.2E-2</v>
      </c>
    </row>
    <row r="294" spans="1:6" x14ac:dyDescent="0.4">
      <c r="A294" s="1">
        <v>45706</v>
      </c>
      <c r="B294">
        <v>4.5510000000000002</v>
      </c>
      <c r="C294">
        <v>4.492</v>
      </c>
      <c r="D294">
        <v>4.5599999999999996</v>
      </c>
      <c r="E294">
        <v>4.4880000000000004</v>
      </c>
      <c r="F294" s="2">
        <v>1.66E-2</v>
      </c>
    </row>
    <row r="295" spans="1:6" x14ac:dyDescent="0.4">
      <c r="A295" s="1">
        <v>45707</v>
      </c>
      <c r="B295">
        <v>4.5339999999999998</v>
      </c>
      <c r="C295">
        <v>4.5540000000000003</v>
      </c>
      <c r="D295">
        <v>4.5759999999999996</v>
      </c>
      <c r="E295">
        <v>4.5289999999999999</v>
      </c>
      <c r="F295" s="2">
        <v>-3.8999999999999998E-3</v>
      </c>
    </row>
    <row r="296" spans="1:6" x14ac:dyDescent="0.4">
      <c r="A296" s="1">
        <v>45708</v>
      </c>
      <c r="B296">
        <v>4.5060000000000002</v>
      </c>
      <c r="C296">
        <v>4.5350000000000001</v>
      </c>
      <c r="D296">
        <v>4.5350000000000001</v>
      </c>
      <c r="E296">
        <v>4.492</v>
      </c>
      <c r="F296" s="2">
        <v>-6.0000000000000001E-3</v>
      </c>
    </row>
    <row r="297" spans="1:6" x14ac:dyDescent="0.4">
      <c r="A297" s="1">
        <v>45709</v>
      </c>
      <c r="B297">
        <v>4.43</v>
      </c>
      <c r="C297">
        <v>4.5069999999999997</v>
      </c>
      <c r="D297">
        <v>4.5110000000000001</v>
      </c>
      <c r="E297">
        <v>4.4059999999999997</v>
      </c>
      <c r="F297" s="2">
        <v>-1.6799999999999999E-2</v>
      </c>
    </row>
    <row r="298" spans="1:6" x14ac:dyDescent="0.4">
      <c r="A298" s="1">
        <v>45712</v>
      </c>
      <c r="B298">
        <v>4.399</v>
      </c>
      <c r="C298">
        <v>4.4409999999999998</v>
      </c>
      <c r="D298">
        <v>4.4569999999999999</v>
      </c>
      <c r="E298">
        <v>4.3890000000000002</v>
      </c>
      <c r="F298" s="2">
        <v>-7.0000000000000001E-3</v>
      </c>
    </row>
    <row r="299" spans="1:6" x14ac:dyDescent="0.4">
      <c r="A299" s="1">
        <v>45713</v>
      </c>
      <c r="B299">
        <v>4.2969999999999997</v>
      </c>
      <c r="C299">
        <v>4.3959999999999999</v>
      </c>
      <c r="D299">
        <v>4.3979999999999997</v>
      </c>
      <c r="E299">
        <v>4.2830000000000004</v>
      </c>
      <c r="F299" s="2">
        <v>-2.3199999999999998E-2</v>
      </c>
    </row>
    <row r="300" spans="1:6" x14ac:dyDescent="0.4">
      <c r="A300" s="1">
        <v>45714</v>
      </c>
      <c r="B300">
        <v>4.2539999999999996</v>
      </c>
      <c r="C300">
        <v>4.2930000000000001</v>
      </c>
      <c r="D300">
        <v>4.3390000000000004</v>
      </c>
      <c r="E300">
        <v>4.2450000000000001</v>
      </c>
      <c r="F300" s="2">
        <v>-0.01</v>
      </c>
    </row>
    <row r="301" spans="1:6" x14ac:dyDescent="0.4">
      <c r="A301" s="1">
        <v>45715</v>
      </c>
      <c r="B301">
        <v>4.2649999999999997</v>
      </c>
      <c r="C301">
        <v>4.2699999999999996</v>
      </c>
      <c r="D301">
        <v>4.3129999999999997</v>
      </c>
      <c r="E301">
        <v>4.2619999999999996</v>
      </c>
      <c r="F301" s="2">
        <v>2.3999999999999998E-3</v>
      </c>
    </row>
    <row r="302" spans="1:6" x14ac:dyDescent="0.4">
      <c r="A302" s="1">
        <v>45716</v>
      </c>
      <c r="B302">
        <v>4.202</v>
      </c>
      <c r="C302">
        <v>4.2640000000000002</v>
      </c>
      <c r="D302">
        <v>4.2770000000000001</v>
      </c>
      <c r="E302">
        <v>4.1929999999999996</v>
      </c>
      <c r="F302" s="2">
        <v>-1.4800000000000001E-2</v>
      </c>
    </row>
    <row r="303" spans="1:6" x14ac:dyDescent="0.4">
      <c r="A303" s="1">
        <v>45719</v>
      </c>
      <c r="B303">
        <v>4.1580000000000004</v>
      </c>
      <c r="C303">
        <v>4.2439999999999998</v>
      </c>
      <c r="D303">
        <v>4.2629999999999999</v>
      </c>
      <c r="E303">
        <v>4.1459999999999999</v>
      </c>
      <c r="F303" s="2">
        <v>-1.04E-2</v>
      </c>
    </row>
    <row r="304" spans="1:6" x14ac:dyDescent="0.4">
      <c r="A304" s="1">
        <v>45720</v>
      </c>
      <c r="B304">
        <v>4.2409999999999997</v>
      </c>
      <c r="C304">
        <v>4.1420000000000003</v>
      </c>
      <c r="D304">
        <v>4.2519999999999998</v>
      </c>
      <c r="E304">
        <v>4.1059999999999999</v>
      </c>
      <c r="F304" s="2">
        <v>2.01E-2</v>
      </c>
    </row>
    <row r="305" spans="1:6" x14ac:dyDescent="0.4">
      <c r="A305" s="1">
        <v>45721</v>
      </c>
      <c r="B305">
        <v>4.2789999999999999</v>
      </c>
      <c r="C305">
        <v>4.2389999999999999</v>
      </c>
      <c r="D305">
        <v>4.2939999999999996</v>
      </c>
      <c r="E305">
        <v>4.1849999999999996</v>
      </c>
      <c r="F305" s="2">
        <v>8.9999999999999993E-3</v>
      </c>
    </row>
    <row r="306" spans="1:6" x14ac:dyDescent="0.4">
      <c r="A306" s="1">
        <v>45722</v>
      </c>
      <c r="B306">
        <v>4.2789999999999999</v>
      </c>
      <c r="C306">
        <v>4.2939999999999996</v>
      </c>
      <c r="D306">
        <v>4.3440000000000003</v>
      </c>
      <c r="E306">
        <v>4.2670000000000003</v>
      </c>
      <c r="F306" s="2">
        <v>0</v>
      </c>
    </row>
    <row r="307" spans="1:6" x14ac:dyDescent="0.4">
      <c r="A307" s="1">
        <v>45723</v>
      </c>
      <c r="B307">
        <v>4.3040000000000003</v>
      </c>
      <c r="C307">
        <v>4.28</v>
      </c>
      <c r="D307">
        <v>4.3280000000000003</v>
      </c>
      <c r="E307">
        <v>4.2089999999999996</v>
      </c>
      <c r="F307" s="2">
        <v>5.7999999999999996E-3</v>
      </c>
    </row>
    <row r="308" spans="1:6" x14ac:dyDescent="0.4">
      <c r="A308" s="1">
        <v>45726</v>
      </c>
      <c r="B308">
        <v>4.218</v>
      </c>
      <c r="C308">
        <v>4.2629999999999999</v>
      </c>
      <c r="D308">
        <v>4.2969999999999997</v>
      </c>
      <c r="E308">
        <v>4.1980000000000004</v>
      </c>
      <c r="F308" s="2">
        <v>-0.02</v>
      </c>
    </row>
    <row r="309" spans="1:6" x14ac:dyDescent="0.4">
      <c r="A309" s="1">
        <v>45727</v>
      </c>
      <c r="B309">
        <v>4.2809999999999997</v>
      </c>
      <c r="C309">
        <v>4.202</v>
      </c>
      <c r="D309">
        <v>4.2949999999999999</v>
      </c>
      <c r="E309">
        <v>4.1520000000000001</v>
      </c>
      <c r="F309" s="2">
        <v>1.49E-2</v>
      </c>
    </row>
    <row r="310" spans="1:6" x14ac:dyDescent="0.4">
      <c r="A310" s="1">
        <v>45728</v>
      </c>
      <c r="B310">
        <v>4.3150000000000004</v>
      </c>
      <c r="C310">
        <v>4.282</v>
      </c>
      <c r="D310">
        <v>4.3319999999999999</v>
      </c>
      <c r="E310">
        <v>4.2510000000000003</v>
      </c>
      <c r="F310" s="2">
        <v>8.0000000000000002E-3</v>
      </c>
    </row>
    <row r="311" spans="1:6" x14ac:dyDescent="0.4">
      <c r="A311" s="1">
        <v>45729</v>
      </c>
      <c r="B311">
        <v>4.2690000000000001</v>
      </c>
      <c r="C311">
        <v>4.3179999999999996</v>
      </c>
      <c r="D311">
        <v>4.3529999999999998</v>
      </c>
      <c r="E311">
        <v>4.2590000000000003</v>
      </c>
      <c r="F311" s="2">
        <v>-1.0699999999999999E-2</v>
      </c>
    </row>
    <row r="312" spans="1:6" x14ac:dyDescent="0.4">
      <c r="A312" s="1">
        <v>45730</v>
      </c>
      <c r="B312">
        <v>4.3179999999999996</v>
      </c>
      <c r="C312">
        <v>4.28</v>
      </c>
      <c r="D312">
        <v>4.3239999999999998</v>
      </c>
      <c r="E312">
        <v>4.274</v>
      </c>
      <c r="F312" s="2">
        <v>1.14E-2</v>
      </c>
    </row>
    <row r="313" spans="1:6" x14ac:dyDescent="0.4">
      <c r="A313" s="1">
        <v>45733</v>
      </c>
      <c r="B313">
        <v>4.298</v>
      </c>
      <c r="C313">
        <v>4.2889999999999997</v>
      </c>
      <c r="D313">
        <v>4.3310000000000004</v>
      </c>
      <c r="E313">
        <v>4.258</v>
      </c>
      <c r="F313" s="2">
        <v>-4.7000000000000002E-3</v>
      </c>
    </row>
    <row r="314" spans="1:6" x14ac:dyDescent="0.4">
      <c r="A314" s="1">
        <v>45734</v>
      </c>
      <c r="B314">
        <v>4.2830000000000004</v>
      </c>
      <c r="C314">
        <v>4.2990000000000004</v>
      </c>
      <c r="D314">
        <v>4.3390000000000004</v>
      </c>
      <c r="E314">
        <v>4.266</v>
      </c>
      <c r="F314" s="2">
        <v>-3.3999999999999998E-3</v>
      </c>
    </row>
    <row r="315" spans="1:6" x14ac:dyDescent="0.4">
      <c r="A315" s="1">
        <v>45735</v>
      </c>
      <c r="B315">
        <v>4.2460000000000004</v>
      </c>
      <c r="C315">
        <v>4.2930000000000001</v>
      </c>
      <c r="D315">
        <v>4.3230000000000004</v>
      </c>
      <c r="E315">
        <v>4.2409999999999997</v>
      </c>
      <c r="F315" s="2">
        <v>-8.6999999999999994E-3</v>
      </c>
    </row>
    <row r="316" spans="1:6" x14ac:dyDescent="0.4">
      <c r="A316" s="1">
        <v>45736</v>
      </c>
      <c r="B316">
        <v>4.24</v>
      </c>
      <c r="C316">
        <v>4.2370000000000001</v>
      </c>
      <c r="D316">
        <v>4.25</v>
      </c>
      <c r="E316">
        <v>4.1740000000000004</v>
      </c>
      <c r="F316" s="2">
        <v>-1.4E-3</v>
      </c>
    </row>
    <row r="317" spans="1:6" x14ac:dyDescent="0.4">
      <c r="A317" s="1">
        <v>45737</v>
      </c>
      <c r="B317">
        <v>4.2489999999999997</v>
      </c>
      <c r="C317">
        <v>4.2350000000000003</v>
      </c>
      <c r="D317">
        <v>4.2560000000000002</v>
      </c>
      <c r="E317">
        <v>4.2</v>
      </c>
      <c r="F317" s="2">
        <v>2.2000000000000001E-3</v>
      </c>
    </row>
    <row r="318" spans="1:6" x14ac:dyDescent="0.4">
      <c r="A318" s="1">
        <v>45740</v>
      </c>
      <c r="B318">
        <v>4.3380000000000001</v>
      </c>
      <c r="C318">
        <v>4.2709999999999999</v>
      </c>
      <c r="D318">
        <v>4.34</v>
      </c>
      <c r="E318">
        <v>4.2670000000000003</v>
      </c>
      <c r="F318" s="2">
        <v>2.0799999999999999E-2</v>
      </c>
    </row>
    <row r="319" spans="1:6" x14ac:dyDescent="0.4">
      <c r="A319" s="1">
        <v>45741</v>
      </c>
      <c r="B319">
        <v>4.3159999999999998</v>
      </c>
      <c r="C319">
        <v>4.335</v>
      </c>
      <c r="D319">
        <v>4.3689999999999998</v>
      </c>
      <c r="E319">
        <v>4.298</v>
      </c>
      <c r="F319" s="2">
        <v>-4.8999999999999998E-3</v>
      </c>
    </row>
    <row r="320" spans="1:6" x14ac:dyDescent="0.4">
      <c r="A320" s="1">
        <v>45742</v>
      </c>
      <c r="B320">
        <v>4.3529999999999998</v>
      </c>
      <c r="C320">
        <v>4.327</v>
      </c>
      <c r="D320">
        <v>4.3609999999999998</v>
      </c>
      <c r="E320">
        <v>4.3150000000000004</v>
      </c>
      <c r="F320" s="2">
        <v>8.5000000000000006E-3</v>
      </c>
    </row>
    <row r="321" spans="1:6" x14ac:dyDescent="0.4">
      <c r="A321" s="1">
        <v>45743</v>
      </c>
      <c r="B321">
        <v>4.3600000000000003</v>
      </c>
      <c r="C321">
        <v>4.3380000000000001</v>
      </c>
      <c r="D321">
        <v>4.4000000000000004</v>
      </c>
      <c r="E321">
        <v>4.3380000000000001</v>
      </c>
      <c r="F321" s="2">
        <v>1.8E-3</v>
      </c>
    </row>
    <row r="322" spans="1:6" x14ac:dyDescent="0.4">
      <c r="A322" s="1">
        <v>45744</v>
      </c>
      <c r="B322">
        <v>4.2510000000000003</v>
      </c>
      <c r="C322">
        <v>4.3609999999999998</v>
      </c>
      <c r="D322">
        <v>4.3609999999999998</v>
      </c>
      <c r="E322">
        <v>4.2469999999999999</v>
      </c>
      <c r="F322" s="2">
        <v>-2.5000000000000001E-2</v>
      </c>
    </row>
    <row r="323" spans="1:6" x14ac:dyDescent="0.4">
      <c r="A323" s="1">
        <v>45747</v>
      </c>
      <c r="B323">
        <v>4.21</v>
      </c>
      <c r="C323">
        <v>4.2169999999999996</v>
      </c>
      <c r="D323">
        <v>4.2590000000000003</v>
      </c>
      <c r="E323">
        <v>4.1840000000000002</v>
      </c>
      <c r="F323" s="2">
        <v>-9.7000000000000003E-3</v>
      </c>
    </row>
    <row r="324" spans="1:6" x14ac:dyDescent="0.4">
      <c r="A324" s="1">
        <v>45748</v>
      </c>
      <c r="B324">
        <v>4.16</v>
      </c>
      <c r="C324">
        <v>4.2110000000000003</v>
      </c>
      <c r="D324">
        <v>4.2169999999999996</v>
      </c>
      <c r="E324">
        <v>4.133</v>
      </c>
      <c r="F324" s="2">
        <v>-1.18E-2</v>
      </c>
    </row>
    <row r="325" spans="1:6" x14ac:dyDescent="0.4">
      <c r="A325" s="1">
        <v>45749</v>
      </c>
      <c r="B325">
        <v>4.125</v>
      </c>
      <c r="C325">
        <v>4.1989999999999998</v>
      </c>
      <c r="D325">
        <v>4.2359999999999998</v>
      </c>
      <c r="E325">
        <v>4.1100000000000003</v>
      </c>
      <c r="F325" s="2">
        <v>-8.5000000000000006E-3</v>
      </c>
    </row>
    <row r="326" spans="1:6" x14ac:dyDescent="0.4">
      <c r="A326" s="1">
        <v>45750</v>
      </c>
      <c r="B326">
        <v>4.0359999999999996</v>
      </c>
      <c r="C326">
        <v>4.0439999999999996</v>
      </c>
      <c r="D326">
        <v>4.0999999999999996</v>
      </c>
      <c r="E326">
        <v>4.0039999999999996</v>
      </c>
      <c r="F326" s="2">
        <v>-2.1600000000000001E-2</v>
      </c>
    </row>
    <row r="327" spans="1:6" x14ac:dyDescent="0.4">
      <c r="A327" s="1">
        <v>45751</v>
      </c>
      <c r="B327">
        <v>3.9990000000000001</v>
      </c>
      <c r="C327">
        <v>4.0439999999999996</v>
      </c>
      <c r="D327">
        <v>4.0490000000000004</v>
      </c>
      <c r="E327">
        <v>3.86</v>
      </c>
      <c r="F327" s="2">
        <v>-9.1999999999999998E-3</v>
      </c>
    </row>
    <row r="328" spans="1:6" x14ac:dyDescent="0.4">
      <c r="A328" s="1">
        <v>45754</v>
      </c>
      <c r="B328">
        <v>4.2009999999999996</v>
      </c>
      <c r="C328">
        <v>3.8860000000000001</v>
      </c>
      <c r="D328">
        <v>4.226</v>
      </c>
      <c r="E328">
        <v>3.8730000000000002</v>
      </c>
      <c r="F328" s="2">
        <v>5.04E-2</v>
      </c>
    </row>
    <row r="329" spans="1:6" x14ac:dyDescent="0.4">
      <c r="A329" s="1">
        <v>45755</v>
      </c>
      <c r="B329">
        <v>4.2889999999999997</v>
      </c>
      <c r="C329">
        <v>4.1870000000000003</v>
      </c>
      <c r="D329">
        <v>4.2969999999999997</v>
      </c>
      <c r="E329">
        <v>4.1260000000000003</v>
      </c>
      <c r="F329" s="2">
        <v>2.1000000000000001E-2</v>
      </c>
    </row>
    <row r="330" spans="1:6" x14ac:dyDescent="0.4">
      <c r="A330" s="1">
        <v>45756</v>
      </c>
      <c r="B330">
        <v>4.3250000000000002</v>
      </c>
      <c r="C330">
        <v>4.3099999999999996</v>
      </c>
      <c r="D330">
        <v>4.5149999999999997</v>
      </c>
      <c r="E330">
        <v>4.2990000000000004</v>
      </c>
      <c r="F330" s="2">
        <v>8.3000000000000001E-3</v>
      </c>
    </row>
    <row r="331" spans="1:6" x14ac:dyDescent="0.4">
      <c r="A331" s="1">
        <v>45757</v>
      </c>
      <c r="B331">
        <v>4.4240000000000004</v>
      </c>
      <c r="C331">
        <v>4.3120000000000003</v>
      </c>
      <c r="D331">
        <v>4.431</v>
      </c>
      <c r="E331">
        <v>4.26</v>
      </c>
      <c r="F331" s="2">
        <v>2.29E-2</v>
      </c>
    </row>
    <row r="332" spans="1:6" x14ac:dyDescent="0.4">
      <c r="A332" s="1">
        <v>45758</v>
      </c>
      <c r="B332">
        <v>4.4950000000000001</v>
      </c>
      <c r="C332">
        <v>4.4640000000000004</v>
      </c>
      <c r="D332">
        <v>4.5919999999999996</v>
      </c>
      <c r="E332">
        <v>4.3840000000000003</v>
      </c>
      <c r="F332" s="2">
        <v>1.6199999999999999E-2</v>
      </c>
    </row>
    <row r="333" spans="1:6" x14ac:dyDescent="0.4">
      <c r="A333" s="1">
        <v>45761</v>
      </c>
      <c r="B333">
        <v>4.383</v>
      </c>
      <c r="C333">
        <v>4.4820000000000002</v>
      </c>
      <c r="D333">
        <v>4.49</v>
      </c>
      <c r="E333">
        <v>4.3600000000000003</v>
      </c>
      <c r="F333" s="2">
        <v>-2.5100000000000001E-2</v>
      </c>
    </row>
    <row r="334" spans="1:6" x14ac:dyDescent="0.4">
      <c r="A334" s="1">
        <v>45762</v>
      </c>
      <c r="B334">
        <v>4.3390000000000004</v>
      </c>
      <c r="C334">
        <v>4.3739999999999997</v>
      </c>
      <c r="D334">
        <v>4.407</v>
      </c>
      <c r="E334">
        <v>4.306</v>
      </c>
      <c r="F334" s="2">
        <v>-0.01</v>
      </c>
    </row>
    <row r="335" spans="1:6" x14ac:dyDescent="0.4">
      <c r="A335" s="1">
        <v>45763</v>
      </c>
      <c r="B335">
        <v>4.28</v>
      </c>
      <c r="C335">
        <v>4.335</v>
      </c>
      <c r="D335">
        <v>4.3520000000000003</v>
      </c>
      <c r="E335">
        <v>4.2629999999999999</v>
      </c>
      <c r="F335" s="2">
        <v>-1.3599999999999999E-2</v>
      </c>
    </row>
    <row r="336" spans="1:6" x14ac:dyDescent="0.4">
      <c r="A336" s="1">
        <v>45764</v>
      </c>
      <c r="B336">
        <v>4.3319999999999999</v>
      </c>
      <c r="C336">
        <v>4.2880000000000003</v>
      </c>
      <c r="D336">
        <v>4.3440000000000003</v>
      </c>
      <c r="E336">
        <v>4.2779999999999996</v>
      </c>
      <c r="F336" s="2">
        <v>1.2200000000000001E-2</v>
      </c>
    </row>
    <row r="337" spans="1:6" x14ac:dyDescent="0.4">
      <c r="A337" s="1">
        <v>45768</v>
      </c>
      <c r="B337">
        <v>4.4160000000000004</v>
      </c>
      <c r="C337">
        <v>4.3390000000000004</v>
      </c>
      <c r="D337">
        <v>4.42</v>
      </c>
      <c r="E337">
        <v>4.3310000000000004</v>
      </c>
      <c r="F337" s="2">
        <v>1.9300000000000001E-2</v>
      </c>
    </row>
    <row r="338" spans="1:6" x14ac:dyDescent="0.4">
      <c r="A338" s="1">
        <v>45769</v>
      </c>
      <c r="B338">
        <v>4.4000000000000004</v>
      </c>
      <c r="C338">
        <v>4.4050000000000002</v>
      </c>
      <c r="D338">
        <v>4.4379999999999997</v>
      </c>
      <c r="E338">
        <v>4.3719999999999999</v>
      </c>
      <c r="F338" s="2">
        <v>-3.5999999999999999E-3</v>
      </c>
    </row>
    <row r="339" spans="1:6" x14ac:dyDescent="0.4">
      <c r="A339" s="1">
        <v>45770</v>
      </c>
      <c r="B339">
        <v>4.3840000000000003</v>
      </c>
      <c r="C339">
        <v>4.3719999999999999</v>
      </c>
      <c r="D339">
        <v>4.399</v>
      </c>
      <c r="E339">
        <v>4.2590000000000003</v>
      </c>
      <c r="F339" s="2">
        <v>-3.5999999999999999E-3</v>
      </c>
    </row>
    <row r="340" spans="1:6" x14ac:dyDescent="0.4">
      <c r="A340" s="1">
        <v>45771</v>
      </c>
      <c r="B340">
        <v>4.3140000000000001</v>
      </c>
      <c r="C340">
        <v>4.375</v>
      </c>
      <c r="D340">
        <v>4.375</v>
      </c>
      <c r="E340">
        <v>4.3029999999999999</v>
      </c>
      <c r="F340" s="2">
        <v>-1.6E-2</v>
      </c>
    </row>
    <row r="341" spans="1:6" x14ac:dyDescent="0.4">
      <c r="A341" s="1">
        <v>45772</v>
      </c>
      <c r="B341">
        <v>4.2539999999999996</v>
      </c>
      <c r="C341">
        <v>4.3209999999999997</v>
      </c>
      <c r="D341">
        <v>4.33</v>
      </c>
      <c r="E341">
        <v>4.2370000000000001</v>
      </c>
      <c r="F341" s="2">
        <v>-1.4E-2</v>
      </c>
    </row>
    <row r="342" spans="1:6" x14ac:dyDescent="0.4">
      <c r="A342" s="1">
        <v>45775</v>
      </c>
      <c r="B342">
        <v>4.2050000000000001</v>
      </c>
      <c r="C342">
        <v>4.2430000000000003</v>
      </c>
      <c r="D342">
        <v>4.2969999999999997</v>
      </c>
      <c r="E342">
        <v>4.202</v>
      </c>
      <c r="F342" s="2">
        <v>-1.14E-2</v>
      </c>
    </row>
    <row r="343" spans="1:6" x14ac:dyDescent="0.4">
      <c r="A343" s="1">
        <v>45776</v>
      </c>
      <c r="B343">
        <v>4.1710000000000003</v>
      </c>
      <c r="C343">
        <v>4.2140000000000004</v>
      </c>
      <c r="D343">
        <v>4.2469999999999999</v>
      </c>
      <c r="E343">
        <v>4.1639999999999997</v>
      </c>
      <c r="F343" s="2">
        <v>-8.3000000000000001E-3</v>
      </c>
    </row>
    <row r="344" spans="1:6" x14ac:dyDescent="0.4">
      <c r="A344" s="1">
        <v>45777</v>
      </c>
      <c r="B344">
        <v>4.1669999999999998</v>
      </c>
      <c r="C344">
        <v>4.16</v>
      </c>
      <c r="D344">
        <v>4.2290000000000001</v>
      </c>
      <c r="E344">
        <v>4.1349999999999998</v>
      </c>
      <c r="F344" s="2">
        <v>-8.9999999999999998E-4</v>
      </c>
    </row>
    <row r="345" spans="1:6" x14ac:dyDescent="0.4">
      <c r="A345" s="1">
        <v>45778</v>
      </c>
      <c r="B345">
        <v>4.2149999999999999</v>
      </c>
      <c r="C345">
        <v>4.1829999999999998</v>
      </c>
      <c r="D345">
        <v>4.2409999999999997</v>
      </c>
      <c r="E345">
        <v>4.1239999999999997</v>
      </c>
      <c r="F345" s="2">
        <v>1.15E-2</v>
      </c>
    </row>
    <row r="346" spans="1:6" x14ac:dyDescent="0.4">
      <c r="A346" s="1">
        <v>45779</v>
      </c>
      <c r="B346">
        <v>4.3070000000000004</v>
      </c>
      <c r="C346">
        <v>4.2080000000000002</v>
      </c>
      <c r="D346">
        <v>4.3319999999999999</v>
      </c>
      <c r="E346">
        <v>4.1959999999999997</v>
      </c>
      <c r="F346" s="2">
        <v>2.1999999999999999E-2</v>
      </c>
    </row>
    <row r="347" spans="1:6" x14ac:dyDescent="0.4">
      <c r="A347" s="1">
        <v>45782</v>
      </c>
      <c r="B347">
        <v>4.3479999999999999</v>
      </c>
      <c r="C347">
        <v>4.3220000000000001</v>
      </c>
      <c r="D347">
        <v>4.3710000000000004</v>
      </c>
      <c r="E347">
        <v>4.2889999999999997</v>
      </c>
      <c r="F347" s="2">
        <v>9.4999999999999998E-3</v>
      </c>
    </row>
    <row r="348" spans="1:6" x14ac:dyDescent="0.4">
      <c r="A348" s="1">
        <v>45783</v>
      </c>
      <c r="B348">
        <v>4.298</v>
      </c>
      <c r="C348">
        <v>4.3650000000000002</v>
      </c>
      <c r="D348">
        <v>4.3780000000000001</v>
      </c>
      <c r="E348">
        <v>4.2969999999999997</v>
      </c>
      <c r="F348" s="2">
        <v>-1.17E-2</v>
      </c>
    </row>
    <row r="349" spans="1:6" x14ac:dyDescent="0.4">
      <c r="A349" s="1">
        <v>45784</v>
      </c>
      <c r="B349">
        <v>4.2679999999999998</v>
      </c>
      <c r="C349">
        <v>4.3280000000000003</v>
      </c>
      <c r="D349">
        <v>4.335</v>
      </c>
      <c r="E349">
        <v>4.26</v>
      </c>
      <c r="F349" s="2">
        <v>-6.7999999999999996E-3</v>
      </c>
    </row>
    <row r="350" spans="1:6" x14ac:dyDescent="0.4">
      <c r="A350" s="1">
        <v>45785</v>
      </c>
      <c r="B350">
        <v>4.3819999999999997</v>
      </c>
      <c r="C350">
        <v>4.2880000000000003</v>
      </c>
      <c r="D350">
        <v>4.3979999999999997</v>
      </c>
      <c r="E350">
        <v>4.2789999999999999</v>
      </c>
      <c r="F350" s="2">
        <v>2.6599999999999999E-2</v>
      </c>
    </row>
    <row r="351" spans="1:6" x14ac:dyDescent="0.4">
      <c r="A351" s="1">
        <v>45786</v>
      </c>
      <c r="B351" s="20">
        <v>4.3810000000000002</v>
      </c>
      <c r="C351" s="13">
        <v>4.3780000000000001</v>
      </c>
      <c r="D351" s="13">
        <v>4.3979999999999997</v>
      </c>
      <c r="E351" s="13">
        <v>4.343</v>
      </c>
      <c r="F351" s="17">
        <v>5.0000000000000001E-4</v>
      </c>
    </row>
    <row r="352" spans="1:6" x14ac:dyDescent="0.4">
      <c r="A352" s="1">
        <v>45789</v>
      </c>
      <c r="B352" s="20">
        <v>4.46</v>
      </c>
      <c r="C352" s="13">
        <v>4.4020000000000001</v>
      </c>
      <c r="D352" s="13">
        <v>4.4690000000000003</v>
      </c>
      <c r="E352" s="13">
        <v>4.4020000000000001</v>
      </c>
      <c r="F352" s="17">
        <v>1.7899999999999999E-2</v>
      </c>
    </row>
    <row r="353" spans="1:6" x14ac:dyDescent="0.4">
      <c r="A353" s="1">
        <v>45790</v>
      </c>
      <c r="B353" s="9">
        <v>4.4800000000000004</v>
      </c>
      <c r="C353" s="7">
        <v>4.4749999999999996</v>
      </c>
      <c r="D353" s="7">
        <v>4.5060000000000002</v>
      </c>
      <c r="E353" s="7">
        <v>4.4240000000000004</v>
      </c>
      <c r="F353" s="10">
        <v>1.8E-3</v>
      </c>
    </row>
    <row r="354" spans="1:6" x14ac:dyDescent="0.4">
      <c r="A354" s="1">
        <v>45791</v>
      </c>
      <c r="B354" s="20">
        <v>4.5419999999999998</v>
      </c>
      <c r="C354" s="13">
        <v>4.4729999999999999</v>
      </c>
      <c r="D354" s="13">
        <v>4.55</v>
      </c>
      <c r="E354" s="13">
        <v>4.4480000000000004</v>
      </c>
      <c r="F354" s="17">
        <v>1.6199999999999999E-2</v>
      </c>
    </row>
    <row r="355" spans="1:6" x14ac:dyDescent="0.4">
      <c r="A355" s="1">
        <v>45792</v>
      </c>
      <c r="B355" s="12">
        <v>4.4379999999999997</v>
      </c>
      <c r="C355" s="13">
        <v>4.5350000000000001</v>
      </c>
      <c r="D355" s="13">
        <v>4.5419999999999998</v>
      </c>
      <c r="E355" s="13">
        <v>4.4359999999999999</v>
      </c>
      <c r="F355" s="23"/>
    </row>
    <row r="356" spans="1:6" x14ac:dyDescent="0.4">
      <c r="A356" s="1">
        <v>45793</v>
      </c>
      <c r="B356" s="20">
        <v>4.4429999999999996</v>
      </c>
      <c r="C356" s="13">
        <v>4.4429999999999996</v>
      </c>
      <c r="D356" s="13">
        <v>4.4989999999999997</v>
      </c>
      <c r="E356" s="13">
        <v>4.3879999999999999</v>
      </c>
    </row>
    <row r="357" spans="1:6" x14ac:dyDescent="0.4">
      <c r="A357" s="1">
        <v>45796</v>
      </c>
      <c r="B357" s="12">
        <v>4.4509999999999996</v>
      </c>
      <c r="C357" s="13">
        <v>4.5110000000000001</v>
      </c>
      <c r="D357" s="13">
        <v>4.5659999999999998</v>
      </c>
      <c r="E357" s="13">
        <v>4.4489999999999998</v>
      </c>
      <c r="F357" s="23"/>
    </row>
    <row r="358" spans="1:6" x14ac:dyDescent="0.4">
      <c r="A358" s="1">
        <v>45797</v>
      </c>
      <c r="B358" s="9">
        <v>4.4820000000000002</v>
      </c>
      <c r="C358" s="7">
        <v>4.46</v>
      </c>
      <c r="D358" s="7">
        <v>4.524</v>
      </c>
      <c r="E358" s="7">
        <v>4.4269999999999996</v>
      </c>
      <c r="F358" s="10">
        <v>7.7999999999999996E-3</v>
      </c>
    </row>
    <row r="359" spans="1:6" x14ac:dyDescent="0.4">
      <c r="A359" s="1">
        <v>45798</v>
      </c>
      <c r="B359" s="20">
        <v>4.5940000000000003</v>
      </c>
      <c r="C359" s="13">
        <v>4.5069999999999997</v>
      </c>
      <c r="D359" s="13">
        <v>4.6070000000000002</v>
      </c>
      <c r="E359" s="13">
        <v>4.4729999999999999</v>
      </c>
      <c r="F359" s="21"/>
    </row>
    <row r="360" spans="1:6" ht="15" customHeight="1" x14ac:dyDescent="0.4">
      <c r="A360" s="1">
        <v>45799</v>
      </c>
      <c r="B360" s="12">
        <v>4.5410000000000004</v>
      </c>
      <c r="C360" s="13">
        <v>4.585</v>
      </c>
      <c r="D360" s="13">
        <v>4.6289999999999996</v>
      </c>
      <c r="E360" s="13">
        <v>4.5350000000000001</v>
      </c>
      <c r="F360" s="14">
        <v>-1.1900000000000001E-2</v>
      </c>
    </row>
    <row r="361" spans="1:6" x14ac:dyDescent="0.4">
      <c r="A361" s="1">
        <v>45800</v>
      </c>
      <c r="B361" s="11">
        <v>4.5209999999999999</v>
      </c>
      <c r="C361" s="7">
        <v>4.53</v>
      </c>
      <c r="D361" s="7">
        <v>4.5439999999999996</v>
      </c>
      <c r="E361" s="7">
        <v>4.4450000000000003</v>
      </c>
      <c r="F361" s="22"/>
    </row>
    <row r="362" spans="1:6" x14ac:dyDescent="0.4">
      <c r="A362" s="1">
        <v>45804</v>
      </c>
      <c r="B362" s="12">
        <v>4.4450000000000003</v>
      </c>
      <c r="C362" s="13">
        <v>4.5069999999999997</v>
      </c>
      <c r="D362" s="13">
        <v>4.5090000000000003</v>
      </c>
      <c r="E362" s="13">
        <v>4.4279999999999999</v>
      </c>
      <c r="F362" s="23"/>
    </row>
    <row r="363" spans="1:6" x14ac:dyDescent="0.4">
      <c r="A363" s="1">
        <v>45805</v>
      </c>
      <c r="B363" s="20">
        <v>4.4740000000000002</v>
      </c>
      <c r="C363" s="13">
        <v>4.444</v>
      </c>
      <c r="D363" s="13">
        <v>4.5010000000000003</v>
      </c>
      <c r="E363" s="13">
        <v>4.4379999999999997</v>
      </c>
      <c r="F363" s="21"/>
    </row>
    <row r="364" spans="1:6" x14ac:dyDescent="0.4">
      <c r="A364" s="1">
        <v>45806</v>
      </c>
      <c r="B364" s="12">
        <v>4.4240000000000004</v>
      </c>
      <c r="C364" s="13">
        <v>4.5060000000000002</v>
      </c>
      <c r="D364" s="13">
        <v>4.5410000000000004</v>
      </c>
      <c r="E364" s="13">
        <v>4.4130000000000003</v>
      </c>
    </row>
    <row r="365" spans="1:6" x14ac:dyDescent="0.4">
      <c r="A365" s="1">
        <v>45807</v>
      </c>
      <c r="B365" s="12">
        <v>4.3970000000000002</v>
      </c>
      <c r="C365" s="13">
        <v>4.4260000000000002</v>
      </c>
      <c r="D365" s="13">
        <v>4.4420000000000002</v>
      </c>
      <c r="E365" s="13">
        <v>4.3869999999999996</v>
      </c>
      <c r="F365" s="23"/>
    </row>
    <row r="366" spans="1:6" x14ac:dyDescent="0.4">
      <c r="A366" s="1">
        <v>45810</v>
      </c>
      <c r="B366" s="20">
        <v>4.4390000000000001</v>
      </c>
      <c r="C366" s="13">
        <v>4.41</v>
      </c>
      <c r="D366" s="13">
        <v>4.4690000000000003</v>
      </c>
      <c r="E366" s="13">
        <v>4.4080000000000004</v>
      </c>
      <c r="F366" s="21"/>
    </row>
    <row r="367" spans="1:6" x14ac:dyDescent="0.4">
      <c r="A367" s="1">
        <v>45811</v>
      </c>
      <c r="B367" s="20">
        <v>4.45</v>
      </c>
      <c r="C367" s="13">
        <v>4.4340000000000002</v>
      </c>
      <c r="D367" s="13">
        <v>4.4740000000000002</v>
      </c>
      <c r="E367" s="13">
        <v>4.4039999999999999</v>
      </c>
      <c r="F367" s="21"/>
    </row>
    <row r="368" spans="1:6" x14ac:dyDescent="0.4">
      <c r="A368" s="1">
        <v>45812</v>
      </c>
      <c r="B368" s="12">
        <v>4.3559999999999999</v>
      </c>
      <c r="C368" s="13">
        <v>4.4489999999999998</v>
      </c>
      <c r="D368" s="13">
        <v>4.4710000000000001</v>
      </c>
      <c r="E368" s="13">
        <v>4.3449999999999998</v>
      </c>
      <c r="F368" s="23"/>
    </row>
    <row r="369" spans="1:6" x14ac:dyDescent="0.4">
      <c r="A369" s="1">
        <v>45813</v>
      </c>
      <c r="B369" s="20">
        <v>4.3890000000000002</v>
      </c>
      <c r="C369" s="13">
        <v>4.359</v>
      </c>
      <c r="D369" s="13">
        <v>4.4020000000000001</v>
      </c>
      <c r="E369" s="13">
        <v>4.3179999999999996</v>
      </c>
      <c r="F369" s="21"/>
    </row>
    <row r="370" spans="1:6" x14ac:dyDescent="0.4">
      <c r="A370" s="1">
        <v>45814</v>
      </c>
      <c r="B370" s="20">
        <v>4.5049999999999999</v>
      </c>
      <c r="C370" s="13">
        <v>4.3940000000000001</v>
      </c>
      <c r="D370" s="13">
        <v>4.5140000000000002</v>
      </c>
      <c r="E370" s="13">
        <v>4.375</v>
      </c>
      <c r="F370" s="21"/>
    </row>
    <row r="371" spans="1:6" x14ac:dyDescent="0.4">
      <c r="A371" s="1">
        <v>45817</v>
      </c>
      <c r="B371" s="12">
        <v>4.4829999999999997</v>
      </c>
      <c r="C371" s="13">
        <v>4.4960000000000004</v>
      </c>
      <c r="D371" s="13">
        <v>4.5209999999999999</v>
      </c>
      <c r="E371" s="13">
        <v>4.4710000000000001</v>
      </c>
      <c r="F371" s="23"/>
    </row>
    <row r="372" spans="1:6" x14ac:dyDescent="0.4">
      <c r="A372" s="1">
        <v>45818</v>
      </c>
      <c r="B372" s="11">
        <v>4.47</v>
      </c>
      <c r="C372" s="7">
        <v>4.4829999999999997</v>
      </c>
      <c r="D372" s="7">
        <v>4.492</v>
      </c>
      <c r="E372" s="7">
        <v>4.4359999999999999</v>
      </c>
      <c r="F372" s="22"/>
    </row>
    <row r="373" spans="1:6" x14ac:dyDescent="0.4">
      <c r="A373" s="1">
        <v>45819</v>
      </c>
      <c r="B373" s="12">
        <v>4.4219999999999997</v>
      </c>
      <c r="C373" s="13">
        <v>4.47</v>
      </c>
      <c r="D373" s="13">
        <v>4.5140000000000002</v>
      </c>
      <c r="E373" s="13">
        <v>4.4050000000000002</v>
      </c>
      <c r="F373" s="23"/>
    </row>
    <row r="374" spans="1:6" x14ac:dyDescent="0.4">
      <c r="A374" s="1">
        <v>45820</v>
      </c>
      <c r="B374" s="12">
        <v>4.3559999999999999</v>
      </c>
      <c r="C374" s="13">
        <v>4.4039999999999999</v>
      </c>
      <c r="D374" s="13">
        <v>4.42</v>
      </c>
      <c r="E374" s="13">
        <v>4.34</v>
      </c>
      <c r="F374" s="23"/>
    </row>
    <row r="375" spans="1:6" x14ac:dyDescent="0.4">
      <c r="A375" s="1">
        <v>45821</v>
      </c>
      <c r="B375" s="9">
        <v>4.4059999999999997</v>
      </c>
      <c r="C375" s="7">
        <v>4.32</v>
      </c>
      <c r="D375" s="7">
        <v>4.4480000000000004</v>
      </c>
      <c r="E375" s="7">
        <v>4.3099999999999996</v>
      </c>
      <c r="F375" s="26"/>
    </row>
    <row r="376" spans="1:6" x14ac:dyDescent="0.4">
      <c r="A376" s="1">
        <v>45824</v>
      </c>
      <c r="B376" s="20">
        <v>4.4539999999999997</v>
      </c>
      <c r="C376" s="13">
        <v>4.4279999999999999</v>
      </c>
      <c r="D376" s="13">
        <v>4.4619999999999997</v>
      </c>
      <c r="E376" s="13">
        <v>4.399</v>
      </c>
    </row>
    <row r="377" spans="1:6" x14ac:dyDescent="0.4">
      <c r="A377" s="1">
        <v>45825</v>
      </c>
      <c r="B377" s="12">
        <v>4.3899999999999997</v>
      </c>
      <c r="C377" s="13">
        <v>4.4279999999999999</v>
      </c>
      <c r="D377" s="13">
        <v>4.4450000000000003</v>
      </c>
      <c r="E377" s="13">
        <v>4.3789999999999996</v>
      </c>
      <c r="F377" s="23"/>
    </row>
    <row r="378" spans="1:6" x14ac:dyDescent="0.4">
      <c r="A378" s="1">
        <v>45826</v>
      </c>
      <c r="B378" s="20">
        <v>4.3920000000000003</v>
      </c>
      <c r="C378" s="13">
        <v>4.4029999999999996</v>
      </c>
      <c r="D378" s="13">
        <v>4.4119999999999999</v>
      </c>
      <c r="E378" s="13">
        <v>4.335</v>
      </c>
      <c r="F378" s="21"/>
    </row>
    <row r="379" spans="1:6" x14ac:dyDescent="0.4">
      <c r="A379" s="1">
        <v>45828</v>
      </c>
      <c r="B379" s="12">
        <v>4.3780000000000001</v>
      </c>
      <c r="C379" s="13">
        <v>4.3879999999999999</v>
      </c>
      <c r="D379" s="13">
        <v>4.444</v>
      </c>
      <c r="E379" s="13">
        <v>4.3579999999999997</v>
      </c>
      <c r="F379" s="23"/>
    </row>
    <row r="380" spans="1:6" x14ac:dyDescent="0.4">
      <c r="A380" s="1">
        <v>45831</v>
      </c>
      <c r="B380" s="12">
        <v>4.3410000000000002</v>
      </c>
      <c r="C380" s="13">
        <v>4.3970000000000002</v>
      </c>
      <c r="D380" s="13">
        <v>4.4080000000000004</v>
      </c>
      <c r="E380" s="13">
        <v>4.2880000000000003</v>
      </c>
      <c r="F380" s="23"/>
    </row>
    <row r="381" spans="1:6" x14ac:dyDescent="0.4">
      <c r="A381" s="1">
        <v>45832</v>
      </c>
      <c r="B381" s="12">
        <v>4.2960000000000003</v>
      </c>
      <c r="C381" s="13">
        <v>4.343</v>
      </c>
      <c r="D381" s="13">
        <v>4.37</v>
      </c>
      <c r="E381" s="13">
        <v>4.2830000000000004</v>
      </c>
      <c r="F381" s="23"/>
    </row>
    <row r="382" spans="1:6" x14ac:dyDescent="0.4">
      <c r="A382" s="1">
        <v>45833</v>
      </c>
      <c r="B382" s="12">
        <v>4.2850000000000001</v>
      </c>
      <c r="C382" s="13">
        <v>4.3010000000000002</v>
      </c>
      <c r="D382" s="13">
        <v>4.3369999999999997</v>
      </c>
      <c r="E382" s="13">
        <v>4.274</v>
      </c>
      <c r="F382" s="23"/>
    </row>
    <row r="383" spans="1:6" x14ac:dyDescent="0.4">
      <c r="A383" s="1">
        <v>45834</v>
      </c>
      <c r="B383" s="12">
        <v>4.2469999999999999</v>
      </c>
      <c r="C383" s="13">
        <v>4.274</v>
      </c>
      <c r="D383" s="13">
        <v>4.2939999999999996</v>
      </c>
      <c r="E383" s="13">
        <v>4.2380000000000004</v>
      </c>
      <c r="F383" s="23"/>
    </row>
    <row r="384" spans="1:6" x14ac:dyDescent="0.4">
      <c r="A384" s="1">
        <v>45835</v>
      </c>
      <c r="B384" s="20">
        <v>4.28</v>
      </c>
      <c r="C384" s="13">
        <v>4.258</v>
      </c>
      <c r="D384" s="13">
        <v>4.2919999999999998</v>
      </c>
      <c r="E384" s="13">
        <v>4.2380000000000004</v>
      </c>
      <c r="F384" s="21"/>
    </row>
    <row r="385" spans="1:6" x14ac:dyDescent="0.4">
      <c r="A385" s="1">
        <v>45838</v>
      </c>
      <c r="B385" s="12">
        <v>4.2309999999999999</v>
      </c>
      <c r="C385" s="13">
        <v>4.2889999999999997</v>
      </c>
      <c r="D385" s="13">
        <v>4.29</v>
      </c>
      <c r="E385" s="13">
        <v>4.218</v>
      </c>
      <c r="F385" s="23"/>
    </row>
    <row r="386" spans="1:6" x14ac:dyDescent="0.4">
      <c r="A386" s="1">
        <v>45839</v>
      </c>
      <c r="B386" s="20">
        <v>4.25</v>
      </c>
      <c r="C386" s="13">
        <v>4.2089999999999996</v>
      </c>
      <c r="D386" s="13">
        <v>4.2809999999999997</v>
      </c>
      <c r="E386" s="13">
        <v>4.1849999999999996</v>
      </c>
      <c r="F386" s="21"/>
    </row>
    <row r="387" spans="1:6" x14ac:dyDescent="0.4">
      <c r="A387" s="1">
        <v>45840</v>
      </c>
      <c r="B387" s="9">
        <v>4.2850000000000001</v>
      </c>
      <c r="C387" s="7">
        <v>4.2380000000000004</v>
      </c>
      <c r="D387" s="7">
        <v>4.3099999999999996</v>
      </c>
      <c r="E387" s="7">
        <v>4.2430000000000003</v>
      </c>
      <c r="F387" s="26"/>
    </row>
    <row r="388" spans="1:6" x14ac:dyDescent="0.4">
      <c r="A388" s="1">
        <v>45841</v>
      </c>
      <c r="B388" s="20">
        <v>4.3369999999999997</v>
      </c>
      <c r="C388" s="13">
        <v>4.2629999999999999</v>
      </c>
      <c r="D388" s="13">
        <v>4.3819999999999997</v>
      </c>
      <c r="E388" s="13">
        <v>4.2510000000000003</v>
      </c>
      <c r="F388" s="21"/>
    </row>
    <row r="389" spans="1:6" x14ac:dyDescent="0.4">
      <c r="A389" s="1">
        <v>45845</v>
      </c>
      <c r="B389" s="20">
        <v>4.3860000000000001</v>
      </c>
      <c r="C389" s="13">
        <v>4.3330000000000002</v>
      </c>
      <c r="D389" s="13">
        <v>4.399</v>
      </c>
      <c r="E389" s="13">
        <v>4.32</v>
      </c>
      <c r="F389" s="21"/>
    </row>
    <row r="390" spans="1:6" x14ac:dyDescent="0.4">
      <c r="A390" s="1">
        <v>45846</v>
      </c>
      <c r="B390" s="20">
        <v>4.4050000000000002</v>
      </c>
      <c r="C390" s="13">
        <v>4.38</v>
      </c>
      <c r="D390" s="13">
        <v>4.4359999999999999</v>
      </c>
      <c r="E390" s="13">
        <v>4.375</v>
      </c>
      <c r="F390" s="21"/>
    </row>
    <row r="391" spans="1:6" x14ac:dyDescent="0.4">
      <c r="A391" s="1">
        <v>45847</v>
      </c>
      <c r="B391" s="11">
        <v>4.335</v>
      </c>
      <c r="C391" s="7">
        <v>4.4139999999999997</v>
      </c>
      <c r="D391" s="7">
        <v>4.4219999999999997</v>
      </c>
      <c r="E391" s="7">
        <v>4.335</v>
      </c>
      <c r="F391" s="22"/>
    </row>
    <row r="392" spans="1:6" x14ac:dyDescent="0.4">
      <c r="A392" s="1">
        <v>45848</v>
      </c>
      <c r="B392" s="20">
        <v>4.3460000000000001</v>
      </c>
      <c r="C392" s="13">
        <v>4.3360000000000003</v>
      </c>
      <c r="D392" s="13">
        <v>4.3769999999999998</v>
      </c>
      <c r="E392" s="13">
        <v>4.3179999999999996</v>
      </c>
      <c r="F392" s="21"/>
    </row>
    <row r="393" spans="1:6" x14ac:dyDescent="0.4">
      <c r="A393" s="1">
        <v>45849</v>
      </c>
      <c r="B393" s="20">
        <v>4.4119999999999999</v>
      </c>
      <c r="C393" s="13">
        <v>4.3550000000000004</v>
      </c>
      <c r="D393" s="13">
        <v>4.4290000000000003</v>
      </c>
      <c r="E393" s="13">
        <v>4.34</v>
      </c>
      <c r="F393" s="21"/>
    </row>
    <row r="394" spans="1:6" x14ac:dyDescent="0.4">
      <c r="A394" s="1">
        <v>45852</v>
      </c>
      <c r="B394" s="20">
        <v>4.431</v>
      </c>
      <c r="C394" s="13">
        <v>4.4160000000000004</v>
      </c>
      <c r="D394" s="13">
        <v>4.4489999999999998</v>
      </c>
      <c r="E394" s="13">
        <v>4.4029999999999996</v>
      </c>
      <c r="F394" s="21"/>
    </row>
    <row r="395" spans="1:6" x14ac:dyDescent="0.4">
      <c r="A395" s="1">
        <v>45853</v>
      </c>
      <c r="B395" s="20">
        <v>4.4880000000000004</v>
      </c>
      <c r="C395" s="13">
        <v>4.4340000000000002</v>
      </c>
      <c r="D395" s="13">
        <v>4.4950000000000001</v>
      </c>
      <c r="E395" s="13">
        <v>4.3959999999999999</v>
      </c>
      <c r="F395" s="21"/>
    </row>
    <row r="396" spans="1:6" x14ac:dyDescent="0.4">
      <c r="A396" s="1">
        <v>45854</v>
      </c>
      <c r="B396" s="12">
        <v>4.4530000000000003</v>
      </c>
      <c r="C396" s="13">
        <v>4.4820000000000002</v>
      </c>
      <c r="D396" s="13">
        <v>4.4989999999999997</v>
      </c>
      <c r="E396" s="13">
        <v>4.4359999999999999</v>
      </c>
      <c r="F396" s="23"/>
    </row>
    <row r="397" spans="1:6" x14ac:dyDescent="0.4">
      <c r="A397" s="1">
        <v>45855</v>
      </c>
      <c r="B397" s="12">
        <v>4.4530000000000003</v>
      </c>
      <c r="C397" s="13">
        <v>4.4800000000000004</v>
      </c>
      <c r="D397" s="13">
        <v>4.4969999999999999</v>
      </c>
      <c r="E397" s="13">
        <v>4.4290000000000003</v>
      </c>
      <c r="F397" s="23"/>
    </row>
    <row r="398" spans="1:6" x14ac:dyDescent="0.4">
      <c r="A398" s="1">
        <v>45856</v>
      </c>
      <c r="B398" s="12">
        <v>4.431</v>
      </c>
      <c r="C398" s="13">
        <v>4.4429999999999996</v>
      </c>
      <c r="D398" s="13">
        <v>4.4509999999999996</v>
      </c>
      <c r="E398" s="13">
        <v>4.4160000000000004</v>
      </c>
      <c r="F398" s="23"/>
    </row>
    <row r="399" spans="1:6" x14ac:dyDescent="0.4">
      <c r="A399" s="1">
        <v>45859</v>
      </c>
      <c r="B399" s="12">
        <v>4.3789999999999996</v>
      </c>
      <c r="C399" s="13">
        <v>4.4249999999999998</v>
      </c>
      <c r="D399" s="13">
        <v>4.4290000000000003</v>
      </c>
      <c r="E399" s="13">
        <v>4.3479999999999999</v>
      </c>
    </row>
    <row r="400" spans="1:6" x14ac:dyDescent="0.4">
      <c r="A400" s="1">
        <v>45860</v>
      </c>
      <c r="B400" s="12">
        <v>4.3470000000000004</v>
      </c>
      <c r="C400" s="13">
        <v>4.37</v>
      </c>
      <c r="D400" s="13">
        <v>4.3979999999999997</v>
      </c>
      <c r="E400" s="13">
        <v>4.327</v>
      </c>
      <c r="F400" s="23"/>
    </row>
    <row r="401" spans="1:6" x14ac:dyDescent="0.4">
      <c r="A401" s="1">
        <v>45861</v>
      </c>
      <c r="B401" s="20">
        <v>4.3849999999999998</v>
      </c>
      <c r="C401" s="13">
        <v>4.3559999999999999</v>
      </c>
      <c r="D401" s="13">
        <v>4.4000000000000004</v>
      </c>
      <c r="E401" s="13">
        <v>4.3520000000000003</v>
      </c>
      <c r="F401" s="21"/>
    </row>
    <row r="402" spans="1:6" x14ac:dyDescent="0.4">
      <c r="A402" s="1">
        <v>45862</v>
      </c>
      <c r="B402" s="20">
        <v>4.3970000000000002</v>
      </c>
      <c r="C402" s="13">
        <v>4.3940000000000001</v>
      </c>
      <c r="D402" s="13">
        <v>4.4429999999999996</v>
      </c>
      <c r="E402" s="13">
        <v>4.383</v>
      </c>
      <c r="F402" s="21"/>
    </row>
    <row r="403" spans="1:6" x14ac:dyDescent="0.4">
      <c r="A403" s="1">
        <v>45863</v>
      </c>
      <c r="B403" s="12">
        <v>4.3860000000000001</v>
      </c>
      <c r="C403" s="13">
        <v>4.3920000000000003</v>
      </c>
      <c r="D403" s="13">
        <v>4.43</v>
      </c>
      <c r="E403" s="13">
        <v>4.3819999999999997</v>
      </c>
      <c r="F403" s="23"/>
    </row>
    <row r="404" spans="1:6" x14ac:dyDescent="0.4">
      <c r="A404" s="1">
        <v>45867</v>
      </c>
      <c r="B404" s="12">
        <v>4.3220000000000001</v>
      </c>
      <c r="C404" s="13">
        <v>4.3819999999999997</v>
      </c>
      <c r="D404" s="13">
        <v>4.4219999999999997</v>
      </c>
      <c r="E404" s="13">
        <v>4.3179999999999996</v>
      </c>
      <c r="F404" s="23"/>
    </row>
    <row r="405" spans="1:6" x14ac:dyDescent="0.4">
      <c r="A405" s="1">
        <v>45868</v>
      </c>
      <c r="B405" s="20">
        <v>4.367</v>
      </c>
      <c r="C405" s="13">
        <v>4.3860000000000001</v>
      </c>
      <c r="D405" s="13">
        <v>4.3860000000000001</v>
      </c>
      <c r="E405" s="13">
        <v>4.3109999999999999</v>
      </c>
      <c r="F405" s="21"/>
    </row>
    <row r="406" spans="1:6" x14ac:dyDescent="0.4">
      <c r="A406" s="1">
        <v>45869</v>
      </c>
      <c r="B406" s="12">
        <v>4.375</v>
      </c>
      <c r="C406" s="13">
        <v>4.3550000000000004</v>
      </c>
      <c r="D406" s="13">
        <v>4.3819999999999997</v>
      </c>
      <c r="E406" s="13">
        <v>4.3259999999999996</v>
      </c>
      <c r="F406" s="21"/>
    </row>
    <row r="407" spans="1:6" x14ac:dyDescent="0.4">
      <c r="A407" s="1">
        <v>45870</v>
      </c>
      <c r="B407" s="12">
        <v>4.2149999999999999</v>
      </c>
      <c r="C407" s="13">
        <v>4.3710000000000004</v>
      </c>
      <c r="D407" s="13">
        <v>4.4080000000000004</v>
      </c>
      <c r="E407" s="13">
        <v>4.2030000000000003</v>
      </c>
      <c r="F407" s="23"/>
    </row>
    <row r="408" spans="1:6" x14ac:dyDescent="0.4">
      <c r="A408" s="1">
        <v>45873</v>
      </c>
      <c r="B408" s="12">
        <v>4.1980000000000004</v>
      </c>
      <c r="C408" s="13">
        <v>4.2080000000000002</v>
      </c>
      <c r="D408" s="13">
        <v>4.2569999999999997</v>
      </c>
      <c r="E408" s="13">
        <v>4.1920000000000002</v>
      </c>
      <c r="F408" s="23"/>
    </row>
    <row r="409" spans="1:6" x14ac:dyDescent="0.4">
      <c r="A409" s="1">
        <v>45874</v>
      </c>
      <c r="B409" s="12">
        <v>4.1959999999999997</v>
      </c>
      <c r="C409" s="13">
        <v>4.1879999999999997</v>
      </c>
      <c r="D409" s="13">
        <v>4.226</v>
      </c>
      <c r="E409" s="13">
        <v>4.1870000000000003</v>
      </c>
      <c r="F409" s="23"/>
    </row>
    <row r="410" spans="1:6" x14ac:dyDescent="0.4">
      <c r="A410" s="1">
        <v>45875</v>
      </c>
      <c r="B410" s="20">
        <v>4.2279999999999998</v>
      </c>
      <c r="C410" s="13">
        <v>4.2119999999999997</v>
      </c>
      <c r="D410" s="13">
        <v>4.298</v>
      </c>
      <c r="E410" s="13">
        <v>4.2119999999999997</v>
      </c>
      <c r="F410" s="21"/>
    </row>
    <row r="411" spans="1:6" x14ac:dyDescent="0.4">
      <c r="A411" s="1">
        <v>45876</v>
      </c>
      <c r="B411" s="20">
        <v>4.2439999999999998</v>
      </c>
      <c r="C411" s="13">
        <v>4.2370000000000001</v>
      </c>
      <c r="D411" s="13">
        <v>4.2619999999999996</v>
      </c>
      <c r="E411" s="13">
        <v>4.2140000000000004</v>
      </c>
      <c r="F411" s="21"/>
    </row>
    <row r="412" spans="1:6" x14ac:dyDescent="0.4">
      <c r="A412" s="1">
        <v>45877</v>
      </c>
      <c r="B412" s="20">
        <v>4.2830000000000004</v>
      </c>
      <c r="C412" s="13">
        <v>4.2910000000000004</v>
      </c>
      <c r="D412" s="13">
        <v>4.2910000000000004</v>
      </c>
      <c r="E412" s="13">
        <v>4.2380000000000004</v>
      </c>
      <c r="F412" s="21"/>
    </row>
    <row r="413" spans="1:6" x14ac:dyDescent="0.4">
      <c r="A413" s="1">
        <v>45880</v>
      </c>
      <c r="B413" s="20">
        <v>4.28</v>
      </c>
      <c r="C413" s="13">
        <v>4.2850000000000001</v>
      </c>
      <c r="D413" s="13">
        <v>4.2850000000000001</v>
      </c>
      <c r="E413" s="13">
        <v>4.2530000000000001</v>
      </c>
      <c r="F413" s="21"/>
    </row>
    <row r="414" spans="1:6" x14ac:dyDescent="0.4">
      <c r="A414" s="1">
        <v>45881</v>
      </c>
      <c r="B414" s="20">
        <v>4.2869999999999999</v>
      </c>
      <c r="C414" s="13">
        <v>4.2830000000000004</v>
      </c>
      <c r="D414" s="13">
        <v>4.3330000000000002</v>
      </c>
      <c r="E414" s="13">
        <v>4.2350000000000003</v>
      </c>
    </row>
    <row r="415" spans="1:6" x14ac:dyDescent="0.4">
      <c r="A415" s="1">
        <v>45882</v>
      </c>
      <c r="B415" s="12">
        <v>4.2350000000000003</v>
      </c>
      <c r="C415" s="13">
        <v>4.2869999999999999</v>
      </c>
      <c r="D415" s="13">
        <v>4.3170000000000002</v>
      </c>
      <c r="E415" s="13">
        <v>4.2220000000000004</v>
      </c>
      <c r="F415" s="23"/>
    </row>
    <row r="416" spans="1:6" x14ac:dyDescent="0.4">
      <c r="A416" s="1">
        <v>45883</v>
      </c>
      <c r="B416" s="20">
        <v>4.2889999999999997</v>
      </c>
      <c r="C416" s="13">
        <v>4.2380000000000004</v>
      </c>
      <c r="D416" s="13">
        <v>4.298</v>
      </c>
      <c r="E416" s="13">
        <v>4.2009999999999996</v>
      </c>
      <c r="F416" s="21"/>
    </row>
    <row r="417" spans="1:6" x14ac:dyDescent="0.4">
      <c r="A417" s="1">
        <v>45884</v>
      </c>
      <c r="B417" s="20">
        <v>4.3280000000000003</v>
      </c>
      <c r="C417" s="13">
        <v>4.2889999999999997</v>
      </c>
      <c r="D417" s="13">
        <v>4.3319999999999999</v>
      </c>
      <c r="E417" s="13">
        <v>4.2690000000000001</v>
      </c>
      <c r="F417" s="21"/>
    </row>
    <row r="418" spans="1:6" x14ac:dyDescent="0.4">
      <c r="A418" s="1">
        <v>45887</v>
      </c>
      <c r="B418" s="20">
        <v>4.3360000000000003</v>
      </c>
      <c r="C418" s="13">
        <v>4.3070000000000004</v>
      </c>
      <c r="D418" s="13">
        <v>4.3520000000000003</v>
      </c>
      <c r="E418" s="13">
        <v>4.2889999999999997</v>
      </c>
      <c r="F418" s="21"/>
    </row>
    <row r="419" spans="1:6" x14ac:dyDescent="0.4">
      <c r="A419" s="1">
        <v>45888</v>
      </c>
      <c r="B419" s="12">
        <v>4.3070000000000004</v>
      </c>
      <c r="C419" s="13">
        <v>4.343</v>
      </c>
      <c r="D419" s="13">
        <v>4.3470000000000004</v>
      </c>
      <c r="E419" s="13">
        <v>4.2960000000000003</v>
      </c>
      <c r="F419" s="23"/>
    </row>
    <row r="420" spans="1:6" x14ac:dyDescent="0.4">
      <c r="A420" s="1">
        <v>45889</v>
      </c>
      <c r="B420" s="12">
        <v>4.2910000000000004</v>
      </c>
      <c r="C420" s="13">
        <v>4.3109999999999999</v>
      </c>
      <c r="D420" s="13">
        <v>4.3250000000000002</v>
      </c>
      <c r="E420" s="13">
        <v>4.2750000000000004</v>
      </c>
      <c r="F420" s="23"/>
    </row>
    <row r="421" spans="1:6" x14ac:dyDescent="0.4">
      <c r="A421" s="1">
        <v>45890</v>
      </c>
      <c r="B421" s="20">
        <v>4.3289999999999997</v>
      </c>
      <c r="C421" s="13">
        <v>4.2930000000000001</v>
      </c>
      <c r="D421" s="13">
        <v>4.3490000000000002</v>
      </c>
      <c r="E421" s="13">
        <v>4.2910000000000004</v>
      </c>
      <c r="F421" s="21"/>
    </row>
    <row r="422" spans="1:6" x14ac:dyDescent="0.4">
      <c r="A422" s="1">
        <v>45891</v>
      </c>
      <c r="B422" s="11">
        <v>4.26</v>
      </c>
      <c r="C422" s="7">
        <v>4.3289999999999997</v>
      </c>
      <c r="D422" s="7">
        <v>4.3419999999999996</v>
      </c>
      <c r="E422" s="7">
        <v>4.2430000000000003</v>
      </c>
      <c r="F422" s="22"/>
    </row>
    <row r="423" spans="1:6" x14ac:dyDescent="0.4">
      <c r="A423" s="1">
        <v>45894</v>
      </c>
      <c r="B423" s="20">
        <v>4.28</v>
      </c>
      <c r="C423" s="13">
        <v>4.2709999999999999</v>
      </c>
      <c r="D423" s="13">
        <v>4.2969999999999997</v>
      </c>
      <c r="E423" s="13">
        <v>4.2619999999999996</v>
      </c>
      <c r="F423" s="21"/>
    </row>
    <row r="424" spans="1:6" x14ac:dyDescent="0.4">
      <c r="A424" s="1">
        <v>45895</v>
      </c>
      <c r="B424" s="12">
        <v>4.26</v>
      </c>
      <c r="C424" s="13">
        <v>4.2960000000000003</v>
      </c>
      <c r="D424" s="13">
        <v>4.3129999999999997</v>
      </c>
      <c r="E424" s="13">
        <v>4.2469999999999999</v>
      </c>
      <c r="F424" s="23"/>
    </row>
    <row r="425" spans="1:6" x14ac:dyDescent="0.4">
      <c r="A425" s="1">
        <v>45896</v>
      </c>
      <c r="B425" s="12">
        <v>4.234</v>
      </c>
      <c r="C425" s="13">
        <v>4.266</v>
      </c>
      <c r="D425" s="13">
        <v>4.2880000000000003</v>
      </c>
      <c r="E425" s="13">
        <v>4.2279999999999998</v>
      </c>
      <c r="F425" s="23"/>
    </row>
    <row r="426" spans="1:6" x14ac:dyDescent="0.4">
      <c r="A426" s="1">
        <v>45897</v>
      </c>
      <c r="B426" s="12">
        <v>4.2009999999999996</v>
      </c>
      <c r="C426" s="13">
        <v>4.2279999999999998</v>
      </c>
      <c r="D426" s="13">
        <v>4.25</v>
      </c>
      <c r="E426" s="13">
        <v>4.2</v>
      </c>
      <c r="F426" s="23"/>
    </row>
    <row r="427" spans="1:6" x14ac:dyDescent="0.4">
      <c r="A427" s="1">
        <v>45898</v>
      </c>
      <c r="B427" s="20">
        <v>4.226</v>
      </c>
      <c r="C427" s="13">
        <v>4.2089999999999996</v>
      </c>
      <c r="D427" s="13">
        <v>4.242</v>
      </c>
      <c r="E427" s="13">
        <v>4.2069999999999999</v>
      </c>
      <c r="F427" s="21"/>
    </row>
    <row r="428" spans="1:6" x14ac:dyDescent="0.4">
      <c r="A428" s="1">
        <v>45902</v>
      </c>
      <c r="B428" s="9">
        <v>4.2770000000000001</v>
      </c>
      <c r="C428" s="7">
        <v>4.24</v>
      </c>
      <c r="D428" s="7">
        <v>4.306</v>
      </c>
      <c r="E428" s="7">
        <v>4.2380000000000004</v>
      </c>
      <c r="F428" s="26"/>
    </row>
    <row r="429" spans="1:6" x14ac:dyDescent="0.4">
      <c r="A429" s="1">
        <v>45903</v>
      </c>
      <c r="B429" s="12">
        <v>4.22</v>
      </c>
      <c r="C429" s="13">
        <v>4.282</v>
      </c>
      <c r="D429" s="13">
        <v>4.3019999999999996</v>
      </c>
      <c r="E429" s="13">
        <v>4.1989999999999998</v>
      </c>
      <c r="F429" s="23"/>
    </row>
    <row r="430" spans="1:6" x14ac:dyDescent="0.4">
      <c r="A430" s="1">
        <v>45904</v>
      </c>
      <c r="B430" s="12">
        <v>4.1580000000000004</v>
      </c>
      <c r="C430" s="13">
        <v>4.218</v>
      </c>
      <c r="D430" s="13">
        <v>4.2240000000000002</v>
      </c>
      <c r="E430" s="13">
        <v>4.1559999999999997</v>
      </c>
      <c r="F430" s="23"/>
    </row>
    <row r="431" spans="1:6" x14ac:dyDescent="0.4">
      <c r="A431" s="1">
        <v>45905</v>
      </c>
      <c r="B431" s="12">
        <v>4.0720000000000001</v>
      </c>
      <c r="C431" s="13">
        <v>4.1539999999999999</v>
      </c>
      <c r="D431" s="13">
        <v>4.165</v>
      </c>
      <c r="E431" s="13">
        <v>4.056</v>
      </c>
      <c r="F431" s="23"/>
    </row>
    <row r="432" spans="1:6" x14ac:dyDescent="0.4">
      <c r="A432" s="1">
        <v>45908</v>
      </c>
      <c r="B432" s="12">
        <v>4.04</v>
      </c>
      <c r="C432" s="13">
        <v>4.0750000000000002</v>
      </c>
      <c r="D432" s="13">
        <v>4.1020000000000003</v>
      </c>
      <c r="E432" s="13">
        <v>4.04</v>
      </c>
      <c r="F432" s="23"/>
    </row>
    <row r="433" spans="1:6" x14ac:dyDescent="0.4">
      <c r="A433" s="1">
        <v>45909</v>
      </c>
      <c r="B433" s="20">
        <v>4.0819999999999999</v>
      </c>
      <c r="C433" s="13">
        <v>4.0419999999999998</v>
      </c>
      <c r="D433" s="13">
        <v>4.0910000000000002</v>
      </c>
      <c r="E433" s="13">
        <v>4.0380000000000003</v>
      </c>
    </row>
    <row r="434" spans="1:6" x14ac:dyDescent="0.4">
      <c r="A434" s="1">
        <v>45910</v>
      </c>
      <c r="B434" s="12">
        <v>4.04</v>
      </c>
      <c r="C434" s="13">
        <v>4.0860000000000003</v>
      </c>
      <c r="D434" s="13">
        <v>4.0960000000000001</v>
      </c>
      <c r="E434" s="13">
        <v>4.0170000000000003</v>
      </c>
    </row>
    <row r="435" spans="1:6" x14ac:dyDescent="0.4">
      <c r="A435" s="1">
        <v>45911</v>
      </c>
      <c r="B435" s="12">
        <v>4.0229999999999997</v>
      </c>
      <c r="C435" s="13">
        <v>4.0490000000000004</v>
      </c>
      <c r="D435" s="13">
        <v>4.0609999999999999</v>
      </c>
      <c r="E435" s="13">
        <v>3.9860000000000002</v>
      </c>
    </row>
    <row r="436" spans="1:6" x14ac:dyDescent="0.4">
      <c r="A436" s="1">
        <v>45912</v>
      </c>
      <c r="B436" s="20">
        <v>4.0599999999999996</v>
      </c>
      <c r="C436" s="13">
        <v>4.03</v>
      </c>
      <c r="D436" s="13">
        <v>4.0830000000000002</v>
      </c>
      <c r="E436" s="13">
        <v>4.0259999999999998</v>
      </c>
    </row>
    <row r="437" spans="1:6" x14ac:dyDescent="0.4">
      <c r="A437" s="1">
        <v>45915</v>
      </c>
      <c r="B437" s="12">
        <v>4.0359999999999996</v>
      </c>
      <c r="C437" s="13">
        <v>4.07</v>
      </c>
      <c r="D437" s="13">
        <v>4.0910000000000002</v>
      </c>
      <c r="E437" s="13">
        <v>4.0289999999999999</v>
      </c>
      <c r="F437" s="23"/>
    </row>
    <row r="438" spans="1:6" x14ac:dyDescent="0.4">
      <c r="A438" s="1">
        <v>45916</v>
      </c>
      <c r="B438" s="12">
        <v>4.0330000000000004</v>
      </c>
      <c r="C438" s="13">
        <v>4.04</v>
      </c>
      <c r="D438" s="13">
        <v>4.0640000000000001</v>
      </c>
      <c r="E438" s="13">
        <v>4.0190000000000001</v>
      </c>
      <c r="F438" s="23"/>
    </row>
    <row r="439" spans="1:6" x14ac:dyDescent="0.4">
      <c r="A439" s="1">
        <v>45917</v>
      </c>
      <c r="B439" s="20">
        <v>4.0839999999999996</v>
      </c>
      <c r="C439" s="13">
        <v>4.0220000000000002</v>
      </c>
      <c r="D439" s="13">
        <v>4.0869999999999997</v>
      </c>
      <c r="E439" s="13">
        <v>3.9870000000000001</v>
      </c>
      <c r="F439" s="21"/>
    </row>
    <row r="440" spans="1:6" x14ac:dyDescent="0.4">
      <c r="A440" s="1">
        <v>45918</v>
      </c>
      <c r="B440" s="20">
        <v>4.1130000000000004</v>
      </c>
      <c r="C440" s="13">
        <v>4.0709999999999997</v>
      </c>
      <c r="D440" s="13">
        <v>4.1379999999999999</v>
      </c>
      <c r="E440" s="13">
        <v>4.0419999999999998</v>
      </c>
      <c r="F440" s="21"/>
    </row>
    <row r="441" spans="1:6" x14ac:dyDescent="0.4">
      <c r="A441" s="1">
        <v>45919</v>
      </c>
      <c r="B441" s="20">
        <v>4.1390000000000002</v>
      </c>
      <c r="C441" s="13">
        <v>4.1100000000000003</v>
      </c>
      <c r="D441" s="13">
        <v>4.1449999999999996</v>
      </c>
      <c r="E441" s="13">
        <v>4.1059999999999999</v>
      </c>
      <c r="F441" s="21"/>
    </row>
    <row r="442" spans="1:6" x14ac:dyDescent="0.4">
      <c r="A442" s="1">
        <v>45922</v>
      </c>
      <c r="B442" s="20">
        <v>4.1539999999999999</v>
      </c>
      <c r="C442" s="13">
        <v>4.1429999999999998</v>
      </c>
      <c r="D442" s="13">
        <v>4.157</v>
      </c>
      <c r="E442" s="13">
        <v>4.1219999999999999</v>
      </c>
      <c r="F442" s="21"/>
    </row>
    <row r="443" spans="1:6" x14ac:dyDescent="0.4">
      <c r="A443" s="1">
        <v>45923</v>
      </c>
      <c r="B443" s="12">
        <v>4.1100000000000003</v>
      </c>
      <c r="C443" s="13">
        <v>4.149</v>
      </c>
      <c r="D443" s="13">
        <v>4.1520000000000001</v>
      </c>
      <c r="E443" s="13">
        <v>4.1100000000000003</v>
      </c>
      <c r="F443" s="23"/>
    </row>
    <row r="444" spans="1:6" x14ac:dyDescent="0.4">
      <c r="A444" s="1">
        <v>45924</v>
      </c>
      <c r="B444" s="20">
        <v>4.1509999999999998</v>
      </c>
      <c r="C444" s="13">
        <v>4.1100000000000003</v>
      </c>
      <c r="D444" s="13">
        <v>4.1550000000000002</v>
      </c>
      <c r="E444" s="13">
        <v>4.0990000000000002</v>
      </c>
      <c r="F444" s="21"/>
    </row>
    <row r="445" spans="1:6" x14ac:dyDescent="0.4">
      <c r="A445" s="1">
        <v>45925</v>
      </c>
      <c r="B445" s="20">
        <v>4.1760000000000002</v>
      </c>
      <c r="C445" s="13">
        <v>4.1440000000000001</v>
      </c>
      <c r="D445" s="13">
        <v>4.202</v>
      </c>
      <c r="E445" s="13">
        <v>4.1340000000000003</v>
      </c>
      <c r="F445" s="21"/>
    </row>
    <row r="446" spans="1:6" x14ac:dyDescent="0.4">
      <c r="A446" s="1">
        <v>45926</v>
      </c>
      <c r="B446" s="12">
        <v>4.1689999999999996</v>
      </c>
      <c r="C446" s="13">
        <v>4.1840000000000002</v>
      </c>
      <c r="D446" s="13">
        <v>4.1820000000000004</v>
      </c>
      <c r="E446" s="13">
        <v>4.1680000000000001</v>
      </c>
      <c r="F446" s="23"/>
    </row>
    <row r="447" spans="1:6" x14ac:dyDescent="0.4">
      <c r="A447" s="1">
        <v>45929</v>
      </c>
      <c r="B447" s="12">
        <v>4.1429999999999998</v>
      </c>
      <c r="C447" s="13">
        <v>4.1589999999999998</v>
      </c>
      <c r="D447" s="13">
        <v>4.1689999999999996</v>
      </c>
      <c r="E447" s="13">
        <v>4.1340000000000003</v>
      </c>
      <c r="F447" s="23"/>
    </row>
    <row r="448" spans="1:6" x14ac:dyDescent="0.4">
      <c r="A448" s="1">
        <v>45930</v>
      </c>
      <c r="B448" s="20">
        <v>4.1550000000000002</v>
      </c>
      <c r="C448" s="13">
        <v>4.141</v>
      </c>
      <c r="D448" s="13">
        <v>4.1589999999999998</v>
      </c>
      <c r="E448" s="13">
        <v>4.1059999999999999</v>
      </c>
      <c r="F448" s="21"/>
    </row>
    <row r="449" spans="1:6" x14ac:dyDescent="0.4">
      <c r="A449" s="1">
        <v>45931</v>
      </c>
      <c r="B449" s="11">
        <v>4.101</v>
      </c>
      <c r="C449" s="7">
        <v>4.1479999999999997</v>
      </c>
      <c r="D449" s="7">
        <v>4.1689999999999996</v>
      </c>
      <c r="E449" s="7">
        <v>4.0880000000000001</v>
      </c>
      <c r="F449" s="22"/>
    </row>
    <row r="450" spans="1:6" x14ac:dyDescent="0.4">
      <c r="A450" s="1">
        <v>45932</v>
      </c>
      <c r="B450" s="11">
        <v>4.085</v>
      </c>
      <c r="C450" s="7">
        <v>4.1059999999999999</v>
      </c>
      <c r="D450" s="7">
        <v>4.1289999999999996</v>
      </c>
      <c r="E450" s="7">
        <v>4.0830000000000002</v>
      </c>
      <c r="F450" s="22"/>
    </row>
    <row r="451" spans="1:6" x14ac:dyDescent="0.4">
      <c r="A451" s="1">
        <v>45933</v>
      </c>
      <c r="B451" s="20">
        <v>4.1239999999999997</v>
      </c>
      <c r="C451" s="13">
        <v>4.0970000000000004</v>
      </c>
      <c r="D451" s="13">
        <v>4.1269999999999998</v>
      </c>
      <c r="E451" s="13">
        <v>4.0759999999999996</v>
      </c>
    </row>
    <row r="452" spans="1:6" x14ac:dyDescent="0.4">
      <c r="A452" s="1">
        <v>45936</v>
      </c>
      <c r="B452" s="9">
        <v>4.1630000000000003</v>
      </c>
      <c r="C452" s="7">
        <v>4.1310000000000002</v>
      </c>
      <c r="D452" s="7">
        <v>4.1710000000000003</v>
      </c>
      <c r="E452" s="7">
        <v>4.1340000000000003</v>
      </c>
    </row>
    <row r="453" spans="1:6" x14ac:dyDescent="0.4">
      <c r="A453" s="1">
        <v>45937</v>
      </c>
      <c r="B453" s="11">
        <v>4.1310000000000002</v>
      </c>
      <c r="C453" s="7">
        <v>4.1609999999999996</v>
      </c>
      <c r="D453" s="7">
        <v>4.1820000000000004</v>
      </c>
      <c r="E453" s="7">
        <v>4.117</v>
      </c>
      <c r="F453" s="22"/>
    </row>
    <row r="454" spans="1:6" x14ac:dyDescent="0.4">
      <c r="A454" s="1">
        <v>45938</v>
      </c>
      <c r="B454" s="11">
        <v>4.117</v>
      </c>
      <c r="C454" s="7">
        <v>4.125</v>
      </c>
      <c r="D454" s="7">
        <v>4.1180000000000003</v>
      </c>
      <c r="E454" s="7">
        <v>4.117</v>
      </c>
    </row>
    <row r="455" spans="1:6" x14ac:dyDescent="0.4">
      <c r="A455" s="1">
        <v>45939</v>
      </c>
      <c r="B455" s="9">
        <v>4.1520000000000001</v>
      </c>
      <c r="C455" s="7">
        <v>4.125</v>
      </c>
      <c r="D455" s="7">
        <v>4.157</v>
      </c>
      <c r="E455" s="7">
        <v>4.1100000000000003</v>
      </c>
      <c r="F455" s="26"/>
    </row>
    <row r="456" spans="1:6" x14ac:dyDescent="0.4">
      <c r="A456" s="1">
        <v>45940</v>
      </c>
      <c r="B456" s="12">
        <v>4.0339999999999998</v>
      </c>
      <c r="C456" s="13">
        <v>4.1379999999999999</v>
      </c>
      <c r="D456" s="13">
        <v>4.1449999999999996</v>
      </c>
      <c r="E456" s="13">
        <v>4.0339999999999998</v>
      </c>
      <c r="F456" s="23"/>
    </row>
    <row r="457" spans="1:6" x14ac:dyDescent="0.4">
      <c r="A457" s="1">
        <v>45943</v>
      </c>
      <c r="B457" s="12">
        <v>4.0519999999999996</v>
      </c>
      <c r="C457" s="13">
        <v>4.0780000000000003</v>
      </c>
      <c r="D457" s="13">
        <v>4.085</v>
      </c>
      <c r="E457" s="13">
        <v>4.05</v>
      </c>
      <c r="F457" s="23"/>
    </row>
    <row r="458" spans="1:6" x14ac:dyDescent="0.4">
      <c r="A458" s="1">
        <v>45944</v>
      </c>
      <c r="B458" s="11">
        <v>4.0339999999999998</v>
      </c>
      <c r="C458" s="7">
        <v>4.0529999999999999</v>
      </c>
      <c r="D458" s="7">
        <v>4.0709999999999997</v>
      </c>
      <c r="E458" s="7">
        <v>3.9990000000000001</v>
      </c>
      <c r="F458" s="22"/>
    </row>
    <row r="459" spans="1:6" x14ac:dyDescent="0.4">
      <c r="A459" s="1">
        <v>45945</v>
      </c>
      <c r="B459" s="9">
        <v>4.032</v>
      </c>
      <c r="C459" s="7">
        <v>4.0129999999999999</v>
      </c>
      <c r="D459" s="7">
        <v>4.05</v>
      </c>
      <c r="E459" s="7">
        <v>4.0010000000000003</v>
      </c>
      <c r="F459" s="26"/>
    </row>
    <row r="460" spans="1:6" x14ac:dyDescent="0.4">
      <c r="A460" s="1">
        <v>45946</v>
      </c>
      <c r="B460" s="12">
        <v>3.976</v>
      </c>
      <c r="C460" s="13">
        <v>4.024</v>
      </c>
      <c r="D460" s="13">
        <v>4.0529999999999999</v>
      </c>
      <c r="E460" s="13">
        <v>3.9660000000000002</v>
      </c>
      <c r="F460" s="23"/>
    </row>
    <row r="461" spans="1:6" x14ac:dyDescent="0.4">
      <c r="A461" s="1">
        <v>45947</v>
      </c>
      <c r="B461" s="9">
        <v>4.0129999999999999</v>
      </c>
      <c r="C461" s="7">
        <v>3.9420000000000002</v>
      </c>
      <c r="D461" s="7">
        <v>4.0199999999999996</v>
      </c>
      <c r="E461" s="7">
        <v>3.9329999999999998</v>
      </c>
      <c r="F461" s="26"/>
    </row>
    <row r="462" spans="1:6" x14ac:dyDescent="0.4">
      <c r="A462" s="1">
        <v>45950</v>
      </c>
      <c r="B462" s="11">
        <v>3.98</v>
      </c>
      <c r="C462" s="7">
        <v>4.0199999999999996</v>
      </c>
      <c r="D462" s="7">
        <v>4.0289999999999999</v>
      </c>
      <c r="E462" s="7">
        <v>3.98</v>
      </c>
      <c r="F462" s="22"/>
    </row>
    <row r="463" spans="1:6" x14ac:dyDescent="0.4">
      <c r="A463" s="1">
        <v>45951</v>
      </c>
      <c r="B463" s="11">
        <v>3.964</v>
      </c>
      <c r="C463" s="7">
        <v>3.9820000000000002</v>
      </c>
      <c r="D463" s="7">
        <v>3.99</v>
      </c>
      <c r="E463" s="7">
        <v>3.9449999999999998</v>
      </c>
      <c r="F463" s="22"/>
    </row>
    <row r="464" spans="1:6" x14ac:dyDescent="0.4">
      <c r="A464" s="1">
        <v>45952</v>
      </c>
      <c r="B464" s="12">
        <v>3.952</v>
      </c>
      <c r="C464" s="13">
        <v>3.9590000000000001</v>
      </c>
      <c r="D464" s="13">
        <v>3.9780000000000002</v>
      </c>
      <c r="E464" s="13">
        <v>3.9369999999999998</v>
      </c>
      <c r="F464" s="23"/>
    </row>
    <row r="465" spans="1:6" x14ac:dyDescent="0.4">
      <c r="A465" s="1">
        <v>45953</v>
      </c>
      <c r="B465" s="20">
        <v>4.008</v>
      </c>
      <c r="C465" s="13">
        <v>3.9489999999999998</v>
      </c>
      <c r="D465" s="13">
        <v>4.008</v>
      </c>
      <c r="E465" s="13">
        <v>3.9449999999999998</v>
      </c>
      <c r="F465" s="21"/>
    </row>
    <row r="466" spans="1:6" x14ac:dyDescent="0.4">
      <c r="A466" s="1">
        <v>45954</v>
      </c>
      <c r="B466" s="20">
        <v>4.0039999999999996</v>
      </c>
      <c r="C466" s="13">
        <v>3.9990000000000001</v>
      </c>
      <c r="D466" s="13">
        <v>4.0179999999999998</v>
      </c>
      <c r="E466" s="13">
        <v>3.9630000000000001</v>
      </c>
      <c r="F466" s="21"/>
    </row>
    <row r="467" spans="1:6" x14ac:dyDescent="0.4">
      <c r="A467" s="1">
        <v>45957</v>
      </c>
      <c r="B467" s="12">
        <v>3.9870000000000001</v>
      </c>
      <c r="C467" s="13">
        <v>3.98</v>
      </c>
      <c r="D467" s="13">
        <v>4.0449999999999999</v>
      </c>
      <c r="E467" s="13">
        <v>3.9820000000000002</v>
      </c>
      <c r="F467" s="23"/>
    </row>
    <row r="468" spans="1:6" x14ac:dyDescent="0.4">
      <c r="A468" s="1">
        <v>45958</v>
      </c>
      <c r="B468" s="12">
        <v>3.9780000000000002</v>
      </c>
      <c r="C468" s="13">
        <v>3.9830000000000001</v>
      </c>
      <c r="D468" s="13">
        <v>4.0060000000000002</v>
      </c>
      <c r="E468" s="13">
        <v>3.97</v>
      </c>
      <c r="F468" s="23"/>
    </row>
    <row r="469" spans="1:6" x14ac:dyDescent="0.4">
      <c r="A469" s="1">
        <v>45959</v>
      </c>
      <c r="B469" s="20">
        <v>4.0759999999999996</v>
      </c>
      <c r="C469" s="13">
        <v>3.98</v>
      </c>
      <c r="D469" s="13">
        <v>4.0830000000000002</v>
      </c>
      <c r="E469" s="13">
        <v>3.9750000000000001</v>
      </c>
      <c r="F469" s="21"/>
    </row>
    <row r="470" spans="1:6" x14ac:dyDescent="0.4">
      <c r="A470" s="1">
        <v>45960</v>
      </c>
      <c r="B470" s="9">
        <v>4.1029999999999998</v>
      </c>
      <c r="C470" s="7">
        <v>4.0709999999999997</v>
      </c>
      <c r="D470" s="7">
        <v>4.1180000000000003</v>
      </c>
      <c r="E470" s="7">
        <v>4.0599999999999996</v>
      </c>
      <c r="F470" s="26"/>
    </row>
    <row r="471" spans="1:6" x14ac:dyDescent="0.4">
      <c r="A471" s="1">
        <v>45961</v>
      </c>
      <c r="B471" s="12">
        <v>4.0789999999999997</v>
      </c>
      <c r="C471" s="13">
        <v>4.1029999999999998</v>
      </c>
      <c r="D471" s="13">
        <v>4.1219999999999999</v>
      </c>
      <c r="E471" s="13">
        <v>4.0789999999999997</v>
      </c>
      <c r="F471" s="23"/>
    </row>
    <row r="472" spans="1:6" x14ac:dyDescent="0.4">
      <c r="A472" s="1">
        <v>45964</v>
      </c>
      <c r="B472" s="20">
        <v>4.1040000000000001</v>
      </c>
      <c r="C472" s="13">
        <v>4.093</v>
      </c>
      <c r="D472" s="13">
        <v>4.1230000000000002</v>
      </c>
      <c r="E472" s="13">
        <v>4.0810000000000004</v>
      </c>
    </row>
    <row r="473" spans="1:6" x14ac:dyDescent="0.4">
      <c r="A473" s="1">
        <v>45965</v>
      </c>
      <c r="B473" s="11">
        <v>4.0860000000000003</v>
      </c>
      <c r="C473" s="7">
        <v>4.1059999999999999</v>
      </c>
      <c r="D473" s="7">
        <v>4.1139999999999999</v>
      </c>
      <c r="E473" s="7">
        <v>4.077</v>
      </c>
      <c r="F473" s="22"/>
    </row>
    <row r="474" spans="1:6" x14ac:dyDescent="0.4">
      <c r="A474" s="1">
        <v>45966</v>
      </c>
      <c r="B474" s="11">
        <v>4.0860000000000003</v>
      </c>
      <c r="C474" s="7">
        <v>4.1059999999999999</v>
      </c>
      <c r="D474" s="7">
        <v>4.1139999999999999</v>
      </c>
      <c r="E474" s="7">
        <v>4.077</v>
      </c>
      <c r="F474" s="22"/>
    </row>
    <row r="475" spans="1:6" x14ac:dyDescent="0.4">
      <c r="A475" s="1">
        <v>45967</v>
      </c>
      <c r="B475" s="12">
        <v>4.0880000000000001</v>
      </c>
      <c r="C475" s="13">
        <v>4.1509999999999998</v>
      </c>
      <c r="D475" s="13">
        <v>4.1589999999999998</v>
      </c>
      <c r="E475" s="13">
        <v>4.077</v>
      </c>
      <c r="F475" s="23"/>
    </row>
    <row r="476" spans="1:6" x14ac:dyDescent="0.4">
      <c r="A476" s="1">
        <v>45968</v>
      </c>
      <c r="B476" s="20">
        <v>4.0970000000000004</v>
      </c>
      <c r="C476" s="13">
        <v>4.0970000000000004</v>
      </c>
      <c r="D476" s="13">
        <v>4.1130000000000004</v>
      </c>
      <c r="E476" s="13">
        <v>4.0650000000000004</v>
      </c>
    </row>
    <row r="477" spans="1:6" x14ac:dyDescent="0.4">
      <c r="A477" s="1">
        <v>45971</v>
      </c>
      <c r="B477" s="12">
        <v>4.12</v>
      </c>
      <c r="C477" s="13">
        <v>4.1369999999999996</v>
      </c>
      <c r="D477" s="13">
        <v>4.1500000000000004</v>
      </c>
      <c r="E477" s="13">
        <v>4.0970000000000004</v>
      </c>
      <c r="F477" s="23"/>
    </row>
    <row r="478" spans="1:6" x14ac:dyDescent="0.4">
      <c r="A478" s="1">
        <v>45972</v>
      </c>
      <c r="B478" s="12">
        <v>4.0670000000000002</v>
      </c>
      <c r="C478" s="13">
        <v>4.1180000000000003</v>
      </c>
      <c r="D478" s="13">
        <v>4.1230000000000002</v>
      </c>
      <c r="E478" s="13">
        <v>4.0650000000000004</v>
      </c>
      <c r="F478" s="23"/>
    </row>
    <row r="479" spans="1:6" x14ac:dyDescent="0.4">
      <c r="A479" s="1">
        <v>45973</v>
      </c>
      <c r="B479" s="12">
        <v>4.0650000000000004</v>
      </c>
      <c r="C479" s="13">
        <v>4.0839999999999996</v>
      </c>
      <c r="D479" s="13">
        <v>4.0949999999999998</v>
      </c>
      <c r="E479" s="13">
        <v>4.0529999999999999</v>
      </c>
      <c r="F479" s="23"/>
    </row>
    <row r="480" spans="1:6" x14ac:dyDescent="0.4">
      <c r="A480" s="1">
        <v>45974</v>
      </c>
      <c r="B480" s="9">
        <v>4.1070000000000002</v>
      </c>
      <c r="C480" s="7">
        <v>4.0720000000000001</v>
      </c>
      <c r="D480" s="7">
        <v>4.1109999999999998</v>
      </c>
      <c r="E480" s="7">
        <v>4.056</v>
      </c>
      <c r="F480" s="26"/>
    </row>
    <row r="481" spans="1:6" x14ac:dyDescent="0.4">
      <c r="A481" s="1">
        <v>45975</v>
      </c>
      <c r="B481" s="20">
        <v>4.1500000000000004</v>
      </c>
      <c r="C481" s="13">
        <v>4.0999999999999996</v>
      </c>
      <c r="D481" s="13">
        <v>4.1520000000000001</v>
      </c>
      <c r="E481" s="13">
        <v>4.0510000000000002</v>
      </c>
      <c r="F481" s="21"/>
    </row>
    <row r="482" spans="1:6" x14ac:dyDescent="0.4">
      <c r="A482" s="1">
        <v>45978</v>
      </c>
      <c r="B482" s="12">
        <v>4.133</v>
      </c>
      <c r="C482" s="13">
        <v>4.1429999999999998</v>
      </c>
      <c r="D482" s="13">
        <v>4.157</v>
      </c>
      <c r="E482" s="13">
        <v>4.1150000000000002</v>
      </c>
      <c r="F482" s="23"/>
    </row>
    <row r="483" spans="1:6" x14ac:dyDescent="0.4">
      <c r="A483" s="1">
        <v>45979</v>
      </c>
      <c r="B483" s="12">
        <v>4.1189999999999998</v>
      </c>
      <c r="C483" s="13">
        <v>4.1130000000000004</v>
      </c>
      <c r="D483" s="13">
        <v>4.1470000000000002</v>
      </c>
      <c r="E483" s="13">
        <v>4.08</v>
      </c>
      <c r="F483" s="23"/>
    </row>
    <row r="484" spans="1:6" x14ac:dyDescent="0.4">
      <c r="A484" s="1">
        <v>45980</v>
      </c>
      <c r="B484" s="20">
        <v>4.1360000000000001</v>
      </c>
      <c r="C484" s="13">
        <v>4.1150000000000002</v>
      </c>
      <c r="D484" s="13">
        <v>4.1399999999999997</v>
      </c>
      <c r="E484" s="13">
        <v>4.0960000000000001</v>
      </c>
    </row>
    <row r="485" spans="1:6" x14ac:dyDescent="0.4">
      <c r="A485" s="1">
        <v>45981</v>
      </c>
      <c r="B485" s="12">
        <v>4.0960000000000001</v>
      </c>
      <c r="C485" s="13">
        <v>4.1399999999999997</v>
      </c>
      <c r="D485" s="13">
        <v>4.1680000000000001</v>
      </c>
      <c r="E485" s="13">
        <v>4.085</v>
      </c>
      <c r="F485" s="23"/>
    </row>
    <row r="486" spans="1:6" x14ac:dyDescent="0.4">
      <c r="A486" s="1">
        <v>45982</v>
      </c>
      <c r="B486" s="12">
        <v>4.0629999999999997</v>
      </c>
      <c r="C486" s="13">
        <v>4.0869999999999997</v>
      </c>
      <c r="D486" s="13">
        <v>4.0990000000000002</v>
      </c>
      <c r="E486" s="13">
        <v>4.0330000000000004</v>
      </c>
      <c r="F486" s="23"/>
    </row>
    <row r="487" spans="1:6" x14ac:dyDescent="0.4">
      <c r="A487" s="1">
        <v>45985</v>
      </c>
      <c r="B487" s="12">
        <v>4.0359999999999996</v>
      </c>
      <c r="C487" s="13">
        <v>4.0629999999999997</v>
      </c>
      <c r="D487" s="13">
        <v>4.0659999999999998</v>
      </c>
      <c r="E487" s="13">
        <v>4.0309999999999997</v>
      </c>
      <c r="F487" s="23"/>
    </row>
    <row r="488" spans="1:6" x14ac:dyDescent="0.4">
      <c r="A488" s="1">
        <v>45986</v>
      </c>
      <c r="B488" s="12">
        <v>4</v>
      </c>
      <c r="C488" s="13">
        <v>4.0350000000000001</v>
      </c>
      <c r="D488" s="13">
        <v>4.0430000000000001</v>
      </c>
      <c r="E488" s="13">
        <v>3.984</v>
      </c>
      <c r="F488" s="23"/>
    </row>
    <row r="489" spans="1:6" x14ac:dyDescent="0.4">
      <c r="A489" s="1">
        <v>45987</v>
      </c>
      <c r="B489" s="12">
        <v>3.9940000000000002</v>
      </c>
      <c r="C489" s="13">
        <v>4.0069999999999997</v>
      </c>
      <c r="D489" s="13">
        <v>4.0430000000000001</v>
      </c>
      <c r="E489" s="13">
        <v>3.9910000000000001</v>
      </c>
      <c r="F489" s="23"/>
    </row>
    <row r="490" spans="1:6" x14ac:dyDescent="0.4">
      <c r="A490" s="1">
        <v>45989</v>
      </c>
      <c r="B490" s="20">
        <v>4.024</v>
      </c>
      <c r="C490" s="13">
        <v>4.0030000000000001</v>
      </c>
      <c r="D490" s="13">
        <v>4.0339999999999998</v>
      </c>
      <c r="E490" s="13">
        <v>3.9940000000000002</v>
      </c>
      <c r="F490" s="21"/>
    </row>
    <row r="491" spans="1:6" x14ac:dyDescent="0.4">
      <c r="A491" s="1">
        <v>45992</v>
      </c>
      <c r="B491" s="20">
        <v>4.0960000000000001</v>
      </c>
      <c r="C491" s="13">
        <v>4.0339999999999998</v>
      </c>
      <c r="D491" s="13">
        <v>4.0979999999999999</v>
      </c>
      <c r="E491" s="13">
        <v>4.0270000000000001</v>
      </c>
      <c r="F491" s="21"/>
    </row>
    <row r="492" spans="1:6" x14ac:dyDescent="0.4">
      <c r="A492" s="1">
        <v>45993</v>
      </c>
      <c r="B492" s="12">
        <v>4.0860000000000003</v>
      </c>
      <c r="C492" s="13">
        <v>4.0880000000000001</v>
      </c>
      <c r="D492" s="13">
        <v>4.1180000000000003</v>
      </c>
      <c r="E492" s="13">
        <v>4.0810000000000004</v>
      </c>
      <c r="F492" s="23"/>
    </row>
    <row r="493" spans="1:6" x14ac:dyDescent="0.4">
      <c r="A493" s="1">
        <v>45994</v>
      </c>
      <c r="B493" s="12">
        <v>4.0579999999999998</v>
      </c>
      <c r="C493" s="13">
        <v>4.0880000000000001</v>
      </c>
      <c r="D493" s="13">
        <v>4.09</v>
      </c>
      <c r="E493" s="13">
        <v>4.05</v>
      </c>
      <c r="F493" s="23"/>
    </row>
    <row r="494" spans="1:6" x14ac:dyDescent="0.4">
      <c r="A494" s="1">
        <v>45995</v>
      </c>
      <c r="B494" s="20">
        <v>4.1079999999999997</v>
      </c>
      <c r="C494" s="13">
        <v>4.0730000000000004</v>
      </c>
      <c r="D494" s="13">
        <v>4.1139999999999999</v>
      </c>
      <c r="E494" s="13">
        <v>4.0730000000000004</v>
      </c>
      <c r="F494" s="21"/>
    </row>
    <row r="495" spans="1:6" x14ac:dyDescent="0.4">
      <c r="A495" s="1">
        <v>45996</v>
      </c>
      <c r="B495" s="20">
        <v>4.1390000000000002</v>
      </c>
      <c r="C495" s="13">
        <v>4.0999999999999996</v>
      </c>
      <c r="D495" s="13">
        <v>4.1449999999999996</v>
      </c>
      <c r="E495" s="13">
        <v>4.0880000000000001</v>
      </c>
      <c r="F495" s="21"/>
    </row>
    <row r="496" spans="1:6" x14ac:dyDescent="0.4">
      <c r="A496" s="1">
        <v>45999</v>
      </c>
      <c r="B496" s="20">
        <v>4.1719999999999997</v>
      </c>
      <c r="C496" s="13">
        <v>4.1429999999999998</v>
      </c>
      <c r="D496" s="13">
        <v>4.1920000000000002</v>
      </c>
      <c r="E496" s="13">
        <v>4.1289999999999996</v>
      </c>
      <c r="F496" s="21"/>
    </row>
    <row r="497" spans="1:6" x14ac:dyDescent="0.4">
      <c r="A497" s="1">
        <v>46000</v>
      </c>
      <c r="B497" s="20">
        <v>4.1859999999999999</v>
      </c>
      <c r="C497" s="13">
        <v>4.1660000000000004</v>
      </c>
      <c r="D497" s="13">
        <v>4.1920000000000002</v>
      </c>
      <c r="E497" s="13">
        <v>4.141</v>
      </c>
      <c r="F497" s="21"/>
    </row>
    <row r="498" spans="1:6" x14ac:dyDescent="0.4">
      <c r="A498" s="1">
        <v>46001</v>
      </c>
      <c r="B498" s="12">
        <v>4.1639999999999997</v>
      </c>
      <c r="C498" s="13">
        <v>4.1859999999999999</v>
      </c>
      <c r="D498" s="13">
        <v>4.2089999999999996</v>
      </c>
      <c r="E498" s="13">
        <v>4.1369999999999996</v>
      </c>
      <c r="F498" s="23"/>
    </row>
    <row r="499" spans="1:6" x14ac:dyDescent="0.4">
      <c r="A499" s="1">
        <v>46002</v>
      </c>
      <c r="B499" s="12">
        <v>4.141</v>
      </c>
      <c r="C499" s="13">
        <v>4.1369999999999996</v>
      </c>
      <c r="D499" s="13">
        <v>4.1609999999999996</v>
      </c>
      <c r="E499" s="13">
        <v>4.0999999999999996</v>
      </c>
      <c r="F499" s="23"/>
    </row>
    <row r="500" spans="1:6" x14ac:dyDescent="0.4">
      <c r="A500" s="1">
        <v>46003</v>
      </c>
      <c r="B500" s="9">
        <v>4.1959999999999997</v>
      </c>
      <c r="C500" s="7">
        <v>4.1470000000000002</v>
      </c>
      <c r="D500" s="7">
        <v>4.2</v>
      </c>
      <c r="E500" s="7">
        <v>4.1470000000000002</v>
      </c>
      <c r="F500" s="26"/>
    </row>
    <row r="501" spans="1:6" x14ac:dyDescent="0.4">
      <c r="A501" s="1">
        <v>46006</v>
      </c>
      <c r="B501" s="12">
        <v>4.1769999999999996</v>
      </c>
      <c r="C501" s="13">
        <v>4.1879999999999997</v>
      </c>
      <c r="D501" s="13">
        <v>4.1900000000000004</v>
      </c>
      <c r="E501" s="13">
        <v>4.149</v>
      </c>
      <c r="F501" s="23"/>
    </row>
    <row r="502" spans="1:6" x14ac:dyDescent="0.4">
      <c r="A502" s="1">
        <v>46007</v>
      </c>
      <c r="B502" s="11">
        <v>4.1470000000000002</v>
      </c>
      <c r="C502" s="7">
        <v>4.1680000000000001</v>
      </c>
      <c r="D502" s="7">
        <v>4.1970000000000001</v>
      </c>
      <c r="E502" s="7">
        <v>4.133</v>
      </c>
    </row>
    <row r="503" spans="1:6" x14ac:dyDescent="0.4">
      <c r="A503" s="1">
        <v>46008</v>
      </c>
      <c r="B503" s="12">
        <v>4.1539999999999999</v>
      </c>
    </row>
  </sheetData>
  <autoFilter ref="A1:F1" xr:uid="{00000000-0009-0000-0000-000004000000}">
    <sortState xmlns:xlrd2="http://schemas.microsoft.com/office/spreadsheetml/2017/richdata2" ref="A2:F348">
      <sortCondition ref="A1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506"/>
  <sheetViews>
    <sheetView topLeftCell="A501" workbookViewId="0">
      <selection activeCell="B507" sqref="B507"/>
    </sheetView>
  </sheetViews>
  <sheetFormatPr defaultRowHeight="17.399999999999999" x14ac:dyDescent="0.4"/>
  <cols>
    <col min="1" max="1" width="11.09765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4">
      <c r="A2" s="1">
        <v>45292</v>
      </c>
      <c r="B2">
        <v>3.84</v>
      </c>
      <c r="C2">
        <v>3.84</v>
      </c>
      <c r="D2">
        <v>3.84</v>
      </c>
      <c r="E2">
        <v>3.84</v>
      </c>
      <c r="F2" s="2">
        <v>0</v>
      </c>
    </row>
    <row r="3" spans="1:6" x14ac:dyDescent="0.4">
      <c r="A3" s="1">
        <v>45293</v>
      </c>
      <c r="B3">
        <v>3.9220000000000002</v>
      </c>
      <c r="C3">
        <v>3.8889999999999998</v>
      </c>
      <c r="D3">
        <v>3.98</v>
      </c>
      <c r="E3">
        <v>3.8490000000000002</v>
      </c>
      <c r="F3" s="2">
        <v>2.1299999999999999E-2</v>
      </c>
    </row>
    <row r="4" spans="1:6" x14ac:dyDescent="0.4">
      <c r="A4" s="1">
        <v>45294</v>
      </c>
      <c r="B4">
        <v>3.9049999999999998</v>
      </c>
      <c r="C4">
        <v>3.931</v>
      </c>
      <c r="D4">
        <v>3.9889999999999999</v>
      </c>
      <c r="E4">
        <v>3.8820000000000001</v>
      </c>
      <c r="F4" s="2">
        <v>-4.4000000000000003E-3</v>
      </c>
    </row>
    <row r="5" spans="1:6" x14ac:dyDescent="0.4">
      <c r="A5" s="1">
        <v>45295</v>
      </c>
      <c r="B5">
        <v>3.98</v>
      </c>
      <c r="C5">
        <v>3.8980000000000001</v>
      </c>
      <c r="D5">
        <v>3.9870000000000001</v>
      </c>
      <c r="E5">
        <v>3.8769999999999998</v>
      </c>
      <c r="F5" s="2">
        <v>1.9300000000000001E-2</v>
      </c>
    </row>
    <row r="6" spans="1:6" x14ac:dyDescent="0.4">
      <c r="A6" s="1">
        <v>45296</v>
      </c>
      <c r="B6">
        <v>4.0149999999999997</v>
      </c>
      <c r="C6">
        <v>3.976</v>
      </c>
      <c r="D6">
        <v>4.0979999999999999</v>
      </c>
      <c r="E6">
        <v>3.919</v>
      </c>
      <c r="F6" s="2">
        <v>8.8999999999999999E-3</v>
      </c>
    </row>
    <row r="7" spans="1:6" x14ac:dyDescent="0.4">
      <c r="A7" s="1">
        <v>45299</v>
      </c>
      <c r="B7">
        <v>3.9860000000000002</v>
      </c>
      <c r="C7">
        <v>4.0090000000000003</v>
      </c>
      <c r="D7">
        <v>4.0330000000000004</v>
      </c>
      <c r="E7">
        <v>3.9169999999999998</v>
      </c>
      <c r="F7" s="2">
        <v>-7.4000000000000003E-3</v>
      </c>
    </row>
    <row r="8" spans="1:6" x14ac:dyDescent="0.4">
      <c r="A8" s="1">
        <v>45300</v>
      </c>
      <c r="B8">
        <v>3.972</v>
      </c>
      <c r="C8">
        <v>3.9790000000000001</v>
      </c>
      <c r="D8">
        <v>4.0069999999999997</v>
      </c>
      <c r="E8">
        <v>3.9540000000000002</v>
      </c>
      <c r="F8" s="2">
        <v>-3.5000000000000001E-3</v>
      </c>
    </row>
    <row r="9" spans="1:6" x14ac:dyDescent="0.4">
      <c r="A9" s="1">
        <v>45301</v>
      </c>
      <c r="B9">
        <v>3.9740000000000002</v>
      </c>
      <c r="C9">
        <v>3.9590000000000001</v>
      </c>
      <c r="D9">
        <v>3.9910000000000001</v>
      </c>
      <c r="E9">
        <v>3.9329999999999998</v>
      </c>
      <c r="F9" s="2">
        <v>5.0000000000000001E-4</v>
      </c>
    </row>
    <row r="10" spans="1:6" x14ac:dyDescent="0.4">
      <c r="A10" s="1">
        <v>45302</v>
      </c>
      <c r="B10">
        <v>3.8879999999999999</v>
      </c>
      <c r="C10">
        <v>3.972</v>
      </c>
      <c r="D10">
        <v>4.0119999999999996</v>
      </c>
      <c r="E10">
        <v>3.8809999999999998</v>
      </c>
      <c r="F10" s="2">
        <v>-2.1600000000000001E-2</v>
      </c>
    </row>
    <row r="11" spans="1:6" x14ac:dyDescent="0.4">
      <c r="A11" s="1">
        <v>45303</v>
      </c>
      <c r="B11">
        <v>3.8319999999999999</v>
      </c>
      <c r="C11">
        <v>3.875</v>
      </c>
      <c r="D11">
        <v>3.9249999999999998</v>
      </c>
      <c r="E11">
        <v>3.8</v>
      </c>
      <c r="F11" s="2">
        <v>-1.44E-2</v>
      </c>
    </row>
    <row r="12" spans="1:6" x14ac:dyDescent="0.4">
      <c r="A12" s="1">
        <v>45306</v>
      </c>
      <c r="B12">
        <v>3.875</v>
      </c>
      <c r="C12">
        <v>3.875</v>
      </c>
      <c r="D12">
        <v>3.875</v>
      </c>
      <c r="E12">
        <v>3.875</v>
      </c>
      <c r="F12" s="2">
        <v>1.14E-2</v>
      </c>
    </row>
    <row r="13" spans="1:6" x14ac:dyDescent="0.4">
      <c r="A13" s="1">
        <v>45307</v>
      </c>
      <c r="B13">
        <v>3.9340000000000002</v>
      </c>
      <c r="C13">
        <v>3.875</v>
      </c>
      <c r="D13">
        <v>3.9670000000000001</v>
      </c>
      <c r="E13">
        <v>3.867</v>
      </c>
      <c r="F13" s="2">
        <v>1.4999999999999999E-2</v>
      </c>
    </row>
    <row r="14" spans="1:6" x14ac:dyDescent="0.4">
      <c r="A14" s="1">
        <v>45308</v>
      </c>
      <c r="B14">
        <v>4.0309999999999997</v>
      </c>
      <c r="C14">
        <v>3.9390000000000001</v>
      </c>
      <c r="D14">
        <v>4.0469999999999997</v>
      </c>
      <c r="E14">
        <v>3.9119999999999999</v>
      </c>
      <c r="F14" s="2">
        <v>2.47E-2</v>
      </c>
    </row>
    <row r="15" spans="1:6" x14ac:dyDescent="0.4">
      <c r="A15" s="1">
        <v>45309</v>
      </c>
      <c r="B15">
        <v>4.0449999999999999</v>
      </c>
      <c r="C15">
        <v>4.024</v>
      </c>
      <c r="D15">
        <v>4.0570000000000004</v>
      </c>
      <c r="E15">
        <v>3.9849999999999999</v>
      </c>
      <c r="F15" s="2">
        <v>3.5000000000000001E-3</v>
      </c>
    </row>
    <row r="16" spans="1:6" x14ac:dyDescent="0.4">
      <c r="A16" s="1">
        <v>45310</v>
      </c>
      <c r="B16">
        <v>4.0540000000000003</v>
      </c>
      <c r="C16">
        <v>4.0570000000000004</v>
      </c>
      <c r="D16">
        <v>4.1109999999999998</v>
      </c>
      <c r="E16">
        <v>4.0359999999999996</v>
      </c>
      <c r="F16" s="2">
        <v>2.3E-3</v>
      </c>
    </row>
    <row r="17" spans="1:6" x14ac:dyDescent="0.4">
      <c r="A17" s="1">
        <v>45313</v>
      </c>
      <c r="B17">
        <v>4.03</v>
      </c>
      <c r="C17">
        <v>4.0670000000000002</v>
      </c>
      <c r="D17">
        <v>4.069</v>
      </c>
      <c r="E17">
        <v>4.0030000000000001</v>
      </c>
      <c r="F17" s="2">
        <v>-6.1000000000000004E-3</v>
      </c>
    </row>
    <row r="18" spans="1:6" x14ac:dyDescent="0.4">
      <c r="A18" s="1">
        <v>45314</v>
      </c>
      <c r="B18">
        <v>4.0419999999999998</v>
      </c>
      <c r="C18">
        <v>4.024</v>
      </c>
      <c r="D18">
        <v>4.0650000000000004</v>
      </c>
      <c r="E18">
        <v>4.01</v>
      </c>
      <c r="F18" s="2">
        <v>3.0999999999999999E-3</v>
      </c>
    </row>
    <row r="19" spans="1:6" x14ac:dyDescent="0.4">
      <c r="A19" s="1">
        <v>45315</v>
      </c>
      <c r="B19">
        <v>4.0919999999999996</v>
      </c>
      <c r="C19">
        <v>4.04</v>
      </c>
      <c r="D19">
        <v>4.0960000000000001</v>
      </c>
      <c r="E19">
        <v>3.9889999999999999</v>
      </c>
      <c r="F19" s="2">
        <v>1.23E-2</v>
      </c>
    </row>
    <row r="20" spans="1:6" x14ac:dyDescent="0.4">
      <c r="A20" s="1">
        <v>45316</v>
      </c>
      <c r="B20">
        <v>4.0019999999999998</v>
      </c>
      <c r="C20">
        <v>4.0839999999999996</v>
      </c>
      <c r="D20">
        <v>4.1029999999999998</v>
      </c>
      <c r="E20">
        <v>4</v>
      </c>
      <c r="F20" s="2">
        <v>-2.2100000000000002E-2</v>
      </c>
    </row>
    <row r="21" spans="1:6" x14ac:dyDescent="0.4">
      <c r="A21" s="1">
        <v>45317</v>
      </c>
      <c r="B21">
        <v>4.0380000000000003</v>
      </c>
      <c r="C21">
        <v>3.988</v>
      </c>
      <c r="D21">
        <v>4.0659999999999998</v>
      </c>
      <c r="E21">
        <v>3.9769999999999999</v>
      </c>
      <c r="F21" s="2">
        <v>9.1000000000000004E-3</v>
      </c>
    </row>
    <row r="22" spans="1:6" x14ac:dyDescent="0.4">
      <c r="A22" s="1">
        <v>45320</v>
      </c>
      <c r="B22">
        <v>3.9860000000000002</v>
      </c>
      <c r="C22">
        <v>4.0350000000000001</v>
      </c>
      <c r="D22">
        <v>4.0419999999999998</v>
      </c>
      <c r="E22">
        <v>3.9670000000000001</v>
      </c>
      <c r="F22" s="2">
        <v>-1.29E-2</v>
      </c>
    </row>
    <row r="23" spans="1:6" x14ac:dyDescent="0.4">
      <c r="A23" s="1">
        <v>45321</v>
      </c>
      <c r="B23">
        <v>3.9740000000000002</v>
      </c>
      <c r="C23">
        <v>3.988</v>
      </c>
      <c r="D23">
        <v>4.0330000000000004</v>
      </c>
      <c r="E23">
        <v>3.948</v>
      </c>
      <c r="F23" s="2">
        <v>-3.0999999999999999E-3</v>
      </c>
    </row>
    <row r="24" spans="1:6" x14ac:dyDescent="0.4">
      <c r="A24" s="1">
        <v>45322</v>
      </c>
      <c r="B24">
        <v>3.839</v>
      </c>
      <c r="C24">
        <v>3.976</v>
      </c>
      <c r="D24">
        <v>3.9769999999999999</v>
      </c>
      <c r="E24">
        <v>3.8340000000000001</v>
      </c>
      <c r="F24" s="2">
        <v>-3.4000000000000002E-2</v>
      </c>
    </row>
    <row r="25" spans="1:6" x14ac:dyDescent="0.4">
      <c r="A25" s="1">
        <v>45323</v>
      </c>
      <c r="B25">
        <v>3.8180000000000001</v>
      </c>
      <c r="C25">
        <v>3.859</v>
      </c>
      <c r="D25">
        <v>3.8849999999999998</v>
      </c>
      <c r="E25">
        <v>3.7490000000000001</v>
      </c>
      <c r="F25" s="2">
        <v>-5.4000000000000003E-3</v>
      </c>
    </row>
    <row r="26" spans="1:6" x14ac:dyDescent="0.4">
      <c r="A26" s="1">
        <v>45324</v>
      </c>
      <c r="B26">
        <v>3.9860000000000002</v>
      </c>
      <c r="C26">
        <v>3.8090000000000002</v>
      </c>
      <c r="D26">
        <v>4.0209999999999999</v>
      </c>
      <c r="E26">
        <v>3.8039999999999998</v>
      </c>
      <c r="F26" s="2">
        <v>4.3999999999999997E-2</v>
      </c>
    </row>
    <row r="27" spans="1:6" x14ac:dyDescent="0.4">
      <c r="A27" s="1">
        <v>45327</v>
      </c>
      <c r="B27">
        <v>4.1219999999999999</v>
      </c>
      <c r="C27">
        <v>4.0209999999999999</v>
      </c>
      <c r="D27">
        <v>4.1349999999999998</v>
      </c>
      <c r="E27">
        <v>4.016</v>
      </c>
      <c r="F27" s="2">
        <v>3.4200000000000001E-2</v>
      </c>
    </row>
    <row r="28" spans="1:6" x14ac:dyDescent="0.4">
      <c r="A28" s="1">
        <v>45328</v>
      </c>
      <c r="B28">
        <v>4.0359999999999996</v>
      </c>
      <c r="C28">
        <v>4.1029999999999998</v>
      </c>
      <c r="D28">
        <v>4.1289999999999996</v>
      </c>
      <c r="E28">
        <v>4.0259999999999998</v>
      </c>
      <c r="F28" s="2">
        <v>-2.0799999999999999E-2</v>
      </c>
    </row>
    <row r="29" spans="1:6" x14ac:dyDescent="0.4">
      <c r="A29" s="1">
        <v>45329</v>
      </c>
      <c r="B29">
        <v>4.0640000000000001</v>
      </c>
      <c r="C29">
        <v>4.0469999999999997</v>
      </c>
      <c r="D29">
        <v>4.0730000000000004</v>
      </c>
      <c r="E29">
        <v>4.0019999999999998</v>
      </c>
      <c r="F29" s="2">
        <v>6.8999999999999999E-3</v>
      </c>
    </row>
    <row r="30" spans="1:6" x14ac:dyDescent="0.4">
      <c r="A30" s="1">
        <v>45330</v>
      </c>
      <c r="B30">
        <v>4.1189999999999998</v>
      </c>
      <c r="C30">
        <v>4.0640000000000001</v>
      </c>
      <c r="D30">
        <v>4.1280000000000001</v>
      </c>
      <c r="E30">
        <v>4.05</v>
      </c>
      <c r="F30" s="2">
        <v>1.34E-2</v>
      </c>
    </row>
    <row r="31" spans="1:6" x14ac:dyDescent="0.4">
      <c r="A31" s="1">
        <v>45331</v>
      </c>
      <c r="B31">
        <v>4.1420000000000003</v>
      </c>
      <c r="C31">
        <v>4.1139999999999999</v>
      </c>
      <c r="D31">
        <v>4.1630000000000003</v>
      </c>
      <c r="E31">
        <v>4.0839999999999996</v>
      </c>
      <c r="F31" s="2">
        <v>5.5999999999999999E-3</v>
      </c>
    </row>
    <row r="32" spans="1:6" x14ac:dyDescent="0.4">
      <c r="A32" s="1">
        <v>45334</v>
      </c>
      <c r="B32">
        <v>4.1390000000000002</v>
      </c>
      <c r="C32">
        <v>4.1529999999999996</v>
      </c>
      <c r="D32">
        <v>4.1539999999999999</v>
      </c>
      <c r="E32">
        <v>4.1050000000000004</v>
      </c>
      <c r="F32" s="2">
        <v>-8.0000000000000004E-4</v>
      </c>
    </row>
    <row r="33" spans="1:6" x14ac:dyDescent="0.4">
      <c r="A33" s="1">
        <v>45335</v>
      </c>
      <c r="B33">
        <v>4.33</v>
      </c>
      <c r="C33">
        <v>4.1369999999999996</v>
      </c>
      <c r="D33">
        <v>4.3339999999999996</v>
      </c>
      <c r="E33">
        <v>4.1139999999999999</v>
      </c>
      <c r="F33" s="2">
        <v>4.6300000000000001E-2</v>
      </c>
    </row>
    <row r="34" spans="1:6" x14ac:dyDescent="0.4">
      <c r="A34" s="1">
        <v>45336</v>
      </c>
      <c r="B34">
        <v>4.2450000000000001</v>
      </c>
      <c r="C34">
        <v>4.3280000000000003</v>
      </c>
      <c r="D34">
        <v>4.3319999999999999</v>
      </c>
      <c r="E34">
        <v>4.2229999999999999</v>
      </c>
      <c r="F34" s="2">
        <v>-1.9699999999999999E-2</v>
      </c>
    </row>
    <row r="35" spans="1:6" x14ac:dyDescent="0.4">
      <c r="A35" s="1">
        <v>45337</v>
      </c>
      <c r="B35">
        <v>4.218</v>
      </c>
      <c r="C35">
        <v>4.2380000000000004</v>
      </c>
      <c r="D35">
        <v>4.24</v>
      </c>
      <c r="E35">
        <v>4.1630000000000003</v>
      </c>
      <c r="F35" s="2">
        <v>-6.1999999999999998E-3</v>
      </c>
    </row>
    <row r="36" spans="1:6" x14ac:dyDescent="0.4">
      <c r="A36" s="1">
        <v>45338</v>
      </c>
      <c r="B36">
        <v>4.2759999999999998</v>
      </c>
      <c r="C36">
        <v>4.2220000000000004</v>
      </c>
      <c r="D36">
        <v>4.3419999999999996</v>
      </c>
      <c r="E36">
        <v>4.218</v>
      </c>
      <c r="F36" s="2">
        <v>1.3599999999999999E-2</v>
      </c>
    </row>
    <row r="37" spans="1:6" x14ac:dyDescent="0.4">
      <c r="A37" s="1">
        <v>45341</v>
      </c>
      <c r="B37">
        <v>4.2990000000000004</v>
      </c>
      <c r="C37">
        <v>4.3019999999999996</v>
      </c>
      <c r="D37">
        <v>4.3040000000000003</v>
      </c>
      <c r="E37">
        <v>4.2990000000000004</v>
      </c>
      <c r="F37" s="2">
        <v>5.4000000000000003E-3</v>
      </c>
    </row>
    <row r="38" spans="1:6" x14ac:dyDescent="0.4">
      <c r="A38" s="1">
        <v>45342</v>
      </c>
      <c r="B38">
        <v>4.2539999999999996</v>
      </c>
      <c r="C38">
        <v>4.3</v>
      </c>
      <c r="D38">
        <v>4.3079999999999998</v>
      </c>
      <c r="E38">
        <v>4.2190000000000003</v>
      </c>
      <c r="F38" s="2">
        <v>-1.04E-2</v>
      </c>
    </row>
    <row r="39" spans="1:6" x14ac:dyDescent="0.4">
      <c r="A39" s="1">
        <v>45343</v>
      </c>
      <c r="B39">
        <v>4.3040000000000003</v>
      </c>
      <c r="C39">
        <v>4.2560000000000002</v>
      </c>
      <c r="D39">
        <v>4.3120000000000003</v>
      </c>
      <c r="E39">
        <v>4.2210000000000001</v>
      </c>
      <c r="F39" s="2">
        <v>1.18E-2</v>
      </c>
    </row>
    <row r="40" spans="1:6" x14ac:dyDescent="0.4">
      <c r="A40" s="1">
        <v>45344</v>
      </c>
      <c r="B40">
        <v>4.3330000000000002</v>
      </c>
      <c r="C40">
        <v>4.3040000000000003</v>
      </c>
      <c r="D40">
        <v>4.3550000000000004</v>
      </c>
      <c r="E40">
        <v>4.2809999999999997</v>
      </c>
      <c r="F40" s="2">
        <v>6.7000000000000002E-3</v>
      </c>
    </row>
    <row r="41" spans="1:6" x14ac:dyDescent="0.4">
      <c r="A41" s="1">
        <v>45345</v>
      </c>
      <c r="B41">
        <v>4.2779999999999996</v>
      </c>
      <c r="C41">
        <v>4.3570000000000002</v>
      </c>
      <c r="D41">
        <v>4.3659999999999997</v>
      </c>
      <c r="E41">
        <v>4.2690000000000001</v>
      </c>
      <c r="F41" s="2">
        <v>-1.2699999999999999E-2</v>
      </c>
    </row>
    <row r="42" spans="1:6" x14ac:dyDescent="0.4">
      <c r="A42" s="1">
        <v>45348</v>
      </c>
      <c r="B42">
        <v>4.2960000000000003</v>
      </c>
      <c r="C42">
        <v>4.2640000000000002</v>
      </c>
      <c r="D42">
        <v>4.3390000000000004</v>
      </c>
      <c r="E42">
        <v>4.25</v>
      </c>
      <c r="F42" s="2">
        <v>4.1000000000000003E-3</v>
      </c>
    </row>
    <row r="43" spans="1:6" x14ac:dyDescent="0.4">
      <c r="A43" s="1">
        <v>45349</v>
      </c>
      <c r="B43">
        <v>4.3109999999999999</v>
      </c>
      <c r="C43">
        <v>4.3010000000000002</v>
      </c>
      <c r="D43">
        <v>4.3310000000000004</v>
      </c>
      <c r="E43">
        <v>4.2709999999999999</v>
      </c>
      <c r="F43" s="2">
        <v>3.7000000000000002E-3</v>
      </c>
    </row>
    <row r="44" spans="1:6" x14ac:dyDescent="0.4">
      <c r="A44" s="1">
        <v>45350</v>
      </c>
      <c r="B44">
        <v>4.2640000000000002</v>
      </c>
      <c r="C44">
        <v>4.3170000000000002</v>
      </c>
      <c r="D44">
        <v>4.3170000000000002</v>
      </c>
      <c r="E44">
        <v>4.2619999999999996</v>
      </c>
      <c r="F44" s="2">
        <v>-1.0999999999999999E-2</v>
      </c>
    </row>
    <row r="45" spans="1:6" x14ac:dyDescent="0.4">
      <c r="A45" s="1">
        <v>45351</v>
      </c>
      <c r="B45">
        <v>4.2519999999999998</v>
      </c>
      <c r="C45">
        <v>4.266</v>
      </c>
      <c r="D45">
        <v>4.3250000000000002</v>
      </c>
      <c r="E45">
        <v>4.226</v>
      </c>
      <c r="F45" s="2">
        <v>-2.8999999999999998E-3</v>
      </c>
    </row>
    <row r="46" spans="1:6" x14ac:dyDescent="0.4">
      <c r="A46" s="1">
        <v>45352</v>
      </c>
      <c r="B46">
        <v>4.1619999999999999</v>
      </c>
      <c r="C46">
        <v>4.25</v>
      </c>
      <c r="D46">
        <v>4.29</v>
      </c>
      <c r="E46">
        <v>4.1520000000000001</v>
      </c>
      <c r="F46" s="2">
        <v>-2.1000000000000001E-2</v>
      </c>
    </row>
    <row r="47" spans="1:6" x14ac:dyDescent="0.4">
      <c r="A47" s="1">
        <v>45355</v>
      </c>
      <c r="B47">
        <v>4.2089999999999996</v>
      </c>
      <c r="C47">
        <v>4.173</v>
      </c>
      <c r="D47">
        <v>4.22</v>
      </c>
      <c r="E47">
        <v>4.1710000000000003</v>
      </c>
      <c r="F47" s="2">
        <v>1.1299999999999999E-2</v>
      </c>
    </row>
    <row r="48" spans="1:6" x14ac:dyDescent="0.4">
      <c r="A48" s="1">
        <v>45356</v>
      </c>
      <c r="B48">
        <v>4.1479999999999997</v>
      </c>
      <c r="C48">
        <v>4.2089999999999996</v>
      </c>
      <c r="D48">
        <v>4.2149999999999999</v>
      </c>
      <c r="E48">
        <v>4.1100000000000003</v>
      </c>
      <c r="F48" s="2">
        <v>-1.4500000000000001E-2</v>
      </c>
    </row>
    <row r="49" spans="1:6" x14ac:dyDescent="0.4">
      <c r="A49" s="1">
        <v>45357</v>
      </c>
      <c r="B49">
        <v>4.12</v>
      </c>
      <c r="C49">
        <v>4.1449999999999996</v>
      </c>
      <c r="D49">
        <v>4.1619999999999999</v>
      </c>
      <c r="E49">
        <v>4.0750000000000002</v>
      </c>
      <c r="F49" s="2">
        <v>-6.7000000000000002E-3</v>
      </c>
    </row>
    <row r="50" spans="1:6" x14ac:dyDescent="0.4">
      <c r="A50" s="1">
        <v>45358</v>
      </c>
      <c r="B50">
        <v>4.0750000000000002</v>
      </c>
      <c r="C50">
        <v>4.1150000000000002</v>
      </c>
      <c r="D50">
        <v>4.1379999999999999</v>
      </c>
      <c r="E50">
        <v>4.0629999999999997</v>
      </c>
      <c r="F50" s="2">
        <v>-1.0999999999999999E-2</v>
      </c>
    </row>
    <row r="51" spans="1:6" x14ac:dyDescent="0.4">
      <c r="A51" s="1">
        <v>45359</v>
      </c>
      <c r="B51">
        <v>4.05</v>
      </c>
      <c r="C51">
        <v>4.08</v>
      </c>
      <c r="D51">
        <v>4.1269999999999998</v>
      </c>
      <c r="E51">
        <v>3.9940000000000002</v>
      </c>
      <c r="F51" s="2">
        <v>-6.1000000000000004E-3</v>
      </c>
    </row>
    <row r="52" spans="1:6" x14ac:dyDescent="0.4">
      <c r="A52" s="1">
        <v>45362</v>
      </c>
      <c r="B52">
        <v>4.0880000000000001</v>
      </c>
      <c r="C52">
        <v>4.0590000000000002</v>
      </c>
      <c r="D52">
        <v>4.101</v>
      </c>
      <c r="E52">
        <v>4.032</v>
      </c>
      <c r="F52" s="2">
        <v>9.4000000000000004E-3</v>
      </c>
    </row>
    <row r="53" spans="1:6" x14ac:dyDescent="0.4">
      <c r="A53" s="1">
        <v>45363</v>
      </c>
      <c r="B53">
        <v>4.1479999999999997</v>
      </c>
      <c r="C53">
        <v>4.0830000000000002</v>
      </c>
      <c r="D53">
        <v>4.1740000000000004</v>
      </c>
      <c r="E53">
        <v>4.0659999999999998</v>
      </c>
      <c r="F53" s="2">
        <v>1.46E-2</v>
      </c>
    </row>
    <row r="54" spans="1:6" x14ac:dyDescent="0.4">
      <c r="A54" s="1">
        <v>45364</v>
      </c>
      <c r="B54">
        <v>4.1929999999999996</v>
      </c>
      <c r="C54">
        <v>4.1440000000000001</v>
      </c>
      <c r="D54">
        <v>4.2</v>
      </c>
      <c r="E54">
        <v>4.1319999999999997</v>
      </c>
      <c r="F54" s="2">
        <v>1.0999999999999999E-2</v>
      </c>
    </row>
    <row r="55" spans="1:6" x14ac:dyDescent="0.4">
      <c r="A55" s="1">
        <v>45365</v>
      </c>
      <c r="B55">
        <v>4.2919999999999998</v>
      </c>
      <c r="C55">
        <v>4.1970000000000001</v>
      </c>
      <c r="D55">
        <v>4.2990000000000004</v>
      </c>
      <c r="E55">
        <v>4.1900000000000004</v>
      </c>
      <c r="F55" s="2">
        <v>2.35E-2</v>
      </c>
    </row>
    <row r="56" spans="1:6" x14ac:dyDescent="0.4">
      <c r="A56" s="1">
        <v>45366</v>
      </c>
      <c r="B56">
        <v>4.3289999999999997</v>
      </c>
      <c r="C56">
        <v>4.2939999999999996</v>
      </c>
      <c r="D56">
        <v>4.34</v>
      </c>
      <c r="E56">
        <v>4.2759999999999998</v>
      </c>
      <c r="F56" s="2">
        <v>8.6999999999999994E-3</v>
      </c>
    </row>
    <row r="57" spans="1:6" x14ac:dyDescent="0.4">
      <c r="A57" s="1">
        <v>45369</v>
      </c>
      <c r="B57">
        <v>4.3490000000000002</v>
      </c>
      <c r="C57">
        <v>4.3310000000000004</v>
      </c>
      <c r="D57">
        <v>4.3680000000000003</v>
      </c>
      <c r="E57">
        <v>4.3129999999999997</v>
      </c>
      <c r="F57" s="2">
        <v>4.4999999999999997E-3</v>
      </c>
    </row>
    <row r="58" spans="1:6" x14ac:dyDescent="0.4">
      <c r="A58" s="1">
        <v>45370</v>
      </c>
      <c r="B58">
        <v>4.2990000000000004</v>
      </c>
      <c r="C58">
        <v>4.3470000000000004</v>
      </c>
      <c r="D58">
        <v>4.3540000000000001</v>
      </c>
      <c r="E58">
        <v>4.2949999999999999</v>
      </c>
      <c r="F58" s="2">
        <v>-1.14E-2</v>
      </c>
    </row>
    <row r="59" spans="1:6" x14ac:dyDescent="0.4">
      <c r="A59" s="1">
        <v>45371</v>
      </c>
      <c r="B59">
        <v>4.2480000000000002</v>
      </c>
      <c r="C59">
        <v>4.2990000000000004</v>
      </c>
      <c r="D59">
        <v>4.306</v>
      </c>
      <c r="E59">
        <v>4.2270000000000003</v>
      </c>
      <c r="F59" s="2">
        <v>-1.2E-2</v>
      </c>
    </row>
    <row r="60" spans="1:6" x14ac:dyDescent="0.4">
      <c r="A60" s="1">
        <v>45372</v>
      </c>
      <c r="B60">
        <v>4.2560000000000002</v>
      </c>
      <c r="C60">
        <v>4.2350000000000003</v>
      </c>
      <c r="D60">
        <v>4.2709999999999999</v>
      </c>
      <c r="E60">
        <v>4.1859999999999999</v>
      </c>
      <c r="F60" s="2">
        <v>2.0999999999999999E-3</v>
      </c>
    </row>
    <row r="61" spans="1:6" x14ac:dyDescent="0.4">
      <c r="A61" s="1">
        <v>45373</v>
      </c>
      <c r="B61">
        <v>4.1890000000000001</v>
      </c>
      <c r="C61">
        <v>4.2489999999999997</v>
      </c>
      <c r="D61">
        <v>4.2489999999999997</v>
      </c>
      <c r="E61">
        <v>4.1859999999999999</v>
      </c>
      <c r="F61" s="2">
        <v>-1.5800000000000002E-2</v>
      </c>
    </row>
    <row r="62" spans="1:6" x14ac:dyDescent="0.4">
      <c r="A62" s="1">
        <v>45376</v>
      </c>
      <c r="B62">
        <v>4.2329999999999997</v>
      </c>
      <c r="C62">
        <v>4.1859999999999999</v>
      </c>
      <c r="D62">
        <v>4.2439999999999998</v>
      </c>
      <c r="E62">
        <v>4.1790000000000003</v>
      </c>
      <c r="F62" s="2">
        <v>1.06E-2</v>
      </c>
    </row>
    <row r="63" spans="1:6" x14ac:dyDescent="0.4">
      <c r="A63" s="1">
        <v>45377</v>
      </c>
      <c r="B63">
        <v>4.2229999999999999</v>
      </c>
      <c r="C63">
        <v>4.226</v>
      </c>
      <c r="D63">
        <v>4.2619999999999996</v>
      </c>
      <c r="E63">
        <v>4.2069999999999999</v>
      </c>
      <c r="F63" s="2">
        <v>-2.5000000000000001E-3</v>
      </c>
    </row>
    <row r="64" spans="1:6" x14ac:dyDescent="0.4">
      <c r="A64" s="1">
        <v>45378</v>
      </c>
      <c r="B64">
        <v>4.1829999999999998</v>
      </c>
      <c r="C64">
        <v>4.2249999999999996</v>
      </c>
      <c r="D64">
        <v>4.2350000000000003</v>
      </c>
      <c r="E64">
        <v>4.1760000000000002</v>
      </c>
      <c r="F64" s="2">
        <v>-9.4999999999999998E-3</v>
      </c>
    </row>
    <row r="65" spans="1:6" x14ac:dyDescent="0.4">
      <c r="A65" s="1">
        <v>45379</v>
      </c>
      <c r="B65">
        <v>4.22</v>
      </c>
      <c r="C65">
        <v>4.2089999999999996</v>
      </c>
      <c r="D65">
        <v>4.2439999999999998</v>
      </c>
      <c r="E65">
        <v>4.1950000000000003</v>
      </c>
      <c r="F65" s="2">
        <v>8.8000000000000005E-3</v>
      </c>
    </row>
    <row r="66" spans="1:6" x14ac:dyDescent="0.4">
      <c r="A66" s="1">
        <v>45383</v>
      </c>
      <c r="B66">
        <v>4.327</v>
      </c>
      <c r="C66">
        <v>4.1980000000000004</v>
      </c>
      <c r="D66">
        <v>4.3460000000000001</v>
      </c>
      <c r="E66">
        <v>4.1900000000000004</v>
      </c>
      <c r="F66" s="2">
        <v>2.5499999999999998E-2</v>
      </c>
    </row>
    <row r="67" spans="1:6" x14ac:dyDescent="0.4">
      <c r="A67" s="1">
        <v>45384</v>
      </c>
      <c r="B67">
        <v>4.343</v>
      </c>
      <c r="C67">
        <v>4.3129999999999997</v>
      </c>
      <c r="D67">
        <v>4.3940000000000001</v>
      </c>
      <c r="E67">
        <v>4.3090000000000002</v>
      </c>
      <c r="F67" s="2">
        <v>3.7000000000000002E-3</v>
      </c>
    </row>
    <row r="68" spans="1:6" x14ac:dyDescent="0.4">
      <c r="A68" s="1">
        <v>45385</v>
      </c>
      <c r="B68">
        <v>4.3310000000000004</v>
      </c>
      <c r="C68">
        <v>4.3460000000000001</v>
      </c>
      <c r="D68">
        <v>4.4139999999999997</v>
      </c>
      <c r="E68">
        <v>4.327</v>
      </c>
      <c r="F68" s="2">
        <v>-2.8E-3</v>
      </c>
    </row>
    <row r="69" spans="1:6" x14ac:dyDescent="0.4">
      <c r="A69" s="1">
        <v>45386</v>
      </c>
      <c r="B69">
        <v>4.2939999999999996</v>
      </c>
      <c r="C69">
        <v>4.3239999999999998</v>
      </c>
      <c r="D69">
        <v>4.3630000000000004</v>
      </c>
      <c r="E69">
        <v>4.2830000000000004</v>
      </c>
      <c r="F69" s="2">
        <v>-8.5000000000000006E-3</v>
      </c>
    </row>
    <row r="70" spans="1:6" x14ac:dyDescent="0.4">
      <c r="A70" s="1">
        <v>45387</v>
      </c>
      <c r="B70">
        <v>4.391</v>
      </c>
      <c r="C70">
        <v>4.2949999999999999</v>
      </c>
      <c r="D70">
        <v>4.3979999999999997</v>
      </c>
      <c r="E70">
        <v>4.29</v>
      </c>
      <c r="F70" s="2">
        <v>2.2700000000000001E-2</v>
      </c>
    </row>
    <row r="71" spans="1:6" x14ac:dyDescent="0.4">
      <c r="A71" s="1">
        <v>45390</v>
      </c>
      <c r="B71">
        <v>4.43</v>
      </c>
      <c r="C71">
        <v>4.4039999999999999</v>
      </c>
      <c r="D71">
        <v>4.4550000000000001</v>
      </c>
      <c r="E71">
        <v>4.4000000000000004</v>
      </c>
      <c r="F71" s="2">
        <v>8.8999999999999999E-3</v>
      </c>
    </row>
    <row r="72" spans="1:6" x14ac:dyDescent="0.4">
      <c r="A72" s="1">
        <v>45391</v>
      </c>
      <c r="B72">
        <v>4.375</v>
      </c>
      <c r="C72">
        <v>4.4320000000000004</v>
      </c>
      <c r="D72">
        <v>4.4409999999999998</v>
      </c>
      <c r="E72">
        <v>4.3650000000000002</v>
      </c>
      <c r="F72" s="2">
        <v>-1.24E-2</v>
      </c>
    </row>
    <row r="73" spans="1:6" x14ac:dyDescent="0.4">
      <c r="A73" s="1">
        <v>45392</v>
      </c>
      <c r="B73">
        <v>4.6079999999999997</v>
      </c>
      <c r="C73">
        <v>4.3769999999999998</v>
      </c>
      <c r="D73">
        <v>4.6219999999999999</v>
      </c>
      <c r="E73">
        <v>4.351</v>
      </c>
      <c r="F73" s="2">
        <v>5.3199999999999997E-2</v>
      </c>
    </row>
    <row r="74" spans="1:6" x14ac:dyDescent="0.4">
      <c r="A74" s="1">
        <v>45393</v>
      </c>
      <c r="B74">
        <v>4.6260000000000003</v>
      </c>
      <c r="C74">
        <v>4.601</v>
      </c>
      <c r="D74">
        <v>4.6710000000000003</v>
      </c>
      <c r="E74">
        <v>4.5620000000000003</v>
      </c>
      <c r="F74" s="2">
        <v>3.8999999999999998E-3</v>
      </c>
    </row>
    <row r="75" spans="1:6" x14ac:dyDescent="0.4">
      <c r="A75" s="1">
        <v>45394</v>
      </c>
      <c r="B75">
        <v>4.5529999999999999</v>
      </c>
      <c r="C75">
        <v>4.6239999999999997</v>
      </c>
      <c r="D75">
        <v>4.6239999999999997</v>
      </c>
      <c r="E75">
        <v>4.5149999999999997</v>
      </c>
      <c r="F75" s="2">
        <v>-1.5800000000000002E-2</v>
      </c>
    </row>
    <row r="76" spans="1:6" x14ac:dyDescent="0.4">
      <c r="A76" s="1">
        <v>45397</v>
      </c>
      <c r="B76">
        <v>4.6269999999999998</v>
      </c>
      <c r="C76">
        <v>4.5640000000000001</v>
      </c>
      <c r="D76">
        <v>4.6980000000000004</v>
      </c>
      <c r="E76">
        <v>4.5490000000000004</v>
      </c>
      <c r="F76" s="2">
        <v>1.6299999999999999E-2</v>
      </c>
    </row>
    <row r="77" spans="1:6" x14ac:dyDescent="0.4">
      <c r="A77" s="1">
        <v>45398</v>
      </c>
      <c r="B77">
        <v>4.6980000000000004</v>
      </c>
      <c r="C77">
        <v>4.633</v>
      </c>
      <c r="D77">
        <v>4.7249999999999996</v>
      </c>
      <c r="E77">
        <v>4.6109999999999998</v>
      </c>
      <c r="F77" s="2">
        <v>1.5299999999999999E-2</v>
      </c>
    </row>
    <row r="78" spans="1:6" x14ac:dyDescent="0.4">
      <c r="A78" s="1">
        <v>45399</v>
      </c>
      <c r="B78">
        <v>4.6189999999999998</v>
      </c>
      <c r="C78">
        <v>4.7050000000000001</v>
      </c>
      <c r="D78">
        <v>4.7140000000000004</v>
      </c>
      <c r="E78">
        <v>4.6020000000000003</v>
      </c>
      <c r="F78" s="2">
        <v>-1.6899999999999998E-2</v>
      </c>
    </row>
    <row r="79" spans="1:6" x14ac:dyDescent="0.4">
      <c r="A79" s="1">
        <v>45400</v>
      </c>
      <c r="B79">
        <v>4.68</v>
      </c>
      <c r="C79">
        <v>4.617</v>
      </c>
      <c r="D79">
        <v>4.6950000000000003</v>
      </c>
      <c r="E79">
        <v>4.5880000000000001</v>
      </c>
      <c r="F79" s="2">
        <v>1.34E-2</v>
      </c>
    </row>
    <row r="80" spans="1:6" x14ac:dyDescent="0.4">
      <c r="A80" s="1">
        <v>45401</v>
      </c>
      <c r="B80">
        <v>4.6719999999999997</v>
      </c>
      <c r="C80">
        <v>4.6680000000000001</v>
      </c>
      <c r="D80">
        <v>4.6790000000000003</v>
      </c>
      <c r="E80">
        <v>4.5339999999999998</v>
      </c>
      <c r="F80" s="2">
        <v>-1.8E-3</v>
      </c>
    </row>
    <row r="81" spans="1:6" x14ac:dyDescent="0.4">
      <c r="A81" s="1">
        <v>45404</v>
      </c>
      <c r="B81">
        <v>4.6520000000000001</v>
      </c>
      <c r="C81">
        <v>4.681</v>
      </c>
      <c r="D81">
        <v>4.7080000000000002</v>
      </c>
      <c r="E81">
        <v>4.6429999999999998</v>
      </c>
      <c r="F81" s="2">
        <v>-4.1999999999999997E-3</v>
      </c>
    </row>
    <row r="82" spans="1:6" x14ac:dyDescent="0.4">
      <c r="A82" s="1">
        <v>45405</v>
      </c>
      <c r="B82">
        <v>4.633</v>
      </c>
      <c r="C82">
        <v>4.6539999999999999</v>
      </c>
      <c r="D82">
        <v>4.6929999999999996</v>
      </c>
      <c r="E82">
        <v>4.5979999999999999</v>
      </c>
      <c r="F82" s="2">
        <v>-4.3E-3</v>
      </c>
    </row>
    <row r="83" spans="1:6" x14ac:dyDescent="0.4">
      <c r="A83" s="1">
        <v>45406</v>
      </c>
      <c r="B83">
        <v>4.6619999999999999</v>
      </c>
      <c r="C83">
        <v>4.6289999999999996</v>
      </c>
      <c r="D83">
        <v>4.6849999999999996</v>
      </c>
      <c r="E83">
        <v>4.6269999999999998</v>
      </c>
      <c r="F83" s="2">
        <v>6.3E-3</v>
      </c>
    </row>
    <row r="84" spans="1:6" x14ac:dyDescent="0.4">
      <c r="A84" s="1">
        <v>45407</v>
      </c>
      <c r="B84">
        <v>4.7190000000000003</v>
      </c>
      <c r="C84">
        <v>4.6479999999999997</v>
      </c>
      <c r="D84">
        <v>4.7530000000000001</v>
      </c>
      <c r="E84">
        <v>4.6180000000000003</v>
      </c>
      <c r="F84" s="2">
        <v>1.2200000000000001E-2</v>
      </c>
    </row>
    <row r="85" spans="1:6" x14ac:dyDescent="0.4">
      <c r="A85" s="1">
        <v>45408</v>
      </c>
      <c r="B85">
        <v>4.6870000000000003</v>
      </c>
      <c r="C85">
        <v>4.7240000000000002</v>
      </c>
      <c r="D85">
        <v>4.7300000000000004</v>
      </c>
      <c r="E85">
        <v>4.6619999999999999</v>
      </c>
      <c r="F85" s="2">
        <v>-6.7999999999999996E-3</v>
      </c>
    </row>
    <row r="86" spans="1:6" x14ac:dyDescent="0.4">
      <c r="A86" s="1">
        <v>45411</v>
      </c>
      <c r="B86">
        <v>4.6429999999999998</v>
      </c>
      <c r="C86">
        <v>4.6849999999999996</v>
      </c>
      <c r="D86">
        <v>4.6849999999999996</v>
      </c>
      <c r="E86">
        <v>4.6340000000000003</v>
      </c>
      <c r="F86" s="2">
        <v>-9.4999999999999998E-3</v>
      </c>
    </row>
    <row r="87" spans="1:6" x14ac:dyDescent="0.4">
      <c r="A87" s="1">
        <v>45412</v>
      </c>
      <c r="B87">
        <v>4.7149999999999999</v>
      </c>
      <c r="C87">
        <v>4.6429999999999998</v>
      </c>
      <c r="D87">
        <v>4.7240000000000002</v>
      </c>
      <c r="E87">
        <v>4.6319999999999997</v>
      </c>
      <c r="F87" s="2">
        <v>1.5699999999999999E-2</v>
      </c>
    </row>
    <row r="88" spans="1:6" x14ac:dyDescent="0.4">
      <c r="A88" s="1">
        <v>45413</v>
      </c>
      <c r="B88">
        <v>4.66</v>
      </c>
      <c r="C88">
        <v>4.7169999999999996</v>
      </c>
      <c r="D88">
        <v>4.7240000000000002</v>
      </c>
      <c r="E88">
        <v>4.5979999999999999</v>
      </c>
      <c r="F88" s="2">
        <v>-1.17E-2</v>
      </c>
    </row>
    <row r="89" spans="1:6" x14ac:dyDescent="0.4">
      <c r="A89" s="1">
        <v>45414</v>
      </c>
      <c r="B89">
        <v>4.577</v>
      </c>
      <c r="C89">
        <v>4.6520000000000001</v>
      </c>
      <c r="D89">
        <v>4.6589999999999998</v>
      </c>
      <c r="E89">
        <v>4.5629999999999997</v>
      </c>
      <c r="F89" s="2">
        <v>-1.7899999999999999E-2</v>
      </c>
    </row>
    <row r="90" spans="1:6" x14ac:dyDescent="0.4">
      <c r="A90" s="1">
        <v>45415</v>
      </c>
      <c r="B90">
        <v>4.4820000000000002</v>
      </c>
      <c r="C90">
        <v>4.57</v>
      </c>
      <c r="D90">
        <v>4.5880000000000001</v>
      </c>
      <c r="E90">
        <v>4.41</v>
      </c>
      <c r="F90" s="2">
        <v>-2.0899999999999998E-2</v>
      </c>
    </row>
    <row r="91" spans="1:6" x14ac:dyDescent="0.4">
      <c r="A91" s="1">
        <v>45418</v>
      </c>
      <c r="B91">
        <v>4.4870000000000001</v>
      </c>
      <c r="C91">
        <v>4.468</v>
      </c>
      <c r="D91">
        <v>4.4989999999999997</v>
      </c>
      <c r="E91">
        <v>4.4550000000000001</v>
      </c>
      <c r="F91" s="2">
        <v>1.1999999999999999E-3</v>
      </c>
    </row>
    <row r="92" spans="1:6" x14ac:dyDescent="0.4">
      <c r="A92" s="1">
        <v>45419</v>
      </c>
      <c r="B92">
        <v>4.4729999999999999</v>
      </c>
      <c r="C92">
        <v>4.492</v>
      </c>
      <c r="D92">
        <v>4.4960000000000004</v>
      </c>
      <c r="E92">
        <v>4.4340000000000002</v>
      </c>
      <c r="F92" s="2">
        <v>-3.2000000000000002E-3</v>
      </c>
    </row>
    <row r="93" spans="1:6" x14ac:dyDescent="0.4">
      <c r="A93" s="1">
        <v>45420</v>
      </c>
      <c r="B93">
        <v>4.5030000000000001</v>
      </c>
      <c r="C93">
        <v>4.4690000000000003</v>
      </c>
      <c r="D93">
        <v>4.5060000000000002</v>
      </c>
      <c r="E93">
        <v>4.4640000000000004</v>
      </c>
      <c r="F93" s="2">
        <v>6.7000000000000002E-3</v>
      </c>
    </row>
    <row r="94" spans="1:6" x14ac:dyDescent="0.4">
      <c r="A94" s="1">
        <v>45421</v>
      </c>
      <c r="B94">
        <v>4.4720000000000004</v>
      </c>
      <c r="C94">
        <v>4.5039999999999996</v>
      </c>
      <c r="D94">
        <v>4.5289999999999999</v>
      </c>
      <c r="E94">
        <v>4.4569999999999999</v>
      </c>
      <c r="F94" s="2">
        <v>-6.7000000000000002E-3</v>
      </c>
    </row>
    <row r="95" spans="1:6" x14ac:dyDescent="0.4">
      <c r="A95" s="1">
        <v>45422</v>
      </c>
      <c r="B95">
        <v>4.516</v>
      </c>
      <c r="C95">
        <v>4.476</v>
      </c>
      <c r="D95">
        <v>4.5199999999999996</v>
      </c>
      <c r="E95">
        <v>4.4560000000000004</v>
      </c>
      <c r="F95" s="2">
        <v>9.7999999999999997E-3</v>
      </c>
    </row>
    <row r="96" spans="1:6" x14ac:dyDescent="0.4">
      <c r="A96" s="1">
        <v>45425</v>
      </c>
      <c r="B96">
        <v>4.5090000000000003</v>
      </c>
      <c r="C96">
        <v>4.5090000000000003</v>
      </c>
      <c r="D96">
        <v>4.5110000000000001</v>
      </c>
      <c r="E96">
        <v>4.4720000000000004</v>
      </c>
      <c r="F96" s="2">
        <v>-1.6000000000000001E-3</v>
      </c>
    </row>
    <row r="97" spans="1:6" x14ac:dyDescent="0.4">
      <c r="A97" s="1">
        <v>45426</v>
      </c>
      <c r="B97">
        <v>4.46</v>
      </c>
      <c r="C97">
        <v>4.5039999999999996</v>
      </c>
      <c r="D97">
        <v>4.5519999999999996</v>
      </c>
      <c r="E97">
        <v>4.4560000000000004</v>
      </c>
      <c r="F97" s="2">
        <v>-1.0999999999999999E-2</v>
      </c>
    </row>
    <row r="98" spans="1:6" x14ac:dyDescent="0.4">
      <c r="A98" s="1">
        <v>45427</v>
      </c>
      <c r="B98">
        <v>4.3449999999999998</v>
      </c>
      <c r="C98">
        <v>4.4649999999999999</v>
      </c>
      <c r="D98">
        <v>4.4649999999999999</v>
      </c>
      <c r="E98">
        <v>4.34</v>
      </c>
      <c r="F98" s="2">
        <v>-2.5700000000000001E-2</v>
      </c>
    </row>
    <row r="99" spans="1:6" x14ac:dyDescent="0.4">
      <c r="A99" s="1">
        <v>45428</v>
      </c>
      <c r="B99">
        <v>4.4009999999999998</v>
      </c>
      <c r="C99">
        <v>4.3410000000000002</v>
      </c>
      <c r="D99">
        <v>4.4059999999999997</v>
      </c>
      <c r="E99">
        <v>4.3150000000000004</v>
      </c>
      <c r="F99" s="2">
        <v>1.29E-2</v>
      </c>
    </row>
    <row r="100" spans="1:6" x14ac:dyDescent="0.4">
      <c r="A100" s="1">
        <v>45429</v>
      </c>
      <c r="B100">
        <v>4.4470000000000001</v>
      </c>
      <c r="C100">
        <v>4.3890000000000002</v>
      </c>
      <c r="D100">
        <v>4.4470000000000001</v>
      </c>
      <c r="E100">
        <v>4.3819999999999997</v>
      </c>
      <c r="F100" s="2">
        <v>1.03E-2</v>
      </c>
    </row>
    <row r="101" spans="1:6" x14ac:dyDescent="0.4">
      <c r="A101" s="1">
        <v>45432</v>
      </c>
      <c r="B101">
        <v>4.47</v>
      </c>
      <c r="C101">
        <v>4.4400000000000004</v>
      </c>
      <c r="D101">
        <v>4.4770000000000003</v>
      </c>
      <c r="E101">
        <v>4.4290000000000003</v>
      </c>
      <c r="F101" s="2">
        <v>5.1000000000000004E-3</v>
      </c>
    </row>
    <row r="102" spans="1:6" x14ac:dyDescent="0.4">
      <c r="A102" s="1">
        <v>45433</v>
      </c>
      <c r="B102">
        <v>4.4320000000000004</v>
      </c>
      <c r="C102">
        <v>4.468</v>
      </c>
      <c r="D102">
        <v>4.4710000000000001</v>
      </c>
      <c r="E102">
        <v>4.42</v>
      </c>
      <c r="F102" s="2">
        <v>-8.3000000000000001E-3</v>
      </c>
    </row>
    <row r="103" spans="1:6" x14ac:dyDescent="0.4">
      <c r="A103" s="1">
        <v>45434</v>
      </c>
      <c r="B103">
        <v>4.468</v>
      </c>
      <c r="C103">
        <v>4.4359999999999999</v>
      </c>
      <c r="D103">
        <v>4.4870000000000001</v>
      </c>
      <c r="E103">
        <v>4.4320000000000004</v>
      </c>
      <c r="F103" s="2">
        <v>8.0000000000000002E-3</v>
      </c>
    </row>
    <row r="104" spans="1:6" x14ac:dyDescent="0.4">
      <c r="A104" s="1">
        <v>45435</v>
      </c>
      <c r="B104">
        <v>4.5309999999999997</v>
      </c>
      <c r="C104">
        <v>4.4640000000000004</v>
      </c>
      <c r="D104">
        <v>4.5549999999999997</v>
      </c>
      <c r="E104">
        <v>4.4480000000000004</v>
      </c>
      <c r="F104" s="2">
        <v>1.43E-2</v>
      </c>
    </row>
    <row r="105" spans="1:6" x14ac:dyDescent="0.4">
      <c r="A105" s="1">
        <v>45436</v>
      </c>
      <c r="B105">
        <v>4.5279999999999996</v>
      </c>
      <c r="C105">
        <v>4.5259999999999998</v>
      </c>
      <c r="D105">
        <v>4.5599999999999996</v>
      </c>
      <c r="E105">
        <v>4.5119999999999996</v>
      </c>
      <c r="F105" s="2">
        <v>-8.0000000000000004E-4</v>
      </c>
    </row>
    <row r="106" spans="1:6" x14ac:dyDescent="0.4">
      <c r="A106" s="1">
        <v>45439</v>
      </c>
      <c r="B106">
        <v>4.5209999999999999</v>
      </c>
      <c r="C106">
        <v>4.5170000000000003</v>
      </c>
      <c r="D106">
        <v>4.5209999999999999</v>
      </c>
      <c r="E106">
        <v>4.5170000000000003</v>
      </c>
      <c r="F106" s="2">
        <v>-1.6000000000000001E-3</v>
      </c>
    </row>
    <row r="107" spans="1:6" x14ac:dyDescent="0.4">
      <c r="A107" s="1">
        <v>45440</v>
      </c>
      <c r="B107">
        <v>4.5919999999999996</v>
      </c>
      <c r="C107">
        <v>4.5170000000000003</v>
      </c>
      <c r="D107">
        <v>4.5970000000000004</v>
      </c>
      <c r="E107">
        <v>4.4939999999999998</v>
      </c>
      <c r="F107" s="2">
        <v>1.5800000000000002E-2</v>
      </c>
    </row>
    <row r="108" spans="1:6" x14ac:dyDescent="0.4">
      <c r="A108" s="1">
        <v>45441</v>
      </c>
      <c r="B108">
        <v>4.6340000000000003</v>
      </c>
      <c r="C108">
        <v>4.5759999999999996</v>
      </c>
      <c r="D108">
        <v>4.6559999999999997</v>
      </c>
      <c r="E108">
        <v>4.5759999999999996</v>
      </c>
      <c r="F108" s="2">
        <v>9.1999999999999998E-3</v>
      </c>
    </row>
    <row r="109" spans="1:6" x14ac:dyDescent="0.4">
      <c r="A109" s="1">
        <v>45442</v>
      </c>
      <c r="B109">
        <v>4.569</v>
      </c>
      <c r="C109">
        <v>4.6399999999999997</v>
      </c>
      <c r="D109">
        <v>4.6449999999999996</v>
      </c>
      <c r="E109">
        <v>4.5620000000000003</v>
      </c>
      <c r="F109" s="2">
        <v>-1.41E-2</v>
      </c>
    </row>
    <row r="110" spans="1:6" x14ac:dyDescent="0.4">
      <c r="A110" s="1">
        <v>45443</v>
      </c>
      <c r="B110">
        <v>4.5090000000000003</v>
      </c>
      <c r="C110">
        <v>4.5670000000000002</v>
      </c>
      <c r="D110">
        <v>4.5949999999999998</v>
      </c>
      <c r="E110">
        <v>4.4950000000000001</v>
      </c>
      <c r="F110" s="2">
        <v>-1.32E-2</v>
      </c>
    </row>
    <row r="111" spans="1:6" x14ac:dyDescent="0.4">
      <c r="A111" s="1">
        <v>45446</v>
      </c>
      <c r="B111">
        <v>4.41</v>
      </c>
      <c r="C111">
        <v>4.5019999999999998</v>
      </c>
      <c r="D111">
        <v>4.5119999999999996</v>
      </c>
      <c r="E111">
        <v>4.4080000000000004</v>
      </c>
      <c r="F111" s="2">
        <v>-2.1899999999999999E-2</v>
      </c>
    </row>
    <row r="112" spans="1:6" x14ac:dyDescent="0.4">
      <c r="A112" s="1">
        <v>45447</v>
      </c>
      <c r="B112">
        <v>4.3470000000000004</v>
      </c>
      <c r="C112">
        <v>4.4139999999999997</v>
      </c>
      <c r="D112">
        <v>4.431</v>
      </c>
      <c r="E112">
        <v>4.327</v>
      </c>
      <c r="F112" s="2">
        <v>-1.43E-2</v>
      </c>
    </row>
    <row r="113" spans="1:6" x14ac:dyDescent="0.4">
      <c r="A113" s="1">
        <v>45448</v>
      </c>
      <c r="B113">
        <v>4.2939999999999996</v>
      </c>
      <c r="C113">
        <v>4.3479999999999999</v>
      </c>
      <c r="D113">
        <v>4.38</v>
      </c>
      <c r="E113">
        <v>4.2939999999999996</v>
      </c>
      <c r="F113" s="2">
        <v>-1.21E-2</v>
      </c>
    </row>
    <row r="114" spans="1:6" x14ac:dyDescent="0.4">
      <c r="A114" s="1">
        <v>45449</v>
      </c>
      <c r="B114">
        <v>4.298</v>
      </c>
      <c r="C114">
        <v>4.3029999999999999</v>
      </c>
      <c r="D114">
        <v>4.3339999999999996</v>
      </c>
      <c r="E114">
        <v>4.2869999999999999</v>
      </c>
      <c r="F114" s="2">
        <v>8.0000000000000004E-4</v>
      </c>
    </row>
    <row r="115" spans="1:6" x14ac:dyDescent="0.4">
      <c r="A115" s="1">
        <v>45450</v>
      </c>
      <c r="B115">
        <v>4.4610000000000003</v>
      </c>
      <c r="C115">
        <v>4.3049999999999997</v>
      </c>
      <c r="D115">
        <v>4.4640000000000004</v>
      </c>
      <c r="E115">
        <v>4.3010000000000002</v>
      </c>
      <c r="F115" s="2">
        <v>3.7999999999999999E-2</v>
      </c>
    </row>
    <row r="116" spans="1:6" x14ac:dyDescent="0.4">
      <c r="A116" s="1">
        <v>45453</v>
      </c>
      <c r="B116">
        <v>4.4850000000000003</v>
      </c>
      <c r="C116">
        <v>4.4749999999999996</v>
      </c>
      <c r="D116">
        <v>4.4930000000000003</v>
      </c>
      <c r="E116">
        <v>4.4630000000000001</v>
      </c>
      <c r="F116" s="2">
        <v>5.4999999999999997E-3</v>
      </c>
    </row>
    <row r="117" spans="1:6" x14ac:dyDescent="0.4">
      <c r="A117" s="1">
        <v>45454</v>
      </c>
      <c r="B117">
        <v>4.4169999999999998</v>
      </c>
      <c r="C117">
        <v>4.4779999999999998</v>
      </c>
      <c r="D117">
        <v>4.4779999999999998</v>
      </c>
      <c r="E117">
        <v>4.41</v>
      </c>
      <c r="F117" s="2">
        <v>-1.54E-2</v>
      </c>
    </row>
    <row r="118" spans="1:6" x14ac:dyDescent="0.4">
      <c r="A118" s="1">
        <v>45455</v>
      </c>
      <c r="B118">
        <v>4.32</v>
      </c>
      <c r="C118">
        <v>4.4249999999999998</v>
      </c>
      <c r="D118">
        <v>4.4359999999999999</v>
      </c>
      <c r="E118">
        <v>4.2409999999999997</v>
      </c>
      <c r="F118" s="2">
        <v>-2.1899999999999999E-2</v>
      </c>
    </row>
    <row r="119" spans="1:6" x14ac:dyDescent="0.4">
      <c r="A119" s="1">
        <v>45456</v>
      </c>
      <c r="B119">
        <v>4.2460000000000004</v>
      </c>
      <c r="C119">
        <v>4.306</v>
      </c>
      <c r="D119">
        <v>4.33</v>
      </c>
      <c r="E119">
        <v>4.2160000000000002</v>
      </c>
      <c r="F119" s="2">
        <v>-1.7100000000000001E-2</v>
      </c>
    </row>
    <row r="120" spans="1:6" x14ac:dyDescent="0.4">
      <c r="A120" s="1">
        <v>45457</v>
      </c>
      <c r="B120">
        <v>4.24</v>
      </c>
      <c r="C120">
        <v>4.2530000000000001</v>
      </c>
      <c r="D120">
        <v>4.2789999999999999</v>
      </c>
      <c r="E120">
        <v>4.1959999999999997</v>
      </c>
      <c r="F120" s="2">
        <v>-1.2999999999999999E-3</v>
      </c>
    </row>
    <row r="121" spans="1:6" x14ac:dyDescent="0.4">
      <c r="A121" s="1">
        <v>45460</v>
      </c>
      <c r="B121">
        <v>4.3070000000000004</v>
      </c>
      <c r="C121">
        <v>4.2610000000000001</v>
      </c>
      <c r="D121">
        <v>4.3079999999999998</v>
      </c>
      <c r="E121">
        <v>4.2430000000000003</v>
      </c>
      <c r="F121" s="2">
        <v>1.5699999999999999E-2</v>
      </c>
    </row>
    <row r="122" spans="1:6" x14ac:dyDescent="0.4">
      <c r="A122" s="1">
        <v>45461</v>
      </c>
      <c r="B122">
        <v>4.2430000000000003</v>
      </c>
      <c r="C122">
        <v>4.2939999999999996</v>
      </c>
      <c r="D122">
        <v>4.3259999999999996</v>
      </c>
      <c r="E122">
        <v>4.2220000000000004</v>
      </c>
      <c r="F122" s="2">
        <v>-1.4800000000000001E-2</v>
      </c>
    </row>
    <row r="123" spans="1:6" x14ac:dyDescent="0.4">
      <c r="A123" s="1">
        <v>45462</v>
      </c>
      <c r="B123">
        <v>4.2619999999999996</v>
      </c>
      <c r="C123">
        <v>4.2610000000000001</v>
      </c>
      <c r="D123">
        <v>4.2619999999999996</v>
      </c>
      <c r="E123">
        <v>4.2610000000000001</v>
      </c>
      <c r="F123" s="2">
        <v>4.5999999999999999E-3</v>
      </c>
    </row>
    <row r="124" spans="1:6" x14ac:dyDescent="0.4">
      <c r="A124" s="1">
        <v>45463</v>
      </c>
      <c r="B124">
        <v>4.2750000000000004</v>
      </c>
      <c r="C124">
        <v>4.2590000000000003</v>
      </c>
      <c r="D124">
        <v>4.306</v>
      </c>
      <c r="E124">
        <v>4.2469999999999999</v>
      </c>
      <c r="F124" s="2">
        <v>2.8E-3</v>
      </c>
    </row>
    <row r="125" spans="1:6" x14ac:dyDescent="0.4">
      <c r="A125" s="1">
        <v>45464</v>
      </c>
      <c r="B125">
        <v>4.2729999999999997</v>
      </c>
      <c r="C125">
        <v>4.282</v>
      </c>
      <c r="D125">
        <v>4.2880000000000003</v>
      </c>
      <c r="E125">
        <v>4.2270000000000003</v>
      </c>
      <c r="F125" s="2">
        <v>-5.0000000000000001E-4</v>
      </c>
    </row>
    <row r="126" spans="1:6" x14ac:dyDescent="0.4">
      <c r="A126" s="1">
        <v>45467</v>
      </c>
      <c r="B126">
        <v>4.2549999999999999</v>
      </c>
      <c r="C126">
        <v>4.2729999999999997</v>
      </c>
      <c r="D126">
        <v>4.2919999999999998</v>
      </c>
      <c r="E126">
        <v>4.2489999999999997</v>
      </c>
      <c r="F126" s="2">
        <v>-4.1999999999999997E-3</v>
      </c>
    </row>
    <row r="127" spans="1:6" x14ac:dyDescent="0.4">
      <c r="A127" s="1">
        <v>45468</v>
      </c>
      <c r="B127">
        <v>4.2759999999999998</v>
      </c>
      <c r="C127">
        <v>4.26</v>
      </c>
      <c r="D127">
        <v>4.2859999999999996</v>
      </c>
      <c r="E127">
        <v>4.2370000000000001</v>
      </c>
      <c r="F127" s="2">
        <v>4.8999999999999998E-3</v>
      </c>
    </row>
    <row r="128" spans="1:6" x14ac:dyDescent="0.4">
      <c r="A128" s="1">
        <v>45469</v>
      </c>
      <c r="B128">
        <v>4.3460000000000001</v>
      </c>
      <c r="C128">
        <v>4.2720000000000002</v>
      </c>
      <c r="D128">
        <v>4.3479999999999999</v>
      </c>
      <c r="E128">
        <v>4.2699999999999996</v>
      </c>
      <c r="F128" s="2">
        <v>1.6500000000000001E-2</v>
      </c>
    </row>
    <row r="129" spans="1:6" x14ac:dyDescent="0.4">
      <c r="A129" s="1">
        <v>45470</v>
      </c>
      <c r="B129">
        <v>4.2990000000000004</v>
      </c>
      <c r="C129">
        <v>4.3470000000000004</v>
      </c>
      <c r="D129">
        <v>4.3609999999999998</v>
      </c>
      <c r="E129">
        <v>4.2869999999999999</v>
      </c>
      <c r="F129" s="2">
        <v>-1.09E-2</v>
      </c>
    </row>
    <row r="130" spans="1:6" x14ac:dyDescent="0.4">
      <c r="A130" s="1">
        <v>45471</v>
      </c>
      <c r="B130">
        <v>4.3689999999999998</v>
      </c>
      <c r="C130">
        <v>4.2990000000000004</v>
      </c>
      <c r="D130">
        <v>4.3840000000000003</v>
      </c>
      <c r="E130">
        <v>4.2569999999999997</v>
      </c>
      <c r="F130" s="2">
        <v>1.6400000000000001E-2</v>
      </c>
    </row>
    <row r="131" spans="1:6" x14ac:dyDescent="0.4">
      <c r="A131" s="1">
        <v>45474</v>
      </c>
      <c r="B131">
        <v>4.431</v>
      </c>
      <c r="C131">
        <v>4.3849999999999998</v>
      </c>
      <c r="D131">
        <v>4.4539999999999997</v>
      </c>
      <c r="E131">
        <v>4.3570000000000002</v>
      </c>
      <c r="F131" s="2">
        <v>1.4200000000000001E-2</v>
      </c>
    </row>
    <row r="132" spans="1:6" x14ac:dyDescent="0.4">
      <c r="A132" s="1">
        <v>45475</v>
      </c>
      <c r="B132">
        <v>4.3979999999999997</v>
      </c>
      <c r="C132">
        <v>4.423</v>
      </c>
      <c r="D132">
        <v>4.4260000000000002</v>
      </c>
      <c r="E132">
        <v>4.3710000000000004</v>
      </c>
      <c r="F132" s="2">
        <v>-7.6E-3</v>
      </c>
    </row>
    <row r="133" spans="1:6" x14ac:dyDescent="0.4">
      <c r="A133" s="1">
        <v>45476</v>
      </c>
      <c r="B133">
        <v>4.3220000000000001</v>
      </c>
      <c r="C133">
        <v>4.3890000000000002</v>
      </c>
      <c r="D133">
        <v>4.4119999999999999</v>
      </c>
      <c r="E133">
        <v>4.2949999999999999</v>
      </c>
      <c r="F133" s="2">
        <v>-1.72E-2</v>
      </c>
    </row>
    <row r="134" spans="1:6" x14ac:dyDescent="0.4">
      <c r="A134" s="1">
        <v>45477</v>
      </c>
      <c r="B134">
        <v>4.3360000000000003</v>
      </c>
      <c r="C134">
        <v>4.34</v>
      </c>
      <c r="D134">
        <v>4.34</v>
      </c>
      <c r="E134">
        <v>4.3339999999999996</v>
      </c>
      <c r="F134" s="2">
        <v>3.3E-3</v>
      </c>
    </row>
    <row r="135" spans="1:6" x14ac:dyDescent="0.4">
      <c r="A135" s="1">
        <v>45478</v>
      </c>
      <c r="B135">
        <v>4.2270000000000003</v>
      </c>
      <c r="C135">
        <v>4.3339999999999996</v>
      </c>
      <c r="D135">
        <v>4.391</v>
      </c>
      <c r="E135">
        <v>4.2149999999999999</v>
      </c>
      <c r="F135" s="2">
        <v>-2.52E-2</v>
      </c>
    </row>
    <row r="136" spans="1:6" x14ac:dyDescent="0.4">
      <c r="A136" s="1">
        <v>45481</v>
      </c>
      <c r="B136">
        <v>4.2409999999999997</v>
      </c>
      <c r="C136">
        <v>4.2359999999999998</v>
      </c>
      <c r="D136">
        <v>4.2640000000000002</v>
      </c>
      <c r="E136">
        <v>4.2220000000000004</v>
      </c>
      <c r="F136" s="2">
        <v>3.3E-3</v>
      </c>
    </row>
    <row r="137" spans="1:6" x14ac:dyDescent="0.4">
      <c r="A137" s="1">
        <v>45482</v>
      </c>
      <c r="B137">
        <v>4.2450000000000001</v>
      </c>
      <c r="C137">
        <v>4.2409999999999997</v>
      </c>
      <c r="D137">
        <v>4.2779999999999996</v>
      </c>
      <c r="E137">
        <v>4.2300000000000004</v>
      </c>
      <c r="F137" s="2">
        <v>8.0000000000000004E-4</v>
      </c>
    </row>
    <row r="138" spans="1:6" x14ac:dyDescent="0.4">
      <c r="A138" s="1">
        <v>45483</v>
      </c>
      <c r="B138">
        <v>4.2370000000000001</v>
      </c>
      <c r="C138">
        <v>4.2409999999999997</v>
      </c>
      <c r="D138">
        <v>4.2590000000000003</v>
      </c>
      <c r="E138">
        <v>4.2160000000000002</v>
      </c>
      <c r="F138" s="2">
        <v>-1.6999999999999999E-3</v>
      </c>
    </row>
    <row r="139" spans="1:6" x14ac:dyDescent="0.4">
      <c r="A139" s="1">
        <v>45484</v>
      </c>
      <c r="B139">
        <v>4.1440000000000001</v>
      </c>
      <c r="C139">
        <v>4.2370000000000001</v>
      </c>
      <c r="D139">
        <v>4.2619999999999996</v>
      </c>
      <c r="E139">
        <v>4.1020000000000003</v>
      </c>
      <c r="F139" s="2">
        <v>-2.1999999999999999E-2</v>
      </c>
    </row>
    <row r="140" spans="1:6" x14ac:dyDescent="0.4">
      <c r="A140" s="1">
        <v>45485</v>
      </c>
      <c r="B140">
        <v>4.1070000000000002</v>
      </c>
      <c r="C140">
        <v>4.1440000000000001</v>
      </c>
      <c r="D140">
        <v>4.1740000000000004</v>
      </c>
      <c r="E140">
        <v>4.0979999999999999</v>
      </c>
      <c r="F140" s="2">
        <v>-8.8999999999999999E-3</v>
      </c>
    </row>
    <row r="141" spans="1:6" x14ac:dyDescent="0.4">
      <c r="A141" s="1">
        <v>45488</v>
      </c>
      <c r="B141">
        <v>4.1349999999999998</v>
      </c>
      <c r="C141">
        <v>4.1390000000000002</v>
      </c>
      <c r="D141">
        <v>4.1479999999999997</v>
      </c>
      <c r="E141">
        <v>4.0979999999999999</v>
      </c>
      <c r="F141" s="2">
        <v>6.7999999999999996E-3</v>
      </c>
    </row>
    <row r="142" spans="1:6" x14ac:dyDescent="0.4">
      <c r="A142" s="1">
        <v>45489</v>
      </c>
      <c r="B142">
        <v>4.0759999999999996</v>
      </c>
      <c r="C142">
        <v>4.1230000000000002</v>
      </c>
      <c r="D142">
        <v>4.1349999999999998</v>
      </c>
      <c r="E142">
        <v>4.0739999999999998</v>
      </c>
      <c r="F142" s="2">
        <v>-1.44E-2</v>
      </c>
    </row>
    <row r="143" spans="1:6" x14ac:dyDescent="0.4">
      <c r="A143" s="1">
        <v>45490</v>
      </c>
      <c r="B143">
        <v>4.0810000000000004</v>
      </c>
      <c r="C143">
        <v>4.0810000000000004</v>
      </c>
      <c r="D143">
        <v>4.1230000000000002</v>
      </c>
      <c r="E143">
        <v>4.069</v>
      </c>
      <c r="F143" s="2">
        <v>1.2999999999999999E-3</v>
      </c>
    </row>
    <row r="144" spans="1:6" x14ac:dyDescent="0.4">
      <c r="A144" s="1">
        <v>45491</v>
      </c>
      <c r="B144">
        <v>4.117</v>
      </c>
      <c r="C144">
        <v>4.0810000000000004</v>
      </c>
      <c r="D144">
        <v>4.1230000000000002</v>
      </c>
      <c r="E144">
        <v>4.0739999999999998</v>
      </c>
      <c r="F144" s="2">
        <v>8.9999999999999993E-3</v>
      </c>
    </row>
    <row r="145" spans="1:6" x14ac:dyDescent="0.4">
      <c r="A145" s="1">
        <v>45492</v>
      </c>
      <c r="B145">
        <v>4.17</v>
      </c>
      <c r="C145">
        <v>4.1070000000000002</v>
      </c>
      <c r="D145">
        <v>4.1719999999999997</v>
      </c>
      <c r="E145">
        <v>4.1029999999999998</v>
      </c>
      <c r="F145" s="2">
        <v>1.2800000000000001E-2</v>
      </c>
    </row>
    <row r="146" spans="1:6" x14ac:dyDescent="0.4">
      <c r="A146" s="1">
        <v>45495</v>
      </c>
      <c r="B146">
        <v>4.1749999999999998</v>
      </c>
      <c r="C146">
        <v>4.1520000000000001</v>
      </c>
      <c r="D146">
        <v>4.1980000000000004</v>
      </c>
      <c r="E146">
        <v>4.1399999999999997</v>
      </c>
      <c r="F146" s="2">
        <v>1.1999999999999999E-3</v>
      </c>
    </row>
    <row r="147" spans="1:6" x14ac:dyDescent="0.4">
      <c r="A147" s="1">
        <v>45496</v>
      </c>
      <c r="B147">
        <v>4.1660000000000004</v>
      </c>
      <c r="C147">
        <v>4.1719999999999997</v>
      </c>
      <c r="D147">
        <v>4.1769999999999996</v>
      </c>
      <c r="E147">
        <v>4.1379999999999999</v>
      </c>
      <c r="F147" s="2">
        <v>-2.0999999999999999E-3</v>
      </c>
    </row>
    <row r="148" spans="1:6" x14ac:dyDescent="0.4">
      <c r="A148" s="1">
        <v>45497</v>
      </c>
      <c r="B148">
        <v>4.1749999999999998</v>
      </c>
      <c r="C148">
        <v>4.1630000000000003</v>
      </c>
      <c r="D148">
        <v>4.1769999999999996</v>
      </c>
      <c r="E148">
        <v>4.0990000000000002</v>
      </c>
      <c r="F148" s="2">
        <v>2.0999999999999999E-3</v>
      </c>
    </row>
    <row r="149" spans="1:6" x14ac:dyDescent="0.4">
      <c r="A149" s="1">
        <v>45498</v>
      </c>
      <c r="B149">
        <v>4.1340000000000003</v>
      </c>
      <c r="C149">
        <v>4.1500000000000004</v>
      </c>
      <c r="D149">
        <v>4.1539999999999999</v>
      </c>
      <c r="E149">
        <v>4.0709999999999997</v>
      </c>
      <c r="F149" s="2">
        <v>-9.7000000000000003E-3</v>
      </c>
    </row>
    <row r="150" spans="1:6" x14ac:dyDescent="0.4">
      <c r="A150" s="1">
        <v>45499</v>
      </c>
      <c r="B150">
        <v>4.077</v>
      </c>
      <c r="C150">
        <v>4.1310000000000002</v>
      </c>
      <c r="D150">
        <v>4.1550000000000002</v>
      </c>
      <c r="E150">
        <v>4.0709999999999997</v>
      </c>
      <c r="F150" s="2">
        <v>-1.4E-2</v>
      </c>
    </row>
    <row r="151" spans="1:6" x14ac:dyDescent="0.4">
      <c r="A151" s="1">
        <v>45502</v>
      </c>
      <c r="B151">
        <v>4.0730000000000004</v>
      </c>
      <c r="C151">
        <v>4.0750000000000002</v>
      </c>
      <c r="D151">
        <v>4.0839999999999996</v>
      </c>
      <c r="E151">
        <v>4.04</v>
      </c>
      <c r="F151" s="2">
        <v>-8.9999999999999998E-4</v>
      </c>
    </row>
    <row r="152" spans="1:6" x14ac:dyDescent="0.4">
      <c r="A152" s="1">
        <v>45503</v>
      </c>
      <c r="B152">
        <v>4.0350000000000001</v>
      </c>
      <c r="C152">
        <v>4.08</v>
      </c>
      <c r="D152">
        <v>4.085</v>
      </c>
      <c r="E152">
        <v>4.0229999999999997</v>
      </c>
      <c r="F152" s="2">
        <v>-9.4000000000000004E-3</v>
      </c>
    </row>
    <row r="153" spans="1:6" x14ac:dyDescent="0.4">
      <c r="A153" s="1">
        <v>45504</v>
      </c>
      <c r="B153">
        <v>3.9169999999999998</v>
      </c>
      <c r="C153">
        <v>4.0419999999999998</v>
      </c>
      <c r="D153">
        <v>4.0490000000000004</v>
      </c>
      <c r="E153">
        <v>3.9129999999999998</v>
      </c>
      <c r="F153" s="2">
        <v>-2.93E-2</v>
      </c>
    </row>
    <row r="154" spans="1:6" x14ac:dyDescent="0.4">
      <c r="A154" s="1">
        <v>45505</v>
      </c>
      <c r="B154">
        <v>3.8439999999999999</v>
      </c>
      <c r="C154">
        <v>3.9390000000000001</v>
      </c>
      <c r="D154">
        <v>3.9550000000000001</v>
      </c>
      <c r="E154">
        <v>3.8330000000000002</v>
      </c>
      <c r="F154" s="2">
        <v>-1.8599999999999998E-2</v>
      </c>
    </row>
    <row r="155" spans="1:6" x14ac:dyDescent="0.4">
      <c r="A155" s="1">
        <v>45506</v>
      </c>
      <c r="B155">
        <v>3.6150000000000002</v>
      </c>
      <c r="C155">
        <v>3.8330000000000002</v>
      </c>
      <c r="D155">
        <v>3.839</v>
      </c>
      <c r="E155">
        <v>3.5840000000000001</v>
      </c>
      <c r="F155" s="2">
        <v>-5.96E-2</v>
      </c>
    </row>
    <row r="156" spans="1:6" x14ac:dyDescent="0.4">
      <c r="A156" s="1">
        <v>45509</v>
      </c>
      <c r="B156">
        <v>3.625</v>
      </c>
      <c r="C156">
        <v>3.6150000000000002</v>
      </c>
      <c r="D156">
        <v>3.68</v>
      </c>
      <c r="E156">
        <v>3.4550000000000001</v>
      </c>
      <c r="F156" s="2">
        <v>2.8E-3</v>
      </c>
    </row>
    <row r="157" spans="1:6" x14ac:dyDescent="0.4">
      <c r="A157" s="1">
        <v>45510</v>
      </c>
      <c r="B157">
        <v>3.7429999999999999</v>
      </c>
      <c r="C157">
        <v>3.6920000000000002</v>
      </c>
      <c r="D157">
        <v>3.7570000000000001</v>
      </c>
      <c r="E157">
        <v>3.6509999999999998</v>
      </c>
      <c r="F157" s="2">
        <v>3.2599999999999997E-2</v>
      </c>
    </row>
    <row r="158" spans="1:6" x14ac:dyDescent="0.4">
      <c r="A158" s="1">
        <v>45511</v>
      </c>
      <c r="B158">
        <v>3.7759999999999998</v>
      </c>
      <c r="C158">
        <v>3.7229999999999999</v>
      </c>
      <c r="D158">
        <v>3.8119999999999998</v>
      </c>
      <c r="E158">
        <v>3.7109999999999999</v>
      </c>
      <c r="F158" s="2">
        <v>8.6999999999999994E-3</v>
      </c>
    </row>
    <row r="159" spans="1:6" x14ac:dyDescent="0.4">
      <c r="A159" s="1">
        <v>45512</v>
      </c>
      <c r="B159">
        <v>3.8260000000000001</v>
      </c>
      <c r="C159">
        <v>3.7410000000000001</v>
      </c>
      <c r="D159">
        <v>3.8610000000000002</v>
      </c>
      <c r="E159">
        <v>3.7080000000000002</v>
      </c>
      <c r="F159" s="2">
        <v>1.32E-2</v>
      </c>
    </row>
    <row r="160" spans="1:6" x14ac:dyDescent="0.4">
      <c r="A160" s="1">
        <v>45513</v>
      </c>
      <c r="B160">
        <v>3.7959999999999998</v>
      </c>
      <c r="C160">
        <v>3.8220000000000001</v>
      </c>
      <c r="D160">
        <v>3.8239999999999998</v>
      </c>
      <c r="E160">
        <v>3.7629999999999999</v>
      </c>
      <c r="F160" s="2">
        <v>-7.7999999999999996E-3</v>
      </c>
    </row>
    <row r="161" spans="1:6" x14ac:dyDescent="0.4">
      <c r="A161" s="1">
        <v>45516</v>
      </c>
      <c r="B161">
        <v>3.7490000000000001</v>
      </c>
      <c r="C161">
        <v>3.7959999999999998</v>
      </c>
      <c r="D161">
        <v>3.8250000000000002</v>
      </c>
      <c r="E161">
        <v>3.7389999999999999</v>
      </c>
      <c r="F161" s="2">
        <v>-1.23E-2</v>
      </c>
    </row>
    <row r="162" spans="1:6" x14ac:dyDescent="0.4">
      <c r="A162" s="1">
        <v>45517</v>
      </c>
      <c r="B162">
        <v>3.677</v>
      </c>
      <c r="C162">
        <v>3.742</v>
      </c>
      <c r="D162">
        <v>3.7650000000000001</v>
      </c>
      <c r="E162">
        <v>3.673</v>
      </c>
      <c r="F162" s="2">
        <v>-1.9400000000000001E-2</v>
      </c>
    </row>
    <row r="163" spans="1:6" x14ac:dyDescent="0.4">
      <c r="A163" s="1">
        <v>45518</v>
      </c>
      <c r="B163">
        <v>3.6819999999999999</v>
      </c>
      <c r="C163">
        <v>3.677</v>
      </c>
      <c r="D163">
        <v>3.7210000000000001</v>
      </c>
      <c r="E163">
        <v>3.6469999999999998</v>
      </c>
      <c r="F163" s="2">
        <v>1.2999999999999999E-3</v>
      </c>
    </row>
    <row r="164" spans="1:6" x14ac:dyDescent="0.4">
      <c r="A164" s="1">
        <v>45519</v>
      </c>
      <c r="B164">
        <v>3.7970000000000002</v>
      </c>
      <c r="C164">
        <v>3.6819999999999999</v>
      </c>
      <c r="D164">
        <v>3.8159999999999998</v>
      </c>
      <c r="E164">
        <v>3.6709999999999998</v>
      </c>
      <c r="F164" s="2">
        <v>3.1399999999999997E-2</v>
      </c>
    </row>
    <row r="165" spans="1:6" x14ac:dyDescent="0.4">
      <c r="A165" s="1">
        <v>45520</v>
      </c>
      <c r="B165">
        <v>3.7570000000000001</v>
      </c>
      <c r="C165">
        <v>3.8039999999999998</v>
      </c>
      <c r="D165">
        <v>3.8039999999999998</v>
      </c>
      <c r="E165">
        <v>3.7290000000000001</v>
      </c>
      <c r="F165" s="2">
        <v>-1.06E-2</v>
      </c>
    </row>
    <row r="166" spans="1:6" x14ac:dyDescent="0.4">
      <c r="A166" s="1">
        <v>45523</v>
      </c>
      <c r="B166">
        <v>3.762</v>
      </c>
      <c r="C166">
        <v>3.79</v>
      </c>
      <c r="D166">
        <v>3.79</v>
      </c>
      <c r="E166">
        <v>3.734</v>
      </c>
      <c r="F166" s="2">
        <v>1.2999999999999999E-3</v>
      </c>
    </row>
    <row r="167" spans="1:6" x14ac:dyDescent="0.4">
      <c r="A167" s="1">
        <v>45524</v>
      </c>
      <c r="B167">
        <v>3.6930000000000001</v>
      </c>
      <c r="C167">
        <v>3.7570000000000001</v>
      </c>
      <c r="D167">
        <v>3.7709999999999999</v>
      </c>
      <c r="E167">
        <v>3.6890000000000001</v>
      </c>
      <c r="F167" s="2">
        <v>-1.84E-2</v>
      </c>
    </row>
    <row r="168" spans="1:6" x14ac:dyDescent="0.4">
      <c r="A168" s="1">
        <v>45525</v>
      </c>
      <c r="B168">
        <v>3.6549999999999998</v>
      </c>
      <c r="C168">
        <v>3.681</v>
      </c>
      <c r="D168">
        <v>3.7120000000000002</v>
      </c>
      <c r="E168">
        <v>3.6150000000000002</v>
      </c>
      <c r="F168" s="2">
        <v>-1.03E-2</v>
      </c>
    </row>
    <row r="169" spans="1:6" x14ac:dyDescent="0.4">
      <c r="A169" s="1">
        <v>45526</v>
      </c>
      <c r="B169">
        <v>3.7250000000000001</v>
      </c>
      <c r="C169">
        <v>3.661</v>
      </c>
      <c r="D169">
        <v>3.7429999999999999</v>
      </c>
      <c r="E169">
        <v>3.6440000000000001</v>
      </c>
      <c r="F169" s="2">
        <v>1.9400000000000001E-2</v>
      </c>
    </row>
    <row r="170" spans="1:6" x14ac:dyDescent="0.4">
      <c r="A170" s="1">
        <v>45527</v>
      </c>
      <c r="B170">
        <v>3.6419999999999999</v>
      </c>
      <c r="C170">
        <v>3.7109999999999999</v>
      </c>
      <c r="D170">
        <v>3.7269999999999999</v>
      </c>
      <c r="E170">
        <v>3.6379999999999999</v>
      </c>
      <c r="F170" s="2">
        <v>-2.2499999999999999E-2</v>
      </c>
    </row>
    <row r="171" spans="1:6" x14ac:dyDescent="0.4">
      <c r="A171" s="1">
        <v>45530</v>
      </c>
      <c r="B171">
        <v>3.669</v>
      </c>
      <c r="C171">
        <v>3.633</v>
      </c>
      <c r="D171">
        <v>3.6709999999999998</v>
      </c>
      <c r="E171">
        <v>3.6150000000000002</v>
      </c>
      <c r="F171" s="2">
        <v>7.6E-3</v>
      </c>
    </row>
    <row r="172" spans="1:6" x14ac:dyDescent="0.4">
      <c r="A172" s="1">
        <v>45531</v>
      </c>
      <c r="B172">
        <v>3.6549999999999998</v>
      </c>
      <c r="C172">
        <v>3.661</v>
      </c>
      <c r="D172">
        <v>3.7040000000000002</v>
      </c>
      <c r="E172">
        <v>3.6480000000000001</v>
      </c>
      <c r="F172" s="2">
        <v>-3.8E-3</v>
      </c>
    </row>
    <row r="173" spans="1:6" x14ac:dyDescent="0.4">
      <c r="A173" s="1">
        <v>45532</v>
      </c>
      <c r="B173">
        <v>3.6640000000000001</v>
      </c>
      <c r="C173">
        <v>3.6480000000000001</v>
      </c>
      <c r="D173">
        <v>3.6709999999999998</v>
      </c>
      <c r="E173">
        <v>3.6360000000000001</v>
      </c>
      <c r="F173" s="2">
        <v>2.3E-3</v>
      </c>
    </row>
    <row r="174" spans="1:6" x14ac:dyDescent="0.4">
      <c r="A174" s="1">
        <v>45533</v>
      </c>
      <c r="B174">
        <v>3.6680000000000001</v>
      </c>
      <c r="C174">
        <v>3.6389999999999998</v>
      </c>
      <c r="D174">
        <v>3.6920000000000002</v>
      </c>
      <c r="E174">
        <v>3.62</v>
      </c>
      <c r="F174" s="2">
        <v>1.1999999999999999E-3</v>
      </c>
    </row>
    <row r="175" spans="1:6" x14ac:dyDescent="0.4">
      <c r="A175" s="1">
        <v>45534</v>
      </c>
      <c r="B175">
        <v>3.7080000000000002</v>
      </c>
      <c r="C175">
        <v>3.673</v>
      </c>
      <c r="D175">
        <v>3.7269999999999999</v>
      </c>
      <c r="E175">
        <v>3.665</v>
      </c>
      <c r="F175" s="2">
        <v>1.09E-2</v>
      </c>
    </row>
    <row r="176" spans="1:6" x14ac:dyDescent="0.4">
      <c r="A176" s="1">
        <v>45537</v>
      </c>
      <c r="B176">
        <v>3.7240000000000002</v>
      </c>
      <c r="C176">
        <v>3.722</v>
      </c>
      <c r="D176">
        <v>3.7240000000000002</v>
      </c>
      <c r="E176">
        <v>3.722</v>
      </c>
      <c r="F176" s="2">
        <v>4.1999999999999997E-3</v>
      </c>
    </row>
    <row r="177" spans="1:6" x14ac:dyDescent="0.4">
      <c r="A177" s="1">
        <v>45538</v>
      </c>
      <c r="B177">
        <v>3.6389999999999998</v>
      </c>
      <c r="C177">
        <v>3.7250000000000001</v>
      </c>
      <c r="D177">
        <v>3.73</v>
      </c>
      <c r="E177">
        <v>3.63</v>
      </c>
      <c r="F177" s="2">
        <v>-2.2800000000000001E-2</v>
      </c>
    </row>
    <row r="178" spans="1:6" x14ac:dyDescent="0.4">
      <c r="A178" s="1">
        <v>45539</v>
      </c>
      <c r="B178">
        <v>3.556</v>
      </c>
      <c r="C178">
        <v>3.6440000000000001</v>
      </c>
      <c r="D178">
        <v>3.6469999999999998</v>
      </c>
      <c r="E178">
        <v>3.5510000000000002</v>
      </c>
      <c r="F178" s="2">
        <v>-2.2700000000000001E-2</v>
      </c>
    </row>
    <row r="179" spans="1:6" x14ac:dyDescent="0.4">
      <c r="A179" s="1">
        <v>45540</v>
      </c>
      <c r="B179">
        <v>3.5350000000000001</v>
      </c>
      <c r="C179">
        <v>3.5470000000000002</v>
      </c>
      <c r="D179">
        <v>3.5819999999999999</v>
      </c>
      <c r="E179">
        <v>3.5129999999999999</v>
      </c>
      <c r="F179" s="2">
        <v>-5.7999999999999996E-3</v>
      </c>
    </row>
    <row r="180" spans="1:6" x14ac:dyDescent="0.4">
      <c r="A180" s="1">
        <v>45541</v>
      </c>
      <c r="B180">
        <v>3.496</v>
      </c>
      <c r="C180">
        <v>3.54</v>
      </c>
      <c r="D180">
        <v>3.597</v>
      </c>
      <c r="E180">
        <v>3.4319999999999999</v>
      </c>
      <c r="F180" s="2">
        <v>-1.12E-2</v>
      </c>
    </row>
    <row r="181" spans="1:6" x14ac:dyDescent="0.4">
      <c r="A181" s="1">
        <v>45543</v>
      </c>
      <c r="B181">
        <v>3.5089999999999999</v>
      </c>
      <c r="C181">
        <v>3.5059999999999998</v>
      </c>
      <c r="D181">
        <v>3.5089999999999999</v>
      </c>
      <c r="E181">
        <v>3.5059999999999998</v>
      </c>
      <c r="F181" s="2">
        <v>3.8999999999999998E-3</v>
      </c>
    </row>
    <row r="182" spans="1:6" x14ac:dyDescent="0.4">
      <c r="A182" s="1">
        <v>45544</v>
      </c>
      <c r="B182">
        <v>3.4889999999999999</v>
      </c>
      <c r="C182">
        <v>3.5089999999999999</v>
      </c>
      <c r="D182">
        <v>3.5470000000000002</v>
      </c>
      <c r="E182">
        <v>3.4780000000000002</v>
      </c>
      <c r="F182" s="2">
        <v>-5.8999999999999999E-3</v>
      </c>
    </row>
    <row r="183" spans="1:6" x14ac:dyDescent="0.4">
      <c r="A183" s="1">
        <v>45545</v>
      </c>
      <c r="B183">
        <v>3.423</v>
      </c>
      <c r="C183">
        <v>3.492</v>
      </c>
      <c r="D183">
        <v>3.5179999999999998</v>
      </c>
      <c r="E183">
        <v>3.42</v>
      </c>
      <c r="F183" s="2">
        <v>-1.8700000000000001E-2</v>
      </c>
    </row>
    <row r="184" spans="1:6" x14ac:dyDescent="0.4">
      <c r="A184" s="1">
        <v>45546</v>
      </c>
      <c r="B184">
        <v>3.452</v>
      </c>
      <c r="C184">
        <v>3.4180000000000001</v>
      </c>
      <c r="D184">
        <v>3.49</v>
      </c>
      <c r="E184">
        <v>3.379</v>
      </c>
      <c r="F184" s="2">
        <v>8.5000000000000006E-3</v>
      </c>
    </row>
    <row r="185" spans="1:6" x14ac:dyDescent="0.4">
      <c r="A185" s="1">
        <v>45547</v>
      </c>
      <c r="B185">
        <v>3.4710000000000001</v>
      </c>
      <c r="C185">
        <v>3.4489999999999998</v>
      </c>
      <c r="D185">
        <v>3.5</v>
      </c>
      <c r="E185">
        <v>3.423</v>
      </c>
      <c r="F185" s="2">
        <v>5.4000000000000003E-3</v>
      </c>
    </row>
    <row r="186" spans="1:6" x14ac:dyDescent="0.4">
      <c r="A186" s="1">
        <v>45548</v>
      </c>
      <c r="B186">
        <v>3.4350000000000001</v>
      </c>
      <c r="C186">
        <v>3.4319999999999999</v>
      </c>
      <c r="D186">
        <v>3.452</v>
      </c>
      <c r="E186">
        <v>3.4039999999999999</v>
      </c>
      <c r="F186" s="2">
        <v>-1.0500000000000001E-2</v>
      </c>
    </row>
    <row r="187" spans="1:6" x14ac:dyDescent="0.4">
      <c r="A187" s="1">
        <v>45550</v>
      </c>
      <c r="B187">
        <v>3.4350000000000001</v>
      </c>
      <c r="C187">
        <v>3.4350000000000001</v>
      </c>
      <c r="D187">
        <v>3.4350000000000001</v>
      </c>
      <c r="E187">
        <v>3.4350000000000001</v>
      </c>
      <c r="F187" s="2">
        <v>0</v>
      </c>
    </row>
    <row r="188" spans="1:6" x14ac:dyDescent="0.4">
      <c r="A188" s="1">
        <v>45551</v>
      </c>
      <c r="B188">
        <v>3.4039999999999999</v>
      </c>
      <c r="C188">
        <v>3.4289999999999998</v>
      </c>
      <c r="D188">
        <v>3.4380000000000002</v>
      </c>
      <c r="E188">
        <v>3.3919999999999999</v>
      </c>
      <c r="F188" s="2">
        <v>-9.1000000000000004E-3</v>
      </c>
    </row>
    <row r="189" spans="1:6" x14ac:dyDescent="0.4">
      <c r="A189" s="1">
        <v>45552</v>
      </c>
      <c r="B189">
        <v>3.4430000000000001</v>
      </c>
      <c r="C189">
        <v>3.4089999999999998</v>
      </c>
      <c r="D189">
        <v>3.4550000000000001</v>
      </c>
      <c r="E189">
        <v>3.3929999999999998</v>
      </c>
      <c r="F189" s="2">
        <v>1.1599999999999999E-2</v>
      </c>
    </row>
    <row r="190" spans="1:6" x14ac:dyDescent="0.4">
      <c r="A190" s="1">
        <v>45553</v>
      </c>
      <c r="B190">
        <v>3.4929999999999999</v>
      </c>
      <c r="C190">
        <v>3.4380000000000002</v>
      </c>
      <c r="D190">
        <v>3.5830000000000002</v>
      </c>
      <c r="E190">
        <v>3.41</v>
      </c>
      <c r="F190" s="2">
        <v>1.4500000000000001E-2</v>
      </c>
    </row>
    <row r="191" spans="1:6" x14ac:dyDescent="0.4">
      <c r="A191" s="1">
        <v>45554</v>
      </c>
      <c r="B191">
        <v>3.4860000000000002</v>
      </c>
      <c r="C191">
        <v>3.4950000000000001</v>
      </c>
      <c r="D191">
        <v>3.5409999999999999</v>
      </c>
      <c r="E191">
        <v>3.4620000000000002</v>
      </c>
      <c r="F191" s="2">
        <v>-2E-3</v>
      </c>
    </row>
    <row r="192" spans="1:6" x14ac:dyDescent="0.4">
      <c r="A192" s="1">
        <v>45555</v>
      </c>
      <c r="B192">
        <v>3.5</v>
      </c>
      <c r="C192">
        <v>3.4809999999999999</v>
      </c>
      <c r="D192">
        <v>3.5379999999999998</v>
      </c>
      <c r="E192">
        <v>3.4670000000000001</v>
      </c>
      <c r="F192" s="2">
        <v>3.8999999999999998E-3</v>
      </c>
    </row>
    <row r="193" spans="1:6" x14ac:dyDescent="0.4">
      <c r="A193" s="1">
        <v>45557</v>
      </c>
      <c r="B193">
        <v>3.5</v>
      </c>
      <c r="C193">
        <v>3.5</v>
      </c>
      <c r="D193">
        <v>3.5</v>
      </c>
      <c r="E193">
        <v>3.5</v>
      </c>
      <c r="F193" s="2">
        <v>0</v>
      </c>
    </row>
    <row r="194" spans="1:6" x14ac:dyDescent="0.4">
      <c r="A194" s="1">
        <v>45558</v>
      </c>
      <c r="B194">
        <v>3.5059999999999998</v>
      </c>
      <c r="C194">
        <v>3.5150000000000001</v>
      </c>
      <c r="D194">
        <v>3.5529999999999999</v>
      </c>
      <c r="E194">
        <v>3.4860000000000002</v>
      </c>
      <c r="F194" s="2">
        <v>2E-3</v>
      </c>
    </row>
    <row r="195" spans="1:6" x14ac:dyDescent="0.4">
      <c r="A195" s="1">
        <v>45559</v>
      </c>
      <c r="B195">
        <v>3.472</v>
      </c>
      <c r="C195">
        <v>3.5</v>
      </c>
      <c r="D195">
        <v>3.5569999999999999</v>
      </c>
      <c r="E195">
        <v>3.468</v>
      </c>
      <c r="F195" s="2">
        <v>-9.9000000000000008E-3</v>
      </c>
    </row>
    <row r="196" spans="1:6" x14ac:dyDescent="0.4">
      <c r="A196" s="1">
        <v>45560</v>
      </c>
      <c r="B196">
        <v>3.5289999999999999</v>
      </c>
      <c r="C196">
        <v>3.47</v>
      </c>
      <c r="D196">
        <v>3.53</v>
      </c>
      <c r="E196">
        <v>3.47</v>
      </c>
      <c r="F196" s="2">
        <v>1.6400000000000001E-2</v>
      </c>
    </row>
    <row r="197" spans="1:6" x14ac:dyDescent="0.4">
      <c r="A197" s="1">
        <v>45561</v>
      </c>
      <c r="B197">
        <v>3.5649999999999999</v>
      </c>
      <c r="C197">
        <v>3.5289999999999999</v>
      </c>
      <c r="D197">
        <v>3.5790000000000002</v>
      </c>
      <c r="E197">
        <v>3.4980000000000002</v>
      </c>
      <c r="F197" s="2">
        <v>1.04E-2</v>
      </c>
    </row>
    <row r="198" spans="1:6" x14ac:dyDescent="0.4">
      <c r="A198" s="1">
        <v>45562</v>
      </c>
      <c r="B198">
        <v>3.5030000000000001</v>
      </c>
      <c r="C198">
        <v>3.5640000000000001</v>
      </c>
      <c r="D198">
        <v>3.581</v>
      </c>
      <c r="E198">
        <v>3.5</v>
      </c>
      <c r="F198" s="2">
        <v>-1.7399999999999999E-2</v>
      </c>
    </row>
    <row r="199" spans="1:6" x14ac:dyDescent="0.4">
      <c r="A199" s="1">
        <v>45564</v>
      </c>
      <c r="B199">
        <v>3.51</v>
      </c>
      <c r="C199">
        <v>3.5089999999999999</v>
      </c>
      <c r="D199">
        <v>3.512</v>
      </c>
      <c r="E199">
        <v>3.5089999999999999</v>
      </c>
      <c r="F199" s="2">
        <v>2E-3</v>
      </c>
    </row>
    <row r="200" spans="1:6" x14ac:dyDescent="0.4">
      <c r="A200" s="1">
        <v>45565</v>
      </c>
      <c r="B200">
        <v>3.5640000000000001</v>
      </c>
      <c r="C200">
        <v>3.51</v>
      </c>
      <c r="D200">
        <v>3.5859999999999999</v>
      </c>
      <c r="E200">
        <v>3.5049999999999999</v>
      </c>
      <c r="F200" s="2">
        <v>1.52E-2</v>
      </c>
    </row>
    <row r="201" spans="1:6" x14ac:dyDescent="0.4">
      <c r="A201" s="1">
        <v>45566</v>
      </c>
      <c r="B201">
        <v>3.5089999999999999</v>
      </c>
      <c r="C201">
        <v>3.5550000000000002</v>
      </c>
      <c r="D201">
        <v>3.5670000000000002</v>
      </c>
      <c r="E201">
        <v>3.4710000000000001</v>
      </c>
      <c r="F201" s="2">
        <v>-1.54E-2</v>
      </c>
    </row>
    <row r="202" spans="1:6" x14ac:dyDescent="0.4">
      <c r="A202" s="1">
        <v>45567</v>
      </c>
      <c r="B202">
        <v>3.552</v>
      </c>
      <c r="C202">
        <v>3.51</v>
      </c>
      <c r="D202">
        <v>3.581</v>
      </c>
      <c r="E202">
        <v>3.5</v>
      </c>
      <c r="F202" s="2">
        <v>1.23E-2</v>
      </c>
    </row>
    <row r="203" spans="1:6" x14ac:dyDescent="0.4">
      <c r="A203" s="1">
        <v>45568</v>
      </c>
      <c r="B203">
        <v>3.6280000000000001</v>
      </c>
      <c r="C203">
        <v>3.5619999999999998</v>
      </c>
      <c r="D203">
        <v>3.6360000000000001</v>
      </c>
      <c r="E203">
        <v>3.5550000000000002</v>
      </c>
      <c r="F203" s="2">
        <v>2.1399999999999999E-2</v>
      </c>
    </row>
    <row r="204" spans="1:6" x14ac:dyDescent="0.4">
      <c r="A204" s="1">
        <v>45569</v>
      </c>
      <c r="B204">
        <v>3.8039999999999998</v>
      </c>
      <c r="C204">
        <v>3.6240000000000001</v>
      </c>
      <c r="D204">
        <v>3.8180000000000001</v>
      </c>
      <c r="E204">
        <v>3.6120000000000001</v>
      </c>
      <c r="F204" s="2">
        <v>4.8599999999999997E-2</v>
      </c>
    </row>
    <row r="205" spans="1:6" x14ac:dyDescent="0.4">
      <c r="A205" s="1">
        <v>45571</v>
      </c>
      <c r="B205">
        <v>3.8250000000000002</v>
      </c>
      <c r="C205">
        <v>3.8279999999999998</v>
      </c>
      <c r="D205">
        <v>3.8279999999999998</v>
      </c>
      <c r="E205">
        <v>3.823</v>
      </c>
      <c r="F205" s="2">
        <v>5.4999999999999997E-3</v>
      </c>
    </row>
    <row r="206" spans="1:6" x14ac:dyDescent="0.4">
      <c r="A206" s="1">
        <v>45572</v>
      </c>
      <c r="B206">
        <v>3.867</v>
      </c>
      <c r="C206">
        <v>3.8250000000000002</v>
      </c>
      <c r="D206">
        <v>3.8849999999999998</v>
      </c>
      <c r="E206">
        <v>3.8130000000000002</v>
      </c>
      <c r="F206" s="2">
        <v>1.11E-2</v>
      </c>
    </row>
    <row r="207" spans="1:6" x14ac:dyDescent="0.4">
      <c r="A207" s="1">
        <v>45573</v>
      </c>
      <c r="B207">
        <v>3.8479999999999999</v>
      </c>
      <c r="C207">
        <v>3.855</v>
      </c>
      <c r="D207">
        <v>3.887</v>
      </c>
      <c r="E207">
        <v>3.823</v>
      </c>
      <c r="F207" s="2">
        <v>-5.0000000000000001E-3</v>
      </c>
    </row>
    <row r="208" spans="1:6" x14ac:dyDescent="0.4">
      <c r="A208" s="1">
        <v>45574</v>
      </c>
      <c r="B208">
        <v>3.9169999999999998</v>
      </c>
      <c r="C208">
        <v>3.851</v>
      </c>
      <c r="D208">
        <v>3.92</v>
      </c>
      <c r="E208">
        <v>3.8340000000000001</v>
      </c>
      <c r="F208" s="2">
        <v>1.7899999999999999E-2</v>
      </c>
    </row>
    <row r="209" spans="1:6" x14ac:dyDescent="0.4">
      <c r="A209" s="1">
        <v>45575</v>
      </c>
      <c r="B209">
        <v>3.8889999999999998</v>
      </c>
      <c r="C209">
        <v>3.9169999999999998</v>
      </c>
      <c r="D209">
        <v>4.0039999999999996</v>
      </c>
      <c r="E209">
        <v>3.875</v>
      </c>
      <c r="F209" s="2">
        <v>-7.1000000000000004E-3</v>
      </c>
    </row>
    <row r="210" spans="1:6" x14ac:dyDescent="0.4">
      <c r="A210" s="1">
        <v>45576</v>
      </c>
      <c r="B210">
        <v>3.8980000000000001</v>
      </c>
      <c r="C210">
        <v>3.8889999999999998</v>
      </c>
      <c r="D210">
        <v>3.927</v>
      </c>
      <c r="E210">
        <v>3.8719999999999999</v>
      </c>
      <c r="F210" s="2">
        <v>2.3999999999999998E-3</v>
      </c>
    </row>
    <row r="211" spans="1:6" x14ac:dyDescent="0.4">
      <c r="A211" s="1">
        <v>45579</v>
      </c>
      <c r="B211">
        <v>3.9119999999999999</v>
      </c>
      <c r="C211">
        <v>3.911</v>
      </c>
      <c r="D211">
        <v>3.9140000000000001</v>
      </c>
      <c r="E211">
        <v>3.911</v>
      </c>
      <c r="F211" s="2">
        <v>3.5999999999999999E-3</v>
      </c>
    </row>
    <row r="212" spans="1:6" x14ac:dyDescent="0.4">
      <c r="A212" s="1">
        <v>45580</v>
      </c>
      <c r="B212">
        <v>3.8540000000000001</v>
      </c>
      <c r="C212">
        <v>3.911</v>
      </c>
      <c r="D212">
        <v>3.9180000000000001</v>
      </c>
      <c r="E212">
        <v>3.851</v>
      </c>
      <c r="F212" s="2">
        <v>-1.49E-2</v>
      </c>
    </row>
    <row r="213" spans="1:6" x14ac:dyDescent="0.4">
      <c r="A213" s="1">
        <v>45581</v>
      </c>
      <c r="B213">
        <v>3.8460000000000001</v>
      </c>
      <c r="C213">
        <v>3.8580000000000001</v>
      </c>
      <c r="D213">
        <v>3.863</v>
      </c>
      <c r="E213">
        <v>3.823</v>
      </c>
      <c r="F213" s="2">
        <v>-2.2000000000000001E-3</v>
      </c>
    </row>
    <row r="214" spans="1:6" x14ac:dyDescent="0.4">
      <c r="A214" s="1">
        <v>45582</v>
      </c>
      <c r="B214">
        <v>3.9039999999999999</v>
      </c>
      <c r="C214">
        <v>3.8490000000000002</v>
      </c>
      <c r="D214">
        <v>3.9169999999999998</v>
      </c>
      <c r="E214">
        <v>3.8460000000000001</v>
      </c>
      <c r="F214" s="2">
        <v>1.52E-2</v>
      </c>
    </row>
    <row r="215" spans="1:6" x14ac:dyDescent="0.4">
      <c r="A215" s="1">
        <v>45583</v>
      </c>
      <c r="B215">
        <v>3.88</v>
      </c>
      <c r="C215">
        <v>3.899</v>
      </c>
      <c r="D215">
        <v>3.919</v>
      </c>
      <c r="E215">
        <v>3.8690000000000002</v>
      </c>
      <c r="F215" s="2">
        <v>-6.1999999999999998E-3</v>
      </c>
    </row>
    <row r="216" spans="1:6" x14ac:dyDescent="0.4">
      <c r="A216" s="1">
        <v>45585</v>
      </c>
      <c r="B216">
        <v>3.8940000000000001</v>
      </c>
      <c r="C216">
        <v>3.8889999999999998</v>
      </c>
      <c r="D216">
        <v>3.8940000000000001</v>
      </c>
      <c r="E216">
        <v>3.8889999999999998</v>
      </c>
      <c r="F216" s="2">
        <v>3.5999999999999999E-3</v>
      </c>
    </row>
    <row r="217" spans="1:6" x14ac:dyDescent="0.4">
      <c r="A217" s="1">
        <v>45586</v>
      </c>
      <c r="B217">
        <v>3.9849999999999999</v>
      </c>
      <c r="C217">
        <v>3.8940000000000001</v>
      </c>
      <c r="D217">
        <v>3.99</v>
      </c>
      <c r="E217">
        <v>3.8780000000000001</v>
      </c>
      <c r="F217" s="2">
        <v>2.3300000000000001E-2</v>
      </c>
    </row>
    <row r="218" spans="1:6" x14ac:dyDescent="0.4">
      <c r="A218" s="1">
        <v>45587</v>
      </c>
      <c r="B218">
        <v>4.0060000000000002</v>
      </c>
      <c r="C218">
        <v>3.9830000000000001</v>
      </c>
      <c r="D218">
        <v>4.0149999999999997</v>
      </c>
      <c r="E218">
        <v>3.964</v>
      </c>
      <c r="F218" s="2">
        <v>5.4000000000000003E-3</v>
      </c>
    </row>
    <row r="219" spans="1:6" x14ac:dyDescent="0.4">
      <c r="A219" s="1">
        <v>45588</v>
      </c>
      <c r="B219">
        <v>4.0570000000000004</v>
      </c>
      <c r="C219">
        <v>4.01</v>
      </c>
      <c r="D219">
        <v>4.0640000000000001</v>
      </c>
      <c r="E219">
        <v>4.008</v>
      </c>
      <c r="F219" s="2">
        <v>1.26E-2</v>
      </c>
    </row>
    <row r="220" spans="1:6" x14ac:dyDescent="0.4">
      <c r="A220" s="1">
        <v>45589</v>
      </c>
      <c r="B220">
        <v>4.0209999999999999</v>
      </c>
      <c r="C220">
        <v>4.0599999999999996</v>
      </c>
      <c r="D220">
        <v>4.0620000000000003</v>
      </c>
      <c r="E220">
        <v>3.9929999999999999</v>
      </c>
      <c r="F220" s="2">
        <v>-8.8999999999999999E-3</v>
      </c>
    </row>
    <row r="221" spans="1:6" x14ac:dyDescent="0.4">
      <c r="A221" s="1">
        <v>45590</v>
      </c>
      <c r="B221">
        <v>4.0519999999999996</v>
      </c>
      <c r="C221">
        <v>4.0279999999999996</v>
      </c>
      <c r="D221">
        <v>4.0720000000000001</v>
      </c>
      <c r="E221">
        <v>3.9950000000000001</v>
      </c>
      <c r="F221" s="2">
        <v>7.7000000000000002E-3</v>
      </c>
    </row>
    <row r="222" spans="1:6" x14ac:dyDescent="0.4">
      <c r="A222" s="1">
        <v>45593</v>
      </c>
      <c r="B222">
        <v>4.1079999999999997</v>
      </c>
      <c r="C222">
        <v>4.09</v>
      </c>
      <c r="D222">
        <v>4.1319999999999997</v>
      </c>
      <c r="E222">
        <v>4.056</v>
      </c>
      <c r="F222" s="2">
        <v>1.38E-2</v>
      </c>
    </row>
    <row r="223" spans="1:6" x14ac:dyDescent="0.4">
      <c r="A223" s="1">
        <v>45594</v>
      </c>
      <c r="B223">
        <v>4.1040000000000001</v>
      </c>
      <c r="C223">
        <v>4.1040000000000001</v>
      </c>
      <c r="D223">
        <v>4.1740000000000004</v>
      </c>
      <c r="E223">
        <v>4.0810000000000004</v>
      </c>
      <c r="F223" s="2">
        <v>-1E-3</v>
      </c>
    </row>
    <row r="224" spans="1:6" x14ac:dyDescent="0.4">
      <c r="A224" s="1">
        <v>45595</v>
      </c>
      <c r="B224">
        <v>4.1559999999999997</v>
      </c>
      <c r="C224">
        <v>4.08</v>
      </c>
      <c r="D224">
        <v>4.1669999999999998</v>
      </c>
      <c r="E224">
        <v>4.0449999999999999</v>
      </c>
      <c r="F224" s="2">
        <v>1.2800000000000001E-2</v>
      </c>
    </row>
    <row r="225" spans="1:6" x14ac:dyDescent="0.4">
      <c r="A225" s="1">
        <v>45596</v>
      </c>
      <c r="B225">
        <v>4.1539999999999999</v>
      </c>
      <c r="C225">
        <v>4.1559999999999997</v>
      </c>
      <c r="D225">
        <v>4.2089999999999996</v>
      </c>
      <c r="E225">
        <v>4.1340000000000003</v>
      </c>
      <c r="F225" s="2">
        <v>-5.9999999999999995E-4</v>
      </c>
    </row>
    <row r="226" spans="1:6" x14ac:dyDescent="0.4">
      <c r="A226" s="1">
        <v>45597</v>
      </c>
      <c r="B226">
        <v>4.226</v>
      </c>
      <c r="C226">
        <v>4.165</v>
      </c>
      <c r="D226">
        <v>4.2300000000000004</v>
      </c>
      <c r="E226">
        <v>4.0670000000000002</v>
      </c>
      <c r="F226" s="2">
        <v>1.7299999999999999E-2</v>
      </c>
    </row>
    <row r="227" spans="1:6" x14ac:dyDescent="0.4">
      <c r="A227" s="1">
        <v>45600</v>
      </c>
      <c r="B227">
        <v>4.1479999999999997</v>
      </c>
      <c r="C227">
        <v>4.149</v>
      </c>
      <c r="D227">
        <v>4.1829999999999998</v>
      </c>
      <c r="E227">
        <v>4.1159999999999997</v>
      </c>
      <c r="F227" s="2">
        <v>-1.8499999999999999E-2</v>
      </c>
    </row>
    <row r="228" spans="1:6" x14ac:dyDescent="0.4">
      <c r="A228" s="1">
        <v>45601</v>
      </c>
      <c r="B228">
        <v>4.1559999999999997</v>
      </c>
      <c r="C228">
        <v>4.1509999999999998</v>
      </c>
      <c r="D228">
        <v>4.2370000000000001</v>
      </c>
      <c r="E228">
        <v>4.1459999999999999</v>
      </c>
      <c r="F228" s="2">
        <v>2.0999999999999999E-3</v>
      </c>
    </row>
    <row r="229" spans="1:6" x14ac:dyDescent="0.4">
      <c r="A229" s="1">
        <v>45602</v>
      </c>
      <c r="B229">
        <v>4.2690000000000001</v>
      </c>
      <c r="C229">
        <v>4.1440000000000001</v>
      </c>
      <c r="D229">
        <v>4.3289999999999997</v>
      </c>
      <c r="E229">
        <v>4.1440000000000001</v>
      </c>
      <c r="F229" s="2">
        <v>2.7099999999999999E-2</v>
      </c>
    </row>
    <row r="230" spans="1:6" x14ac:dyDescent="0.4">
      <c r="A230" s="1">
        <v>45603</v>
      </c>
      <c r="B230">
        <v>4.1689999999999996</v>
      </c>
      <c r="C230">
        <v>4.274</v>
      </c>
      <c r="D230">
        <v>4.2880000000000003</v>
      </c>
      <c r="E230">
        <v>4.1559999999999997</v>
      </c>
      <c r="F230" s="2">
        <v>-2.35E-2</v>
      </c>
    </row>
    <row r="231" spans="1:6" x14ac:dyDescent="0.4">
      <c r="A231" s="1">
        <v>45604</v>
      </c>
      <c r="B231">
        <v>4.1920000000000002</v>
      </c>
      <c r="C231">
        <v>4.181</v>
      </c>
      <c r="D231">
        <v>4.2039999999999997</v>
      </c>
      <c r="E231">
        <v>4.1369999999999996</v>
      </c>
      <c r="F231" s="2">
        <v>5.4999999999999997E-3</v>
      </c>
    </row>
    <row r="232" spans="1:6" x14ac:dyDescent="0.4">
      <c r="A232" s="1">
        <v>45608</v>
      </c>
      <c r="B232">
        <v>4.3140000000000001</v>
      </c>
      <c r="C232">
        <v>4.2290000000000001</v>
      </c>
      <c r="D232">
        <v>4.33</v>
      </c>
      <c r="E232">
        <v>4.2140000000000004</v>
      </c>
      <c r="F232" s="2">
        <v>2.93E-2</v>
      </c>
    </row>
    <row r="233" spans="1:6" x14ac:dyDescent="0.4">
      <c r="A233" s="1">
        <v>45609</v>
      </c>
      <c r="B233">
        <v>4.3019999999999996</v>
      </c>
      <c r="C233">
        <v>4.319</v>
      </c>
      <c r="D233">
        <v>4.3579999999999997</v>
      </c>
      <c r="E233">
        <v>4.2300000000000004</v>
      </c>
      <c r="F233" s="2">
        <v>-2.8999999999999998E-3</v>
      </c>
    </row>
    <row r="234" spans="1:6" x14ac:dyDescent="0.4">
      <c r="A234" s="1">
        <v>45610</v>
      </c>
      <c r="B234">
        <v>4.3339999999999996</v>
      </c>
      <c r="C234">
        <v>4.3120000000000003</v>
      </c>
      <c r="D234">
        <v>4.351</v>
      </c>
      <c r="E234">
        <v>4.2530000000000001</v>
      </c>
      <c r="F234" s="2">
        <v>7.4000000000000003E-3</v>
      </c>
    </row>
    <row r="235" spans="1:6" x14ac:dyDescent="0.4">
      <c r="A235" s="1">
        <v>45611</v>
      </c>
      <c r="B235">
        <v>4.3109999999999999</v>
      </c>
      <c r="C235">
        <v>4.3330000000000002</v>
      </c>
      <c r="D235">
        <v>4.3849999999999998</v>
      </c>
      <c r="E235">
        <v>4.266</v>
      </c>
      <c r="F235" s="2">
        <v>-5.3E-3</v>
      </c>
    </row>
    <row r="236" spans="1:6" x14ac:dyDescent="0.4">
      <c r="A236" s="1">
        <v>45614</v>
      </c>
      <c r="B236">
        <v>4.2759999999999998</v>
      </c>
      <c r="C236">
        <v>4.3049999999999997</v>
      </c>
      <c r="D236">
        <v>4.3460000000000001</v>
      </c>
      <c r="E236">
        <v>4.2709999999999999</v>
      </c>
      <c r="F236" s="2">
        <v>-8.2000000000000007E-3</v>
      </c>
    </row>
    <row r="237" spans="1:6" x14ac:dyDescent="0.4">
      <c r="A237" s="1">
        <v>45615</v>
      </c>
      <c r="B237">
        <v>4.26</v>
      </c>
      <c r="C237">
        <v>4.2750000000000004</v>
      </c>
      <c r="D237">
        <v>4.28</v>
      </c>
      <c r="E237">
        <v>4.2009999999999996</v>
      </c>
      <c r="F237" s="2">
        <v>-3.7000000000000002E-3</v>
      </c>
    </row>
    <row r="238" spans="1:6" x14ac:dyDescent="0.4">
      <c r="A238" s="1">
        <v>45616</v>
      </c>
      <c r="B238">
        <v>4.2830000000000004</v>
      </c>
      <c r="C238">
        <v>4.2679999999999998</v>
      </c>
      <c r="D238">
        <v>4.3</v>
      </c>
      <c r="E238">
        <v>4.25</v>
      </c>
      <c r="F238" s="2">
        <v>5.4000000000000003E-3</v>
      </c>
    </row>
    <row r="239" spans="1:6" x14ac:dyDescent="0.4">
      <c r="A239" s="1">
        <v>45617</v>
      </c>
      <c r="B239">
        <v>4.2990000000000004</v>
      </c>
      <c r="C239">
        <v>4.2789999999999999</v>
      </c>
      <c r="D239">
        <v>4.3159999999999998</v>
      </c>
      <c r="E239">
        <v>4.2430000000000003</v>
      </c>
      <c r="F239" s="2">
        <v>3.7000000000000002E-3</v>
      </c>
    </row>
    <row r="240" spans="1:6" x14ac:dyDescent="0.4">
      <c r="A240" s="1">
        <v>45618</v>
      </c>
      <c r="B240">
        <v>4.3049999999999997</v>
      </c>
      <c r="C240">
        <v>4.3</v>
      </c>
      <c r="D240">
        <v>4.3109999999999999</v>
      </c>
      <c r="E240">
        <v>4.2610000000000001</v>
      </c>
      <c r="F240" s="2">
        <v>1.2999999999999999E-3</v>
      </c>
    </row>
    <row r="241" spans="1:6" x14ac:dyDescent="0.4">
      <c r="A241" s="1">
        <v>45621</v>
      </c>
      <c r="B241">
        <v>4.1749999999999998</v>
      </c>
      <c r="C241">
        <v>4.2450000000000001</v>
      </c>
      <c r="D241">
        <v>4.2750000000000004</v>
      </c>
      <c r="E241">
        <v>4.1689999999999996</v>
      </c>
      <c r="F241" s="2">
        <v>-3.0099999999999998E-2</v>
      </c>
    </row>
    <row r="242" spans="1:6" x14ac:dyDescent="0.4">
      <c r="A242" s="1">
        <v>45622</v>
      </c>
      <c r="B242">
        <v>4.1820000000000004</v>
      </c>
      <c r="C242">
        <v>4.194</v>
      </c>
      <c r="D242">
        <v>4.2240000000000002</v>
      </c>
      <c r="E242">
        <v>4.1669999999999998</v>
      </c>
      <c r="F242" s="2">
        <v>1.6999999999999999E-3</v>
      </c>
    </row>
    <row r="243" spans="1:6" x14ac:dyDescent="0.4">
      <c r="A243" s="1">
        <v>45623</v>
      </c>
      <c r="B243">
        <v>4.133</v>
      </c>
      <c r="C243">
        <v>4.181</v>
      </c>
      <c r="D243">
        <v>4.181</v>
      </c>
      <c r="E243">
        <v>4.101</v>
      </c>
      <c r="F243" s="2">
        <v>-1.18E-2</v>
      </c>
    </row>
    <row r="244" spans="1:6" x14ac:dyDescent="0.4">
      <c r="A244" s="1">
        <v>45625</v>
      </c>
      <c r="B244">
        <v>4.0529999999999999</v>
      </c>
      <c r="C244">
        <v>4.1280000000000001</v>
      </c>
      <c r="D244">
        <v>4.13</v>
      </c>
      <c r="E244">
        <v>4.0469999999999997</v>
      </c>
      <c r="F244" s="2">
        <v>-1.9400000000000001E-2</v>
      </c>
    </row>
    <row r="245" spans="1:6" x14ac:dyDescent="0.4">
      <c r="A245" s="1">
        <v>45628</v>
      </c>
      <c r="B245">
        <v>4.0910000000000002</v>
      </c>
      <c r="C245">
        <v>4.0880000000000001</v>
      </c>
      <c r="D245">
        <v>4.1420000000000003</v>
      </c>
      <c r="E245">
        <v>4.0709999999999997</v>
      </c>
      <c r="F245" s="2">
        <v>9.4999999999999998E-3</v>
      </c>
    </row>
    <row r="246" spans="1:6" x14ac:dyDescent="0.4">
      <c r="A246" s="1">
        <v>45629</v>
      </c>
      <c r="B246">
        <v>4.1120000000000001</v>
      </c>
      <c r="C246">
        <v>4.0880000000000001</v>
      </c>
      <c r="D246">
        <v>4.12</v>
      </c>
      <c r="E246">
        <v>4.0549999999999997</v>
      </c>
      <c r="F246" s="2">
        <v>5.1000000000000004E-3</v>
      </c>
    </row>
    <row r="247" spans="1:6" x14ac:dyDescent="0.4">
      <c r="A247" s="1">
        <v>45630</v>
      </c>
      <c r="B247">
        <v>4.07</v>
      </c>
      <c r="C247">
        <v>4.1159999999999997</v>
      </c>
      <c r="D247">
        <v>4.16</v>
      </c>
      <c r="E247">
        <v>4.0570000000000004</v>
      </c>
      <c r="F247" s="2">
        <v>-1.0200000000000001E-2</v>
      </c>
    </row>
    <row r="248" spans="1:6" x14ac:dyDescent="0.4">
      <c r="A248" s="1">
        <v>45631</v>
      </c>
      <c r="B248">
        <v>4.0739999999999998</v>
      </c>
      <c r="C248">
        <v>4.0810000000000004</v>
      </c>
      <c r="D248">
        <v>4.1180000000000003</v>
      </c>
      <c r="E248">
        <v>4.069</v>
      </c>
      <c r="F248" s="2">
        <v>1.1000000000000001E-3</v>
      </c>
    </row>
    <row r="249" spans="1:6" x14ac:dyDescent="0.4">
      <c r="A249" s="1">
        <v>45632</v>
      </c>
      <c r="B249">
        <v>4.0309999999999997</v>
      </c>
      <c r="C249">
        <v>4.0789999999999997</v>
      </c>
      <c r="D249">
        <v>4.1159999999999997</v>
      </c>
      <c r="E249">
        <v>4.008</v>
      </c>
      <c r="F249" s="2">
        <v>-1.0500000000000001E-2</v>
      </c>
    </row>
    <row r="250" spans="1:6" x14ac:dyDescent="0.4">
      <c r="A250" s="1">
        <v>45635</v>
      </c>
      <c r="B250">
        <v>4.0750000000000002</v>
      </c>
      <c r="C250">
        <v>4.0289999999999999</v>
      </c>
      <c r="D250">
        <v>4.0759999999999996</v>
      </c>
      <c r="E250">
        <v>4.0220000000000002</v>
      </c>
      <c r="F250" s="2">
        <v>1.0800000000000001E-2</v>
      </c>
    </row>
    <row r="251" spans="1:6" x14ac:dyDescent="0.4">
      <c r="A251" s="1">
        <v>45636</v>
      </c>
      <c r="B251">
        <v>4.0979999999999999</v>
      </c>
      <c r="C251">
        <v>4.07</v>
      </c>
      <c r="D251">
        <v>4.1180000000000003</v>
      </c>
      <c r="E251">
        <v>4.056</v>
      </c>
      <c r="F251" s="2">
        <v>5.5999999999999999E-3</v>
      </c>
    </row>
    <row r="252" spans="1:6" x14ac:dyDescent="0.4">
      <c r="A252" s="1">
        <v>45637</v>
      </c>
      <c r="B252">
        <v>4.1379999999999999</v>
      </c>
      <c r="C252">
        <v>4.0970000000000004</v>
      </c>
      <c r="D252">
        <v>4.1630000000000003</v>
      </c>
      <c r="E252">
        <v>4.056</v>
      </c>
      <c r="F252" s="2">
        <v>9.7999999999999997E-3</v>
      </c>
    </row>
    <row r="253" spans="1:6" x14ac:dyDescent="0.4">
      <c r="A253" s="1">
        <v>45638</v>
      </c>
      <c r="B253">
        <v>4.1920000000000002</v>
      </c>
      <c r="C253">
        <v>4.1280000000000001</v>
      </c>
      <c r="D253">
        <v>4.1929999999999996</v>
      </c>
      <c r="E253">
        <v>4.1159999999999997</v>
      </c>
      <c r="F253" s="2">
        <v>1.2999999999999999E-2</v>
      </c>
    </row>
    <row r="254" spans="1:6" x14ac:dyDescent="0.4">
      <c r="A254" s="1">
        <v>45639</v>
      </c>
      <c r="B254">
        <v>4.2469999999999999</v>
      </c>
      <c r="C254">
        <v>4.1829999999999998</v>
      </c>
      <c r="D254">
        <v>4.2569999999999997</v>
      </c>
      <c r="E254">
        <v>4.17</v>
      </c>
      <c r="F254" s="2">
        <v>1.3299999999999999E-2</v>
      </c>
    </row>
    <row r="255" spans="1:6" x14ac:dyDescent="0.4">
      <c r="A255" s="1">
        <v>45642</v>
      </c>
      <c r="B255">
        <v>4.258</v>
      </c>
      <c r="C255">
        <v>4.2380000000000004</v>
      </c>
      <c r="D255">
        <v>4.2619999999999996</v>
      </c>
      <c r="E255">
        <v>4.2160000000000002</v>
      </c>
      <c r="F255" s="2">
        <v>2.5000000000000001E-3</v>
      </c>
    </row>
    <row r="256" spans="1:6" x14ac:dyDescent="0.4">
      <c r="A256" s="1">
        <v>45643</v>
      </c>
      <c r="B256">
        <v>4.258</v>
      </c>
      <c r="C256">
        <v>4.2590000000000003</v>
      </c>
      <c r="D256">
        <v>4.3010000000000002</v>
      </c>
      <c r="E256">
        <v>4.2380000000000004</v>
      </c>
      <c r="F256" s="2">
        <v>0</v>
      </c>
    </row>
    <row r="257" spans="1:6" x14ac:dyDescent="0.4">
      <c r="A257" s="1">
        <v>45644</v>
      </c>
      <c r="B257">
        <v>4.4050000000000002</v>
      </c>
      <c r="C257">
        <v>4.2549999999999999</v>
      </c>
      <c r="D257">
        <v>4.4119999999999999</v>
      </c>
      <c r="E257">
        <v>4.2320000000000002</v>
      </c>
      <c r="F257" s="2">
        <v>3.4500000000000003E-2</v>
      </c>
    </row>
    <row r="258" spans="1:6" x14ac:dyDescent="0.4">
      <c r="A258" s="1">
        <v>45645</v>
      </c>
      <c r="B258">
        <v>4.4219999999999997</v>
      </c>
      <c r="C258">
        <v>4.4009999999999998</v>
      </c>
      <c r="D258">
        <v>4.4429999999999996</v>
      </c>
      <c r="E258">
        <v>4.3840000000000003</v>
      </c>
      <c r="F258" s="2">
        <v>3.8999999999999998E-3</v>
      </c>
    </row>
    <row r="259" spans="1:6" x14ac:dyDescent="0.4">
      <c r="A259" s="1">
        <v>45646</v>
      </c>
      <c r="B259">
        <v>4.3840000000000003</v>
      </c>
      <c r="C259">
        <v>4.4160000000000004</v>
      </c>
      <c r="D259">
        <v>4.4180000000000001</v>
      </c>
      <c r="E259">
        <v>4.3339999999999996</v>
      </c>
      <c r="F259" s="2">
        <v>-8.6E-3</v>
      </c>
    </row>
    <row r="260" spans="1:6" x14ac:dyDescent="0.4">
      <c r="A260" s="1">
        <v>45649</v>
      </c>
      <c r="B260">
        <v>4.4349999999999996</v>
      </c>
      <c r="C260">
        <v>4.3769999999999998</v>
      </c>
      <c r="D260">
        <v>4.4450000000000003</v>
      </c>
      <c r="E260">
        <v>4.375</v>
      </c>
      <c r="F260" s="2">
        <v>1.17E-2</v>
      </c>
    </row>
    <row r="261" spans="1:6" x14ac:dyDescent="0.4">
      <c r="A261" s="1">
        <v>45650</v>
      </c>
      <c r="B261">
        <v>4.4370000000000003</v>
      </c>
      <c r="C261">
        <v>4.431</v>
      </c>
      <c r="D261">
        <v>4.4779999999999998</v>
      </c>
      <c r="E261">
        <v>4.4249999999999998</v>
      </c>
      <c r="F261" s="2">
        <v>5.0000000000000001E-4</v>
      </c>
    </row>
    <row r="262" spans="1:6" x14ac:dyDescent="0.4">
      <c r="A262" s="1">
        <v>45652</v>
      </c>
      <c r="B262">
        <v>4.4349999999999996</v>
      </c>
      <c r="C262">
        <v>4.452</v>
      </c>
      <c r="D262">
        <v>4.4909999999999997</v>
      </c>
      <c r="E262">
        <v>4.43</v>
      </c>
      <c r="F262" s="2">
        <v>-5.0000000000000001E-4</v>
      </c>
    </row>
    <row r="263" spans="1:6" x14ac:dyDescent="0.4">
      <c r="A263" s="1">
        <v>45653</v>
      </c>
      <c r="B263">
        <v>4.4630000000000001</v>
      </c>
      <c r="C263">
        <v>4.4329999999999998</v>
      </c>
      <c r="D263">
        <v>4.4660000000000002</v>
      </c>
      <c r="E263">
        <v>4.4169999999999998</v>
      </c>
      <c r="F263" s="2">
        <v>6.4000000000000003E-3</v>
      </c>
    </row>
    <row r="264" spans="1:6" x14ac:dyDescent="0.4">
      <c r="A264" s="1">
        <v>45656</v>
      </c>
      <c r="B264">
        <v>4.3600000000000003</v>
      </c>
      <c r="C264">
        <v>4.4630000000000001</v>
      </c>
      <c r="D264">
        <v>4.4649999999999999</v>
      </c>
      <c r="E264">
        <v>4.3609999999999998</v>
      </c>
      <c r="F264" s="2">
        <v>-2.3099999999999999E-2</v>
      </c>
    </row>
    <row r="265" spans="1:6" x14ac:dyDescent="0.4">
      <c r="A265" s="1">
        <v>45657</v>
      </c>
      <c r="B265">
        <v>4.3780000000000001</v>
      </c>
      <c r="C265">
        <v>4.3540000000000001</v>
      </c>
      <c r="D265">
        <v>4.4000000000000004</v>
      </c>
      <c r="E265">
        <v>4.34</v>
      </c>
      <c r="F265" s="2">
        <v>4.1999999999999997E-3</v>
      </c>
    </row>
    <row r="266" spans="1:6" x14ac:dyDescent="0.4">
      <c r="A266" s="1">
        <v>45659</v>
      </c>
      <c r="B266">
        <v>4.3710000000000004</v>
      </c>
      <c r="C266">
        <v>4.3819999999999997</v>
      </c>
      <c r="D266">
        <v>4.4080000000000004</v>
      </c>
      <c r="E266">
        <v>4.3289999999999997</v>
      </c>
      <c r="F266" s="2">
        <v>-1.6000000000000001E-3</v>
      </c>
    </row>
    <row r="267" spans="1:6" x14ac:dyDescent="0.4">
      <c r="A267" s="1">
        <v>45660</v>
      </c>
      <c r="B267">
        <v>4.415</v>
      </c>
      <c r="C267">
        <v>4.3570000000000002</v>
      </c>
      <c r="D267">
        <v>4.4169999999999998</v>
      </c>
      <c r="E267">
        <v>4.3479999999999999</v>
      </c>
      <c r="F267" s="2">
        <v>1.01E-2</v>
      </c>
    </row>
    <row r="268" spans="1:6" x14ac:dyDescent="0.4">
      <c r="A268" s="1">
        <v>45663</v>
      </c>
      <c r="B268">
        <v>4.4210000000000003</v>
      </c>
      <c r="C268">
        <v>4.431</v>
      </c>
      <c r="D268">
        <v>4.4470000000000001</v>
      </c>
      <c r="E268">
        <v>4.3819999999999997</v>
      </c>
      <c r="F268" s="2">
        <v>1.1999999999999999E-3</v>
      </c>
    </row>
    <row r="269" spans="1:6" x14ac:dyDescent="0.4">
      <c r="A269" s="1">
        <v>45664</v>
      </c>
      <c r="B269">
        <v>4.4630000000000001</v>
      </c>
      <c r="C269">
        <v>4.4349999999999996</v>
      </c>
      <c r="D269">
        <v>4.4859999999999998</v>
      </c>
      <c r="E269">
        <v>4.4059999999999997</v>
      </c>
      <c r="F269" s="2">
        <v>9.5999999999999992E-3</v>
      </c>
    </row>
    <row r="270" spans="1:6" x14ac:dyDescent="0.4">
      <c r="A270" s="1">
        <v>45665</v>
      </c>
      <c r="B270">
        <v>4.4610000000000003</v>
      </c>
      <c r="C270">
        <v>4.47</v>
      </c>
      <c r="D270">
        <v>4.5019999999999998</v>
      </c>
      <c r="E270">
        <v>4.4379999999999997</v>
      </c>
      <c r="F270" s="2">
        <v>-4.0000000000000002E-4</v>
      </c>
    </row>
    <row r="271" spans="1:6" x14ac:dyDescent="0.4">
      <c r="A271" s="1">
        <v>45666</v>
      </c>
      <c r="B271">
        <v>4.4539999999999997</v>
      </c>
      <c r="C271">
        <v>4.46</v>
      </c>
      <c r="D271">
        <v>4.4610000000000003</v>
      </c>
      <c r="E271">
        <v>4.4240000000000004</v>
      </c>
      <c r="F271" s="2">
        <v>-1.6000000000000001E-3</v>
      </c>
    </row>
    <row r="272" spans="1:6" x14ac:dyDescent="0.4">
      <c r="A272" s="1">
        <v>45667</v>
      </c>
      <c r="B272">
        <v>4.5780000000000003</v>
      </c>
      <c r="C272">
        <v>4.4420000000000002</v>
      </c>
      <c r="D272">
        <v>4.5949999999999998</v>
      </c>
      <c r="E272">
        <v>4.4400000000000004</v>
      </c>
      <c r="F272" s="2">
        <v>2.7799999999999998E-2</v>
      </c>
    </row>
    <row r="273" spans="1:6" x14ac:dyDescent="0.4">
      <c r="A273" s="1">
        <v>45670</v>
      </c>
      <c r="B273">
        <v>4.609</v>
      </c>
      <c r="C273">
        <v>4.6150000000000002</v>
      </c>
      <c r="D273">
        <v>4.62</v>
      </c>
      <c r="E273">
        <v>4.5789999999999997</v>
      </c>
      <c r="F273" s="2">
        <v>6.7000000000000002E-3</v>
      </c>
    </row>
    <row r="274" spans="1:6" x14ac:dyDescent="0.4">
      <c r="A274" s="1">
        <v>45671</v>
      </c>
      <c r="B274">
        <v>4.5979999999999999</v>
      </c>
      <c r="C274">
        <v>4.5830000000000002</v>
      </c>
      <c r="D274">
        <v>4.6130000000000004</v>
      </c>
      <c r="E274">
        <v>4.5609999999999999</v>
      </c>
      <c r="F274" s="2">
        <v>-2.3E-3</v>
      </c>
    </row>
    <row r="275" spans="1:6" x14ac:dyDescent="0.4">
      <c r="A275" s="1">
        <v>45672</v>
      </c>
      <c r="B275">
        <v>4.45</v>
      </c>
      <c r="C275">
        <v>4.5990000000000002</v>
      </c>
      <c r="D275">
        <v>4.5990000000000002</v>
      </c>
      <c r="E275">
        <v>4.4370000000000003</v>
      </c>
      <c r="F275" s="2">
        <v>-3.2199999999999999E-2</v>
      </c>
    </row>
    <row r="276" spans="1:6" x14ac:dyDescent="0.4">
      <c r="A276" s="1">
        <v>45673</v>
      </c>
      <c r="B276">
        <v>4.3949999999999996</v>
      </c>
      <c r="C276">
        <v>4.4509999999999996</v>
      </c>
      <c r="D276">
        <v>4.5010000000000003</v>
      </c>
      <c r="E276">
        <v>4.3819999999999997</v>
      </c>
      <c r="F276" s="2">
        <v>-1.24E-2</v>
      </c>
    </row>
    <row r="277" spans="1:6" x14ac:dyDescent="0.4">
      <c r="A277" s="1">
        <v>45674</v>
      </c>
      <c r="B277">
        <v>4.4290000000000003</v>
      </c>
      <c r="C277">
        <v>4.41</v>
      </c>
      <c r="D277">
        <v>4.4349999999999996</v>
      </c>
      <c r="E277">
        <v>4.367</v>
      </c>
      <c r="F277" s="2">
        <v>7.7000000000000002E-3</v>
      </c>
    </row>
    <row r="278" spans="1:6" x14ac:dyDescent="0.4">
      <c r="A278" s="1">
        <v>45678</v>
      </c>
      <c r="B278">
        <v>4.391</v>
      </c>
      <c r="C278">
        <v>4.3550000000000004</v>
      </c>
      <c r="D278">
        <v>4.4119999999999999</v>
      </c>
      <c r="E278">
        <v>4.3339999999999996</v>
      </c>
      <c r="F278" s="2">
        <v>-8.3999999999999995E-3</v>
      </c>
    </row>
    <row r="279" spans="1:6" x14ac:dyDescent="0.4">
      <c r="A279" s="1">
        <v>45679</v>
      </c>
      <c r="B279">
        <v>4.4379999999999997</v>
      </c>
      <c r="C279">
        <v>4.4009999999999998</v>
      </c>
      <c r="D279">
        <v>4.4400000000000004</v>
      </c>
      <c r="E279">
        <v>4.3810000000000002</v>
      </c>
      <c r="F279" s="2">
        <v>1.0500000000000001E-2</v>
      </c>
    </row>
    <row r="280" spans="1:6" x14ac:dyDescent="0.4">
      <c r="A280" s="1">
        <v>45680</v>
      </c>
      <c r="B280">
        <v>4.4509999999999996</v>
      </c>
      <c r="C280">
        <v>4.4349999999999996</v>
      </c>
      <c r="D280">
        <v>4.4740000000000002</v>
      </c>
      <c r="E280">
        <v>4.4189999999999996</v>
      </c>
      <c r="F280" s="2">
        <v>3.0000000000000001E-3</v>
      </c>
    </row>
    <row r="281" spans="1:6" x14ac:dyDescent="0.4">
      <c r="A281" s="1">
        <v>45681</v>
      </c>
      <c r="B281">
        <v>4.42</v>
      </c>
      <c r="C281">
        <v>4.444</v>
      </c>
      <c r="D281">
        <v>4.46</v>
      </c>
      <c r="E281">
        <v>4.4009999999999998</v>
      </c>
      <c r="F281" s="2">
        <v>-7.0000000000000001E-3</v>
      </c>
    </row>
    <row r="282" spans="1:6" x14ac:dyDescent="0.4">
      <c r="A282" s="1">
        <v>45684</v>
      </c>
      <c r="B282">
        <v>4.3330000000000002</v>
      </c>
      <c r="C282">
        <v>4.41</v>
      </c>
      <c r="D282">
        <v>4.4119999999999999</v>
      </c>
      <c r="E282">
        <v>4.2960000000000003</v>
      </c>
      <c r="F282" s="2">
        <v>-1.95E-2</v>
      </c>
    </row>
    <row r="283" spans="1:6" x14ac:dyDescent="0.4">
      <c r="A283" s="1">
        <v>45685</v>
      </c>
      <c r="B283">
        <v>4.33</v>
      </c>
      <c r="C283">
        <v>4.3540000000000001</v>
      </c>
      <c r="D283">
        <v>4.3780000000000001</v>
      </c>
      <c r="E283">
        <v>4.327</v>
      </c>
      <c r="F283" s="2">
        <v>-8.0000000000000004E-4</v>
      </c>
    </row>
    <row r="284" spans="1:6" x14ac:dyDescent="0.4">
      <c r="A284" s="1">
        <v>45686</v>
      </c>
      <c r="B284">
        <v>4.3369999999999997</v>
      </c>
      <c r="C284">
        <v>4.327</v>
      </c>
      <c r="D284">
        <v>4.399</v>
      </c>
      <c r="E284">
        <v>4.3109999999999999</v>
      </c>
      <c r="F284" s="2">
        <v>1.6000000000000001E-3</v>
      </c>
    </row>
    <row r="285" spans="1:6" x14ac:dyDescent="0.4">
      <c r="A285" s="1">
        <v>45687</v>
      </c>
      <c r="B285">
        <v>4.3230000000000004</v>
      </c>
      <c r="C285">
        <v>4.343</v>
      </c>
      <c r="D285">
        <v>4.3479999999999999</v>
      </c>
      <c r="E285">
        <v>4.2919999999999998</v>
      </c>
      <c r="F285" s="2">
        <v>-3.2000000000000002E-3</v>
      </c>
    </row>
    <row r="286" spans="1:6" x14ac:dyDescent="0.4">
      <c r="A286" s="1">
        <v>45688</v>
      </c>
      <c r="B286">
        <v>4.3319999999999999</v>
      </c>
      <c r="C286">
        <v>4.3250000000000002</v>
      </c>
      <c r="D286">
        <v>4.37</v>
      </c>
      <c r="E286">
        <v>4.3029999999999999</v>
      </c>
      <c r="F286" s="2">
        <v>2E-3</v>
      </c>
    </row>
    <row r="287" spans="1:6" x14ac:dyDescent="0.4">
      <c r="A287" s="1">
        <v>45691</v>
      </c>
      <c r="B287">
        <v>4.3600000000000003</v>
      </c>
      <c r="C287">
        <v>4.38</v>
      </c>
      <c r="D287">
        <v>4.3840000000000003</v>
      </c>
      <c r="E287">
        <v>4.2759999999999998</v>
      </c>
      <c r="F287" s="2">
        <v>6.4999999999999997E-3</v>
      </c>
    </row>
    <row r="288" spans="1:6" x14ac:dyDescent="0.4">
      <c r="A288" s="1">
        <v>45692</v>
      </c>
      <c r="B288">
        <v>4.3179999999999996</v>
      </c>
      <c r="C288">
        <v>4.3710000000000004</v>
      </c>
      <c r="D288">
        <v>4.3979999999999997</v>
      </c>
      <c r="E288">
        <v>4.3129999999999997</v>
      </c>
      <c r="F288" s="2">
        <v>-9.7000000000000003E-3</v>
      </c>
    </row>
    <row r="289" spans="1:6" x14ac:dyDescent="0.4">
      <c r="A289" s="1">
        <v>45693</v>
      </c>
      <c r="B289">
        <v>4.2489999999999997</v>
      </c>
      <c r="C289">
        <v>4.3310000000000004</v>
      </c>
      <c r="D289">
        <v>4.3339999999999996</v>
      </c>
      <c r="E289">
        <v>4.22</v>
      </c>
      <c r="F289" s="2">
        <v>-1.5900000000000001E-2</v>
      </c>
    </row>
    <row r="290" spans="1:6" x14ac:dyDescent="0.4">
      <c r="A290" s="1">
        <v>45694</v>
      </c>
      <c r="B290">
        <v>4.274</v>
      </c>
      <c r="C290">
        <v>4.2530000000000001</v>
      </c>
      <c r="D290">
        <v>4.2919999999999998</v>
      </c>
      <c r="E290">
        <v>4.2409999999999997</v>
      </c>
      <c r="F290" s="2">
        <v>6.0000000000000001E-3</v>
      </c>
    </row>
    <row r="291" spans="1:6" x14ac:dyDescent="0.4">
      <c r="A291" s="1">
        <v>45695</v>
      </c>
      <c r="B291">
        <v>4.3460000000000001</v>
      </c>
      <c r="C291">
        <v>4.2709999999999999</v>
      </c>
      <c r="D291">
        <v>4.3630000000000004</v>
      </c>
      <c r="E291">
        <v>4.2709999999999999</v>
      </c>
      <c r="F291" s="2">
        <v>1.67E-2</v>
      </c>
    </row>
    <row r="292" spans="1:6" x14ac:dyDescent="0.4">
      <c r="A292" s="1">
        <v>45698</v>
      </c>
      <c r="B292">
        <v>4.3410000000000002</v>
      </c>
      <c r="C292">
        <v>4.34</v>
      </c>
      <c r="D292">
        <v>4.3570000000000002</v>
      </c>
      <c r="E292">
        <v>4.3040000000000003</v>
      </c>
      <c r="F292" s="2">
        <v>-1.1999999999999999E-3</v>
      </c>
    </row>
    <row r="293" spans="1:6" x14ac:dyDescent="0.4">
      <c r="A293" s="1">
        <v>45699</v>
      </c>
      <c r="B293">
        <v>4.3710000000000004</v>
      </c>
      <c r="C293">
        <v>4.3499999999999996</v>
      </c>
      <c r="D293">
        <v>4.3819999999999997</v>
      </c>
      <c r="E293">
        <v>4.3449999999999998</v>
      </c>
      <c r="F293" s="2">
        <v>6.8999999999999999E-3</v>
      </c>
    </row>
    <row r="294" spans="1:6" x14ac:dyDescent="0.4">
      <c r="A294" s="1">
        <v>45700</v>
      </c>
      <c r="B294">
        <v>4.4690000000000003</v>
      </c>
      <c r="C294">
        <v>4.375</v>
      </c>
      <c r="D294">
        <v>4.4960000000000004</v>
      </c>
      <c r="E294">
        <v>4.3630000000000004</v>
      </c>
      <c r="F294" s="2">
        <v>2.24E-2</v>
      </c>
    </row>
    <row r="295" spans="1:6" x14ac:dyDescent="0.4">
      <c r="A295" s="1">
        <v>45701</v>
      </c>
      <c r="B295">
        <v>4.3899999999999997</v>
      </c>
      <c r="C295">
        <v>4.4690000000000003</v>
      </c>
      <c r="D295">
        <v>4.4859999999999998</v>
      </c>
      <c r="E295">
        <v>4.3769999999999998</v>
      </c>
      <c r="F295" s="2">
        <v>-1.7500000000000002E-2</v>
      </c>
    </row>
    <row r="296" spans="1:6" x14ac:dyDescent="0.4">
      <c r="A296" s="1">
        <v>45702</v>
      </c>
      <c r="B296">
        <v>4.3280000000000003</v>
      </c>
      <c r="C296">
        <v>4.3970000000000002</v>
      </c>
      <c r="D296">
        <v>4.4020000000000001</v>
      </c>
      <c r="E296">
        <v>4.3010000000000002</v>
      </c>
      <c r="F296" s="2">
        <v>-1.41E-2</v>
      </c>
    </row>
    <row r="297" spans="1:6" x14ac:dyDescent="0.4">
      <c r="A297" s="1">
        <v>45706</v>
      </c>
      <c r="B297">
        <v>4.4009999999999998</v>
      </c>
      <c r="C297">
        <v>4.3339999999999996</v>
      </c>
      <c r="D297">
        <v>4.4089999999999998</v>
      </c>
      <c r="E297">
        <v>4.3339999999999996</v>
      </c>
      <c r="F297" s="2">
        <v>1.6799999999999999E-2</v>
      </c>
    </row>
    <row r="298" spans="1:6" x14ac:dyDescent="0.4">
      <c r="A298" s="1">
        <v>45707</v>
      </c>
      <c r="B298">
        <v>4.3639999999999999</v>
      </c>
      <c r="C298">
        <v>4.4039999999999999</v>
      </c>
      <c r="D298">
        <v>4.4130000000000003</v>
      </c>
      <c r="E298">
        <v>4.3630000000000004</v>
      </c>
      <c r="F298" s="2">
        <v>-8.5000000000000006E-3</v>
      </c>
    </row>
    <row r="299" spans="1:6" x14ac:dyDescent="0.4">
      <c r="A299" s="1">
        <v>45708</v>
      </c>
      <c r="B299">
        <v>4.3460000000000001</v>
      </c>
      <c r="C299">
        <v>4.3630000000000004</v>
      </c>
      <c r="D299">
        <v>4.367</v>
      </c>
      <c r="E299">
        <v>4.3289999999999997</v>
      </c>
      <c r="F299" s="2">
        <v>-4.1000000000000003E-3</v>
      </c>
    </row>
    <row r="300" spans="1:6" x14ac:dyDescent="0.4">
      <c r="A300" s="1">
        <v>45709</v>
      </c>
      <c r="B300">
        <v>4.2699999999999996</v>
      </c>
      <c r="C300">
        <v>4.351</v>
      </c>
      <c r="D300">
        <v>4.351</v>
      </c>
      <c r="E300">
        <v>4.2489999999999997</v>
      </c>
      <c r="F300" s="2">
        <v>-1.7600000000000001E-2</v>
      </c>
    </row>
    <row r="301" spans="1:6" x14ac:dyDescent="0.4">
      <c r="A301" s="1">
        <v>45712</v>
      </c>
      <c r="B301">
        <v>4.234</v>
      </c>
      <c r="C301">
        <v>4.2850000000000001</v>
      </c>
      <c r="D301">
        <v>4.2969999999999997</v>
      </c>
      <c r="E301">
        <v>4.226</v>
      </c>
      <c r="F301" s="2">
        <v>-8.3000000000000001E-3</v>
      </c>
    </row>
    <row r="302" spans="1:6" x14ac:dyDescent="0.4">
      <c r="A302" s="1">
        <v>45713</v>
      </c>
      <c r="B302">
        <v>4.13</v>
      </c>
      <c r="C302">
        <v>4.234</v>
      </c>
      <c r="D302">
        <v>4.2350000000000003</v>
      </c>
      <c r="E302">
        <v>4.1150000000000002</v>
      </c>
      <c r="F302" s="2">
        <v>-2.46E-2</v>
      </c>
    </row>
    <row r="303" spans="1:6" x14ac:dyDescent="0.4">
      <c r="A303" s="1">
        <v>45714</v>
      </c>
      <c r="B303">
        <v>4.0830000000000002</v>
      </c>
      <c r="C303">
        <v>4.1589999999999998</v>
      </c>
      <c r="D303">
        <v>4.1689999999999996</v>
      </c>
      <c r="E303">
        <v>4.0709999999999997</v>
      </c>
      <c r="F303" s="2">
        <v>-1.14E-2</v>
      </c>
    </row>
    <row r="304" spans="1:6" x14ac:dyDescent="0.4">
      <c r="A304" s="1">
        <v>45715</v>
      </c>
      <c r="B304">
        <v>4.0780000000000003</v>
      </c>
      <c r="C304">
        <v>4.101</v>
      </c>
      <c r="D304">
        <v>4.1379999999999999</v>
      </c>
      <c r="E304">
        <v>4.077</v>
      </c>
      <c r="F304" s="2">
        <v>-1.2999999999999999E-3</v>
      </c>
    </row>
    <row r="305" spans="1:6" x14ac:dyDescent="0.4">
      <c r="A305" s="1">
        <v>45716</v>
      </c>
      <c r="B305">
        <v>4.01</v>
      </c>
      <c r="C305">
        <v>4.0709999999999997</v>
      </c>
      <c r="D305">
        <v>4.0910000000000002</v>
      </c>
      <c r="E305">
        <v>4.0019999999999998</v>
      </c>
      <c r="F305" s="2">
        <v>-1.6500000000000001E-2</v>
      </c>
    </row>
    <row r="306" spans="1:6" x14ac:dyDescent="0.4">
      <c r="A306" s="1">
        <v>45719</v>
      </c>
      <c r="B306">
        <v>3.9660000000000002</v>
      </c>
      <c r="C306">
        <v>4.0570000000000004</v>
      </c>
      <c r="D306">
        <v>4.0709999999999997</v>
      </c>
      <c r="E306">
        <v>3.9510000000000001</v>
      </c>
      <c r="F306" s="2">
        <v>-1.11E-2</v>
      </c>
    </row>
    <row r="307" spans="1:6" x14ac:dyDescent="0.4">
      <c r="A307" s="1">
        <v>45720</v>
      </c>
      <c r="B307">
        <v>4.0410000000000004</v>
      </c>
      <c r="C307">
        <v>3.9510000000000001</v>
      </c>
      <c r="D307">
        <v>4.05</v>
      </c>
      <c r="E307">
        <v>3.88</v>
      </c>
      <c r="F307" s="2">
        <v>1.89E-2</v>
      </c>
    </row>
    <row r="308" spans="1:6" x14ac:dyDescent="0.4">
      <c r="A308" s="1">
        <v>45721</v>
      </c>
      <c r="B308">
        <v>4.0750000000000002</v>
      </c>
      <c r="C308">
        <v>4.0330000000000004</v>
      </c>
      <c r="D308">
        <v>4.0890000000000004</v>
      </c>
      <c r="E308">
        <v>3.9630000000000001</v>
      </c>
      <c r="F308" s="2">
        <v>8.5000000000000006E-3</v>
      </c>
    </row>
    <row r="309" spans="1:6" x14ac:dyDescent="0.4">
      <c r="A309" s="1">
        <v>45722</v>
      </c>
      <c r="B309">
        <v>4.0579999999999998</v>
      </c>
      <c r="C309">
        <v>4.0890000000000004</v>
      </c>
      <c r="D309">
        <v>4.1260000000000003</v>
      </c>
      <c r="E309">
        <v>4.0330000000000004</v>
      </c>
      <c r="F309" s="2">
        <v>-4.3E-3</v>
      </c>
    </row>
    <row r="310" spans="1:6" x14ac:dyDescent="0.4">
      <c r="A310" s="1">
        <v>45723</v>
      </c>
      <c r="B310">
        <v>4.0830000000000002</v>
      </c>
      <c r="C310">
        <v>4.0570000000000004</v>
      </c>
      <c r="D310">
        <v>4.1120000000000001</v>
      </c>
      <c r="E310">
        <v>3.9740000000000002</v>
      </c>
      <c r="F310" s="2">
        <v>6.3E-3</v>
      </c>
    </row>
    <row r="311" spans="1:6" x14ac:dyDescent="0.4">
      <c r="A311" s="1">
        <v>45726</v>
      </c>
      <c r="B311">
        <v>3.9740000000000002</v>
      </c>
      <c r="C311">
        <v>4.0359999999999996</v>
      </c>
      <c r="D311">
        <v>4.0730000000000004</v>
      </c>
      <c r="E311">
        <v>3.96</v>
      </c>
      <c r="F311" s="2">
        <v>-2.6800000000000001E-2</v>
      </c>
    </row>
    <row r="312" spans="1:6" x14ac:dyDescent="0.4">
      <c r="A312" s="1">
        <v>45727</v>
      </c>
      <c r="B312">
        <v>4.0380000000000003</v>
      </c>
      <c r="C312">
        <v>3.9540000000000002</v>
      </c>
      <c r="D312">
        <v>4.0469999999999997</v>
      </c>
      <c r="E312">
        <v>3.9039999999999999</v>
      </c>
      <c r="F312" s="2">
        <v>1.6299999999999999E-2</v>
      </c>
    </row>
    <row r="313" spans="1:6" x14ac:dyDescent="0.4">
      <c r="A313" s="1">
        <v>45728</v>
      </c>
      <c r="B313">
        <v>4.0730000000000004</v>
      </c>
      <c r="C313">
        <v>4.0350000000000001</v>
      </c>
      <c r="D313">
        <v>4.0979999999999999</v>
      </c>
      <c r="E313">
        <v>4</v>
      </c>
      <c r="F313" s="2">
        <v>8.5000000000000006E-3</v>
      </c>
    </row>
    <row r="314" spans="1:6" x14ac:dyDescent="0.4">
      <c r="A314" s="1">
        <v>45729</v>
      </c>
      <c r="B314">
        <v>4.0259999999999998</v>
      </c>
      <c r="C314">
        <v>4.0750000000000002</v>
      </c>
      <c r="D314">
        <v>4.1100000000000003</v>
      </c>
      <c r="E314">
        <v>4.0090000000000003</v>
      </c>
      <c r="F314" s="2">
        <v>-1.14E-2</v>
      </c>
    </row>
    <row r="315" spans="1:6" x14ac:dyDescent="0.4">
      <c r="A315" s="1">
        <v>45730</v>
      </c>
      <c r="B315">
        <v>4.0919999999999996</v>
      </c>
      <c r="C315">
        <v>4.0330000000000004</v>
      </c>
      <c r="D315">
        <v>4.0960000000000001</v>
      </c>
      <c r="E315">
        <v>4.03</v>
      </c>
      <c r="F315" s="2">
        <v>1.6400000000000001E-2</v>
      </c>
    </row>
    <row r="316" spans="1:6" x14ac:dyDescent="0.4">
      <c r="A316" s="1">
        <v>45733</v>
      </c>
      <c r="B316">
        <v>4.09</v>
      </c>
      <c r="C316">
        <v>4.0659999999999998</v>
      </c>
      <c r="D316">
        <v>4.1210000000000004</v>
      </c>
      <c r="E316">
        <v>4.0469999999999997</v>
      </c>
      <c r="F316" s="2">
        <v>-4.0000000000000002E-4</v>
      </c>
    </row>
    <row r="317" spans="1:6" x14ac:dyDescent="0.4">
      <c r="A317" s="1">
        <v>45734</v>
      </c>
      <c r="B317">
        <v>4.0730000000000004</v>
      </c>
      <c r="C317">
        <v>4.0910000000000002</v>
      </c>
      <c r="D317">
        <v>4.1189999999999998</v>
      </c>
      <c r="E317">
        <v>4.0519999999999996</v>
      </c>
      <c r="F317" s="2">
        <v>-4.3E-3</v>
      </c>
    </row>
    <row r="318" spans="1:6" x14ac:dyDescent="0.4">
      <c r="A318" s="1">
        <v>45735</v>
      </c>
      <c r="B318">
        <v>4.0229999999999997</v>
      </c>
      <c r="C318">
        <v>4.0819999999999999</v>
      </c>
      <c r="D318">
        <v>4.125</v>
      </c>
      <c r="E318">
        <v>4.0170000000000003</v>
      </c>
      <c r="F318" s="2">
        <v>-1.21E-2</v>
      </c>
    </row>
    <row r="319" spans="1:6" x14ac:dyDescent="0.4">
      <c r="A319" s="1">
        <v>45736</v>
      </c>
      <c r="B319">
        <v>4.0149999999999997</v>
      </c>
      <c r="C319">
        <v>4.0149999999999997</v>
      </c>
      <c r="D319">
        <v>4.0330000000000004</v>
      </c>
      <c r="E319">
        <v>3.952</v>
      </c>
      <c r="F319" s="2">
        <v>-2.2000000000000001E-3</v>
      </c>
    </row>
    <row r="320" spans="1:6" x14ac:dyDescent="0.4">
      <c r="A320" s="1">
        <v>45737</v>
      </c>
      <c r="B320">
        <v>4.0060000000000002</v>
      </c>
      <c r="C320">
        <v>4.0119999999999996</v>
      </c>
      <c r="D320">
        <v>4.0279999999999996</v>
      </c>
      <c r="E320">
        <v>3.9609999999999999</v>
      </c>
      <c r="F320" s="2">
        <v>-2.2000000000000001E-3</v>
      </c>
    </row>
    <row r="321" spans="1:6" x14ac:dyDescent="0.4">
      <c r="A321" s="1">
        <v>45740</v>
      </c>
      <c r="B321">
        <v>4.0970000000000004</v>
      </c>
      <c r="C321">
        <v>4.0350000000000001</v>
      </c>
      <c r="D321">
        <v>4.0999999999999996</v>
      </c>
      <c r="E321">
        <v>4.0289999999999999</v>
      </c>
      <c r="F321" s="2">
        <v>2.29E-2</v>
      </c>
    </row>
    <row r="322" spans="1:6" x14ac:dyDescent="0.4">
      <c r="A322" s="1">
        <v>45741</v>
      </c>
      <c r="B322">
        <v>4.069</v>
      </c>
      <c r="C322">
        <v>4.0949999999999998</v>
      </c>
      <c r="D322">
        <v>4.1230000000000002</v>
      </c>
      <c r="E322">
        <v>4.0519999999999996</v>
      </c>
      <c r="F322" s="2">
        <v>-6.8999999999999999E-3</v>
      </c>
    </row>
    <row r="323" spans="1:6" x14ac:dyDescent="0.4">
      <c r="A323" s="1">
        <v>45742</v>
      </c>
      <c r="B323">
        <v>4.0970000000000004</v>
      </c>
      <c r="C323">
        <v>4.0819999999999999</v>
      </c>
      <c r="D323">
        <v>4.1109999999999998</v>
      </c>
      <c r="E323">
        <v>4.0670000000000002</v>
      </c>
      <c r="F323" s="2">
        <v>7.0000000000000001E-3</v>
      </c>
    </row>
    <row r="324" spans="1:6" x14ac:dyDescent="0.4">
      <c r="A324" s="1">
        <v>45743</v>
      </c>
      <c r="B324">
        <v>4.0919999999999996</v>
      </c>
      <c r="C324">
        <v>4.085</v>
      </c>
      <c r="D324">
        <v>4.1399999999999997</v>
      </c>
      <c r="E324">
        <v>4.08</v>
      </c>
      <c r="F324" s="2">
        <v>-1.5E-3</v>
      </c>
    </row>
    <row r="325" spans="1:6" x14ac:dyDescent="0.4">
      <c r="A325" s="1">
        <v>45744</v>
      </c>
      <c r="B325">
        <v>3.98</v>
      </c>
      <c r="C325">
        <v>4.0919999999999996</v>
      </c>
      <c r="D325">
        <v>4.0919999999999996</v>
      </c>
      <c r="E325">
        <v>3.972</v>
      </c>
      <c r="F325" s="2">
        <v>-2.7300000000000001E-2</v>
      </c>
    </row>
    <row r="326" spans="1:6" x14ac:dyDescent="0.4">
      <c r="A326" s="1">
        <v>45747</v>
      </c>
      <c r="B326">
        <v>3.9540000000000002</v>
      </c>
      <c r="C326">
        <v>3.9380000000000002</v>
      </c>
      <c r="D326">
        <v>3.9980000000000002</v>
      </c>
      <c r="E326">
        <v>3.9049999999999998</v>
      </c>
      <c r="F326" s="2">
        <v>-6.4999999999999997E-3</v>
      </c>
    </row>
    <row r="327" spans="1:6" x14ac:dyDescent="0.4">
      <c r="A327" s="1">
        <v>45748</v>
      </c>
      <c r="B327">
        <v>3.9140000000000001</v>
      </c>
      <c r="C327">
        <v>3.9550000000000001</v>
      </c>
      <c r="D327">
        <v>3.96</v>
      </c>
      <c r="E327">
        <v>3.8820000000000001</v>
      </c>
      <c r="F327" s="2">
        <v>-1.01E-2</v>
      </c>
    </row>
    <row r="328" spans="1:6" x14ac:dyDescent="0.4">
      <c r="A328" s="1">
        <v>45749</v>
      </c>
      <c r="B328">
        <v>3.8730000000000002</v>
      </c>
      <c r="C328">
        <v>3.9529999999999998</v>
      </c>
      <c r="D328">
        <v>4.0069999999999997</v>
      </c>
      <c r="E328">
        <v>3.863</v>
      </c>
      <c r="F328" s="2">
        <v>-1.04E-2</v>
      </c>
    </row>
    <row r="329" spans="1:6" x14ac:dyDescent="0.4">
      <c r="A329" s="1">
        <v>45750</v>
      </c>
      <c r="B329">
        <v>3.7360000000000002</v>
      </c>
      <c r="C329">
        <v>3.7850000000000001</v>
      </c>
      <c r="D329">
        <v>3.8420000000000001</v>
      </c>
      <c r="E329">
        <v>3.7040000000000002</v>
      </c>
      <c r="F329" s="2">
        <v>-3.5400000000000001E-2</v>
      </c>
    </row>
    <row r="330" spans="1:6" x14ac:dyDescent="0.4">
      <c r="A330" s="1">
        <v>45751</v>
      </c>
      <c r="B330">
        <v>3.7040000000000002</v>
      </c>
      <c r="C330">
        <v>3.74</v>
      </c>
      <c r="D330">
        <v>3.7450000000000001</v>
      </c>
      <c r="E330">
        <v>3.5259999999999998</v>
      </c>
      <c r="F330" s="2">
        <v>-8.3999999999999995E-3</v>
      </c>
    </row>
    <row r="331" spans="1:6" x14ac:dyDescent="0.4">
      <c r="A331" s="1">
        <v>45754</v>
      </c>
      <c r="B331">
        <v>3.8849999999999998</v>
      </c>
      <c r="C331">
        <v>3.556</v>
      </c>
      <c r="D331">
        <v>3.9279999999999999</v>
      </c>
      <c r="E331">
        <v>3.536</v>
      </c>
      <c r="F331" s="2">
        <v>4.87E-2</v>
      </c>
    </row>
    <row r="332" spans="1:6" x14ac:dyDescent="0.4">
      <c r="A332" s="1">
        <v>45755</v>
      </c>
      <c r="B332">
        <v>3.9169999999999998</v>
      </c>
      <c r="C332">
        <v>3.8610000000000002</v>
      </c>
      <c r="D332">
        <v>3.968</v>
      </c>
      <c r="E332">
        <v>3.8090000000000002</v>
      </c>
      <c r="F332" s="2">
        <v>8.3000000000000001E-3</v>
      </c>
    </row>
    <row r="333" spans="1:6" x14ac:dyDescent="0.4">
      <c r="A333" s="1">
        <v>45756</v>
      </c>
      <c r="B333">
        <v>4.0460000000000003</v>
      </c>
      <c r="C333">
        <v>3.911</v>
      </c>
      <c r="D333">
        <v>4.1609999999999996</v>
      </c>
      <c r="E333">
        <v>3.8940000000000001</v>
      </c>
      <c r="F333" s="2">
        <v>3.3000000000000002E-2</v>
      </c>
    </row>
    <row r="334" spans="1:6" x14ac:dyDescent="0.4">
      <c r="A334" s="1">
        <v>45757</v>
      </c>
      <c r="B334">
        <v>4.07</v>
      </c>
      <c r="C334">
        <v>4.0190000000000001</v>
      </c>
      <c r="D334">
        <v>4.077</v>
      </c>
      <c r="E334">
        <v>3.9390000000000001</v>
      </c>
      <c r="F334" s="2">
        <v>5.8999999999999999E-3</v>
      </c>
    </row>
    <row r="335" spans="1:6" x14ac:dyDescent="0.4">
      <c r="A335" s="1">
        <v>45758</v>
      </c>
      <c r="B335">
        <v>4.1680000000000001</v>
      </c>
      <c r="C335">
        <v>4.0720000000000001</v>
      </c>
      <c r="D335">
        <v>4.2229999999999999</v>
      </c>
      <c r="E335">
        <v>4.0170000000000003</v>
      </c>
      <c r="F335" s="2">
        <v>2.4E-2</v>
      </c>
    </row>
    <row r="336" spans="1:6" x14ac:dyDescent="0.4">
      <c r="A336" s="1">
        <v>45761</v>
      </c>
      <c r="B336">
        <v>4.0170000000000003</v>
      </c>
      <c r="C336">
        <v>4.1310000000000002</v>
      </c>
      <c r="D336">
        <v>4.1470000000000002</v>
      </c>
      <c r="E336">
        <v>3.9929999999999999</v>
      </c>
      <c r="F336" s="2">
        <v>-3.61E-2</v>
      </c>
    </row>
    <row r="337" spans="1:6" x14ac:dyDescent="0.4">
      <c r="A337" s="1">
        <v>45762</v>
      </c>
      <c r="B337">
        <v>3.9870000000000001</v>
      </c>
      <c r="C337">
        <v>4.0149999999999997</v>
      </c>
      <c r="D337">
        <v>4.0449999999999999</v>
      </c>
      <c r="E337">
        <v>3.944</v>
      </c>
      <c r="F337" s="2">
        <v>-7.4000000000000003E-3</v>
      </c>
    </row>
    <row r="338" spans="1:6" x14ac:dyDescent="0.4">
      <c r="A338" s="1">
        <v>45763</v>
      </c>
      <c r="B338">
        <v>3.9079999999999999</v>
      </c>
      <c r="C338">
        <v>3.9729999999999999</v>
      </c>
      <c r="D338">
        <v>3.9790000000000001</v>
      </c>
      <c r="E338">
        <v>3.8889999999999998</v>
      </c>
      <c r="F338" s="2">
        <v>-0.02</v>
      </c>
    </row>
    <row r="339" spans="1:6" x14ac:dyDescent="0.4">
      <c r="A339" s="1">
        <v>45764</v>
      </c>
      <c r="B339">
        <v>3.9409999999999998</v>
      </c>
      <c r="C339">
        <v>3.9159999999999999</v>
      </c>
      <c r="D339">
        <v>3.9609999999999999</v>
      </c>
      <c r="E339">
        <v>3.8940000000000001</v>
      </c>
      <c r="F339" s="2">
        <v>8.3999999999999995E-3</v>
      </c>
    </row>
    <row r="340" spans="1:6" x14ac:dyDescent="0.4">
      <c r="A340" s="1">
        <v>45768</v>
      </c>
      <c r="B340">
        <v>3.9790000000000001</v>
      </c>
      <c r="C340">
        <v>3.9239999999999999</v>
      </c>
      <c r="D340">
        <v>3.98</v>
      </c>
      <c r="E340">
        <v>3.8889999999999998</v>
      </c>
      <c r="F340" s="2">
        <v>9.7999999999999997E-3</v>
      </c>
    </row>
    <row r="341" spans="1:6" x14ac:dyDescent="0.4">
      <c r="A341" s="1">
        <v>45769</v>
      </c>
      <c r="B341">
        <v>3.992</v>
      </c>
      <c r="C341">
        <v>3.968</v>
      </c>
      <c r="D341">
        <v>4.0119999999999996</v>
      </c>
      <c r="E341">
        <v>3.95</v>
      </c>
      <c r="F341" s="2">
        <v>3.0999999999999999E-3</v>
      </c>
    </row>
    <row r="342" spans="1:6" x14ac:dyDescent="0.4">
      <c r="A342" s="1">
        <v>45770</v>
      </c>
      <c r="B342">
        <v>4.0170000000000003</v>
      </c>
      <c r="C342">
        <v>4</v>
      </c>
      <c r="D342">
        <v>4.0259999999999998</v>
      </c>
      <c r="E342">
        <v>3.8940000000000001</v>
      </c>
      <c r="F342" s="2">
        <v>6.4000000000000003E-3</v>
      </c>
    </row>
    <row r="343" spans="1:6" x14ac:dyDescent="0.4">
      <c r="A343" s="1">
        <v>45771</v>
      </c>
      <c r="B343">
        <v>3.931</v>
      </c>
      <c r="C343">
        <v>4.0039999999999996</v>
      </c>
      <c r="D343">
        <v>4.0049999999999999</v>
      </c>
      <c r="E343">
        <v>3.9249999999999998</v>
      </c>
      <c r="F343" s="2">
        <v>-2.1299999999999999E-2</v>
      </c>
    </row>
    <row r="344" spans="1:6" x14ac:dyDescent="0.4">
      <c r="A344" s="1">
        <v>45772</v>
      </c>
      <c r="B344">
        <v>3.8759999999999999</v>
      </c>
      <c r="C344">
        <v>3.944</v>
      </c>
      <c r="D344">
        <v>3.9510000000000001</v>
      </c>
      <c r="E344">
        <v>3.8610000000000002</v>
      </c>
      <c r="F344" s="2">
        <v>-1.41E-2</v>
      </c>
    </row>
    <row r="345" spans="1:6" x14ac:dyDescent="0.4">
      <c r="A345" s="1">
        <v>45775</v>
      </c>
      <c r="B345">
        <v>3.8069999999999999</v>
      </c>
      <c r="C345">
        <v>3.8719999999999999</v>
      </c>
      <c r="D345">
        <v>3.91</v>
      </c>
      <c r="E345">
        <v>3.806</v>
      </c>
      <c r="F345" s="2">
        <v>-1.7600000000000001E-2</v>
      </c>
    </row>
    <row r="346" spans="1:6" x14ac:dyDescent="0.4">
      <c r="A346" s="1">
        <v>45776</v>
      </c>
      <c r="B346">
        <v>3.7679999999999998</v>
      </c>
      <c r="C346">
        <v>3.8210000000000002</v>
      </c>
      <c r="D346">
        <v>3.851</v>
      </c>
      <c r="E346">
        <v>3.7639999999999998</v>
      </c>
      <c r="F346" s="2">
        <v>-1.04E-2</v>
      </c>
    </row>
    <row r="347" spans="1:6" x14ac:dyDescent="0.4">
      <c r="A347" s="1">
        <v>45777</v>
      </c>
      <c r="B347">
        <v>3.7320000000000002</v>
      </c>
      <c r="C347">
        <v>3.7589999999999999</v>
      </c>
      <c r="D347">
        <v>3.8109999999999999</v>
      </c>
      <c r="E347">
        <v>3.7090000000000001</v>
      </c>
      <c r="F347" s="2">
        <v>-9.4000000000000004E-3</v>
      </c>
    </row>
    <row r="348" spans="1:6" x14ac:dyDescent="0.4">
      <c r="A348" s="1">
        <v>45778</v>
      </c>
      <c r="B348">
        <v>3.798</v>
      </c>
      <c r="C348">
        <v>3.7450000000000001</v>
      </c>
      <c r="D348">
        <v>3.8279999999999998</v>
      </c>
      <c r="E348">
        <v>3.6819999999999999</v>
      </c>
      <c r="F348" s="2">
        <v>1.7500000000000002E-2</v>
      </c>
    </row>
    <row r="349" spans="1:6" x14ac:dyDescent="0.4">
      <c r="A349" s="1">
        <v>45779</v>
      </c>
      <c r="B349">
        <v>3.9159999999999999</v>
      </c>
      <c r="C349">
        <v>3.7919999999999998</v>
      </c>
      <c r="D349">
        <v>3.944</v>
      </c>
      <c r="E349">
        <v>3.786</v>
      </c>
      <c r="F349" s="2">
        <v>3.1E-2</v>
      </c>
    </row>
    <row r="350" spans="1:6" x14ac:dyDescent="0.4">
      <c r="A350" s="1">
        <v>45782</v>
      </c>
      <c r="B350">
        <v>3.9449999999999998</v>
      </c>
      <c r="C350">
        <v>3.915</v>
      </c>
      <c r="D350">
        <v>3.964</v>
      </c>
      <c r="E350">
        <v>3.8849999999999998</v>
      </c>
      <c r="F350" s="2">
        <v>7.4000000000000003E-3</v>
      </c>
    </row>
    <row r="351" spans="1:6" x14ac:dyDescent="0.4">
      <c r="A351" s="1">
        <v>45783</v>
      </c>
      <c r="B351" s="11">
        <v>3.8940000000000001</v>
      </c>
      <c r="C351" s="7">
        <v>3.9660000000000002</v>
      </c>
      <c r="D351" s="7">
        <v>3.9660000000000002</v>
      </c>
      <c r="E351" s="7">
        <v>3.8889999999999998</v>
      </c>
      <c r="F351" s="8">
        <v>-1.2800000000000001E-2</v>
      </c>
    </row>
    <row r="352" spans="1:6" x14ac:dyDescent="0.4">
      <c r="A352" s="1">
        <v>45784</v>
      </c>
      <c r="B352" s="12">
        <v>3.8639999999999999</v>
      </c>
      <c r="C352" s="13">
        <v>3.9079999999999999</v>
      </c>
      <c r="D352" s="13">
        <v>3.9319999999999999</v>
      </c>
      <c r="E352" s="13">
        <v>3.8540000000000001</v>
      </c>
      <c r="F352" s="14">
        <v>-6.8999999999999999E-3</v>
      </c>
    </row>
    <row r="353" spans="1:6" x14ac:dyDescent="0.4">
      <c r="A353" s="1">
        <v>45785</v>
      </c>
      <c r="B353" s="9">
        <v>3.988</v>
      </c>
      <c r="C353" s="7">
        <v>3.8889999999999998</v>
      </c>
      <c r="D353" s="7">
        <v>4.0019999999999998</v>
      </c>
      <c r="E353" s="7">
        <v>3.88</v>
      </c>
      <c r="F353" s="10">
        <v>3.2300000000000002E-2</v>
      </c>
    </row>
    <row r="354" spans="1:6" x14ac:dyDescent="0.4">
      <c r="A354" s="1">
        <v>45786</v>
      </c>
      <c r="B354" s="9">
        <v>4</v>
      </c>
      <c r="C354" s="7">
        <v>3.9870000000000001</v>
      </c>
      <c r="D354" s="7">
        <v>4.0060000000000002</v>
      </c>
      <c r="E354" s="7">
        <v>3.9390000000000001</v>
      </c>
      <c r="F354" s="10">
        <v>3.0999999999999999E-3</v>
      </c>
    </row>
    <row r="355" spans="1:6" x14ac:dyDescent="0.4">
      <c r="A355" s="1">
        <v>45789</v>
      </c>
      <c r="B355" s="9">
        <v>4.1059999999999999</v>
      </c>
      <c r="C355" s="7">
        <v>4.0250000000000004</v>
      </c>
      <c r="D355" s="7">
        <v>4.117</v>
      </c>
      <c r="E355" s="7">
        <v>4.0250000000000004</v>
      </c>
      <c r="F355" s="10">
        <v>2.6599999999999999E-2</v>
      </c>
    </row>
    <row r="356" spans="1:6" x14ac:dyDescent="0.4">
      <c r="A356" s="1">
        <v>45790</v>
      </c>
      <c r="B356" s="11">
        <v>4.101</v>
      </c>
      <c r="C356" s="7">
        <v>4.0869999999999997</v>
      </c>
      <c r="D356" s="7">
        <v>4.1280000000000001</v>
      </c>
      <c r="E356" s="7">
        <v>4.069</v>
      </c>
      <c r="F356" s="8">
        <v>-1.9E-3</v>
      </c>
    </row>
    <row r="357" spans="1:6" x14ac:dyDescent="0.4">
      <c r="A357" s="1">
        <v>45791</v>
      </c>
      <c r="B357" s="20">
        <v>4.1719999999999997</v>
      </c>
      <c r="C357" s="13">
        <v>4.0960000000000001</v>
      </c>
      <c r="D357" s="13">
        <v>4.1740000000000004</v>
      </c>
      <c r="E357" s="13">
        <v>4.077</v>
      </c>
      <c r="F357" s="21">
        <v>1.82</v>
      </c>
    </row>
    <row r="358" spans="1:6" x14ac:dyDescent="0.4">
      <c r="A358" s="1">
        <v>45792</v>
      </c>
      <c r="B358" s="12">
        <v>4.0570000000000004</v>
      </c>
      <c r="C358" s="13">
        <v>4.165</v>
      </c>
      <c r="D358" s="13">
        <v>4.17</v>
      </c>
      <c r="E358" s="13">
        <v>4.05</v>
      </c>
    </row>
    <row r="359" spans="1:6" x14ac:dyDescent="0.4">
      <c r="A359" s="1">
        <v>45793</v>
      </c>
      <c r="B359" s="20">
        <v>4.069</v>
      </c>
      <c r="C359" s="13">
        <v>4.0640000000000001</v>
      </c>
      <c r="D359" s="13">
        <v>4.109</v>
      </c>
      <c r="E359" s="13">
        <v>4.0119999999999996</v>
      </c>
      <c r="F359" s="21"/>
    </row>
    <row r="360" spans="1:6" x14ac:dyDescent="0.4">
      <c r="A360" s="1">
        <v>45796</v>
      </c>
      <c r="B360" s="12">
        <v>4.0609999999999999</v>
      </c>
      <c r="C360" s="13">
        <v>4.1040000000000001</v>
      </c>
      <c r="D360" s="13">
        <v>4.1520000000000001</v>
      </c>
      <c r="E360" s="13">
        <v>4.0579999999999998</v>
      </c>
      <c r="F360" s="23"/>
    </row>
    <row r="361" spans="1:6" x14ac:dyDescent="0.4">
      <c r="A361" s="1">
        <v>45797</v>
      </c>
      <c r="B361" s="20">
        <v>4.0679999999999996</v>
      </c>
      <c r="C361" s="13">
        <v>4.0659999999999998</v>
      </c>
      <c r="D361" s="13">
        <v>4.1050000000000004</v>
      </c>
      <c r="E361" s="13">
        <v>4.0359999999999996</v>
      </c>
      <c r="F361" s="17">
        <v>2E-3</v>
      </c>
    </row>
    <row r="362" spans="1:6" x14ac:dyDescent="0.4">
      <c r="A362" s="1">
        <v>45798</v>
      </c>
      <c r="B362" s="20">
        <v>4.1580000000000004</v>
      </c>
      <c r="C362" s="13">
        <v>4.0629999999999997</v>
      </c>
      <c r="D362" s="13">
        <v>4.1689999999999996</v>
      </c>
      <c r="E362" s="13">
        <v>4.0579999999999998</v>
      </c>
      <c r="F362" s="21"/>
    </row>
    <row r="363" spans="1:6" x14ac:dyDescent="0.4">
      <c r="A363" s="1">
        <v>45799</v>
      </c>
      <c r="B363" s="12">
        <v>4.09</v>
      </c>
      <c r="C363" s="13">
        <v>4.1619999999999999</v>
      </c>
      <c r="D363" s="13">
        <v>4.1680000000000001</v>
      </c>
      <c r="E363" s="13">
        <v>4.0880000000000001</v>
      </c>
      <c r="F363" s="14">
        <v>-1.3899999999999999E-2</v>
      </c>
    </row>
    <row r="364" spans="1:6" x14ac:dyDescent="0.4">
      <c r="A364" s="1">
        <v>45800</v>
      </c>
      <c r="B364" s="12">
        <v>4.077</v>
      </c>
      <c r="C364" s="13">
        <v>4.0970000000000004</v>
      </c>
      <c r="D364" s="13">
        <v>4.1040000000000001</v>
      </c>
      <c r="E364" s="13">
        <v>4</v>
      </c>
      <c r="F364" s="23"/>
    </row>
    <row r="365" spans="1:6" x14ac:dyDescent="0.4">
      <c r="A365" s="1">
        <v>45804</v>
      </c>
      <c r="B365" s="12">
        <v>4.032</v>
      </c>
      <c r="C365" s="13">
        <v>4.0789999999999997</v>
      </c>
      <c r="D365" s="13">
        <v>4.0810000000000004</v>
      </c>
      <c r="E365" s="13">
        <v>4.0170000000000003</v>
      </c>
      <c r="F365" s="23"/>
    </row>
    <row r="366" spans="1:6" x14ac:dyDescent="0.4">
      <c r="A366" s="1">
        <v>45805</v>
      </c>
      <c r="B366" s="20">
        <v>4.0609999999999999</v>
      </c>
      <c r="C366" s="13">
        <v>4.0350000000000001</v>
      </c>
      <c r="D366" s="13">
        <v>4.085</v>
      </c>
      <c r="E366" s="13">
        <v>4.0259999999999998</v>
      </c>
      <c r="F366" s="21"/>
    </row>
    <row r="367" spans="1:6" x14ac:dyDescent="0.4">
      <c r="A367" s="1">
        <v>45806</v>
      </c>
      <c r="B367" s="12">
        <v>4.0019999999999998</v>
      </c>
      <c r="C367" s="13">
        <v>4.0910000000000002</v>
      </c>
      <c r="D367" s="13">
        <v>4.1239999999999997</v>
      </c>
      <c r="E367" s="13">
        <v>3.9969999999999999</v>
      </c>
      <c r="F367" s="23"/>
    </row>
    <row r="368" spans="1:6" x14ac:dyDescent="0.4">
      <c r="A368" s="1">
        <v>45807</v>
      </c>
      <c r="B368" s="12">
        <v>3.9590000000000001</v>
      </c>
      <c r="C368" s="13">
        <v>4.0030000000000001</v>
      </c>
      <c r="D368" s="13">
        <v>4.0140000000000002</v>
      </c>
      <c r="E368" s="13">
        <v>3.9529999999999998</v>
      </c>
      <c r="F368" s="23"/>
    </row>
    <row r="369" spans="1:6" x14ac:dyDescent="0.4">
      <c r="A369" s="1">
        <v>45810</v>
      </c>
      <c r="B369" s="20">
        <v>4.0030000000000001</v>
      </c>
      <c r="C369" s="13">
        <v>3.9649999999999999</v>
      </c>
      <c r="D369" s="13">
        <v>4.024</v>
      </c>
      <c r="E369" s="13">
        <v>3.9630000000000001</v>
      </c>
      <c r="F369" s="21"/>
    </row>
    <row r="370" spans="1:6" x14ac:dyDescent="0.4">
      <c r="A370" s="1">
        <v>45811</v>
      </c>
      <c r="B370" s="20">
        <v>4.024</v>
      </c>
      <c r="C370" s="13">
        <v>3.9980000000000002</v>
      </c>
      <c r="D370" s="13">
        <v>4.04</v>
      </c>
      <c r="E370" s="13">
        <v>3.9740000000000002</v>
      </c>
    </row>
    <row r="371" spans="1:6" x14ac:dyDescent="0.4">
      <c r="A371" s="1">
        <v>45812</v>
      </c>
      <c r="B371" s="12">
        <v>3.923</v>
      </c>
      <c r="C371" s="13">
        <v>4.0170000000000003</v>
      </c>
      <c r="D371" s="13">
        <v>4.04</v>
      </c>
      <c r="E371" s="13">
        <v>3.9220000000000002</v>
      </c>
    </row>
    <row r="372" spans="1:6" x14ac:dyDescent="0.4">
      <c r="A372" s="1">
        <v>45813</v>
      </c>
      <c r="B372" s="20">
        <v>3.9889999999999999</v>
      </c>
      <c r="C372" s="13">
        <v>3.9279999999999999</v>
      </c>
      <c r="D372" s="13">
        <v>4.0030000000000001</v>
      </c>
      <c r="E372" s="13">
        <v>3.8919999999999999</v>
      </c>
      <c r="F372" s="21"/>
    </row>
    <row r="373" spans="1:6" x14ac:dyDescent="0.4">
      <c r="A373" s="1">
        <v>45814</v>
      </c>
      <c r="B373" s="20">
        <v>4.1180000000000003</v>
      </c>
      <c r="C373" s="13">
        <v>3.9889999999999999</v>
      </c>
      <c r="D373" s="13">
        <v>4.1280000000000001</v>
      </c>
      <c r="E373" s="13">
        <v>3.972</v>
      </c>
    </row>
    <row r="374" spans="1:6" x14ac:dyDescent="0.4">
      <c r="A374" s="1">
        <v>45817</v>
      </c>
      <c r="B374" s="12">
        <v>4.0819999999999999</v>
      </c>
      <c r="C374" s="13">
        <v>4.0960000000000001</v>
      </c>
      <c r="D374" s="13">
        <v>4.1219999999999999</v>
      </c>
      <c r="E374" s="13">
        <v>4.077</v>
      </c>
      <c r="F374" s="23"/>
    </row>
    <row r="375" spans="1:6" x14ac:dyDescent="0.4">
      <c r="A375" s="1">
        <v>45818</v>
      </c>
      <c r="B375" s="9">
        <v>4.0860000000000003</v>
      </c>
      <c r="C375" s="7">
        <v>4.0910000000000002</v>
      </c>
      <c r="D375" s="7">
        <v>4.0979999999999999</v>
      </c>
      <c r="E375" s="7">
        <v>4.05</v>
      </c>
      <c r="F375" s="26"/>
    </row>
    <row r="376" spans="1:6" x14ac:dyDescent="0.4">
      <c r="A376" s="1">
        <v>45819</v>
      </c>
      <c r="B376" s="12">
        <v>4.0190000000000001</v>
      </c>
      <c r="C376" s="13">
        <v>4.0869999999999997</v>
      </c>
      <c r="D376" s="13">
        <v>4.133</v>
      </c>
      <c r="E376" s="13">
        <v>4.0069999999999997</v>
      </c>
      <c r="F376" s="23"/>
    </row>
    <row r="377" spans="1:6" x14ac:dyDescent="0.4">
      <c r="A377" s="1">
        <v>45820</v>
      </c>
      <c r="B377" s="12">
        <v>3.9649999999999999</v>
      </c>
      <c r="C377" s="13">
        <v>4.0019999999999998</v>
      </c>
      <c r="D377" s="13">
        <v>4.0119999999999996</v>
      </c>
      <c r="E377" s="13">
        <v>3.9420000000000002</v>
      </c>
    </row>
    <row r="378" spans="1:6" x14ac:dyDescent="0.4">
      <c r="A378" s="1">
        <v>45821</v>
      </c>
      <c r="B378" s="20">
        <v>4.0049999999999999</v>
      </c>
      <c r="C378" s="13">
        <v>3.923</v>
      </c>
      <c r="D378" s="13">
        <v>4.0469999999999997</v>
      </c>
      <c r="E378" s="13">
        <v>3.9089999999999998</v>
      </c>
    </row>
    <row r="379" spans="1:6" x14ac:dyDescent="0.4">
      <c r="A379" s="1">
        <v>45824</v>
      </c>
      <c r="B379" s="20">
        <v>4.0359999999999996</v>
      </c>
      <c r="C379" s="13">
        <v>4.0279999999999996</v>
      </c>
      <c r="D379" s="13">
        <v>4.0590000000000002</v>
      </c>
      <c r="E379" s="13">
        <v>4</v>
      </c>
      <c r="F379" s="21"/>
    </row>
    <row r="380" spans="1:6" x14ac:dyDescent="0.4">
      <c r="A380" s="1">
        <v>45825</v>
      </c>
      <c r="B380" s="12">
        <v>3.9870000000000001</v>
      </c>
      <c r="C380" s="13">
        <v>4.0190000000000001</v>
      </c>
      <c r="D380" s="13">
        <v>4.0309999999999997</v>
      </c>
      <c r="E380" s="13">
        <v>3.9780000000000002</v>
      </c>
      <c r="F380" s="23"/>
    </row>
    <row r="381" spans="1:6" x14ac:dyDescent="0.4">
      <c r="A381" s="1">
        <v>45826</v>
      </c>
      <c r="B381" s="20">
        <v>3.9860000000000002</v>
      </c>
      <c r="C381" s="13">
        <v>3.9980000000000002</v>
      </c>
      <c r="D381" s="13">
        <v>4.0049999999999999</v>
      </c>
      <c r="E381" s="13">
        <v>3.9420000000000002</v>
      </c>
    </row>
    <row r="382" spans="1:6" x14ac:dyDescent="0.4">
      <c r="A382" s="1">
        <v>45828</v>
      </c>
      <c r="B382" s="12">
        <v>3.9590000000000001</v>
      </c>
      <c r="C382" s="13">
        <v>3.97</v>
      </c>
      <c r="D382" s="13">
        <v>4.0289999999999999</v>
      </c>
      <c r="E382" s="13">
        <v>3.9430000000000001</v>
      </c>
      <c r="F382" s="23"/>
    </row>
    <row r="383" spans="1:6" x14ac:dyDescent="0.4">
      <c r="A383" s="1">
        <v>45831</v>
      </c>
      <c r="B383" s="12">
        <v>3.9060000000000001</v>
      </c>
      <c r="C383" s="13">
        <v>3.9780000000000002</v>
      </c>
      <c r="D383" s="13">
        <v>3.9849999999999999</v>
      </c>
      <c r="E383" s="13">
        <v>3.8639999999999999</v>
      </c>
      <c r="F383" s="23"/>
    </row>
    <row r="384" spans="1:6" x14ac:dyDescent="0.4">
      <c r="A384" s="1">
        <v>45832</v>
      </c>
      <c r="B384" s="12">
        <v>3.8610000000000002</v>
      </c>
      <c r="C384" s="13">
        <v>3.9079999999999999</v>
      </c>
      <c r="D384" s="13">
        <v>3.92</v>
      </c>
      <c r="E384" s="13">
        <v>3.85</v>
      </c>
    </row>
    <row r="385" spans="1:6" x14ac:dyDescent="0.4">
      <c r="A385" s="1">
        <v>45833</v>
      </c>
      <c r="B385" s="12">
        <v>3.85</v>
      </c>
      <c r="C385" s="13">
        <v>3.87</v>
      </c>
      <c r="D385" s="13">
        <v>3.8940000000000001</v>
      </c>
      <c r="E385" s="13">
        <v>3.8359999999999999</v>
      </c>
      <c r="F385" s="23"/>
    </row>
    <row r="386" spans="1:6" x14ac:dyDescent="0.4">
      <c r="A386" s="1">
        <v>45834</v>
      </c>
      <c r="B386" s="12">
        <v>3.7989999999999999</v>
      </c>
      <c r="C386" s="13">
        <v>3.84</v>
      </c>
      <c r="D386" s="13">
        <v>3.8490000000000002</v>
      </c>
      <c r="E386" s="13">
        <v>3.794</v>
      </c>
      <c r="F386" s="23"/>
    </row>
    <row r="387" spans="1:6" x14ac:dyDescent="0.4">
      <c r="A387" s="1">
        <v>45835</v>
      </c>
      <c r="B387" s="20">
        <v>3.8260000000000001</v>
      </c>
      <c r="C387" s="13">
        <v>3.82</v>
      </c>
      <c r="D387" s="13">
        <v>3.8439999999999999</v>
      </c>
      <c r="E387" s="13">
        <v>3.8010000000000002</v>
      </c>
      <c r="F387" s="21" t="s">
        <v>814</v>
      </c>
    </row>
    <row r="388" spans="1:6" x14ac:dyDescent="0.4">
      <c r="A388" s="1">
        <v>45838</v>
      </c>
      <c r="B388" s="12">
        <v>3.7949999999999999</v>
      </c>
      <c r="C388" s="13">
        <v>3.835</v>
      </c>
      <c r="D388" s="13">
        <v>3.839</v>
      </c>
      <c r="E388" s="13">
        <v>3.7869999999999999</v>
      </c>
      <c r="F388" s="23"/>
    </row>
    <row r="389" spans="1:6" x14ac:dyDescent="0.4">
      <c r="A389" s="1">
        <v>45839</v>
      </c>
      <c r="B389" s="20">
        <v>3.835</v>
      </c>
      <c r="C389" s="13">
        <v>3.7850000000000001</v>
      </c>
      <c r="D389" s="13">
        <v>3.8580000000000001</v>
      </c>
      <c r="E389" s="13">
        <v>3.7589999999999999</v>
      </c>
    </row>
    <row r="390" spans="1:6" x14ac:dyDescent="0.4">
      <c r="A390" s="1">
        <v>45840</v>
      </c>
      <c r="B390" s="20">
        <v>3.8660000000000001</v>
      </c>
      <c r="C390" s="13">
        <v>3.8420000000000001</v>
      </c>
      <c r="D390" s="13">
        <v>3.8780000000000001</v>
      </c>
      <c r="E390" s="13">
        <v>3.8319999999999999</v>
      </c>
      <c r="F390" s="21"/>
    </row>
    <row r="391" spans="1:6" x14ac:dyDescent="0.4">
      <c r="A391" s="1">
        <v>45841</v>
      </c>
      <c r="B391" s="9">
        <v>3.9390000000000001</v>
      </c>
      <c r="C391" s="7">
        <v>3.8490000000000002</v>
      </c>
      <c r="D391" s="7">
        <v>3.9460000000000002</v>
      </c>
      <c r="E391" s="7">
        <v>3.8380000000000001</v>
      </c>
      <c r="F391" s="26"/>
    </row>
    <row r="392" spans="1:6" x14ac:dyDescent="0.4">
      <c r="A392" s="1">
        <v>45845</v>
      </c>
      <c r="B392" s="20">
        <v>3.96</v>
      </c>
      <c r="C392" s="13">
        <v>3.915</v>
      </c>
      <c r="D392" s="13">
        <v>3.9660000000000002</v>
      </c>
      <c r="E392" s="13">
        <v>3.903</v>
      </c>
      <c r="F392" s="21"/>
    </row>
    <row r="393" spans="1:6" x14ac:dyDescent="0.4">
      <c r="A393" s="1">
        <v>45846</v>
      </c>
      <c r="B393" s="20">
        <v>3.976</v>
      </c>
      <c r="C393" s="13">
        <v>3.9529999999999998</v>
      </c>
      <c r="D393" s="13">
        <v>3.9969999999999999</v>
      </c>
      <c r="E393" s="13">
        <v>3.952</v>
      </c>
      <c r="F393" s="21"/>
    </row>
    <row r="394" spans="1:6" x14ac:dyDescent="0.4">
      <c r="A394" s="1">
        <v>45847</v>
      </c>
      <c r="B394" s="12">
        <v>3.915</v>
      </c>
      <c r="C394" s="13">
        <v>3.988</v>
      </c>
      <c r="D394" s="13">
        <v>3.988</v>
      </c>
      <c r="E394" s="13">
        <v>3.915</v>
      </c>
      <c r="F394" s="23"/>
    </row>
    <row r="395" spans="1:6" x14ac:dyDescent="0.4">
      <c r="A395" s="1">
        <v>45848</v>
      </c>
      <c r="B395" s="20">
        <v>3.931</v>
      </c>
      <c r="C395" s="13">
        <v>3.915</v>
      </c>
      <c r="D395" s="13">
        <v>3.9550000000000001</v>
      </c>
      <c r="E395" s="13">
        <v>3.899</v>
      </c>
    </row>
    <row r="396" spans="1:6" x14ac:dyDescent="0.4">
      <c r="A396" s="1">
        <v>45849</v>
      </c>
      <c r="B396" s="20">
        <v>3.98</v>
      </c>
      <c r="C396" s="13">
        <v>3.9449999999999998</v>
      </c>
      <c r="D396" s="13">
        <v>3.992</v>
      </c>
      <c r="E396" s="13">
        <v>3.9239999999999999</v>
      </c>
      <c r="F396" s="21"/>
    </row>
    <row r="397" spans="1:6" x14ac:dyDescent="0.4">
      <c r="A397" s="1">
        <v>45852</v>
      </c>
      <c r="B397" s="20">
        <v>3.99</v>
      </c>
      <c r="C397" s="13">
        <v>3.9729999999999999</v>
      </c>
      <c r="D397" s="13">
        <v>3.9969999999999999</v>
      </c>
      <c r="E397" s="13">
        <v>3.9609999999999999</v>
      </c>
      <c r="F397" s="21"/>
    </row>
    <row r="398" spans="1:6" x14ac:dyDescent="0.4">
      <c r="A398" s="1">
        <v>45853</v>
      </c>
      <c r="B398" s="20">
        <v>4.0430000000000001</v>
      </c>
      <c r="C398" s="13">
        <v>3.9870000000000001</v>
      </c>
      <c r="D398" s="13">
        <v>4.0519999999999996</v>
      </c>
      <c r="E398" s="13">
        <v>3.9660000000000002</v>
      </c>
      <c r="F398" s="21"/>
    </row>
    <row r="399" spans="1:6" x14ac:dyDescent="0.4">
      <c r="A399" s="1">
        <v>45854</v>
      </c>
      <c r="B399" s="12">
        <v>3.9870000000000001</v>
      </c>
      <c r="C399" s="13">
        <v>4.0419999999999998</v>
      </c>
      <c r="D399" s="13">
        <v>4.05</v>
      </c>
      <c r="E399" s="13">
        <v>3.9780000000000002</v>
      </c>
    </row>
    <row r="400" spans="1:6" x14ac:dyDescent="0.4">
      <c r="A400" s="1">
        <v>45855</v>
      </c>
      <c r="B400" s="20">
        <v>3.99</v>
      </c>
      <c r="C400" s="13">
        <v>4.0149999999999997</v>
      </c>
      <c r="D400" s="13">
        <v>4.0199999999999996</v>
      </c>
      <c r="E400" s="13">
        <v>3.9750000000000001</v>
      </c>
      <c r="F400" s="21"/>
    </row>
    <row r="401" spans="1:6" x14ac:dyDescent="0.4">
      <c r="A401" s="1">
        <v>45856</v>
      </c>
      <c r="B401" s="12">
        <v>3.9609999999999999</v>
      </c>
      <c r="C401" s="13">
        <v>3.9780000000000002</v>
      </c>
      <c r="D401" s="13">
        <v>3.99</v>
      </c>
      <c r="E401" s="13">
        <v>3.9430000000000001</v>
      </c>
      <c r="F401" s="23"/>
    </row>
    <row r="402" spans="1:6" x14ac:dyDescent="0.4">
      <c r="A402" s="1">
        <v>45859</v>
      </c>
      <c r="B402" s="12">
        <v>3.9169999999999998</v>
      </c>
      <c r="C402" s="13">
        <v>3.9590000000000001</v>
      </c>
      <c r="D402" s="13">
        <v>3.9590000000000001</v>
      </c>
      <c r="E402" s="13">
        <v>3.8969999999999998</v>
      </c>
      <c r="F402" s="23"/>
    </row>
    <row r="403" spans="1:6" x14ac:dyDescent="0.4">
      <c r="A403" s="1">
        <v>45860</v>
      </c>
      <c r="B403" s="12">
        <v>3.8849999999999998</v>
      </c>
      <c r="C403" s="13">
        <v>3.91</v>
      </c>
      <c r="D403" s="13">
        <v>3.9319999999999999</v>
      </c>
      <c r="E403" s="13">
        <v>3.8730000000000002</v>
      </c>
      <c r="F403" s="23"/>
    </row>
    <row r="404" spans="1:6" x14ac:dyDescent="0.4">
      <c r="A404" s="1">
        <v>45861</v>
      </c>
      <c r="B404" s="20">
        <v>3.9359999999999999</v>
      </c>
      <c r="C404" s="13">
        <v>3.9039999999999999</v>
      </c>
      <c r="D404" s="13">
        <v>3.94</v>
      </c>
      <c r="E404" s="13">
        <v>3.8940000000000001</v>
      </c>
      <c r="F404" s="21"/>
    </row>
    <row r="405" spans="1:6" x14ac:dyDescent="0.4">
      <c r="A405" s="1">
        <v>45862</v>
      </c>
      <c r="B405" s="20">
        <v>3.9609999999999999</v>
      </c>
      <c r="C405" s="13">
        <v>3.9430000000000001</v>
      </c>
      <c r="D405" s="13">
        <v>3.9940000000000002</v>
      </c>
      <c r="E405" s="13">
        <v>3.9319999999999999</v>
      </c>
      <c r="F405" s="21"/>
    </row>
    <row r="406" spans="1:6" x14ac:dyDescent="0.4">
      <c r="A406" s="1">
        <v>45863</v>
      </c>
      <c r="B406" s="12">
        <v>3.952</v>
      </c>
      <c r="C406" s="13">
        <v>3.9550000000000001</v>
      </c>
      <c r="D406" s="13">
        <v>3.9860000000000002</v>
      </c>
      <c r="E406" s="13">
        <v>3.9449999999999998</v>
      </c>
      <c r="F406" s="23"/>
    </row>
    <row r="407" spans="1:6" x14ac:dyDescent="0.4">
      <c r="A407" s="1">
        <v>45867</v>
      </c>
      <c r="B407" s="12">
        <v>3.9009999999999998</v>
      </c>
      <c r="C407" s="13">
        <v>3.9670000000000001</v>
      </c>
      <c r="D407" s="13">
        <v>3.9809999999999999</v>
      </c>
      <c r="E407" s="13">
        <v>3.9009999999999998</v>
      </c>
    </row>
    <row r="408" spans="1:6" x14ac:dyDescent="0.4">
      <c r="A408" s="1">
        <v>45868</v>
      </c>
      <c r="B408" s="20">
        <v>3.96</v>
      </c>
      <c r="C408" s="13">
        <v>3.9049999999999998</v>
      </c>
      <c r="D408" s="13">
        <v>3.9649999999999999</v>
      </c>
      <c r="E408" s="13">
        <v>3.8959999999999999</v>
      </c>
      <c r="F408" s="21"/>
    </row>
    <row r="409" spans="1:6" x14ac:dyDescent="0.4">
      <c r="A409" s="1">
        <v>45869</v>
      </c>
      <c r="B409" s="20">
        <v>3.9780000000000002</v>
      </c>
      <c r="C409" s="13">
        <v>3.95</v>
      </c>
      <c r="D409" s="13">
        <v>3.9780000000000002</v>
      </c>
      <c r="E409" s="13">
        <v>3.9249999999999998</v>
      </c>
      <c r="F409" s="21"/>
    </row>
    <row r="410" spans="1:6" x14ac:dyDescent="0.4">
      <c r="A410" s="1">
        <v>45870</v>
      </c>
      <c r="B410" s="12">
        <v>3.7570000000000001</v>
      </c>
      <c r="C410" s="13">
        <v>3.972</v>
      </c>
      <c r="D410" s="13">
        <v>3.992</v>
      </c>
      <c r="E410" s="13">
        <v>3.7519999999999998</v>
      </c>
      <c r="F410" s="23"/>
    </row>
    <row r="411" spans="1:6" x14ac:dyDescent="0.4">
      <c r="A411" s="1">
        <v>45873</v>
      </c>
      <c r="B411" s="12">
        <v>3.742</v>
      </c>
      <c r="C411" s="13">
        <v>3.74</v>
      </c>
      <c r="D411" s="13">
        <v>3.7989999999999999</v>
      </c>
      <c r="E411" s="13">
        <v>3.7349999999999999</v>
      </c>
      <c r="F411" s="23"/>
    </row>
    <row r="412" spans="1:6" x14ac:dyDescent="0.4">
      <c r="A412" s="1">
        <v>45874</v>
      </c>
      <c r="B412" s="20">
        <v>3.762</v>
      </c>
      <c r="C412" s="13">
        <v>3.7330000000000001</v>
      </c>
      <c r="D412" s="13">
        <v>3.7810000000000001</v>
      </c>
      <c r="E412" s="13">
        <v>3.7290000000000001</v>
      </c>
      <c r="F412" s="21"/>
    </row>
    <row r="413" spans="1:6" x14ac:dyDescent="0.4">
      <c r="A413" s="1">
        <v>45875</v>
      </c>
      <c r="B413" s="20">
        <v>3.7730000000000001</v>
      </c>
      <c r="C413" s="13">
        <v>3.7850000000000001</v>
      </c>
      <c r="D413" s="13">
        <v>3.8</v>
      </c>
      <c r="E413" s="13">
        <v>3.762</v>
      </c>
    </row>
    <row r="414" spans="1:6" x14ac:dyDescent="0.4">
      <c r="A414" s="1">
        <v>45876</v>
      </c>
      <c r="B414" s="20">
        <v>3.7930000000000001</v>
      </c>
      <c r="C414" s="13">
        <v>3.778</v>
      </c>
      <c r="D414" s="13">
        <v>3.7930000000000001</v>
      </c>
      <c r="E414" s="13">
        <v>3.7639999999999998</v>
      </c>
    </row>
    <row r="415" spans="1:6" x14ac:dyDescent="0.4">
      <c r="A415" s="1">
        <v>45877</v>
      </c>
      <c r="B415" s="20">
        <v>3.831</v>
      </c>
      <c r="C415" s="13">
        <v>3.7949999999999999</v>
      </c>
      <c r="D415" s="13">
        <v>3.8330000000000002</v>
      </c>
      <c r="E415" s="13">
        <v>3.7839999999999998</v>
      </c>
      <c r="F415" s="21"/>
    </row>
    <row r="416" spans="1:6" x14ac:dyDescent="0.4">
      <c r="A416" s="1">
        <v>45880</v>
      </c>
      <c r="B416" s="20">
        <v>3.8330000000000002</v>
      </c>
      <c r="C416" s="13">
        <v>3.8210000000000002</v>
      </c>
      <c r="D416" s="13">
        <v>3.8359999999999999</v>
      </c>
      <c r="E416" s="13">
        <v>3.8069999999999999</v>
      </c>
      <c r="F416" s="21"/>
    </row>
    <row r="417" spans="1:6" x14ac:dyDescent="0.4">
      <c r="A417" s="1">
        <v>45881</v>
      </c>
      <c r="B417" s="12">
        <v>3.8210000000000002</v>
      </c>
      <c r="C417" s="13">
        <v>3.8380000000000001</v>
      </c>
      <c r="D417" s="13">
        <v>3.847</v>
      </c>
      <c r="E417" s="13">
        <v>3.8</v>
      </c>
      <c r="F417" s="23"/>
    </row>
    <row r="418" spans="1:6" x14ac:dyDescent="0.4">
      <c r="A418" s="1">
        <v>45882</v>
      </c>
      <c r="B418" s="12">
        <v>3.7650000000000001</v>
      </c>
      <c r="C418" s="13">
        <v>3.8210000000000002</v>
      </c>
      <c r="D418" s="13">
        <v>3.835</v>
      </c>
      <c r="E418" s="13">
        <v>3.7549999999999999</v>
      </c>
      <c r="F418" s="23"/>
    </row>
    <row r="419" spans="1:6" x14ac:dyDescent="0.4">
      <c r="A419" s="1">
        <v>45883</v>
      </c>
      <c r="B419" s="20">
        <v>3.8119999999999998</v>
      </c>
      <c r="C419" s="13">
        <v>3.762</v>
      </c>
      <c r="D419" s="13">
        <v>3.8260000000000001</v>
      </c>
      <c r="E419" s="13">
        <v>3.73</v>
      </c>
      <c r="F419" s="21"/>
    </row>
    <row r="420" spans="1:6" x14ac:dyDescent="0.4">
      <c r="A420" s="1">
        <v>45884</v>
      </c>
      <c r="B420" s="20">
        <v>3.8450000000000002</v>
      </c>
      <c r="C420" s="13">
        <v>3.8140000000000001</v>
      </c>
      <c r="D420" s="13">
        <v>3.85</v>
      </c>
      <c r="E420" s="13">
        <v>3.8</v>
      </c>
      <c r="F420" s="21"/>
    </row>
    <row r="421" spans="1:6" x14ac:dyDescent="0.4">
      <c r="A421" s="1">
        <v>45887</v>
      </c>
      <c r="B421" s="20">
        <v>3.85</v>
      </c>
      <c r="C421" s="13">
        <v>3.8260000000000001</v>
      </c>
      <c r="D421" s="13">
        <v>3.8639999999999999</v>
      </c>
      <c r="E421" s="13">
        <v>3.8119999999999998</v>
      </c>
      <c r="F421" s="21"/>
    </row>
    <row r="422" spans="1:6" x14ac:dyDescent="0.4">
      <c r="A422" s="1">
        <v>45888</v>
      </c>
      <c r="B422" s="12">
        <v>3.827</v>
      </c>
      <c r="C422" s="13">
        <v>3.8570000000000002</v>
      </c>
      <c r="D422" s="13">
        <v>3.859</v>
      </c>
      <c r="E422" s="13">
        <v>3.819</v>
      </c>
      <c r="F422" s="23"/>
    </row>
    <row r="423" spans="1:6" x14ac:dyDescent="0.4">
      <c r="A423" s="1">
        <v>45889</v>
      </c>
      <c r="B423" s="12">
        <v>3.8119999999999998</v>
      </c>
      <c r="C423" s="13">
        <v>3.827</v>
      </c>
      <c r="D423" s="13">
        <v>3.84</v>
      </c>
      <c r="E423" s="13">
        <v>3.7890000000000001</v>
      </c>
      <c r="F423" s="23"/>
    </row>
    <row r="424" spans="1:6" x14ac:dyDescent="0.4">
      <c r="A424" s="1">
        <v>45890</v>
      </c>
      <c r="B424" s="20">
        <v>3.8570000000000002</v>
      </c>
      <c r="C424" s="13">
        <v>3.8119999999999998</v>
      </c>
      <c r="D424" s="13">
        <v>3.8690000000000002</v>
      </c>
      <c r="E424" s="13">
        <v>3.81</v>
      </c>
      <c r="F424" s="21"/>
    </row>
    <row r="425" spans="1:6" x14ac:dyDescent="0.4">
      <c r="A425" s="1">
        <v>45891</v>
      </c>
      <c r="B425" s="12">
        <v>3.7610000000000001</v>
      </c>
      <c r="C425" s="13">
        <v>3.8519999999999999</v>
      </c>
      <c r="D425" s="13">
        <v>3.8639999999999999</v>
      </c>
      <c r="E425" s="13">
        <v>3.75</v>
      </c>
      <c r="F425" s="23"/>
    </row>
    <row r="426" spans="1:6" x14ac:dyDescent="0.4">
      <c r="A426" s="1">
        <v>45894</v>
      </c>
      <c r="B426" s="20">
        <v>3.7850000000000001</v>
      </c>
      <c r="C426" s="13">
        <v>3.7759999999999998</v>
      </c>
      <c r="D426" s="13">
        <v>3.8029999999999999</v>
      </c>
      <c r="E426" s="13">
        <v>3.7690000000000001</v>
      </c>
      <c r="F426" s="21"/>
    </row>
    <row r="427" spans="1:6" x14ac:dyDescent="0.4">
      <c r="A427" s="1">
        <v>45895</v>
      </c>
      <c r="B427" s="12">
        <v>3.7469999999999999</v>
      </c>
      <c r="C427" s="13">
        <v>3.79</v>
      </c>
      <c r="D427" s="13">
        <v>3.7989999999999999</v>
      </c>
      <c r="E427" s="13">
        <v>3.738</v>
      </c>
    </row>
    <row r="428" spans="1:6" x14ac:dyDescent="0.4">
      <c r="A428" s="1">
        <v>45896</v>
      </c>
      <c r="B428" s="12">
        <v>3.7</v>
      </c>
      <c r="C428" s="13">
        <v>3.754</v>
      </c>
      <c r="D428" s="13">
        <v>3.7570000000000001</v>
      </c>
      <c r="E428" s="13">
        <v>3.7</v>
      </c>
      <c r="F428" s="23"/>
    </row>
    <row r="429" spans="1:6" x14ac:dyDescent="0.4">
      <c r="A429" s="1">
        <v>45897</v>
      </c>
      <c r="B429" s="12">
        <v>3.6920000000000002</v>
      </c>
      <c r="C429" s="13">
        <v>3.706</v>
      </c>
      <c r="D429" s="13">
        <v>3.8330000000000002</v>
      </c>
      <c r="E429" s="13">
        <v>3.6890000000000001</v>
      </c>
      <c r="F429" s="23"/>
    </row>
    <row r="430" spans="1:6" x14ac:dyDescent="0.4">
      <c r="A430" s="1">
        <v>45898</v>
      </c>
      <c r="B430" s="20">
        <v>3.6989999999999998</v>
      </c>
      <c r="C430" s="13">
        <v>3.6960000000000002</v>
      </c>
      <c r="D430" s="13">
        <v>3.722</v>
      </c>
      <c r="E430" s="13">
        <v>3.68</v>
      </c>
      <c r="F430" s="21"/>
    </row>
    <row r="431" spans="1:6" x14ac:dyDescent="0.4">
      <c r="A431" s="1">
        <v>45902</v>
      </c>
      <c r="B431" s="20">
        <v>3.7360000000000002</v>
      </c>
      <c r="C431" s="13">
        <v>3.71</v>
      </c>
      <c r="D431" s="13">
        <v>3.7669999999999999</v>
      </c>
      <c r="E431" s="13">
        <v>3.71</v>
      </c>
      <c r="F431" s="21"/>
    </row>
    <row r="432" spans="1:6" x14ac:dyDescent="0.4">
      <c r="A432" s="1">
        <v>45903</v>
      </c>
      <c r="B432" s="12">
        <v>3.6960000000000002</v>
      </c>
      <c r="C432" s="13">
        <v>3.7429999999999999</v>
      </c>
      <c r="D432" s="13">
        <v>3.7570000000000001</v>
      </c>
      <c r="E432" s="13">
        <v>3.677</v>
      </c>
      <c r="F432" s="23"/>
    </row>
    <row r="433" spans="1:6" x14ac:dyDescent="0.4">
      <c r="A433" s="1">
        <v>45904</v>
      </c>
      <c r="B433" s="11">
        <v>3.6459999999999999</v>
      </c>
      <c r="C433" s="7">
        <v>3.6890000000000001</v>
      </c>
      <c r="D433" s="7">
        <v>3.694</v>
      </c>
      <c r="E433" s="7">
        <v>3.6440000000000001</v>
      </c>
      <c r="F433" s="22"/>
    </row>
    <row r="434" spans="1:6" x14ac:dyDescent="0.4">
      <c r="A434" s="1">
        <v>45905</v>
      </c>
      <c r="B434" s="12">
        <v>3.589</v>
      </c>
      <c r="C434" s="13">
        <v>3.64</v>
      </c>
      <c r="D434" s="13">
        <v>3.6459999999999999</v>
      </c>
      <c r="E434" s="13">
        <v>3.5419999999999998</v>
      </c>
      <c r="F434" s="23"/>
    </row>
    <row r="435" spans="1:6" x14ac:dyDescent="0.4">
      <c r="A435" s="1">
        <v>45908</v>
      </c>
      <c r="B435" s="11">
        <v>3.5640000000000001</v>
      </c>
      <c r="C435" s="7">
        <v>3.6040000000000001</v>
      </c>
      <c r="D435" s="7">
        <v>3.6059999999999999</v>
      </c>
      <c r="E435" s="7">
        <v>3.5590000000000002</v>
      </c>
      <c r="F435" s="22"/>
    </row>
    <row r="436" spans="1:6" x14ac:dyDescent="0.4">
      <c r="A436" s="1">
        <v>45909</v>
      </c>
      <c r="B436" s="20">
        <v>3.613</v>
      </c>
      <c r="C436" s="13">
        <v>3.57</v>
      </c>
      <c r="D436" s="13">
        <v>3.613</v>
      </c>
      <c r="E436" s="13">
        <v>3.5630000000000002</v>
      </c>
      <c r="F436" s="21"/>
    </row>
    <row r="437" spans="1:6" x14ac:dyDescent="0.4">
      <c r="A437" s="1">
        <v>45910</v>
      </c>
      <c r="B437" s="12">
        <v>3.5939999999999999</v>
      </c>
      <c r="C437" s="13">
        <v>3.6179999999999999</v>
      </c>
      <c r="D437" s="13">
        <v>3.62</v>
      </c>
      <c r="E437" s="13">
        <v>3.5750000000000002</v>
      </c>
      <c r="F437" s="23"/>
    </row>
    <row r="438" spans="1:6" x14ac:dyDescent="0.4">
      <c r="A438" s="1">
        <v>45911</v>
      </c>
      <c r="B438" s="20">
        <v>3.5939999999999999</v>
      </c>
      <c r="C438" s="13">
        <v>3.5990000000000002</v>
      </c>
      <c r="D438" s="13">
        <v>3.609</v>
      </c>
      <c r="E438" s="13">
        <v>3.5419999999999998</v>
      </c>
    </row>
    <row r="439" spans="1:6" x14ac:dyDescent="0.4">
      <c r="A439" s="1">
        <v>45912</v>
      </c>
      <c r="B439" s="20">
        <v>3.625</v>
      </c>
      <c r="C439" s="13">
        <v>3.5990000000000002</v>
      </c>
      <c r="D439" s="13">
        <v>3.6459999999999999</v>
      </c>
      <c r="E439" s="13">
        <v>3.5950000000000002</v>
      </c>
      <c r="F439" s="21"/>
    </row>
    <row r="440" spans="1:6" x14ac:dyDescent="0.4">
      <c r="A440" s="1">
        <v>45915</v>
      </c>
      <c r="B440" s="12">
        <v>3.6070000000000002</v>
      </c>
      <c r="C440" s="13">
        <v>3.6440000000000001</v>
      </c>
      <c r="D440" s="13">
        <v>3.6469999999999998</v>
      </c>
      <c r="E440" s="13">
        <v>3.597</v>
      </c>
      <c r="F440" s="23"/>
    </row>
    <row r="441" spans="1:6" x14ac:dyDescent="0.4">
      <c r="A441" s="1">
        <v>45916</v>
      </c>
      <c r="B441" s="12">
        <v>3.5859999999999999</v>
      </c>
      <c r="C441" s="13">
        <v>3.6070000000000002</v>
      </c>
      <c r="D441" s="13">
        <v>3.6179999999999999</v>
      </c>
      <c r="E441" s="13">
        <v>3.581</v>
      </c>
      <c r="F441" s="23"/>
    </row>
    <row r="442" spans="1:6" x14ac:dyDescent="0.4">
      <c r="A442" s="1">
        <v>45917</v>
      </c>
      <c r="B442" s="20">
        <v>3.6509999999999998</v>
      </c>
      <c r="C442" s="13">
        <v>3.585</v>
      </c>
      <c r="D442" s="13">
        <v>3.6520000000000001</v>
      </c>
      <c r="E442" s="13">
        <v>3.5550000000000002</v>
      </c>
      <c r="F442" s="21"/>
    </row>
    <row r="443" spans="1:6" x14ac:dyDescent="0.4">
      <c r="A443" s="1">
        <v>45918</v>
      </c>
      <c r="B443" s="20">
        <v>3.6659999999999999</v>
      </c>
      <c r="C443" s="13">
        <v>3.6349999999999998</v>
      </c>
      <c r="D443" s="13">
        <v>3.6909999999999998</v>
      </c>
      <c r="E443" s="13">
        <v>3.6110000000000002</v>
      </c>
      <c r="F443" s="21"/>
    </row>
    <row r="444" spans="1:6" x14ac:dyDescent="0.4">
      <c r="A444" s="1">
        <v>45919</v>
      </c>
      <c r="B444" s="20">
        <v>3.6909999999999998</v>
      </c>
      <c r="C444" s="13">
        <v>3.6659999999999999</v>
      </c>
      <c r="D444" s="13">
        <v>3.7010000000000001</v>
      </c>
      <c r="E444" s="13">
        <v>3.661</v>
      </c>
      <c r="F444" s="21"/>
    </row>
    <row r="445" spans="1:6" x14ac:dyDescent="0.4">
      <c r="A445" s="1">
        <v>45922</v>
      </c>
      <c r="B445" s="20">
        <v>3.7029999999999998</v>
      </c>
      <c r="C445" s="13">
        <v>3.6930000000000001</v>
      </c>
      <c r="D445" s="13">
        <v>3.7050000000000001</v>
      </c>
      <c r="E445" s="13">
        <v>3.6680000000000001</v>
      </c>
      <c r="F445" s="21"/>
    </row>
    <row r="446" spans="1:6" x14ac:dyDescent="0.4">
      <c r="A446" s="1">
        <v>45923</v>
      </c>
      <c r="B446" s="12">
        <v>3.673</v>
      </c>
      <c r="C446" s="13">
        <v>3.6960000000000002</v>
      </c>
      <c r="D446" s="13">
        <v>3.7010000000000001</v>
      </c>
      <c r="E446" s="13">
        <v>3.6680000000000001</v>
      </c>
      <c r="F446" s="23"/>
    </row>
    <row r="447" spans="1:6" x14ac:dyDescent="0.4">
      <c r="A447" s="1">
        <v>45924</v>
      </c>
      <c r="B447" s="20">
        <v>3.7160000000000002</v>
      </c>
      <c r="C447" s="13">
        <v>3.6720000000000002</v>
      </c>
      <c r="D447" s="13">
        <v>3.7160000000000002</v>
      </c>
      <c r="E447" s="13">
        <v>3.6629999999999998</v>
      </c>
      <c r="F447" s="21"/>
    </row>
    <row r="448" spans="1:6" x14ac:dyDescent="0.4">
      <c r="A448" s="1">
        <v>45925</v>
      </c>
      <c r="B448" s="20">
        <v>3.7669999999999999</v>
      </c>
      <c r="C448" s="13">
        <v>3.7130000000000001</v>
      </c>
      <c r="D448" s="13">
        <v>3.7810000000000001</v>
      </c>
      <c r="E448" s="13">
        <v>3.7080000000000002</v>
      </c>
    </row>
    <row r="449" spans="1:6" x14ac:dyDescent="0.4">
      <c r="A449" s="1">
        <v>45926</v>
      </c>
      <c r="B449" s="12">
        <v>3.7559999999999998</v>
      </c>
      <c r="C449" s="13">
        <v>3.7549999999999999</v>
      </c>
      <c r="D449" s="13">
        <v>3.7559999999999998</v>
      </c>
      <c r="E449" s="13">
        <v>3.7549999999999999</v>
      </c>
    </row>
    <row r="450" spans="1:6" x14ac:dyDescent="0.4">
      <c r="A450" s="1">
        <v>45929</v>
      </c>
      <c r="B450" s="12">
        <v>3.7389999999999999</v>
      </c>
      <c r="C450" s="13">
        <v>3.7509999999999999</v>
      </c>
      <c r="D450" s="13">
        <v>3.7629999999999999</v>
      </c>
      <c r="E450" s="13">
        <v>3.7320000000000002</v>
      </c>
    </row>
    <row r="451" spans="1:6" x14ac:dyDescent="0.4">
      <c r="A451" s="1">
        <v>45930</v>
      </c>
      <c r="B451" s="20">
        <v>3.746</v>
      </c>
      <c r="C451" s="13">
        <v>3.7360000000000002</v>
      </c>
      <c r="D451" s="13">
        <v>3.746</v>
      </c>
      <c r="E451" s="13">
        <v>3.7010000000000001</v>
      </c>
    </row>
    <row r="452" spans="1:6" x14ac:dyDescent="0.4">
      <c r="A452" s="1">
        <v>45931</v>
      </c>
      <c r="B452" s="11">
        <v>3.673</v>
      </c>
      <c r="C452" s="7">
        <v>3.7360000000000002</v>
      </c>
      <c r="D452" s="7">
        <v>3.75</v>
      </c>
      <c r="E452" s="7">
        <v>3.665</v>
      </c>
      <c r="F452" s="22"/>
    </row>
    <row r="453" spans="1:6" x14ac:dyDescent="0.4">
      <c r="A453" s="1">
        <v>45932</v>
      </c>
      <c r="B453" s="11">
        <v>3.6720000000000002</v>
      </c>
      <c r="C453" s="7">
        <v>3.68</v>
      </c>
      <c r="D453" s="7">
        <v>3.7040000000000002</v>
      </c>
      <c r="E453" s="7">
        <v>3.665</v>
      </c>
    </row>
    <row r="454" spans="1:6" x14ac:dyDescent="0.4">
      <c r="A454" s="1">
        <v>45933</v>
      </c>
      <c r="B454" s="20">
        <v>3.7149999999999999</v>
      </c>
      <c r="C454" s="13">
        <v>3.6819999999999999</v>
      </c>
      <c r="D454" s="13">
        <v>3.7149999999999999</v>
      </c>
      <c r="E454" s="13">
        <v>3.6680000000000001</v>
      </c>
    </row>
    <row r="455" spans="1:6" x14ac:dyDescent="0.4">
      <c r="A455" s="1">
        <v>45936</v>
      </c>
      <c r="B455" s="20">
        <v>3.7389999999999999</v>
      </c>
      <c r="C455" s="13">
        <v>3.7309999999999999</v>
      </c>
      <c r="D455" s="13">
        <v>3.75</v>
      </c>
      <c r="E455" s="13">
        <v>3.718</v>
      </c>
      <c r="F455" s="21"/>
    </row>
    <row r="456" spans="1:6" x14ac:dyDescent="0.4">
      <c r="A456" s="1">
        <v>45937</v>
      </c>
      <c r="B456" s="11">
        <v>3.706</v>
      </c>
      <c r="C456" s="7">
        <v>3.7360000000000002</v>
      </c>
      <c r="D456" s="7">
        <v>3.7549999999999999</v>
      </c>
      <c r="E456" s="7">
        <v>3.6960000000000002</v>
      </c>
      <c r="F456" s="22"/>
    </row>
    <row r="457" spans="1:6" x14ac:dyDescent="0.4">
      <c r="A457" s="1">
        <v>45938</v>
      </c>
      <c r="B457" s="12">
        <v>3.706</v>
      </c>
      <c r="C457" s="13">
        <v>3.7080000000000002</v>
      </c>
      <c r="D457" s="13">
        <v>3.71</v>
      </c>
      <c r="E457" s="13">
        <v>3.706</v>
      </c>
      <c r="F457" s="23"/>
    </row>
    <row r="458" spans="1:6" x14ac:dyDescent="0.4">
      <c r="A458" s="1">
        <v>45939</v>
      </c>
      <c r="B458" s="9">
        <v>3.738</v>
      </c>
      <c r="C458" s="7">
        <v>3.7149999999999999</v>
      </c>
      <c r="D458" s="7">
        <v>3.7429999999999999</v>
      </c>
      <c r="E458" s="7">
        <v>3.7050000000000001</v>
      </c>
    </row>
    <row r="459" spans="1:6" x14ac:dyDescent="0.4">
      <c r="A459" s="1">
        <v>45940</v>
      </c>
      <c r="B459" s="11">
        <v>3.6539999999999999</v>
      </c>
      <c r="C459" s="7">
        <v>3.726</v>
      </c>
      <c r="D459" s="7">
        <v>3.7320000000000002</v>
      </c>
      <c r="E459" s="7">
        <v>3.6389999999999998</v>
      </c>
      <c r="F459" s="22"/>
    </row>
    <row r="460" spans="1:6" x14ac:dyDescent="0.4">
      <c r="A460" s="1">
        <v>45943</v>
      </c>
      <c r="B460" s="12">
        <v>3.6469999999999998</v>
      </c>
      <c r="C460" s="13">
        <v>3.7320000000000002</v>
      </c>
      <c r="D460" s="13">
        <v>3.734</v>
      </c>
      <c r="E460" s="13">
        <v>3.625</v>
      </c>
      <c r="F460" s="23"/>
    </row>
    <row r="461" spans="1:6" x14ac:dyDescent="0.4">
      <c r="A461" s="1">
        <v>45944</v>
      </c>
      <c r="B461" s="11">
        <v>3.609</v>
      </c>
      <c r="C461" s="7">
        <v>3.63</v>
      </c>
      <c r="D461" s="7">
        <v>3.6509999999999998</v>
      </c>
      <c r="E461" s="7">
        <v>3.5880000000000001</v>
      </c>
    </row>
    <row r="462" spans="1:6" x14ac:dyDescent="0.4">
      <c r="A462" s="1">
        <v>45945</v>
      </c>
      <c r="B462" s="20">
        <v>3.6179999999999999</v>
      </c>
      <c r="C462" s="13">
        <v>3.5939999999999999</v>
      </c>
      <c r="D462" s="13">
        <v>3.6320000000000001</v>
      </c>
      <c r="E462" s="13">
        <v>3.5859999999999999</v>
      </c>
      <c r="F462" s="21"/>
    </row>
    <row r="463" spans="1:6" x14ac:dyDescent="0.4">
      <c r="A463" s="1">
        <v>45946</v>
      </c>
      <c r="B463" s="12">
        <v>3.5470000000000002</v>
      </c>
      <c r="C463" s="13">
        <v>3.613</v>
      </c>
      <c r="D463" s="13">
        <v>3.633</v>
      </c>
      <c r="E463" s="13">
        <v>3.5430000000000001</v>
      </c>
      <c r="F463" s="23"/>
    </row>
    <row r="464" spans="1:6" x14ac:dyDescent="0.4">
      <c r="A464" s="1">
        <v>45947</v>
      </c>
      <c r="B464" s="9">
        <v>3.593</v>
      </c>
      <c r="C464" s="7">
        <v>3.5150000000000001</v>
      </c>
      <c r="D464" s="7">
        <v>3.597</v>
      </c>
      <c r="E464" s="7">
        <v>3.5</v>
      </c>
      <c r="F464" s="26"/>
    </row>
    <row r="465" spans="1:6" x14ac:dyDescent="0.4">
      <c r="A465" s="1">
        <v>45950</v>
      </c>
      <c r="B465" s="11">
        <v>3.5739999999999998</v>
      </c>
      <c r="C465" s="7">
        <v>3.6</v>
      </c>
      <c r="D465" s="7">
        <v>3.6110000000000002</v>
      </c>
      <c r="E465" s="7">
        <v>3.5720000000000001</v>
      </c>
    </row>
    <row r="466" spans="1:6" x14ac:dyDescent="0.4">
      <c r="A466" s="1">
        <v>45951</v>
      </c>
      <c r="B466" s="11">
        <v>3.5619999999999998</v>
      </c>
      <c r="C466" s="7">
        <v>3.5779999999999998</v>
      </c>
      <c r="D466" s="7">
        <v>3.5859999999999999</v>
      </c>
      <c r="E466" s="7">
        <v>3.5430000000000001</v>
      </c>
      <c r="F466" s="22"/>
    </row>
    <row r="467" spans="1:6" x14ac:dyDescent="0.4">
      <c r="A467" s="1">
        <v>45952</v>
      </c>
      <c r="B467" s="12">
        <v>3.5550000000000002</v>
      </c>
      <c r="C467" s="13">
        <v>3.5659999999999998</v>
      </c>
      <c r="D467" s="13">
        <v>3.5739999999999998</v>
      </c>
      <c r="E467" s="13">
        <v>3.5449999999999999</v>
      </c>
      <c r="F467" s="23"/>
    </row>
    <row r="468" spans="1:6" x14ac:dyDescent="0.4">
      <c r="A468" s="1">
        <v>45953</v>
      </c>
      <c r="B468" s="20">
        <v>3.6110000000000002</v>
      </c>
      <c r="C468" s="13">
        <v>3.5550000000000002</v>
      </c>
      <c r="D468" s="13">
        <v>3.6120000000000001</v>
      </c>
      <c r="E468" s="13">
        <v>3.548</v>
      </c>
      <c r="F468" s="21"/>
    </row>
    <row r="469" spans="1:6" x14ac:dyDescent="0.4">
      <c r="A469" s="1">
        <v>45954</v>
      </c>
      <c r="B469" s="20">
        <v>3.605</v>
      </c>
      <c r="C469" s="13">
        <v>3.6040000000000001</v>
      </c>
      <c r="D469" s="13">
        <v>3.665</v>
      </c>
      <c r="E469" s="13">
        <v>3.5760000000000001</v>
      </c>
      <c r="F469" s="21"/>
    </row>
    <row r="470" spans="1:6" x14ac:dyDescent="0.4">
      <c r="A470" s="1">
        <v>45957</v>
      </c>
      <c r="B470" s="12">
        <v>3.6110000000000002</v>
      </c>
      <c r="C470" s="13">
        <v>3.6320000000000001</v>
      </c>
      <c r="D470" s="13">
        <v>3.6440000000000001</v>
      </c>
      <c r="E470" s="13">
        <v>3.6040000000000001</v>
      </c>
      <c r="F470" s="23"/>
    </row>
    <row r="471" spans="1:6" x14ac:dyDescent="0.4">
      <c r="A471" s="1">
        <v>45958</v>
      </c>
      <c r="B471" s="12">
        <v>3.6110000000000002</v>
      </c>
      <c r="C471" s="13">
        <v>3.61</v>
      </c>
      <c r="D471" s="13">
        <v>3.6349999999999998</v>
      </c>
      <c r="E471" s="13">
        <v>3.5979999999999999</v>
      </c>
    </row>
    <row r="472" spans="1:6" x14ac:dyDescent="0.4">
      <c r="A472" s="1">
        <v>45959</v>
      </c>
      <c r="B472" s="20">
        <v>3.7149999999999999</v>
      </c>
      <c r="C472" s="13">
        <v>3.6110000000000002</v>
      </c>
      <c r="D472" s="13">
        <v>3.7170000000000001</v>
      </c>
      <c r="E472" s="13">
        <v>3.609</v>
      </c>
      <c r="F472" s="21"/>
    </row>
    <row r="473" spans="1:6" x14ac:dyDescent="0.4">
      <c r="A473" s="1">
        <v>45960</v>
      </c>
      <c r="B473" s="20">
        <v>3.722</v>
      </c>
      <c r="C473" s="13">
        <v>3.6989999999999998</v>
      </c>
      <c r="D473" s="13">
        <v>3.746</v>
      </c>
      <c r="E473" s="13">
        <v>3.694</v>
      </c>
    </row>
    <row r="474" spans="1:6" x14ac:dyDescent="0.4">
      <c r="A474" s="1">
        <v>45961</v>
      </c>
      <c r="B474" s="20">
        <v>3.722</v>
      </c>
      <c r="C474" s="13">
        <v>3.6989999999999998</v>
      </c>
      <c r="D474" s="13">
        <v>3.746</v>
      </c>
      <c r="E474" s="13">
        <v>3.694</v>
      </c>
    </row>
    <row r="475" spans="1:6" x14ac:dyDescent="0.4">
      <c r="A475" s="1">
        <v>45964</v>
      </c>
      <c r="B475" s="20">
        <v>3.7149999999999999</v>
      </c>
      <c r="C475" s="13">
        <v>3.706</v>
      </c>
      <c r="D475" s="13">
        <v>3.7290000000000001</v>
      </c>
      <c r="E475" s="13">
        <v>3.6890000000000001</v>
      </c>
      <c r="F475" s="21"/>
    </row>
    <row r="476" spans="1:6" x14ac:dyDescent="0.4">
      <c r="A476" s="1">
        <v>45965</v>
      </c>
      <c r="B476" s="12">
        <v>3.694</v>
      </c>
      <c r="C476" s="13">
        <v>3.7170000000000001</v>
      </c>
      <c r="D476" s="13">
        <v>3.7250000000000001</v>
      </c>
      <c r="E476" s="13">
        <v>3.6869999999999998</v>
      </c>
      <c r="F476" s="23"/>
    </row>
    <row r="477" spans="1:6" x14ac:dyDescent="0.4">
      <c r="A477" s="1">
        <v>45966</v>
      </c>
      <c r="B477" s="20">
        <v>3.7669999999999999</v>
      </c>
      <c r="C477" s="13">
        <v>3.68</v>
      </c>
      <c r="D477" s="13">
        <v>3.7669999999999999</v>
      </c>
      <c r="E477" s="13">
        <v>3.661</v>
      </c>
      <c r="F477" s="21"/>
    </row>
    <row r="478" spans="1:6" x14ac:dyDescent="0.4">
      <c r="A478" s="1">
        <v>45967</v>
      </c>
      <c r="B478" s="12">
        <v>3.6819999999999999</v>
      </c>
      <c r="C478" s="13">
        <v>3.7570000000000001</v>
      </c>
      <c r="D478" s="13">
        <v>3.758</v>
      </c>
      <c r="E478" s="13">
        <v>3.673</v>
      </c>
      <c r="F478" s="23"/>
    </row>
    <row r="479" spans="1:6" x14ac:dyDescent="0.4">
      <c r="A479" s="1">
        <v>45968</v>
      </c>
      <c r="B479" s="12">
        <v>3.6819999999999999</v>
      </c>
      <c r="C479" s="13">
        <v>3.698</v>
      </c>
      <c r="D479" s="13">
        <v>3.7029999999999998</v>
      </c>
      <c r="E479" s="13">
        <v>3.6520000000000001</v>
      </c>
      <c r="F479" s="23"/>
    </row>
    <row r="480" spans="1:6" x14ac:dyDescent="0.4">
      <c r="A480" s="1">
        <v>45971</v>
      </c>
      <c r="B480" s="9">
        <v>3.72</v>
      </c>
      <c r="C480" s="7">
        <v>3.7240000000000002</v>
      </c>
      <c r="D480" s="7">
        <v>3.7330000000000001</v>
      </c>
      <c r="E480" s="7">
        <v>3.694</v>
      </c>
      <c r="F480" s="26"/>
    </row>
    <row r="481" spans="1:6" x14ac:dyDescent="0.4">
      <c r="A481" s="1">
        <v>45972</v>
      </c>
      <c r="B481" s="20">
        <v>3.7189999999999999</v>
      </c>
      <c r="C481" s="13">
        <v>3.7240000000000002</v>
      </c>
      <c r="D481" s="13">
        <v>3.734</v>
      </c>
      <c r="E481" s="13">
        <v>3.6930000000000001</v>
      </c>
    </row>
    <row r="482" spans="1:6" x14ac:dyDescent="0.4">
      <c r="A482" s="1">
        <v>45973</v>
      </c>
      <c r="B482" s="20">
        <v>3.6680000000000001</v>
      </c>
      <c r="C482" s="13">
        <v>3.677</v>
      </c>
      <c r="D482" s="13">
        <v>3.6850000000000001</v>
      </c>
      <c r="E482" s="13">
        <v>3.6589999999999998</v>
      </c>
    </row>
    <row r="483" spans="1:6" x14ac:dyDescent="0.4">
      <c r="A483" s="1">
        <v>45974</v>
      </c>
      <c r="B483" s="20">
        <v>3.7050000000000001</v>
      </c>
      <c r="C483" s="13">
        <v>3.68</v>
      </c>
      <c r="D483" s="13">
        <v>3.7130000000000001</v>
      </c>
      <c r="E483" s="13">
        <v>3.67</v>
      </c>
      <c r="F483" s="21"/>
    </row>
    <row r="484" spans="1:6" x14ac:dyDescent="0.4">
      <c r="A484" s="1">
        <v>45975</v>
      </c>
      <c r="B484" s="20">
        <v>3.7290000000000001</v>
      </c>
      <c r="C484" s="13">
        <v>3.7010000000000001</v>
      </c>
      <c r="D484" s="13">
        <v>3.7360000000000002</v>
      </c>
      <c r="E484" s="13">
        <v>3.6509999999999998</v>
      </c>
      <c r="F484" s="21"/>
    </row>
    <row r="485" spans="1:6" x14ac:dyDescent="0.4">
      <c r="A485" s="1">
        <v>45978</v>
      </c>
      <c r="B485" s="12">
        <v>3.7290000000000001</v>
      </c>
      <c r="C485" s="13">
        <v>3.7240000000000002</v>
      </c>
      <c r="D485" s="13">
        <v>3.734</v>
      </c>
      <c r="E485" s="13">
        <v>3.7029999999999998</v>
      </c>
      <c r="F485" s="23"/>
    </row>
    <row r="486" spans="1:6" x14ac:dyDescent="0.4">
      <c r="A486" s="1">
        <v>45979</v>
      </c>
      <c r="B486" s="12">
        <v>3.6890000000000001</v>
      </c>
      <c r="C486" s="13">
        <v>3.694</v>
      </c>
      <c r="D486" s="13">
        <v>3.7309999999999999</v>
      </c>
      <c r="E486" s="13">
        <v>3.6659999999999999</v>
      </c>
      <c r="F486" s="23"/>
    </row>
    <row r="487" spans="1:6" x14ac:dyDescent="0.4">
      <c r="A487" s="1">
        <v>45980</v>
      </c>
      <c r="B487" s="20">
        <v>3.71</v>
      </c>
      <c r="C487" s="13">
        <v>3.6869999999999998</v>
      </c>
      <c r="D487" s="13">
        <v>3.71</v>
      </c>
      <c r="E487" s="13">
        <v>3.673</v>
      </c>
      <c r="F487" s="21"/>
    </row>
    <row r="488" spans="1:6" x14ac:dyDescent="0.4">
      <c r="A488" s="1">
        <v>45981</v>
      </c>
      <c r="B488" s="12">
        <v>3.6469999999999998</v>
      </c>
      <c r="C488" s="13">
        <v>3.7210000000000001</v>
      </c>
      <c r="D488" s="13">
        <v>3.7290000000000001</v>
      </c>
      <c r="E488" s="13">
        <v>3.6469999999999998</v>
      </c>
      <c r="F488" s="23"/>
    </row>
    <row r="489" spans="1:6" x14ac:dyDescent="0.4">
      <c r="A489" s="1">
        <v>45982</v>
      </c>
      <c r="B489" s="12">
        <v>3.6190000000000002</v>
      </c>
      <c r="C489" s="13">
        <v>3.6579999999999999</v>
      </c>
      <c r="D489" s="13">
        <v>3.6669999999999998</v>
      </c>
      <c r="E489" s="13">
        <v>3.6110000000000002</v>
      </c>
      <c r="F489" s="23"/>
    </row>
    <row r="490" spans="1:6" x14ac:dyDescent="0.4">
      <c r="A490" s="1">
        <v>45985</v>
      </c>
      <c r="B490" s="12">
        <v>3.6040000000000001</v>
      </c>
      <c r="C490" s="13">
        <v>3.625</v>
      </c>
      <c r="D490" s="13">
        <v>3.6320000000000001</v>
      </c>
      <c r="E490" s="13">
        <v>3.6040000000000001</v>
      </c>
      <c r="F490" s="23"/>
    </row>
    <row r="491" spans="1:6" x14ac:dyDescent="0.4">
      <c r="A491" s="1">
        <v>45986</v>
      </c>
      <c r="B491" s="12">
        <v>3.5619999999999998</v>
      </c>
      <c r="C491" s="13">
        <v>3.6070000000000002</v>
      </c>
      <c r="D491" s="13">
        <v>3.6160000000000001</v>
      </c>
      <c r="E491" s="13">
        <v>3.5550000000000002</v>
      </c>
      <c r="F491" s="23"/>
    </row>
    <row r="492" spans="1:6" x14ac:dyDescent="0.4">
      <c r="A492" s="1">
        <v>45987</v>
      </c>
      <c r="B492" s="20">
        <v>3.57</v>
      </c>
      <c r="C492" s="13">
        <v>3.581</v>
      </c>
      <c r="D492" s="13">
        <v>3.605</v>
      </c>
      <c r="E492" s="13">
        <v>3.5649999999999999</v>
      </c>
      <c r="F492" s="21"/>
    </row>
    <row r="493" spans="1:6" x14ac:dyDescent="0.4">
      <c r="A493" s="1">
        <v>45989</v>
      </c>
      <c r="B493" s="20">
        <v>3.6</v>
      </c>
      <c r="C493" s="13">
        <v>3.577</v>
      </c>
      <c r="D493" s="13">
        <v>3.609</v>
      </c>
      <c r="E493" s="13">
        <v>3.56</v>
      </c>
      <c r="F493" s="21"/>
    </row>
    <row r="494" spans="1:6" x14ac:dyDescent="0.4">
      <c r="A494" s="1">
        <v>45992</v>
      </c>
      <c r="B494" s="20">
        <v>3.673</v>
      </c>
      <c r="C494" s="13">
        <v>3.6120000000000001</v>
      </c>
      <c r="D494" s="13">
        <v>3.6739999999999999</v>
      </c>
      <c r="E494" s="13">
        <v>3.5979999999999999</v>
      </c>
      <c r="F494" s="21"/>
    </row>
    <row r="495" spans="1:6" x14ac:dyDescent="0.4">
      <c r="A495" s="1">
        <v>45993</v>
      </c>
      <c r="B495" s="12">
        <v>3.6589999999999998</v>
      </c>
      <c r="C495" s="13">
        <v>3.6680000000000001</v>
      </c>
      <c r="D495" s="13">
        <v>3.6869999999999998</v>
      </c>
      <c r="E495" s="13">
        <v>3.6549999999999998</v>
      </c>
      <c r="F495" s="23"/>
    </row>
    <row r="496" spans="1:6" x14ac:dyDescent="0.4">
      <c r="A496" s="1">
        <v>45994</v>
      </c>
      <c r="B496" s="12">
        <v>3.6240000000000001</v>
      </c>
      <c r="C496" s="13">
        <v>3.657</v>
      </c>
      <c r="D496" s="13">
        <v>3.657</v>
      </c>
      <c r="E496" s="13">
        <v>3.6120000000000001</v>
      </c>
      <c r="F496" s="23"/>
    </row>
    <row r="497" spans="1:6" x14ac:dyDescent="0.4">
      <c r="A497" s="1">
        <v>45995</v>
      </c>
      <c r="B497" s="20">
        <v>3.6829999999999998</v>
      </c>
      <c r="C497" s="13">
        <v>3.64</v>
      </c>
      <c r="D497" s="13">
        <v>3.6869999999999998</v>
      </c>
      <c r="E497" s="13">
        <v>3.6379999999999999</v>
      </c>
      <c r="F497" s="21"/>
    </row>
    <row r="498" spans="1:6" x14ac:dyDescent="0.4">
      <c r="A498" s="1">
        <v>45996</v>
      </c>
      <c r="B498" s="20">
        <v>3.7149999999999999</v>
      </c>
      <c r="C498" s="13">
        <v>3.673</v>
      </c>
      <c r="D498" s="13">
        <v>3.72</v>
      </c>
      <c r="E498" s="13">
        <v>3.6619999999999999</v>
      </c>
      <c r="F498" s="21"/>
    </row>
    <row r="499" spans="1:6" x14ac:dyDescent="0.4">
      <c r="A499" s="1">
        <v>45999</v>
      </c>
      <c r="B499" s="20">
        <v>3.7519999999999998</v>
      </c>
      <c r="C499" s="13">
        <v>3.7149999999999999</v>
      </c>
      <c r="D499" s="13">
        <v>3.778</v>
      </c>
      <c r="E499" s="13">
        <v>3.7040000000000002</v>
      </c>
    </row>
    <row r="500" spans="1:6" x14ac:dyDescent="0.4">
      <c r="A500" s="1">
        <v>46000</v>
      </c>
      <c r="B500" s="9">
        <v>3.78</v>
      </c>
      <c r="C500" s="7">
        <v>3.7509999999999999</v>
      </c>
      <c r="D500" s="7">
        <v>3.79</v>
      </c>
      <c r="E500" s="7">
        <v>3.7290000000000001</v>
      </c>
    </row>
    <row r="501" spans="1:6" x14ac:dyDescent="0.4">
      <c r="A501" s="1">
        <v>46001</v>
      </c>
      <c r="B501" s="12">
        <v>3.7549999999999999</v>
      </c>
      <c r="C501" s="13">
        <v>3.7869999999999999</v>
      </c>
      <c r="D501" s="13">
        <v>3.8079999999999998</v>
      </c>
      <c r="E501" s="13">
        <v>3.7170000000000001</v>
      </c>
      <c r="F501" s="23"/>
    </row>
    <row r="502" spans="1:6" x14ac:dyDescent="0.4">
      <c r="A502" s="1">
        <v>46002</v>
      </c>
      <c r="B502" s="12">
        <v>3.7149999999999999</v>
      </c>
      <c r="C502" s="13">
        <v>3.7170000000000001</v>
      </c>
      <c r="D502" s="13">
        <v>3.7360000000000002</v>
      </c>
      <c r="E502" s="13">
        <v>3.6779999999999999</v>
      </c>
      <c r="F502" s="23"/>
    </row>
    <row r="503" spans="1:6" x14ac:dyDescent="0.4">
      <c r="A503" s="1">
        <v>46003</v>
      </c>
      <c r="B503" s="20">
        <v>3.75</v>
      </c>
      <c r="C503" s="13">
        <v>3.72</v>
      </c>
      <c r="D503" s="13">
        <v>3.7589999999999999</v>
      </c>
      <c r="E503" s="13">
        <v>3.7189999999999999</v>
      </c>
    </row>
    <row r="504" spans="1:6" x14ac:dyDescent="0.4">
      <c r="A504" s="1">
        <v>46006</v>
      </c>
      <c r="B504" s="11">
        <v>3.726</v>
      </c>
      <c r="C504" s="7">
        <v>3.7309999999999999</v>
      </c>
      <c r="D504" s="7">
        <v>3.742</v>
      </c>
      <c r="E504" s="7">
        <v>3.7050000000000001</v>
      </c>
    </row>
    <row r="505" spans="1:6" x14ac:dyDescent="0.4">
      <c r="A505" s="1">
        <v>46007</v>
      </c>
      <c r="B505" s="12">
        <v>3.6960000000000002</v>
      </c>
      <c r="C505" s="13">
        <v>3.7189999999999999</v>
      </c>
      <c r="D505" s="13">
        <v>3.7349999999999999</v>
      </c>
      <c r="E505" s="13">
        <v>3.6880000000000002</v>
      </c>
    </row>
    <row r="506" spans="1:6" x14ac:dyDescent="0.4">
      <c r="A506" s="1">
        <v>46008</v>
      </c>
      <c r="B506" s="12">
        <v>3.7</v>
      </c>
    </row>
  </sheetData>
  <autoFilter ref="A1:F1" xr:uid="{00000000-0009-0000-0000-000005000000}">
    <sortState xmlns:xlrd2="http://schemas.microsoft.com/office/spreadsheetml/2017/richdata2" ref="A2:F350">
      <sortCondition ref="A1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93"/>
  <sheetViews>
    <sheetView tabSelected="1" topLeftCell="A489" workbookViewId="0">
      <selection activeCell="B494" sqref="B494"/>
    </sheetView>
  </sheetViews>
  <sheetFormatPr defaultRowHeight="17.399999999999999" x14ac:dyDescent="0.4"/>
  <cols>
    <col min="1" max="1" width="11.0976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45293</v>
      </c>
      <c r="B2">
        <v>77.13</v>
      </c>
      <c r="C2">
        <v>77.13</v>
      </c>
      <c r="D2">
        <v>77.239999999999995</v>
      </c>
      <c r="E2">
        <v>77.040000000000006</v>
      </c>
      <c r="F2" t="s">
        <v>7</v>
      </c>
      <c r="G2" s="2">
        <v>-3.3999999999999998E-3</v>
      </c>
    </row>
    <row r="3" spans="1:7" x14ac:dyDescent="0.4">
      <c r="A3" s="1">
        <v>45294</v>
      </c>
      <c r="B3">
        <v>76.92</v>
      </c>
      <c r="C3">
        <v>76.72</v>
      </c>
      <c r="D3">
        <v>77.08</v>
      </c>
      <c r="E3">
        <v>76.55</v>
      </c>
      <c r="F3" t="s">
        <v>8</v>
      </c>
      <c r="G3" s="2">
        <v>-2.7000000000000001E-3</v>
      </c>
    </row>
    <row r="4" spans="1:7" x14ac:dyDescent="0.4">
      <c r="A4" s="1">
        <v>45295</v>
      </c>
      <c r="B4">
        <v>76.62</v>
      </c>
      <c r="C4">
        <v>76.81</v>
      </c>
      <c r="D4">
        <v>76.900000000000006</v>
      </c>
      <c r="E4">
        <v>76.599999999999994</v>
      </c>
      <c r="F4" t="s">
        <v>9</v>
      </c>
      <c r="G4" s="2">
        <v>-3.8999999999999998E-3</v>
      </c>
    </row>
    <row r="5" spans="1:7" x14ac:dyDescent="0.4">
      <c r="A5" s="1">
        <v>45296</v>
      </c>
      <c r="B5">
        <v>76.680000000000007</v>
      </c>
      <c r="C5">
        <v>76.599999999999994</v>
      </c>
      <c r="D5">
        <v>77</v>
      </c>
      <c r="E5">
        <v>76.55</v>
      </c>
      <c r="F5" t="s">
        <v>10</v>
      </c>
      <c r="G5" s="2">
        <v>8.0000000000000004E-4</v>
      </c>
    </row>
    <row r="6" spans="1:7" x14ac:dyDescent="0.4">
      <c r="A6" s="1">
        <v>45299</v>
      </c>
      <c r="B6">
        <v>77.11</v>
      </c>
      <c r="C6">
        <v>76.7</v>
      </c>
      <c r="D6">
        <v>77.17</v>
      </c>
      <c r="E6">
        <v>76.7</v>
      </c>
      <c r="F6" t="s">
        <v>11</v>
      </c>
      <c r="G6" s="2">
        <v>5.5999999999999999E-3</v>
      </c>
    </row>
    <row r="7" spans="1:7" x14ac:dyDescent="0.4">
      <c r="A7" s="1">
        <v>45300</v>
      </c>
      <c r="B7">
        <v>77.23</v>
      </c>
      <c r="C7">
        <v>77.010000000000005</v>
      </c>
      <c r="D7">
        <v>77.319999999999993</v>
      </c>
      <c r="E7">
        <v>76.959999999999994</v>
      </c>
      <c r="F7" t="s">
        <v>12</v>
      </c>
      <c r="G7" s="2">
        <v>1.6000000000000001E-3</v>
      </c>
    </row>
    <row r="8" spans="1:7" x14ac:dyDescent="0.4">
      <c r="A8" s="1">
        <v>45301</v>
      </c>
      <c r="B8">
        <v>77.37</v>
      </c>
      <c r="C8">
        <v>77.41</v>
      </c>
      <c r="D8">
        <v>77.489999999999995</v>
      </c>
      <c r="E8">
        <v>77.28</v>
      </c>
      <c r="F8" t="s">
        <v>13</v>
      </c>
      <c r="G8" s="2">
        <v>1.8E-3</v>
      </c>
    </row>
    <row r="9" spans="1:7" x14ac:dyDescent="0.4">
      <c r="A9" s="1">
        <v>45302</v>
      </c>
      <c r="B9">
        <v>77.62</v>
      </c>
      <c r="C9">
        <v>77.349999999999994</v>
      </c>
      <c r="D9">
        <v>77.63</v>
      </c>
      <c r="E9">
        <v>77.17</v>
      </c>
      <c r="F9" t="s">
        <v>14</v>
      </c>
      <c r="G9" s="2">
        <v>3.2000000000000002E-3</v>
      </c>
    </row>
    <row r="10" spans="1:7" x14ac:dyDescent="0.4">
      <c r="A10" s="1">
        <v>45303</v>
      </c>
      <c r="B10">
        <v>77.7</v>
      </c>
      <c r="C10">
        <v>77.680000000000007</v>
      </c>
      <c r="D10">
        <v>77.92</v>
      </c>
      <c r="E10">
        <v>77.63</v>
      </c>
      <c r="F10" t="s">
        <v>10</v>
      </c>
      <c r="G10" s="2">
        <v>1E-3</v>
      </c>
    </row>
    <row r="11" spans="1:7" x14ac:dyDescent="0.4">
      <c r="A11" s="1">
        <v>45307</v>
      </c>
      <c r="B11">
        <v>77.209999999999994</v>
      </c>
      <c r="C11">
        <v>77.55</v>
      </c>
      <c r="D11">
        <v>77.55</v>
      </c>
      <c r="E11">
        <v>77.13</v>
      </c>
      <c r="F11" t="s">
        <v>15</v>
      </c>
      <c r="G11" s="2">
        <v>-6.3E-3</v>
      </c>
    </row>
    <row r="12" spans="1:7" x14ac:dyDescent="0.4">
      <c r="A12" s="1">
        <v>45308</v>
      </c>
      <c r="B12">
        <v>76.88</v>
      </c>
      <c r="C12">
        <v>77.08</v>
      </c>
      <c r="D12">
        <v>77.08</v>
      </c>
      <c r="E12">
        <v>76.73</v>
      </c>
      <c r="F12" t="s">
        <v>16</v>
      </c>
      <c r="G12" s="2">
        <v>-4.3E-3</v>
      </c>
    </row>
    <row r="13" spans="1:7" x14ac:dyDescent="0.4">
      <c r="A13" s="1">
        <v>45309</v>
      </c>
      <c r="B13">
        <v>77.040000000000006</v>
      </c>
      <c r="C13">
        <v>76.989999999999995</v>
      </c>
      <c r="D13">
        <v>77.05</v>
      </c>
      <c r="E13">
        <v>76.849999999999994</v>
      </c>
      <c r="F13" t="s">
        <v>17</v>
      </c>
      <c r="G13" s="2">
        <v>2.0999999999999999E-3</v>
      </c>
    </row>
    <row r="14" spans="1:7" x14ac:dyDescent="0.4">
      <c r="A14" s="1">
        <v>45310</v>
      </c>
      <c r="B14">
        <v>77.17</v>
      </c>
      <c r="C14">
        <v>77.069999999999993</v>
      </c>
      <c r="D14">
        <v>77.17</v>
      </c>
      <c r="E14">
        <v>76.78</v>
      </c>
      <c r="F14" t="s">
        <v>18</v>
      </c>
      <c r="G14" s="2">
        <v>1.6999999999999999E-3</v>
      </c>
    </row>
    <row r="15" spans="1:7" x14ac:dyDescent="0.4">
      <c r="A15" s="1">
        <v>45313</v>
      </c>
      <c r="B15">
        <v>77.23</v>
      </c>
      <c r="C15">
        <v>77.180000000000007</v>
      </c>
      <c r="D15">
        <v>77.430000000000007</v>
      </c>
      <c r="E15">
        <v>77.180000000000007</v>
      </c>
      <c r="F15" t="s">
        <v>19</v>
      </c>
      <c r="G15" s="2">
        <v>8.0000000000000004E-4</v>
      </c>
    </row>
    <row r="16" spans="1:7" x14ac:dyDescent="0.4">
      <c r="A16" s="1">
        <v>45314</v>
      </c>
      <c r="B16">
        <v>77.14</v>
      </c>
      <c r="C16">
        <v>77.19</v>
      </c>
      <c r="D16">
        <v>77.25</v>
      </c>
      <c r="E16">
        <v>77.03</v>
      </c>
      <c r="F16" t="s">
        <v>20</v>
      </c>
      <c r="G16" s="2">
        <v>-1.1999999999999999E-3</v>
      </c>
    </row>
    <row r="17" spans="1:7" x14ac:dyDescent="0.4">
      <c r="A17" s="1">
        <v>45315</v>
      </c>
      <c r="B17">
        <v>77.099999999999994</v>
      </c>
      <c r="C17">
        <v>77.400000000000006</v>
      </c>
      <c r="D17">
        <v>77.430000000000007</v>
      </c>
      <c r="E17">
        <v>77.03</v>
      </c>
      <c r="F17" t="s">
        <v>21</v>
      </c>
      <c r="G17" s="2">
        <v>-5.0000000000000001E-4</v>
      </c>
    </row>
    <row r="18" spans="1:7" x14ac:dyDescent="0.4">
      <c r="A18" s="1">
        <v>45316</v>
      </c>
      <c r="B18">
        <v>77.69</v>
      </c>
      <c r="C18">
        <v>77.37</v>
      </c>
      <c r="D18">
        <v>77.69</v>
      </c>
      <c r="E18">
        <v>77.3</v>
      </c>
      <c r="F18" t="s">
        <v>22</v>
      </c>
      <c r="G18" s="2">
        <v>7.7000000000000002E-3</v>
      </c>
    </row>
    <row r="19" spans="1:7" x14ac:dyDescent="0.4">
      <c r="A19" s="1">
        <v>45317</v>
      </c>
      <c r="B19">
        <v>77.63</v>
      </c>
      <c r="C19">
        <v>77.650000000000006</v>
      </c>
      <c r="D19">
        <v>77.77</v>
      </c>
      <c r="E19">
        <v>77.59</v>
      </c>
      <c r="F19" t="s">
        <v>23</v>
      </c>
      <c r="G19" s="2">
        <v>-8.0000000000000004E-4</v>
      </c>
    </row>
    <row r="20" spans="1:7" x14ac:dyDescent="0.4">
      <c r="A20" s="1">
        <v>45320</v>
      </c>
      <c r="B20">
        <v>77.8</v>
      </c>
      <c r="C20">
        <v>77.66</v>
      </c>
      <c r="D20">
        <v>77.819999999999993</v>
      </c>
      <c r="E20">
        <v>77.569999999999993</v>
      </c>
      <c r="F20" t="s">
        <v>24</v>
      </c>
      <c r="G20" s="2">
        <v>2.2000000000000001E-3</v>
      </c>
    </row>
    <row r="21" spans="1:7" x14ac:dyDescent="0.4">
      <c r="A21" s="1">
        <v>45321</v>
      </c>
      <c r="B21">
        <v>77.7</v>
      </c>
      <c r="C21">
        <v>77.8</v>
      </c>
      <c r="D21">
        <v>77.83</v>
      </c>
      <c r="E21">
        <v>77.53</v>
      </c>
      <c r="F21" t="s">
        <v>25</v>
      </c>
      <c r="G21" s="2">
        <v>-1.2999999999999999E-3</v>
      </c>
    </row>
    <row r="22" spans="1:7" x14ac:dyDescent="0.4">
      <c r="A22" s="1">
        <v>45322</v>
      </c>
      <c r="B22">
        <v>77.48</v>
      </c>
      <c r="C22">
        <v>77.7</v>
      </c>
      <c r="D22">
        <v>77.900000000000006</v>
      </c>
      <c r="E22">
        <v>77.430000000000007</v>
      </c>
      <c r="F22" t="s">
        <v>26</v>
      </c>
      <c r="G22" s="2">
        <v>-2.8E-3</v>
      </c>
    </row>
    <row r="23" spans="1:7" x14ac:dyDescent="0.4">
      <c r="A23" s="1">
        <v>45323</v>
      </c>
      <c r="B23">
        <v>77.540000000000006</v>
      </c>
      <c r="C23">
        <v>77.33</v>
      </c>
      <c r="D23">
        <v>77.61</v>
      </c>
      <c r="E23">
        <v>77.11</v>
      </c>
      <c r="F23" t="s">
        <v>27</v>
      </c>
      <c r="G23" s="2">
        <v>8.0000000000000004E-4</v>
      </c>
    </row>
    <row r="24" spans="1:7" x14ac:dyDescent="0.4">
      <c r="A24" s="1">
        <v>45324</v>
      </c>
      <c r="B24">
        <v>77.19</v>
      </c>
      <c r="C24">
        <v>77.05</v>
      </c>
      <c r="D24">
        <v>77.290000000000006</v>
      </c>
      <c r="E24">
        <v>77.040000000000006</v>
      </c>
      <c r="F24" t="s">
        <v>28</v>
      </c>
      <c r="G24" s="2">
        <v>-4.4999999999999997E-3</v>
      </c>
    </row>
    <row r="25" spans="1:7" x14ac:dyDescent="0.4">
      <c r="A25" s="1">
        <v>45327</v>
      </c>
      <c r="B25">
        <v>76.83</v>
      </c>
      <c r="C25">
        <v>76.95</v>
      </c>
      <c r="D25">
        <v>77</v>
      </c>
      <c r="E25">
        <v>76.66</v>
      </c>
      <c r="F25" t="s">
        <v>29</v>
      </c>
      <c r="G25" s="2">
        <v>-4.7000000000000002E-3</v>
      </c>
    </row>
    <row r="26" spans="1:7" x14ac:dyDescent="0.4">
      <c r="A26" s="1">
        <v>45328</v>
      </c>
      <c r="B26">
        <v>77.11</v>
      </c>
      <c r="C26">
        <v>76.87</v>
      </c>
      <c r="D26">
        <v>77.22</v>
      </c>
      <c r="E26">
        <v>76.87</v>
      </c>
      <c r="F26" t="s">
        <v>30</v>
      </c>
      <c r="G26" s="2">
        <v>3.5999999999999999E-3</v>
      </c>
    </row>
    <row r="27" spans="1:7" x14ac:dyDescent="0.4">
      <c r="A27" s="1">
        <v>45329</v>
      </c>
      <c r="B27">
        <v>77.239999999999995</v>
      </c>
      <c r="C27">
        <v>77.27</v>
      </c>
      <c r="D27">
        <v>77.3</v>
      </c>
      <c r="E27">
        <v>77.02</v>
      </c>
      <c r="F27" t="s">
        <v>31</v>
      </c>
      <c r="G27" s="2">
        <v>1.6999999999999999E-3</v>
      </c>
    </row>
    <row r="28" spans="1:7" x14ac:dyDescent="0.4">
      <c r="A28" s="1">
        <v>45330</v>
      </c>
      <c r="B28">
        <v>77.2</v>
      </c>
      <c r="C28">
        <v>77.180000000000007</v>
      </c>
      <c r="D28">
        <v>77.3</v>
      </c>
      <c r="E28">
        <v>77.12</v>
      </c>
      <c r="F28" t="s">
        <v>32</v>
      </c>
      <c r="G28" s="2">
        <v>-5.0000000000000001E-4</v>
      </c>
    </row>
    <row r="29" spans="1:7" x14ac:dyDescent="0.4">
      <c r="A29" s="1">
        <v>45331</v>
      </c>
      <c r="B29">
        <v>77.36</v>
      </c>
      <c r="C29">
        <v>77.25</v>
      </c>
      <c r="D29">
        <v>77.41</v>
      </c>
      <c r="E29">
        <v>77.14</v>
      </c>
      <c r="F29" t="s">
        <v>33</v>
      </c>
      <c r="G29" s="2">
        <v>2.0999999999999999E-3</v>
      </c>
    </row>
    <row r="30" spans="1:7" x14ac:dyDescent="0.4">
      <c r="A30" s="1">
        <v>45334</v>
      </c>
      <c r="B30">
        <v>77.19</v>
      </c>
      <c r="C30">
        <v>77.33</v>
      </c>
      <c r="D30">
        <v>77.459999999999994</v>
      </c>
      <c r="E30">
        <v>77.17</v>
      </c>
      <c r="F30" t="s">
        <v>34</v>
      </c>
      <c r="G30" s="2">
        <v>-2.2000000000000001E-3</v>
      </c>
    </row>
    <row r="31" spans="1:7" x14ac:dyDescent="0.4">
      <c r="A31" s="1">
        <v>45335</v>
      </c>
      <c r="B31">
        <v>76.569999999999993</v>
      </c>
      <c r="C31">
        <v>76.67</v>
      </c>
      <c r="D31">
        <v>76.8</v>
      </c>
      <c r="E31">
        <v>76.44</v>
      </c>
      <c r="F31" t="s">
        <v>35</v>
      </c>
      <c r="G31" s="2">
        <v>-8.0000000000000002E-3</v>
      </c>
    </row>
    <row r="32" spans="1:7" x14ac:dyDescent="0.4">
      <c r="A32" s="1">
        <v>45336</v>
      </c>
      <c r="B32">
        <v>76.87</v>
      </c>
      <c r="C32">
        <v>76.790000000000006</v>
      </c>
      <c r="D32">
        <v>76.989999999999995</v>
      </c>
      <c r="E32">
        <v>76.73</v>
      </c>
      <c r="F32" t="s">
        <v>36</v>
      </c>
      <c r="G32" s="2">
        <v>3.8999999999999998E-3</v>
      </c>
    </row>
    <row r="33" spans="1:7" x14ac:dyDescent="0.4">
      <c r="A33" s="1">
        <v>45337</v>
      </c>
      <c r="B33">
        <v>77.14</v>
      </c>
      <c r="C33">
        <v>77</v>
      </c>
      <c r="D33">
        <v>77.23</v>
      </c>
      <c r="E33">
        <v>76.94</v>
      </c>
      <c r="F33" t="s">
        <v>37</v>
      </c>
      <c r="G33" s="2">
        <v>3.5000000000000001E-3</v>
      </c>
    </row>
    <row r="34" spans="1:7" x14ac:dyDescent="0.4">
      <c r="A34" s="1">
        <v>45338</v>
      </c>
      <c r="B34">
        <v>76.91</v>
      </c>
      <c r="C34">
        <v>76.930000000000007</v>
      </c>
      <c r="D34">
        <v>77.010000000000005</v>
      </c>
      <c r="E34">
        <v>76.819999999999993</v>
      </c>
      <c r="F34" t="s">
        <v>38</v>
      </c>
      <c r="G34" s="2">
        <v>-3.0000000000000001E-3</v>
      </c>
    </row>
    <row r="35" spans="1:7" x14ac:dyDescent="0.4">
      <c r="A35" s="1">
        <v>45342</v>
      </c>
      <c r="B35">
        <v>77.069999999999993</v>
      </c>
      <c r="C35">
        <v>76.89</v>
      </c>
      <c r="D35">
        <v>77.13</v>
      </c>
      <c r="E35">
        <v>76.819999999999993</v>
      </c>
      <c r="F35" t="s">
        <v>39</v>
      </c>
      <c r="G35" s="2">
        <v>2.0999999999999999E-3</v>
      </c>
    </row>
    <row r="36" spans="1:7" x14ac:dyDescent="0.4">
      <c r="A36" s="1">
        <v>45343</v>
      </c>
      <c r="B36">
        <v>76.930000000000007</v>
      </c>
      <c r="C36">
        <v>77.06</v>
      </c>
      <c r="D36">
        <v>77.12</v>
      </c>
      <c r="E36">
        <v>76.819999999999993</v>
      </c>
      <c r="F36" t="s">
        <v>40</v>
      </c>
      <c r="G36" s="2">
        <v>-1.8E-3</v>
      </c>
    </row>
    <row r="37" spans="1:7" x14ac:dyDescent="0.4">
      <c r="A37" s="1">
        <v>45344</v>
      </c>
      <c r="B37">
        <v>77.3</v>
      </c>
      <c r="C37">
        <v>77.150000000000006</v>
      </c>
      <c r="D37">
        <v>77.31</v>
      </c>
      <c r="E37">
        <v>77.099999999999994</v>
      </c>
      <c r="F37" t="s">
        <v>41</v>
      </c>
      <c r="G37" s="2">
        <v>4.7999999999999996E-3</v>
      </c>
    </row>
    <row r="38" spans="1:7" x14ac:dyDescent="0.4">
      <c r="A38" s="1">
        <v>45345</v>
      </c>
      <c r="B38">
        <v>77.349999999999994</v>
      </c>
      <c r="C38">
        <v>77.37</v>
      </c>
      <c r="D38">
        <v>77.459999999999994</v>
      </c>
      <c r="E38">
        <v>77.290000000000006</v>
      </c>
      <c r="F38" t="s">
        <v>42</v>
      </c>
      <c r="G38" s="2">
        <v>5.9999999999999995E-4</v>
      </c>
    </row>
    <row r="39" spans="1:7" x14ac:dyDescent="0.4">
      <c r="A39" s="1">
        <v>45348</v>
      </c>
      <c r="B39">
        <v>77.099999999999994</v>
      </c>
      <c r="C39">
        <v>77.319999999999993</v>
      </c>
      <c r="D39">
        <v>77.349999999999994</v>
      </c>
      <c r="E39">
        <v>77.069999999999993</v>
      </c>
      <c r="F39" t="s">
        <v>43</v>
      </c>
      <c r="G39" s="2">
        <v>-3.2000000000000002E-3</v>
      </c>
    </row>
    <row r="40" spans="1:7" x14ac:dyDescent="0.4">
      <c r="A40" s="1">
        <v>45349</v>
      </c>
      <c r="B40">
        <v>77.2</v>
      </c>
      <c r="C40">
        <v>77.150000000000006</v>
      </c>
      <c r="D40">
        <v>77.2</v>
      </c>
      <c r="E40">
        <v>77.05</v>
      </c>
      <c r="F40" t="s">
        <v>44</v>
      </c>
      <c r="G40" s="2">
        <v>1.2999999999999999E-3</v>
      </c>
    </row>
    <row r="41" spans="1:7" x14ac:dyDescent="0.4">
      <c r="A41" s="1">
        <v>45350</v>
      </c>
      <c r="B41">
        <v>77.19</v>
      </c>
      <c r="C41">
        <v>77.150000000000006</v>
      </c>
      <c r="D41">
        <v>77.28</v>
      </c>
      <c r="E41">
        <v>77.099999999999994</v>
      </c>
      <c r="F41" t="s">
        <v>45</v>
      </c>
      <c r="G41" s="2">
        <v>-1E-4</v>
      </c>
    </row>
    <row r="42" spans="1:7" x14ac:dyDescent="0.4">
      <c r="A42" s="1">
        <v>45351</v>
      </c>
      <c r="B42">
        <v>77.33</v>
      </c>
      <c r="C42">
        <v>77.3</v>
      </c>
      <c r="D42">
        <v>77.47</v>
      </c>
      <c r="E42">
        <v>77.239999999999995</v>
      </c>
      <c r="F42" t="s">
        <v>46</v>
      </c>
      <c r="G42" s="2">
        <v>1.8E-3</v>
      </c>
    </row>
    <row r="43" spans="1:7" x14ac:dyDescent="0.4">
      <c r="A43" s="1">
        <v>45352</v>
      </c>
      <c r="B43">
        <v>77.180000000000007</v>
      </c>
      <c r="C43">
        <v>76.930000000000007</v>
      </c>
      <c r="D43">
        <v>77.209999999999994</v>
      </c>
      <c r="E43">
        <v>76.78</v>
      </c>
      <c r="F43" t="s">
        <v>47</v>
      </c>
      <c r="G43" s="2">
        <v>-1.9E-3</v>
      </c>
    </row>
    <row r="44" spans="1:7" x14ac:dyDescent="0.4">
      <c r="A44" s="1">
        <v>45355</v>
      </c>
      <c r="B44">
        <v>77.16</v>
      </c>
      <c r="C44">
        <v>77.12</v>
      </c>
      <c r="D44">
        <v>77.23</v>
      </c>
      <c r="E44">
        <v>77.03</v>
      </c>
      <c r="F44" t="s">
        <v>48</v>
      </c>
      <c r="G44" s="2">
        <v>-2.9999999999999997E-4</v>
      </c>
    </row>
    <row r="45" spans="1:7" x14ac:dyDescent="0.4">
      <c r="A45" s="1">
        <v>45356</v>
      </c>
      <c r="B45">
        <v>77.099999999999994</v>
      </c>
      <c r="C45">
        <v>77.16</v>
      </c>
      <c r="D45">
        <v>77.349999999999994</v>
      </c>
      <c r="E45">
        <v>77.06</v>
      </c>
      <c r="F45" t="s">
        <v>49</v>
      </c>
      <c r="G45" s="2">
        <v>-8.0000000000000004E-4</v>
      </c>
    </row>
    <row r="46" spans="1:7" x14ac:dyDescent="0.4">
      <c r="A46" s="1">
        <v>45357</v>
      </c>
      <c r="B46">
        <v>77.290000000000006</v>
      </c>
      <c r="C46">
        <v>77.3</v>
      </c>
      <c r="D46">
        <v>77.41</v>
      </c>
      <c r="E46">
        <v>77.180000000000007</v>
      </c>
      <c r="F46" t="s">
        <v>50</v>
      </c>
      <c r="G46" s="2">
        <v>2.5000000000000001E-3</v>
      </c>
    </row>
    <row r="47" spans="1:7" x14ac:dyDescent="0.4">
      <c r="A47" s="1">
        <v>45358</v>
      </c>
      <c r="B47">
        <v>77.38</v>
      </c>
      <c r="C47">
        <v>77.489999999999995</v>
      </c>
      <c r="D47">
        <v>77.510000000000005</v>
      </c>
      <c r="E47">
        <v>77.319999999999993</v>
      </c>
      <c r="F47" t="s">
        <v>51</v>
      </c>
      <c r="G47" s="2">
        <v>1.1999999999999999E-3</v>
      </c>
    </row>
    <row r="48" spans="1:7" x14ac:dyDescent="0.4">
      <c r="A48" s="1">
        <v>45359</v>
      </c>
      <c r="B48">
        <v>77.400000000000006</v>
      </c>
      <c r="C48">
        <v>77.489999999999995</v>
      </c>
      <c r="D48">
        <v>77.73</v>
      </c>
      <c r="E48">
        <v>77.39</v>
      </c>
      <c r="F48" t="s">
        <v>52</v>
      </c>
      <c r="G48" s="2">
        <v>2.9999999999999997E-4</v>
      </c>
    </row>
    <row r="49" spans="1:7" x14ac:dyDescent="0.4">
      <c r="A49" s="1">
        <v>45362</v>
      </c>
      <c r="B49">
        <v>77.39</v>
      </c>
      <c r="C49">
        <v>77.34</v>
      </c>
      <c r="D49">
        <v>77.430000000000007</v>
      </c>
      <c r="E49">
        <v>77.3</v>
      </c>
      <c r="F49" t="s">
        <v>53</v>
      </c>
      <c r="G49" s="2">
        <v>-1E-4</v>
      </c>
    </row>
    <row r="50" spans="1:7" x14ac:dyDescent="0.4">
      <c r="A50" s="1">
        <v>45363</v>
      </c>
      <c r="B50">
        <v>77.459999999999994</v>
      </c>
      <c r="C50">
        <v>77.510000000000005</v>
      </c>
      <c r="D50">
        <v>77.510000000000005</v>
      </c>
      <c r="E50">
        <v>77.260000000000005</v>
      </c>
      <c r="F50" t="s">
        <v>54</v>
      </c>
      <c r="G50" s="2">
        <v>8.9999999999999998E-4</v>
      </c>
    </row>
    <row r="51" spans="1:7" x14ac:dyDescent="0.4">
      <c r="A51" s="1">
        <v>45364</v>
      </c>
      <c r="B51">
        <v>77.489999999999995</v>
      </c>
      <c r="C51">
        <v>77.400000000000006</v>
      </c>
      <c r="D51">
        <v>77.680000000000007</v>
      </c>
      <c r="E51">
        <v>77.400000000000006</v>
      </c>
      <c r="F51" t="s">
        <v>55</v>
      </c>
      <c r="G51" s="2">
        <v>4.0000000000000002E-4</v>
      </c>
    </row>
    <row r="52" spans="1:7" x14ac:dyDescent="0.4">
      <c r="A52" s="1">
        <v>45365</v>
      </c>
      <c r="B52">
        <v>77.12</v>
      </c>
      <c r="C52">
        <v>77.47</v>
      </c>
      <c r="D52">
        <v>77.510000000000005</v>
      </c>
      <c r="E52">
        <v>77.03</v>
      </c>
      <c r="F52" t="s">
        <v>56</v>
      </c>
      <c r="G52" s="2">
        <v>-4.7999999999999996E-3</v>
      </c>
    </row>
    <row r="53" spans="1:7" x14ac:dyDescent="0.4">
      <c r="A53" s="1">
        <v>45366</v>
      </c>
      <c r="B53">
        <v>77.069999999999993</v>
      </c>
      <c r="C53">
        <v>77.08</v>
      </c>
      <c r="D53">
        <v>77.239999999999995</v>
      </c>
      <c r="E53">
        <v>76.959999999999994</v>
      </c>
      <c r="F53" t="s">
        <v>57</v>
      </c>
      <c r="G53" s="2">
        <v>-5.9999999999999995E-4</v>
      </c>
    </row>
    <row r="54" spans="1:7" x14ac:dyDescent="0.4">
      <c r="A54" s="1">
        <v>45369</v>
      </c>
      <c r="B54">
        <v>77.25</v>
      </c>
      <c r="C54">
        <v>77.27</v>
      </c>
      <c r="D54">
        <v>77.319999999999993</v>
      </c>
      <c r="E54">
        <v>77.180000000000007</v>
      </c>
      <c r="F54" t="s">
        <v>58</v>
      </c>
      <c r="G54" s="2">
        <v>2.3E-3</v>
      </c>
    </row>
    <row r="55" spans="1:7" x14ac:dyDescent="0.4">
      <c r="A55" s="1">
        <v>45370</v>
      </c>
      <c r="B55">
        <v>77.56</v>
      </c>
      <c r="C55">
        <v>77.23</v>
      </c>
      <c r="D55">
        <v>77.58</v>
      </c>
      <c r="E55">
        <v>77.22</v>
      </c>
      <c r="F55" t="s">
        <v>59</v>
      </c>
      <c r="G55" s="2">
        <v>4.0000000000000001E-3</v>
      </c>
    </row>
    <row r="56" spans="1:7" x14ac:dyDescent="0.4">
      <c r="A56" s="1">
        <v>45371</v>
      </c>
      <c r="B56">
        <v>77.819999999999993</v>
      </c>
      <c r="C56">
        <v>77.540000000000006</v>
      </c>
      <c r="D56">
        <v>77.849999999999994</v>
      </c>
      <c r="E56">
        <v>77.47</v>
      </c>
      <c r="F56" t="s">
        <v>60</v>
      </c>
      <c r="G56" s="2">
        <v>3.3999999999999998E-3</v>
      </c>
    </row>
    <row r="57" spans="1:7" x14ac:dyDescent="0.4">
      <c r="A57" s="1">
        <v>45372</v>
      </c>
      <c r="B57">
        <v>77.78</v>
      </c>
      <c r="C57">
        <v>77.95</v>
      </c>
      <c r="D57">
        <v>77.959999999999994</v>
      </c>
      <c r="E57">
        <v>77.680000000000007</v>
      </c>
      <c r="F57" t="s">
        <v>61</v>
      </c>
      <c r="G57" s="2">
        <v>-5.0000000000000001E-4</v>
      </c>
    </row>
    <row r="58" spans="1:7" x14ac:dyDescent="0.4">
      <c r="A58" s="1">
        <v>45373</v>
      </c>
      <c r="B58">
        <v>77.7</v>
      </c>
      <c r="C58">
        <v>77.81</v>
      </c>
      <c r="D58">
        <v>77.89</v>
      </c>
      <c r="E58">
        <v>77.66</v>
      </c>
      <c r="F58" t="s">
        <v>62</v>
      </c>
      <c r="G58" s="2">
        <v>-1E-3</v>
      </c>
    </row>
    <row r="59" spans="1:7" x14ac:dyDescent="0.4">
      <c r="A59" s="1">
        <v>45376</v>
      </c>
      <c r="B59">
        <v>77.58</v>
      </c>
      <c r="C59">
        <v>77.56</v>
      </c>
      <c r="D59">
        <v>77.67</v>
      </c>
      <c r="E59">
        <v>77.540000000000006</v>
      </c>
      <c r="F59" t="s">
        <v>63</v>
      </c>
      <c r="G59" s="2">
        <v>-1.5E-3</v>
      </c>
    </row>
    <row r="60" spans="1:7" x14ac:dyDescent="0.4">
      <c r="A60" s="1">
        <v>45377</v>
      </c>
      <c r="B60">
        <v>77.489999999999995</v>
      </c>
      <c r="C60">
        <v>77.67</v>
      </c>
      <c r="D60">
        <v>77.680000000000007</v>
      </c>
      <c r="E60">
        <v>77.47</v>
      </c>
      <c r="F60" t="s">
        <v>64</v>
      </c>
      <c r="G60" s="2">
        <v>-1.1999999999999999E-3</v>
      </c>
    </row>
    <row r="61" spans="1:7" x14ac:dyDescent="0.4">
      <c r="A61" s="1">
        <v>45378</v>
      </c>
      <c r="B61">
        <v>77.900000000000006</v>
      </c>
      <c r="C61">
        <v>77.680000000000007</v>
      </c>
      <c r="D61">
        <v>77.900000000000006</v>
      </c>
      <c r="E61">
        <v>77.599999999999994</v>
      </c>
      <c r="F61" t="s">
        <v>65</v>
      </c>
      <c r="G61" s="2">
        <v>5.3E-3</v>
      </c>
    </row>
    <row r="62" spans="1:7" x14ac:dyDescent="0.4">
      <c r="A62" s="1">
        <v>45379</v>
      </c>
      <c r="B62">
        <v>77.73</v>
      </c>
      <c r="C62">
        <v>77.8</v>
      </c>
      <c r="D62">
        <v>77.92</v>
      </c>
      <c r="E62">
        <v>77.72</v>
      </c>
      <c r="F62" t="s">
        <v>66</v>
      </c>
      <c r="G62" s="2">
        <v>-2.2000000000000001E-3</v>
      </c>
    </row>
    <row r="63" spans="1:7" x14ac:dyDescent="0.4">
      <c r="A63" s="1">
        <v>45383</v>
      </c>
      <c r="B63">
        <v>77.02</v>
      </c>
      <c r="C63">
        <v>77.349999999999994</v>
      </c>
      <c r="D63">
        <v>77.349999999999994</v>
      </c>
      <c r="E63">
        <v>76.989999999999995</v>
      </c>
      <c r="F63" t="s">
        <v>67</v>
      </c>
      <c r="G63" s="2">
        <v>-9.1000000000000004E-3</v>
      </c>
    </row>
    <row r="64" spans="1:7" x14ac:dyDescent="0.4">
      <c r="A64" s="1">
        <v>45384</v>
      </c>
      <c r="B64">
        <v>76.89</v>
      </c>
      <c r="C64">
        <v>76.760000000000005</v>
      </c>
      <c r="D64">
        <v>76.91</v>
      </c>
      <c r="E64">
        <v>76.72</v>
      </c>
      <c r="F64" t="s">
        <v>68</v>
      </c>
      <c r="G64" s="2">
        <v>-1.6999999999999999E-3</v>
      </c>
    </row>
    <row r="65" spans="1:7" x14ac:dyDescent="0.4">
      <c r="A65" s="1">
        <v>45385</v>
      </c>
      <c r="B65">
        <v>76.95</v>
      </c>
      <c r="C65">
        <v>76.78</v>
      </c>
      <c r="D65">
        <v>76.989999999999995</v>
      </c>
      <c r="E65">
        <v>76.709999999999994</v>
      </c>
      <c r="F65" t="s">
        <v>69</v>
      </c>
      <c r="G65" s="2">
        <v>8.0000000000000004E-4</v>
      </c>
    </row>
    <row r="66" spans="1:7" x14ac:dyDescent="0.4">
      <c r="A66" s="1">
        <v>45386</v>
      </c>
      <c r="B66">
        <v>76.89</v>
      </c>
      <c r="C66">
        <v>77.11</v>
      </c>
      <c r="D66">
        <v>77.22</v>
      </c>
      <c r="E66">
        <v>76.78</v>
      </c>
      <c r="F66" t="s">
        <v>70</v>
      </c>
      <c r="G66" s="2">
        <v>-8.0000000000000004E-4</v>
      </c>
    </row>
    <row r="67" spans="1:7" x14ac:dyDescent="0.4">
      <c r="A67" s="1">
        <v>45387</v>
      </c>
      <c r="B67">
        <v>76.819999999999993</v>
      </c>
      <c r="C67">
        <v>76.83</v>
      </c>
      <c r="D67">
        <v>76.930000000000007</v>
      </c>
      <c r="E67">
        <v>76.790000000000006</v>
      </c>
      <c r="F67" t="s">
        <v>71</v>
      </c>
      <c r="G67" s="2">
        <v>-8.9999999999999998E-4</v>
      </c>
    </row>
    <row r="68" spans="1:7" x14ac:dyDescent="0.4">
      <c r="A68" s="1">
        <v>45390</v>
      </c>
      <c r="B68">
        <v>77</v>
      </c>
      <c r="C68">
        <v>76.83</v>
      </c>
      <c r="D68">
        <v>77.040000000000006</v>
      </c>
      <c r="E68">
        <v>76.78</v>
      </c>
      <c r="F68" t="s">
        <v>72</v>
      </c>
      <c r="G68" s="2">
        <v>2.3E-3</v>
      </c>
    </row>
    <row r="69" spans="1:7" x14ac:dyDescent="0.4">
      <c r="A69" s="1">
        <v>45391</v>
      </c>
      <c r="B69">
        <v>77.16</v>
      </c>
      <c r="C69">
        <v>77.12</v>
      </c>
      <c r="D69">
        <v>77.23</v>
      </c>
      <c r="E69">
        <v>77.02</v>
      </c>
      <c r="F69" t="s">
        <v>73</v>
      </c>
      <c r="G69" s="2">
        <v>2.0999999999999999E-3</v>
      </c>
    </row>
    <row r="70" spans="1:7" x14ac:dyDescent="0.4">
      <c r="A70" s="1">
        <v>45392</v>
      </c>
      <c r="B70">
        <v>76.48</v>
      </c>
      <c r="C70">
        <v>76.650000000000006</v>
      </c>
      <c r="D70">
        <v>76.760000000000005</v>
      </c>
      <c r="E70">
        <v>76.3</v>
      </c>
      <c r="F70" t="s">
        <v>74</v>
      </c>
      <c r="G70" s="2">
        <v>-8.8000000000000005E-3</v>
      </c>
    </row>
    <row r="71" spans="1:7" x14ac:dyDescent="0.4">
      <c r="A71" s="1">
        <v>45393</v>
      </c>
      <c r="B71">
        <v>76.41</v>
      </c>
      <c r="C71">
        <v>76.510000000000005</v>
      </c>
      <c r="D71">
        <v>76.56</v>
      </c>
      <c r="E71">
        <v>76.209999999999994</v>
      </c>
      <c r="F71" t="s">
        <v>75</v>
      </c>
      <c r="G71" s="2">
        <v>-8.9999999999999998E-4</v>
      </c>
    </row>
    <row r="72" spans="1:7" x14ac:dyDescent="0.4">
      <c r="A72" s="1">
        <v>45394</v>
      </c>
      <c r="B72">
        <v>76.37</v>
      </c>
      <c r="C72">
        <v>76.38</v>
      </c>
      <c r="D72">
        <v>76.42</v>
      </c>
      <c r="E72">
        <v>76.25</v>
      </c>
      <c r="F72" t="s">
        <v>76</v>
      </c>
      <c r="G72" s="2">
        <v>-5.0000000000000001E-4</v>
      </c>
    </row>
    <row r="73" spans="1:7" x14ac:dyDescent="0.4">
      <c r="A73" s="1">
        <v>45397</v>
      </c>
      <c r="B73">
        <v>75.930000000000007</v>
      </c>
      <c r="C73">
        <v>76.45</v>
      </c>
      <c r="D73">
        <v>76.45</v>
      </c>
      <c r="E73">
        <v>75.84</v>
      </c>
      <c r="F73" t="s">
        <v>77</v>
      </c>
      <c r="G73" s="2">
        <v>-5.7999999999999996E-3</v>
      </c>
    </row>
    <row r="74" spans="1:7" x14ac:dyDescent="0.4">
      <c r="A74" s="1">
        <v>45398</v>
      </c>
      <c r="B74">
        <v>75.680000000000007</v>
      </c>
      <c r="C74">
        <v>75.91</v>
      </c>
      <c r="D74">
        <v>75.91</v>
      </c>
      <c r="E74">
        <v>75.59</v>
      </c>
      <c r="F74" t="s">
        <v>78</v>
      </c>
      <c r="G74" s="2">
        <v>-3.3E-3</v>
      </c>
    </row>
    <row r="75" spans="1:7" x14ac:dyDescent="0.4">
      <c r="A75" s="1">
        <v>45399</v>
      </c>
      <c r="B75">
        <v>75.78</v>
      </c>
      <c r="C75">
        <v>75.89</v>
      </c>
      <c r="D75">
        <v>76.040000000000006</v>
      </c>
      <c r="E75">
        <v>75.709999999999994</v>
      </c>
      <c r="F75" t="s">
        <v>79</v>
      </c>
      <c r="G75" s="2">
        <v>1.2999999999999999E-3</v>
      </c>
    </row>
    <row r="76" spans="1:7" x14ac:dyDescent="0.4">
      <c r="A76" s="1">
        <v>45400</v>
      </c>
      <c r="B76">
        <v>75.84</v>
      </c>
      <c r="C76">
        <v>75.78</v>
      </c>
      <c r="D76">
        <v>75.89</v>
      </c>
      <c r="E76">
        <v>75.64</v>
      </c>
      <c r="F76" t="s">
        <v>80</v>
      </c>
      <c r="G76" s="2">
        <v>8.0000000000000004E-4</v>
      </c>
    </row>
    <row r="77" spans="1:7" x14ac:dyDescent="0.4">
      <c r="A77" s="1">
        <v>45401</v>
      </c>
      <c r="B77">
        <v>75.98</v>
      </c>
      <c r="C77">
        <v>75.91</v>
      </c>
      <c r="D77">
        <v>76.08</v>
      </c>
      <c r="E77">
        <v>75.900000000000006</v>
      </c>
      <c r="F77" t="s">
        <v>81</v>
      </c>
      <c r="G77" s="2">
        <v>1.8E-3</v>
      </c>
    </row>
    <row r="78" spans="1:7" x14ac:dyDescent="0.4">
      <c r="A78" s="1">
        <v>45404</v>
      </c>
      <c r="B78">
        <v>76.400000000000006</v>
      </c>
      <c r="C78">
        <v>76.14</v>
      </c>
      <c r="D78">
        <v>76.430000000000007</v>
      </c>
      <c r="E78">
        <v>76.11</v>
      </c>
      <c r="F78" t="s">
        <v>82</v>
      </c>
      <c r="G78" s="2">
        <v>5.4999999999999997E-3</v>
      </c>
    </row>
    <row r="79" spans="1:7" x14ac:dyDescent="0.4">
      <c r="A79" s="1">
        <v>45405</v>
      </c>
      <c r="B79">
        <v>76.709999999999994</v>
      </c>
      <c r="C79">
        <v>76.47</v>
      </c>
      <c r="D79">
        <v>76.760000000000005</v>
      </c>
      <c r="E79">
        <v>76.38</v>
      </c>
      <c r="F79" t="s">
        <v>83</v>
      </c>
      <c r="G79" s="2">
        <v>4.1000000000000003E-3</v>
      </c>
    </row>
    <row r="80" spans="1:7" x14ac:dyDescent="0.4">
      <c r="A80" s="1">
        <v>45406</v>
      </c>
      <c r="B80">
        <v>76.540000000000006</v>
      </c>
      <c r="C80">
        <v>76.67</v>
      </c>
      <c r="D80">
        <v>76.7</v>
      </c>
      <c r="E80">
        <v>76.37</v>
      </c>
      <c r="F80" t="s">
        <v>84</v>
      </c>
      <c r="G80" s="2">
        <v>-2.2000000000000001E-3</v>
      </c>
    </row>
    <row r="81" spans="1:7" x14ac:dyDescent="0.4">
      <c r="A81" s="1">
        <v>45407</v>
      </c>
      <c r="B81">
        <v>76.38</v>
      </c>
      <c r="C81">
        <v>76.08</v>
      </c>
      <c r="D81">
        <v>76.400000000000006</v>
      </c>
      <c r="E81">
        <v>75.91</v>
      </c>
      <c r="F81" t="s">
        <v>85</v>
      </c>
      <c r="G81" s="2">
        <v>-2.0999999999999999E-3</v>
      </c>
    </row>
    <row r="82" spans="1:7" x14ac:dyDescent="0.4">
      <c r="A82" s="1">
        <v>45408</v>
      </c>
      <c r="B82">
        <v>76.62</v>
      </c>
      <c r="C82">
        <v>76.37</v>
      </c>
      <c r="D82">
        <v>76.66</v>
      </c>
      <c r="E82">
        <v>76.37</v>
      </c>
      <c r="F82" t="s">
        <v>86</v>
      </c>
      <c r="G82" s="2">
        <v>3.0999999999999999E-3</v>
      </c>
    </row>
    <row r="83" spans="1:7" x14ac:dyDescent="0.4">
      <c r="A83" s="1">
        <v>45411</v>
      </c>
      <c r="B83">
        <v>76.849999999999994</v>
      </c>
      <c r="C83">
        <v>76.72</v>
      </c>
      <c r="D83">
        <v>76.849999999999994</v>
      </c>
      <c r="E83">
        <v>76.67</v>
      </c>
      <c r="F83" t="s">
        <v>87</v>
      </c>
      <c r="G83" s="2">
        <v>3.0000000000000001E-3</v>
      </c>
    </row>
    <row r="84" spans="1:7" x14ac:dyDescent="0.4">
      <c r="A84" s="1">
        <v>45412</v>
      </c>
      <c r="B84">
        <v>76.290000000000006</v>
      </c>
      <c r="C84">
        <v>76.599999999999994</v>
      </c>
      <c r="D84">
        <v>76.760000000000005</v>
      </c>
      <c r="E84">
        <v>76.290000000000006</v>
      </c>
      <c r="F84" t="s">
        <v>88</v>
      </c>
      <c r="G84" s="2">
        <v>-7.3000000000000001E-3</v>
      </c>
    </row>
    <row r="85" spans="1:7" x14ac:dyDescent="0.4">
      <c r="A85" s="1">
        <v>45413</v>
      </c>
      <c r="B85">
        <v>76.290000000000006</v>
      </c>
      <c r="C85">
        <v>75.95</v>
      </c>
      <c r="D85">
        <v>76.63</v>
      </c>
      <c r="E85">
        <v>75.930000000000007</v>
      </c>
      <c r="F85" t="s">
        <v>89</v>
      </c>
      <c r="G85" s="2">
        <v>0</v>
      </c>
    </row>
    <row r="86" spans="1:7" x14ac:dyDescent="0.4">
      <c r="A86" s="1">
        <v>45414</v>
      </c>
      <c r="B86">
        <v>76.760000000000005</v>
      </c>
      <c r="C86">
        <v>76.48</v>
      </c>
      <c r="D86">
        <v>76.78</v>
      </c>
      <c r="E86">
        <v>76.33</v>
      </c>
      <c r="F86" t="s">
        <v>90</v>
      </c>
      <c r="G86" s="2">
        <v>6.1999999999999998E-3</v>
      </c>
    </row>
    <row r="87" spans="1:7" x14ac:dyDescent="0.4">
      <c r="A87" s="1">
        <v>45415</v>
      </c>
      <c r="B87">
        <v>77.08</v>
      </c>
      <c r="C87">
        <v>77.150000000000006</v>
      </c>
      <c r="D87">
        <v>77.39</v>
      </c>
      <c r="E87">
        <v>76.94</v>
      </c>
      <c r="F87" t="s">
        <v>91</v>
      </c>
      <c r="G87" s="2">
        <v>4.1999999999999997E-3</v>
      </c>
    </row>
    <row r="88" spans="1:7" x14ac:dyDescent="0.4">
      <c r="A88" s="1">
        <v>45418</v>
      </c>
      <c r="B88">
        <v>77.17</v>
      </c>
      <c r="C88">
        <v>77.17</v>
      </c>
      <c r="D88">
        <v>77.23</v>
      </c>
      <c r="E88">
        <v>77.12</v>
      </c>
      <c r="F88" t="s">
        <v>92</v>
      </c>
      <c r="G88" s="2">
        <v>1.1999999999999999E-3</v>
      </c>
    </row>
    <row r="89" spans="1:7" x14ac:dyDescent="0.4">
      <c r="A89" s="1">
        <v>45419</v>
      </c>
      <c r="B89">
        <v>77.180000000000007</v>
      </c>
      <c r="C89">
        <v>77.260000000000005</v>
      </c>
      <c r="D89">
        <v>77.28</v>
      </c>
      <c r="E89">
        <v>77.03</v>
      </c>
      <c r="F89" t="s">
        <v>93</v>
      </c>
      <c r="G89" s="2">
        <v>1E-4</v>
      </c>
    </row>
    <row r="90" spans="1:7" x14ac:dyDescent="0.4">
      <c r="A90" s="1">
        <v>45420</v>
      </c>
      <c r="B90">
        <v>77</v>
      </c>
      <c r="C90">
        <v>76.989999999999995</v>
      </c>
      <c r="D90">
        <v>77.06</v>
      </c>
      <c r="E90">
        <v>76.95</v>
      </c>
      <c r="F90" t="s">
        <v>94</v>
      </c>
      <c r="G90" s="2">
        <v>-2.3E-3</v>
      </c>
    </row>
    <row r="91" spans="1:7" x14ac:dyDescent="0.4">
      <c r="A91" s="1">
        <v>45421</v>
      </c>
      <c r="B91">
        <v>77.02</v>
      </c>
      <c r="C91">
        <v>76.959999999999994</v>
      </c>
      <c r="D91">
        <v>77.06</v>
      </c>
      <c r="E91">
        <v>76.86</v>
      </c>
      <c r="F91" t="s">
        <v>95</v>
      </c>
      <c r="G91" s="2">
        <v>2.9999999999999997E-4</v>
      </c>
    </row>
    <row r="92" spans="1:7" x14ac:dyDescent="0.4">
      <c r="A92" s="1">
        <v>45422</v>
      </c>
      <c r="B92">
        <v>76.900000000000006</v>
      </c>
      <c r="C92">
        <v>77.010000000000005</v>
      </c>
      <c r="D92">
        <v>77.03</v>
      </c>
      <c r="E92">
        <v>76.81</v>
      </c>
      <c r="F92" t="s">
        <v>96</v>
      </c>
      <c r="G92" s="2">
        <v>-1.6000000000000001E-3</v>
      </c>
    </row>
    <row r="93" spans="1:7" x14ac:dyDescent="0.4">
      <c r="A93" s="1">
        <v>45425</v>
      </c>
      <c r="B93">
        <v>76.88</v>
      </c>
      <c r="C93">
        <v>77.06</v>
      </c>
      <c r="D93">
        <v>77.06</v>
      </c>
      <c r="E93">
        <v>76.849999999999994</v>
      </c>
      <c r="F93" t="s">
        <v>97</v>
      </c>
      <c r="G93" s="2">
        <v>-2.9999999999999997E-4</v>
      </c>
    </row>
    <row r="94" spans="1:7" x14ac:dyDescent="0.4">
      <c r="A94" s="1">
        <v>45426</v>
      </c>
      <c r="B94">
        <v>77</v>
      </c>
      <c r="C94">
        <v>76.92</v>
      </c>
      <c r="D94">
        <v>77.03</v>
      </c>
      <c r="E94">
        <v>76.900000000000006</v>
      </c>
      <c r="F94" t="s">
        <v>98</v>
      </c>
      <c r="G94" s="2">
        <v>1.6000000000000001E-3</v>
      </c>
    </row>
    <row r="95" spans="1:7" x14ac:dyDescent="0.4">
      <c r="A95" s="1">
        <v>45427</v>
      </c>
      <c r="B95">
        <v>77.45</v>
      </c>
      <c r="C95">
        <v>77.25</v>
      </c>
      <c r="D95">
        <v>77.459999999999994</v>
      </c>
      <c r="E95">
        <v>77.19</v>
      </c>
      <c r="F95" t="s">
        <v>99</v>
      </c>
      <c r="G95" s="2">
        <v>5.7999999999999996E-3</v>
      </c>
    </row>
    <row r="96" spans="1:7" x14ac:dyDescent="0.4">
      <c r="A96" s="1">
        <v>45428</v>
      </c>
      <c r="B96">
        <v>77.27</v>
      </c>
      <c r="C96">
        <v>77.459999999999994</v>
      </c>
      <c r="D96">
        <v>77.459999999999994</v>
      </c>
      <c r="E96">
        <v>77.260000000000005</v>
      </c>
      <c r="F96" t="s">
        <v>100</v>
      </c>
      <c r="G96" s="2">
        <v>-2.3E-3</v>
      </c>
    </row>
    <row r="97" spans="1:7" x14ac:dyDescent="0.4">
      <c r="A97" s="1">
        <v>45429</v>
      </c>
      <c r="B97">
        <v>77.28</v>
      </c>
      <c r="C97">
        <v>77.22</v>
      </c>
      <c r="D97">
        <v>77.31</v>
      </c>
      <c r="E97">
        <v>77.16</v>
      </c>
      <c r="F97" t="s">
        <v>66</v>
      </c>
      <c r="G97" s="2">
        <v>1E-4</v>
      </c>
    </row>
    <row r="98" spans="1:7" x14ac:dyDescent="0.4">
      <c r="A98" s="1">
        <v>45432</v>
      </c>
      <c r="B98">
        <v>77.319999999999993</v>
      </c>
      <c r="C98">
        <v>77.23</v>
      </c>
      <c r="D98">
        <v>77.319999999999993</v>
      </c>
      <c r="E98">
        <v>77.2</v>
      </c>
      <c r="F98" t="s">
        <v>101</v>
      </c>
      <c r="G98" s="2">
        <v>5.0000000000000001E-4</v>
      </c>
    </row>
    <row r="99" spans="1:7" x14ac:dyDescent="0.4">
      <c r="A99" s="1">
        <v>45433</v>
      </c>
      <c r="B99">
        <v>77.260000000000005</v>
      </c>
      <c r="C99">
        <v>77.27</v>
      </c>
      <c r="D99">
        <v>77.400000000000006</v>
      </c>
      <c r="E99">
        <v>77.25</v>
      </c>
      <c r="F99" t="s">
        <v>102</v>
      </c>
      <c r="G99" s="2">
        <v>-8.0000000000000004E-4</v>
      </c>
    </row>
    <row r="100" spans="1:7" x14ac:dyDescent="0.4">
      <c r="A100" s="1">
        <v>45434</v>
      </c>
      <c r="B100">
        <v>77.09</v>
      </c>
      <c r="C100">
        <v>77.150000000000006</v>
      </c>
      <c r="D100">
        <v>77.19</v>
      </c>
      <c r="E100">
        <v>77.02</v>
      </c>
      <c r="F100" t="s">
        <v>103</v>
      </c>
      <c r="G100" s="2">
        <v>-2.2000000000000001E-3</v>
      </c>
    </row>
    <row r="101" spans="1:7" x14ac:dyDescent="0.4">
      <c r="A101" s="1">
        <v>45435</v>
      </c>
      <c r="B101">
        <v>76.819999999999993</v>
      </c>
      <c r="C101">
        <v>77.17</v>
      </c>
      <c r="D101">
        <v>77.22</v>
      </c>
      <c r="E101">
        <v>76.790000000000006</v>
      </c>
      <c r="F101" t="s">
        <v>104</v>
      </c>
      <c r="G101" s="2">
        <v>-3.5000000000000001E-3</v>
      </c>
    </row>
    <row r="102" spans="1:7" x14ac:dyDescent="0.4">
      <c r="A102" s="1">
        <v>45436</v>
      </c>
      <c r="B102">
        <v>77.09</v>
      </c>
      <c r="C102">
        <v>76.94</v>
      </c>
      <c r="D102">
        <v>77.11</v>
      </c>
      <c r="E102">
        <v>76.84</v>
      </c>
      <c r="F102" t="s">
        <v>105</v>
      </c>
      <c r="G102" s="2">
        <v>3.5000000000000001E-3</v>
      </c>
    </row>
    <row r="103" spans="1:7" x14ac:dyDescent="0.4">
      <c r="A103" s="1">
        <v>45440</v>
      </c>
      <c r="B103">
        <v>76.78</v>
      </c>
      <c r="C103">
        <v>77.17</v>
      </c>
      <c r="D103">
        <v>77.19</v>
      </c>
      <c r="E103">
        <v>76.760000000000005</v>
      </c>
      <c r="F103" t="s">
        <v>106</v>
      </c>
      <c r="G103" s="2">
        <v>-4.0000000000000001E-3</v>
      </c>
    </row>
    <row r="104" spans="1:7" x14ac:dyDescent="0.4">
      <c r="A104" s="1">
        <v>45441</v>
      </c>
      <c r="B104">
        <v>76.55</v>
      </c>
      <c r="C104">
        <v>76.540000000000006</v>
      </c>
      <c r="D104">
        <v>76.650000000000006</v>
      </c>
      <c r="E104">
        <v>76.52</v>
      </c>
      <c r="F104" t="s">
        <v>107</v>
      </c>
      <c r="G104" s="2">
        <v>-3.0000000000000001E-3</v>
      </c>
    </row>
    <row r="105" spans="1:7" x14ac:dyDescent="0.4">
      <c r="A105" s="1">
        <v>45442</v>
      </c>
      <c r="B105">
        <v>76.86</v>
      </c>
      <c r="C105">
        <v>76.63</v>
      </c>
      <c r="D105">
        <v>76.88</v>
      </c>
      <c r="E105">
        <v>76.63</v>
      </c>
      <c r="F105" t="s">
        <v>108</v>
      </c>
      <c r="G105" s="2">
        <v>4.0000000000000001E-3</v>
      </c>
    </row>
    <row r="106" spans="1:7" x14ac:dyDescent="0.4">
      <c r="A106" s="1">
        <v>45443</v>
      </c>
      <c r="B106">
        <v>77.13</v>
      </c>
      <c r="C106">
        <v>76.92</v>
      </c>
      <c r="D106">
        <v>77.150000000000006</v>
      </c>
      <c r="E106">
        <v>76.92</v>
      </c>
      <c r="F106" t="s">
        <v>109</v>
      </c>
      <c r="G106" s="2">
        <v>3.5000000000000001E-3</v>
      </c>
    </row>
    <row r="107" spans="1:7" x14ac:dyDescent="0.4">
      <c r="A107" s="1">
        <v>45446</v>
      </c>
      <c r="B107">
        <v>77.010000000000005</v>
      </c>
      <c r="C107">
        <v>76.87</v>
      </c>
      <c r="D107">
        <v>77.010000000000005</v>
      </c>
      <c r="E107">
        <v>76.84</v>
      </c>
      <c r="F107" t="s">
        <v>110</v>
      </c>
      <c r="G107" s="2">
        <v>-1.6000000000000001E-3</v>
      </c>
    </row>
    <row r="108" spans="1:7" x14ac:dyDescent="0.4">
      <c r="A108" s="1">
        <v>45447</v>
      </c>
      <c r="B108">
        <v>76.97</v>
      </c>
      <c r="C108">
        <v>76.92</v>
      </c>
      <c r="D108">
        <v>77.099999999999994</v>
      </c>
      <c r="E108">
        <v>76.91</v>
      </c>
      <c r="F108" t="s">
        <v>111</v>
      </c>
      <c r="G108" s="2">
        <v>-5.0000000000000001E-4</v>
      </c>
    </row>
    <row r="109" spans="1:7" x14ac:dyDescent="0.4">
      <c r="A109" s="1">
        <v>45448</v>
      </c>
      <c r="B109">
        <v>77.22</v>
      </c>
      <c r="C109">
        <v>77.12</v>
      </c>
      <c r="D109">
        <v>77.22</v>
      </c>
      <c r="E109">
        <v>76.959999999999994</v>
      </c>
      <c r="F109" t="s">
        <v>112</v>
      </c>
      <c r="G109" s="2">
        <v>3.2000000000000002E-3</v>
      </c>
    </row>
    <row r="110" spans="1:7" x14ac:dyDescent="0.4">
      <c r="A110" s="1">
        <v>45449</v>
      </c>
      <c r="B110">
        <v>77.09</v>
      </c>
      <c r="C110">
        <v>77.180000000000007</v>
      </c>
      <c r="D110">
        <v>77.180000000000007</v>
      </c>
      <c r="E110">
        <v>77.040000000000006</v>
      </c>
      <c r="F110" t="s">
        <v>113</v>
      </c>
      <c r="G110" s="2">
        <v>-1.6999999999999999E-3</v>
      </c>
    </row>
    <row r="111" spans="1:7" x14ac:dyDescent="0.4">
      <c r="A111" s="1">
        <v>45450</v>
      </c>
      <c r="B111">
        <v>76.89</v>
      </c>
      <c r="C111">
        <v>76.790000000000006</v>
      </c>
      <c r="D111">
        <v>76.94</v>
      </c>
      <c r="E111">
        <v>76.75</v>
      </c>
      <c r="F111" t="s">
        <v>114</v>
      </c>
      <c r="G111" s="2">
        <v>-2.5999999999999999E-3</v>
      </c>
    </row>
    <row r="112" spans="1:7" x14ac:dyDescent="0.4">
      <c r="A112" s="1">
        <v>45453</v>
      </c>
      <c r="B112">
        <v>76.959999999999994</v>
      </c>
      <c r="C112">
        <v>76.81</v>
      </c>
      <c r="D112">
        <v>76.97</v>
      </c>
      <c r="E112">
        <v>76.760000000000005</v>
      </c>
      <c r="F112" t="s">
        <v>115</v>
      </c>
      <c r="G112" s="2">
        <v>8.9999999999999998E-4</v>
      </c>
    </row>
    <row r="113" spans="1:7" x14ac:dyDescent="0.4">
      <c r="A113" s="1">
        <v>45454</v>
      </c>
      <c r="B113">
        <v>77.06</v>
      </c>
      <c r="C113">
        <v>76.92</v>
      </c>
      <c r="D113">
        <v>77.069999999999993</v>
      </c>
      <c r="E113">
        <v>76.849999999999994</v>
      </c>
      <c r="F113" t="s">
        <v>116</v>
      </c>
      <c r="G113" s="2">
        <v>1.2999999999999999E-3</v>
      </c>
    </row>
    <row r="114" spans="1:7" x14ac:dyDescent="0.4">
      <c r="A114" s="1">
        <v>45455</v>
      </c>
      <c r="B114">
        <v>77.37</v>
      </c>
      <c r="C114">
        <v>77.59</v>
      </c>
      <c r="D114">
        <v>77.64</v>
      </c>
      <c r="E114">
        <v>77.349999999999994</v>
      </c>
      <c r="F114" t="s">
        <v>117</v>
      </c>
      <c r="G114" s="2">
        <v>4.0000000000000001E-3</v>
      </c>
    </row>
    <row r="115" spans="1:7" x14ac:dyDescent="0.4">
      <c r="A115" s="1">
        <v>45456</v>
      </c>
      <c r="B115">
        <v>77.36</v>
      </c>
      <c r="C115">
        <v>77.55</v>
      </c>
      <c r="D115">
        <v>77.55</v>
      </c>
      <c r="E115">
        <v>77.260000000000005</v>
      </c>
      <c r="F115" t="s">
        <v>118</v>
      </c>
      <c r="G115" s="2">
        <v>-1E-4</v>
      </c>
    </row>
    <row r="116" spans="1:7" x14ac:dyDescent="0.4">
      <c r="A116" s="1">
        <v>45457</v>
      </c>
      <c r="B116">
        <v>77.06</v>
      </c>
      <c r="C116">
        <v>77.11</v>
      </c>
      <c r="D116">
        <v>77.180000000000007</v>
      </c>
      <c r="E116">
        <v>76.95</v>
      </c>
      <c r="F116" t="s">
        <v>119</v>
      </c>
      <c r="G116" s="2">
        <v>-3.8999999999999998E-3</v>
      </c>
    </row>
    <row r="117" spans="1:7" x14ac:dyDescent="0.4">
      <c r="A117" s="1">
        <v>45460</v>
      </c>
      <c r="B117">
        <v>77.11</v>
      </c>
      <c r="C117">
        <v>76.94</v>
      </c>
      <c r="D117">
        <v>77.19</v>
      </c>
      <c r="E117">
        <v>76.84</v>
      </c>
      <c r="F117" t="s">
        <v>120</v>
      </c>
      <c r="G117" s="2">
        <v>5.9999999999999995E-4</v>
      </c>
    </row>
    <row r="118" spans="1:7" x14ac:dyDescent="0.4">
      <c r="A118" s="1">
        <v>45461</v>
      </c>
      <c r="B118">
        <v>77.349999999999994</v>
      </c>
      <c r="C118">
        <v>77.2</v>
      </c>
      <c r="D118">
        <v>77.41</v>
      </c>
      <c r="E118">
        <v>77.180000000000007</v>
      </c>
      <c r="F118" t="s">
        <v>121</v>
      </c>
      <c r="G118" s="2">
        <v>3.0999999999999999E-3</v>
      </c>
    </row>
    <row r="119" spans="1:7" x14ac:dyDescent="0.4">
      <c r="A119" s="1">
        <v>45463</v>
      </c>
      <c r="B119">
        <v>77.3</v>
      </c>
      <c r="C119">
        <v>77.319999999999993</v>
      </c>
      <c r="D119">
        <v>77.34</v>
      </c>
      <c r="E119">
        <v>77.14</v>
      </c>
      <c r="F119" t="s">
        <v>122</v>
      </c>
      <c r="G119" s="2">
        <v>-5.9999999999999995E-4</v>
      </c>
    </row>
    <row r="120" spans="1:7" x14ac:dyDescent="0.4">
      <c r="A120" s="1">
        <v>45464</v>
      </c>
      <c r="B120">
        <v>77.39</v>
      </c>
      <c r="C120">
        <v>77.290000000000006</v>
      </c>
      <c r="D120">
        <v>77.41</v>
      </c>
      <c r="E120">
        <v>77.209999999999994</v>
      </c>
      <c r="F120" t="s">
        <v>123</v>
      </c>
      <c r="G120" s="2">
        <v>1.1999999999999999E-3</v>
      </c>
    </row>
    <row r="121" spans="1:7" x14ac:dyDescent="0.4">
      <c r="A121" s="1">
        <v>45467</v>
      </c>
      <c r="B121">
        <v>77.31</v>
      </c>
      <c r="C121">
        <v>77.36</v>
      </c>
      <c r="D121">
        <v>77.510000000000005</v>
      </c>
      <c r="E121">
        <v>77.31</v>
      </c>
      <c r="F121" t="s">
        <v>124</v>
      </c>
      <c r="G121" s="2">
        <v>-1E-3</v>
      </c>
    </row>
    <row r="122" spans="1:7" x14ac:dyDescent="0.4">
      <c r="A122" s="1">
        <v>45468</v>
      </c>
      <c r="B122">
        <v>77.41</v>
      </c>
      <c r="C122">
        <v>77.36</v>
      </c>
      <c r="D122">
        <v>77.42</v>
      </c>
      <c r="E122">
        <v>77.28</v>
      </c>
      <c r="F122" t="s">
        <v>125</v>
      </c>
      <c r="G122" s="2">
        <v>1.2999999999999999E-3</v>
      </c>
    </row>
    <row r="123" spans="1:7" x14ac:dyDescent="0.4">
      <c r="A123" s="1">
        <v>45469</v>
      </c>
      <c r="B123">
        <v>77.239999999999995</v>
      </c>
      <c r="C123">
        <v>77.260000000000005</v>
      </c>
      <c r="D123">
        <v>77.27</v>
      </c>
      <c r="E123">
        <v>77.17</v>
      </c>
      <c r="F123" t="s">
        <v>126</v>
      </c>
      <c r="G123" s="2">
        <v>-2.2000000000000001E-3</v>
      </c>
    </row>
    <row r="124" spans="1:7" x14ac:dyDescent="0.4">
      <c r="A124" s="1">
        <v>45470</v>
      </c>
      <c r="B124">
        <v>77.33</v>
      </c>
      <c r="C124">
        <v>77.2</v>
      </c>
      <c r="D124">
        <v>77.33</v>
      </c>
      <c r="E124">
        <v>77.180000000000007</v>
      </c>
      <c r="F124" t="s">
        <v>127</v>
      </c>
      <c r="G124" s="2">
        <v>1.1999999999999999E-3</v>
      </c>
    </row>
    <row r="125" spans="1:7" x14ac:dyDescent="0.4">
      <c r="A125" s="1">
        <v>45471</v>
      </c>
      <c r="B125">
        <v>77.14</v>
      </c>
      <c r="C125">
        <v>77.38</v>
      </c>
      <c r="D125">
        <v>77.52</v>
      </c>
      <c r="E125">
        <v>77.14</v>
      </c>
      <c r="F125" t="s">
        <v>128</v>
      </c>
      <c r="G125" s="2">
        <v>-2.5000000000000001E-3</v>
      </c>
    </row>
    <row r="126" spans="1:7" x14ac:dyDescent="0.4">
      <c r="A126" s="1">
        <v>45474</v>
      </c>
      <c r="B126">
        <v>76.72</v>
      </c>
      <c r="C126">
        <v>76.87</v>
      </c>
      <c r="D126">
        <v>76.92</v>
      </c>
      <c r="E126">
        <v>76.69</v>
      </c>
      <c r="F126" t="s">
        <v>103</v>
      </c>
      <c r="G126" s="2">
        <v>-5.4000000000000003E-3</v>
      </c>
    </row>
    <row r="127" spans="1:7" x14ac:dyDescent="0.4">
      <c r="A127" s="1">
        <v>45475</v>
      </c>
      <c r="B127">
        <v>76.930000000000007</v>
      </c>
      <c r="C127">
        <v>76.73</v>
      </c>
      <c r="D127">
        <v>76.95</v>
      </c>
      <c r="E127">
        <v>76.69</v>
      </c>
      <c r="F127" t="s">
        <v>129</v>
      </c>
      <c r="G127" s="2">
        <v>2.7000000000000001E-3</v>
      </c>
    </row>
    <row r="128" spans="1:7" x14ac:dyDescent="0.4">
      <c r="A128" s="1">
        <v>45476</v>
      </c>
      <c r="B128">
        <v>77.2</v>
      </c>
      <c r="C128">
        <v>76.92</v>
      </c>
      <c r="D128">
        <v>77.2</v>
      </c>
      <c r="E128">
        <v>76.92</v>
      </c>
      <c r="F128" t="s">
        <v>130</v>
      </c>
      <c r="G128" s="2">
        <v>3.5000000000000001E-3</v>
      </c>
    </row>
    <row r="129" spans="1:7" x14ac:dyDescent="0.4">
      <c r="A129" s="1">
        <v>45478</v>
      </c>
      <c r="B129">
        <v>77.430000000000007</v>
      </c>
      <c r="C129">
        <v>77.28</v>
      </c>
      <c r="D129">
        <v>77.45</v>
      </c>
      <c r="E129">
        <v>77.239999999999995</v>
      </c>
      <c r="F129" t="s">
        <v>131</v>
      </c>
      <c r="G129" s="2">
        <v>3.0000000000000001E-3</v>
      </c>
    </row>
    <row r="130" spans="1:7" x14ac:dyDescent="0.4">
      <c r="A130" s="1">
        <v>45481</v>
      </c>
      <c r="B130">
        <v>77.41</v>
      </c>
      <c r="C130">
        <v>77.41</v>
      </c>
      <c r="D130">
        <v>77.48</v>
      </c>
      <c r="E130">
        <v>77.31</v>
      </c>
      <c r="F130" t="s">
        <v>62</v>
      </c>
      <c r="G130" s="2">
        <v>-2.9999999999999997E-4</v>
      </c>
    </row>
    <row r="131" spans="1:7" x14ac:dyDescent="0.4">
      <c r="A131" s="1">
        <v>45482</v>
      </c>
      <c r="B131">
        <v>77.319999999999993</v>
      </c>
      <c r="C131">
        <v>77.41</v>
      </c>
      <c r="D131">
        <v>77.41</v>
      </c>
      <c r="E131">
        <v>77.23</v>
      </c>
      <c r="F131" t="s">
        <v>132</v>
      </c>
      <c r="G131" s="2">
        <v>-1.1999999999999999E-3</v>
      </c>
    </row>
    <row r="132" spans="1:7" x14ac:dyDescent="0.4">
      <c r="A132" s="1">
        <v>45483</v>
      </c>
      <c r="B132">
        <v>77.5</v>
      </c>
      <c r="C132">
        <v>77.41</v>
      </c>
      <c r="D132">
        <v>77.510000000000005</v>
      </c>
      <c r="E132">
        <v>77.37</v>
      </c>
      <c r="F132" t="s">
        <v>133</v>
      </c>
      <c r="G132" s="2">
        <v>2.3E-3</v>
      </c>
    </row>
    <row r="133" spans="1:7" x14ac:dyDescent="0.4">
      <c r="A133" s="1">
        <v>45484</v>
      </c>
      <c r="B133">
        <v>77.78</v>
      </c>
      <c r="C133">
        <v>77.760000000000005</v>
      </c>
      <c r="D133">
        <v>77.84</v>
      </c>
      <c r="E133">
        <v>77.709999999999994</v>
      </c>
      <c r="F133" t="s">
        <v>134</v>
      </c>
      <c r="G133" s="2">
        <v>3.5999999999999999E-3</v>
      </c>
    </row>
    <row r="134" spans="1:7" x14ac:dyDescent="0.4">
      <c r="A134" s="1">
        <v>45485</v>
      </c>
      <c r="B134">
        <v>77.98</v>
      </c>
      <c r="C134">
        <v>77.790000000000006</v>
      </c>
      <c r="D134">
        <v>78.02</v>
      </c>
      <c r="E134">
        <v>77.790000000000006</v>
      </c>
      <c r="F134" t="s">
        <v>135</v>
      </c>
      <c r="G134" s="2">
        <v>2.5999999999999999E-3</v>
      </c>
    </row>
    <row r="135" spans="1:7" x14ac:dyDescent="0.4">
      <c r="A135" s="1">
        <v>45488</v>
      </c>
      <c r="B135">
        <v>77.989999999999995</v>
      </c>
      <c r="C135">
        <v>78.040000000000006</v>
      </c>
      <c r="D135">
        <v>78.069999999999993</v>
      </c>
      <c r="E135">
        <v>77.900000000000006</v>
      </c>
      <c r="F135" t="s">
        <v>136</v>
      </c>
      <c r="G135" s="2">
        <v>1E-4</v>
      </c>
    </row>
    <row r="136" spans="1:7" x14ac:dyDescent="0.4">
      <c r="A136" s="1">
        <v>45489</v>
      </c>
      <c r="B136">
        <v>78.290000000000006</v>
      </c>
      <c r="C136">
        <v>78.069999999999993</v>
      </c>
      <c r="D136">
        <v>78.33</v>
      </c>
      <c r="E136">
        <v>78</v>
      </c>
      <c r="F136" t="s">
        <v>137</v>
      </c>
      <c r="G136" s="2">
        <v>3.8E-3</v>
      </c>
    </row>
    <row r="137" spans="1:7" x14ac:dyDescent="0.4">
      <c r="A137" s="1">
        <v>45490</v>
      </c>
      <c r="B137">
        <v>78.2</v>
      </c>
      <c r="C137">
        <v>78.06</v>
      </c>
      <c r="D137">
        <v>78.25</v>
      </c>
      <c r="E137">
        <v>78.03</v>
      </c>
      <c r="F137" t="s">
        <v>138</v>
      </c>
      <c r="G137" s="2">
        <v>-1.1000000000000001E-3</v>
      </c>
    </row>
    <row r="138" spans="1:7" x14ac:dyDescent="0.4">
      <c r="A138" s="1">
        <v>45491</v>
      </c>
      <c r="B138">
        <v>78.040000000000006</v>
      </c>
      <c r="C138">
        <v>78.239999999999995</v>
      </c>
      <c r="D138">
        <v>78.27</v>
      </c>
      <c r="E138">
        <v>77.97</v>
      </c>
      <c r="F138" t="s">
        <v>139</v>
      </c>
      <c r="G138" s="2">
        <v>-2E-3</v>
      </c>
    </row>
    <row r="139" spans="1:7" x14ac:dyDescent="0.4">
      <c r="A139" s="1">
        <v>45492</v>
      </c>
      <c r="B139">
        <v>77.98</v>
      </c>
      <c r="C139">
        <v>78.12</v>
      </c>
      <c r="D139">
        <v>78.13</v>
      </c>
      <c r="E139">
        <v>77.88</v>
      </c>
      <c r="F139" t="s">
        <v>140</v>
      </c>
      <c r="G139" s="2">
        <v>-8.0000000000000004E-4</v>
      </c>
    </row>
    <row r="140" spans="1:7" x14ac:dyDescent="0.4">
      <c r="A140" s="1">
        <v>45495</v>
      </c>
      <c r="B140">
        <v>78.27</v>
      </c>
      <c r="C140">
        <v>78.17</v>
      </c>
      <c r="D140">
        <v>78.28</v>
      </c>
      <c r="E140">
        <v>78.11</v>
      </c>
      <c r="F140" t="s">
        <v>141</v>
      </c>
      <c r="G140" s="2">
        <v>3.7000000000000002E-3</v>
      </c>
    </row>
    <row r="141" spans="1:7" x14ac:dyDescent="0.4">
      <c r="A141" s="1">
        <v>45496</v>
      </c>
      <c r="B141">
        <v>78.28</v>
      </c>
      <c r="C141">
        <v>78.260000000000005</v>
      </c>
      <c r="D141">
        <v>78.42</v>
      </c>
      <c r="E141">
        <v>78.23</v>
      </c>
      <c r="F141" t="s">
        <v>142</v>
      </c>
      <c r="G141" s="2">
        <v>1E-4</v>
      </c>
    </row>
    <row r="142" spans="1:7" x14ac:dyDescent="0.4">
      <c r="A142" s="1">
        <v>45497</v>
      </c>
      <c r="B142">
        <v>78.03</v>
      </c>
      <c r="C142">
        <v>78.2</v>
      </c>
      <c r="D142">
        <v>78.31</v>
      </c>
      <c r="E142">
        <v>78.010000000000005</v>
      </c>
      <c r="F142" t="s">
        <v>143</v>
      </c>
      <c r="G142" s="2">
        <v>-3.2000000000000002E-3</v>
      </c>
    </row>
    <row r="143" spans="1:7" x14ac:dyDescent="0.4">
      <c r="A143" s="1">
        <v>45498</v>
      </c>
      <c r="B143">
        <v>78.040000000000006</v>
      </c>
      <c r="C143">
        <v>78.08</v>
      </c>
      <c r="D143">
        <v>78.33</v>
      </c>
      <c r="E143">
        <v>78.040000000000006</v>
      </c>
      <c r="F143" t="s">
        <v>144</v>
      </c>
      <c r="G143" s="2">
        <v>1E-4</v>
      </c>
    </row>
    <row r="144" spans="1:7" x14ac:dyDescent="0.4">
      <c r="A144" s="1">
        <v>45499</v>
      </c>
      <c r="B144">
        <v>78.290000000000006</v>
      </c>
      <c r="C144">
        <v>78.37</v>
      </c>
      <c r="D144">
        <v>78.37</v>
      </c>
      <c r="E144">
        <v>78.209999999999994</v>
      </c>
      <c r="F144" t="s">
        <v>145</v>
      </c>
      <c r="G144" s="2">
        <v>3.2000000000000002E-3</v>
      </c>
    </row>
    <row r="145" spans="1:7" x14ac:dyDescent="0.4">
      <c r="A145" s="1">
        <v>45502</v>
      </c>
      <c r="B145">
        <v>78.22</v>
      </c>
      <c r="C145">
        <v>78.400000000000006</v>
      </c>
      <c r="D145">
        <v>78.44</v>
      </c>
      <c r="E145">
        <v>78.14</v>
      </c>
      <c r="F145" t="s">
        <v>146</v>
      </c>
      <c r="G145" s="2">
        <v>-8.9999999999999998E-4</v>
      </c>
    </row>
    <row r="146" spans="1:7" x14ac:dyDescent="0.4">
      <c r="A146" s="1">
        <v>45503</v>
      </c>
      <c r="B146">
        <v>78.260000000000005</v>
      </c>
      <c r="C146">
        <v>78.33</v>
      </c>
      <c r="D146">
        <v>78.349999999999994</v>
      </c>
      <c r="E146">
        <v>78.12</v>
      </c>
      <c r="F146" t="s">
        <v>147</v>
      </c>
      <c r="G146" s="2">
        <v>5.0000000000000001E-4</v>
      </c>
    </row>
    <row r="147" spans="1:7" x14ac:dyDescent="0.4">
      <c r="A147" s="1">
        <v>45504</v>
      </c>
      <c r="B147">
        <v>78.540000000000006</v>
      </c>
      <c r="C147">
        <v>78.47</v>
      </c>
      <c r="D147">
        <v>78.599999999999994</v>
      </c>
      <c r="E147">
        <v>78.36</v>
      </c>
      <c r="F147" t="s">
        <v>148</v>
      </c>
      <c r="G147" s="2">
        <v>3.5999999999999999E-3</v>
      </c>
    </row>
    <row r="148" spans="1:7" x14ac:dyDescent="0.4">
      <c r="A148" s="1">
        <v>45505</v>
      </c>
      <c r="B148">
        <v>77.959999999999994</v>
      </c>
      <c r="C148">
        <v>78.19</v>
      </c>
      <c r="D148">
        <v>78.290000000000006</v>
      </c>
      <c r="E148">
        <v>77.94</v>
      </c>
      <c r="F148" t="s">
        <v>149</v>
      </c>
      <c r="G148" s="2">
        <v>-7.4000000000000003E-3</v>
      </c>
    </row>
    <row r="149" spans="1:7" x14ac:dyDescent="0.4">
      <c r="A149" s="1">
        <v>45506</v>
      </c>
      <c r="B149">
        <v>77.7</v>
      </c>
      <c r="C149">
        <v>77.81</v>
      </c>
      <c r="D149">
        <v>77.959999999999994</v>
      </c>
      <c r="E149">
        <v>77.61</v>
      </c>
      <c r="F149" t="s">
        <v>150</v>
      </c>
      <c r="G149" s="2">
        <v>-3.3E-3</v>
      </c>
    </row>
    <row r="150" spans="1:7" x14ac:dyDescent="0.4">
      <c r="A150" s="1">
        <v>45509</v>
      </c>
      <c r="B150">
        <v>77.22</v>
      </c>
      <c r="C150">
        <v>76.64</v>
      </c>
      <c r="D150">
        <v>77.38</v>
      </c>
      <c r="E150">
        <v>76.58</v>
      </c>
      <c r="F150" t="s">
        <v>151</v>
      </c>
      <c r="G150" s="2">
        <v>-6.1999999999999998E-3</v>
      </c>
    </row>
    <row r="151" spans="1:7" x14ac:dyDescent="0.4">
      <c r="A151" s="1">
        <v>45510</v>
      </c>
      <c r="B151">
        <v>77.510000000000005</v>
      </c>
      <c r="C151">
        <v>77.48</v>
      </c>
      <c r="D151">
        <v>77.81</v>
      </c>
      <c r="E151">
        <v>77.17</v>
      </c>
      <c r="F151" t="s">
        <v>152</v>
      </c>
      <c r="G151" s="2">
        <v>3.8E-3</v>
      </c>
    </row>
    <row r="152" spans="1:7" x14ac:dyDescent="0.4">
      <c r="A152" s="1">
        <v>45511</v>
      </c>
      <c r="B152">
        <v>77.66</v>
      </c>
      <c r="C152">
        <v>77.98</v>
      </c>
      <c r="D152">
        <v>78.010000000000005</v>
      </c>
      <c r="E152">
        <v>77.61</v>
      </c>
      <c r="F152" t="s">
        <v>153</v>
      </c>
      <c r="G152" s="2">
        <v>1.9E-3</v>
      </c>
    </row>
    <row r="153" spans="1:7" x14ac:dyDescent="0.4">
      <c r="A153" s="1">
        <v>45512</v>
      </c>
      <c r="B153">
        <v>77.98</v>
      </c>
      <c r="C153">
        <v>77.900000000000006</v>
      </c>
      <c r="D153">
        <v>78.02</v>
      </c>
      <c r="E153">
        <v>77.790000000000006</v>
      </c>
      <c r="F153" t="s">
        <v>154</v>
      </c>
      <c r="G153" s="2">
        <v>4.1000000000000003E-3</v>
      </c>
    </row>
    <row r="154" spans="1:7" x14ac:dyDescent="0.4">
      <c r="A154" s="1">
        <v>45513</v>
      </c>
      <c r="B154">
        <v>77.97</v>
      </c>
      <c r="C154">
        <v>78.02</v>
      </c>
      <c r="D154">
        <v>78.09</v>
      </c>
      <c r="E154">
        <v>77.83</v>
      </c>
      <c r="F154" t="s">
        <v>155</v>
      </c>
      <c r="G154" s="2">
        <v>-1E-4</v>
      </c>
    </row>
    <row r="155" spans="1:7" x14ac:dyDescent="0.4">
      <c r="A155" s="1">
        <v>45516</v>
      </c>
      <c r="B155">
        <v>78.02</v>
      </c>
      <c r="C155">
        <v>78.040000000000006</v>
      </c>
      <c r="D155">
        <v>78.040000000000006</v>
      </c>
      <c r="E155">
        <v>77.87</v>
      </c>
      <c r="F155" t="s">
        <v>156</v>
      </c>
      <c r="G155" s="2">
        <v>5.9999999999999995E-4</v>
      </c>
    </row>
    <row r="156" spans="1:7" x14ac:dyDescent="0.4">
      <c r="A156" s="1">
        <v>45517</v>
      </c>
      <c r="B156">
        <v>78.38</v>
      </c>
      <c r="C156">
        <v>78.11</v>
      </c>
      <c r="D156">
        <v>78.39</v>
      </c>
      <c r="E156">
        <v>78.09</v>
      </c>
      <c r="F156" t="s">
        <v>157</v>
      </c>
      <c r="G156" s="2">
        <v>4.5999999999999999E-3</v>
      </c>
    </row>
    <row r="157" spans="1:7" x14ac:dyDescent="0.4">
      <c r="A157" s="1">
        <v>45518</v>
      </c>
      <c r="B157">
        <v>78.52</v>
      </c>
      <c r="C157">
        <v>78.36</v>
      </c>
      <c r="D157">
        <v>78.55</v>
      </c>
      <c r="E157">
        <v>78.3</v>
      </c>
      <c r="F157" t="s">
        <v>158</v>
      </c>
      <c r="G157" s="2">
        <v>1.8E-3</v>
      </c>
    </row>
    <row r="158" spans="1:7" x14ac:dyDescent="0.4">
      <c r="A158" s="1">
        <v>45519</v>
      </c>
      <c r="B158">
        <v>78.59</v>
      </c>
      <c r="C158">
        <v>78.56</v>
      </c>
      <c r="D158">
        <v>78.62</v>
      </c>
      <c r="E158">
        <v>78.45</v>
      </c>
      <c r="F158" t="s">
        <v>159</v>
      </c>
      <c r="G158" s="2">
        <v>8.9999999999999998E-4</v>
      </c>
    </row>
    <row r="159" spans="1:7" x14ac:dyDescent="0.4">
      <c r="A159" s="1">
        <v>45520</v>
      </c>
      <c r="B159">
        <v>78.84</v>
      </c>
      <c r="C159">
        <v>78.55</v>
      </c>
      <c r="D159">
        <v>78.88</v>
      </c>
      <c r="E159">
        <v>78.540000000000006</v>
      </c>
      <c r="F159" t="s">
        <v>160</v>
      </c>
      <c r="G159" s="2">
        <v>3.2000000000000002E-3</v>
      </c>
    </row>
    <row r="160" spans="1:7" x14ac:dyDescent="0.4">
      <c r="A160" s="1">
        <v>45523</v>
      </c>
      <c r="B160">
        <v>78.97</v>
      </c>
      <c r="C160">
        <v>78.81</v>
      </c>
      <c r="D160">
        <v>79</v>
      </c>
      <c r="E160">
        <v>78.75</v>
      </c>
      <c r="F160" t="s">
        <v>161</v>
      </c>
      <c r="G160" s="2">
        <v>1.6000000000000001E-3</v>
      </c>
    </row>
    <row r="161" spans="1:7" x14ac:dyDescent="0.4">
      <c r="A161" s="1">
        <v>45524</v>
      </c>
      <c r="B161">
        <v>78.900000000000006</v>
      </c>
      <c r="C161">
        <v>79.010000000000005</v>
      </c>
      <c r="D161">
        <v>79.03</v>
      </c>
      <c r="E161">
        <v>78.77</v>
      </c>
      <c r="F161" t="s">
        <v>162</v>
      </c>
      <c r="G161" s="2">
        <v>-8.9999999999999998E-4</v>
      </c>
    </row>
    <row r="162" spans="1:7" x14ac:dyDescent="0.4">
      <c r="A162" s="1">
        <v>45525</v>
      </c>
      <c r="B162">
        <v>79.08</v>
      </c>
      <c r="C162">
        <v>78.98</v>
      </c>
      <c r="D162">
        <v>79.11</v>
      </c>
      <c r="E162">
        <v>78.900000000000006</v>
      </c>
      <c r="F162" t="s">
        <v>163</v>
      </c>
      <c r="G162" s="2">
        <v>2.3E-3</v>
      </c>
    </row>
    <row r="163" spans="1:7" x14ac:dyDescent="0.4">
      <c r="A163" s="1">
        <v>45526</v>
      </c>
      <c r="B163">
        <v>78.98</v>
      </c>
      <c r="C163">
        <v>79.08</v>
      </c>
      <c r="D163">
        <v>79.09</v>
      </c>
      <c r="E163">
        <v>78.89</v>
      </c>
      <c r="F163" t="s">
        <v>164</v>
      </c>
      <c r="G163" s="2">
        <v>-1.2999999999999999E-3</v>
      </c>
    </row>
    <row r="164" spans="1:7" x14ac:dyDescent="0.4">
      <c r="A164" s="1">
        <v>45527</v>
      </c>
      <c r="B164">
        <v>79.400000000000006</v>
      </c>
      <c r="C164">
        <v>79.180000000000007</v>
      </c>
      <c r="D164">
        <v>79.400000000000006</v>
      </c>
      <c r="E164">
        <v>79.08</v>
      </c>
      <c r="F164" t="s">
        <v>165</v>
      </c>
      <c r="G164" s="2">
        <v>5.3E-3</v>
      </c>
    </row>
    <row r="165" spans="1:7" x14ac:dyDescent="0.4">
      <c r="A165" s="1">
        <v>45530</v>
      </c>
      <c r="B165">
        <v>79.239999999999995</v>
      </c>
      <c r="C165">
        <v>79.39</v>
      </c>
      <c r="D165">
        <v>79.430000000000007</v>
      </c>
      <c r="E165">
        <v>79.23</v>
      </c>
      <c r="F165" t="s">
        <v>166</v>
      </c>
      <c r="G165" s="2">
        <v>-2E-3</v>
      </c>
    </row>
    <row r="166" spans="1:7" x14ac:dyDescent="0.4">
      <c r="A166" s="1">
        <v>45531</v>
      </c>
      <c r="B166">
        <v>79.290000000000006</v>
      </c>
      <c r="C166">
        <v>79.150000000000006</v>
      </c>
      <c r="D166">
        <v>79.37</v>
      </c>
      <c r="E166">
        <v>79.11</v>
      </c>
      <c r="F166" t="s">
        <v>167</v>
      </c>
      <c r="G166" s="2">
        <v>5.9999999999999995E-4</v>
      </c>
    </row>
    <row r="167" spans="1:7" x14ac:dyDescent="0.4">
      <c r="A167" s="1">
        <v>45532</v>
      </c>
      <c r="B167">
        <v>79.25</v>
      </c>
      <c r="C167">
        <v>79.31</v>
      </c>
      <c r="D167">
        <v>79.319999999999993</v>
      </c>
      <c r="E167">
        <v>79.180000000000007</v>
      </c>
      <c r="F167" t="s">
        <v>168</v>
      </c>
      <c r="G167" s="2">
        <v>-5.0000000000000001E-4</v>
      </c>
    </row>
    <row r="168" spans="1:7" x14ac:dyDescent="0.4">
      <c r="A168" s="1">
        <v>45533</v>
      </c>
      <c r="B168">
        <v>79.33</v>
      </c>
      <c r="C168">
        <v>79.33</v>
      </c>
      <c r="D168">
        <v>79.36</v>
      </c>
      <c r="E168">
        <v>79.23</v>
      </c>
      <c r="F168" t="s">
        <v>169</v>
      </c>
      <c r="G168" s="2">
        <v>1E-3</v>
      </c>
    </row>
    <row r="169" spans="1:7" x14ac:dyDescent="0.4">
      <c r="A169" s="1">
        <v>45534</v>
      </c>
      <c r="B169">
        <v>79.34</v>
      </c>
      <c r="C169">
        <v>79.42</v>
      </c>
      <c r="D169">
        <v>79.42</v>
      </c>
      <c r="E169">
        <v>79.239999999999995</v>
      </c>
      <c r="F169" t="s">
        <v>170</v>
      </c>
      <c r="G169" s="2">
        <v>1E-4</v>
      </c>
    </row>
    <row r="170" spans="1:7" x14ac:dyDescent="0.4">
      <c r="A170" s="1">
        <v>45538</v>
      </c>
      <c r="B170">
        <v>78.680000000000007</v>
      </c>
      <c r="C170">
        <v>78.88</v>
      </c>
      <c r="D170">
        <v>78.959999999999994</v>
      </c>
      <c r="E170">
        <v>78.650000000000006</v>
      </c>
      <c r="F170" t="s">
        <v>171</v>
      </c>
      <c r="G170" s="2">
        <v>-8.3000000000000001E-3</v>
      </c>
    </row>
    <row r="171" spans="1:7" x14ac:dyDescent="0.4">
      <c r="A171" s="1">
        <v>45539</v>
      </c>
      <c r="B171">
        <v>78.97</v>
      </c>
      <c r="C171">
        <v>78.66</v>
      </c>
      <c r="D171">
        <v>79.05</v>
      </c>
      <c r="E171">
        <v>78.66</v>
      </c>
      <c r="F171" t="s">
        <v>172</v>
      </c>
      <c r="G171" s="2">
        <v>3.7000000000000002E-3</v>
      </c>
    </row>
    <row r="172" spans="1:7" x14ac:dyDescent="0.4">
      <c r="A172" s="1">
        <v>45540</v>
      </c>
      <c r="B172">
        <v>79.239999999999995</v>
      </c>
      <c r="C172">
        <v>79.11</v>
      </c>
      <c r="D172">
        <v>79.28</v>
      </c>
      <c r="E172">
        <v>79.05</v>
      </c>
      <c r="F172" t="s">
        <v>173</v>
      </c>
      <c r="G172" s="2">
        <v>3.3999999999999998E-3</v>
      </c>
    </row>
    <row r="173" spans="1:7" x14ac:dyDescent="0.4">
      <c r="A173" s="1">
        <v>45541</v>
      </c>
      <c r="B173">
        <v>79.14</v>
      </c>
      <c r="C173">
        <v>79.27</v>
      </c>
      <c r="D173">
        <v>79.38</v>
      </c>
      <c r="E173">
        <v>78.989999999999995</v>
      </c>
      <c r="F173" t="s">
        <v>174</v>
      </c>
      <c r="G173" s="2">
        <v>-1.2999999999999999E-3</v>
      </c>
    </row>
    <row r="174" spans="1:7" x14ac:dyDescent="0.4">
      <c r="A174" s="1">
        <v>45544</v>
      </c>
      <c r="B174">
        <v>79.33</v>
      </c>
      <c r="C174">
        <v>79.27</v>
      </c>
      <c r="D174">
        <v>79.38</v>
      </c>
      <c r="E174">
        <v>79.16</v>
      </c>
      <c r="F174" t="s">
        <v>175</v>
      </c>
      <c r="G174" s="2">
        <v>2.3999999999999998E-3</v>
      </c>
    </row>
    <row r="175" spans="1:7" x14ac:dyDescent="0.4">
      <c r="A175" s="1">
        <v>45545</v>
      </c>
      <c r="B175">
        <v>79.180000000000007</v>
      </c>
      <c r="C175">
        <v>79.34</v>
      </c>
      <c r="D175">
        <v>79.37</v>
      </c>
      <c r="E175">
        <v>79.099999999999994</v>
      </c>
      <c r="F175" t="s">
        <v>176</v>
      </c>
      <c r="G175" s="2">
        <v>-1.9E-3</v>
      </c>
    </row>
    <row r="176" spans="1:7" x14ac:dyDescent="0.4">
      <c r="A176" s="1">
        <v>45546</v>
      </c>
      <c r="B176">
        <v>79.3</v>
      </c>
      <c r="C176">
        <v>79.09</v>
      </c>
      <c r="D176">
        <v>79.31</v>
      </c>
      <c r="E176">
        <v>78.97</v>
      </c>
      <c r="F176" t="s">
        <v>177</v>
      </c>
      <c r="G176" s="2">
        <v>1.5E-3</v>
      </c>
    </row>
    <row r="177" spans="1:7" x14ac:dyDescent="0.4">
      <c r="A177" s="1">
        <v>45547</v>
      </c>
      <c r="B177">
        <v>79.41</v>
      </c>
      <c r="C177">
        <v>79.25</v>
      </c>
      <c r="D177">
        <v>79.489999999999995</v>
      </c>
      <c r="E177">
        <v>79.209999999999994</v>
      </c>
      <c r="F177" t="s">
        <v>178</v>
      </c>
      <c r="G177" s="2">
        <v>1.4E-3</v>
      </c>
    </row>
    <row r="178" spans="1:7" x14ac:dyDescent="0.4">
      <c r="A178" s="1">
        <v>45548</v>
      </c>
      <c r="B178">
        <v>79.63</v>
      </c>
      <c r="C178">
        <v>79.52</v>
      </c>
      <c r="D178">
        <v>79.680000000000007</v>
      </c>
      <c r="E178">
        <v>79.5</v>
      </c>
      <c r="F178" t="s">
        <v>179</v>
      </c>
      <c r="G178" s="2">
        <v>2.8E-3</v>
      </c>
    </row>
    <row r="179" spans="1:7" x14ac:dyDescent="0.4">
      <c r="A179" s="1">
        <v>45551</v>
      </c>
      <c r="B179">
        <v>79.83</v>
      </c>
      <c r="C179">
        <v>79.66</v>
      </c>
      <c r="D179">
        <v>79.900000000000006</v>
      </c>
      <c r="E179">
        <v>79.64</v>
      </c>
      <c r="F179" t="s">
        <v>180</v>
      </c>
      <c r="G179" s="2">
        <v>2.5000000000000001E-3</v>
      </c>
    </row>
    <row r="180" spans="1:7" x14ac:dyDescent="0.4">
      <c r="A180" s="1">
        <v>45552</v>
      </c>
      <c r="B180">
        <v>79.849999999999994</v>
      </c>
      <c r="C180">
        <v>79.900000000000006</v>
      </c>
      <c r="D180">
        <v>79.94</v>
      </c>
      <c r="E180">
        <v>79.790000000000006</v>
      </c>
      <c r="F180" t="s">
        <v>181</v>
      </c>
      <c r="G180" s="2">
        <v>2.9999999999999997E-4</v>
      </c>
    </row>
    <row r="181" spans="1:7" x14ac:dyDescent="0.4">
      <c r="A181" s="1">
        <v>45553</v>
      </c>
      <c r="B181">
        <v>79.92</v>
      </c>
      <c r="C181">
        <v>79.88</v>
      </c>
      <c r="D181">
        <v>80.28</v>
      </c>
      <c r="E181">
        <v>79.790000000000006</v>
      </c>
      <c r="F181" t="s">
        <v>182</v>
      </c>
      <c r="G181" s="2">
        <v>8.9999999999999998E-4</v>
      </c>
    </row>
    <row r="182" spans="1:7" x14ac:dyDescent="0.4">
      <c r="A182" s="1">
        <v>45554</v>
      </c>
      <c r="B182">
        <v>80.16</v>
      </c>
      <c r="C182">
        <v>80.290000000000006</v>
      </c>
      <c r="D182">
        <v>80.33</v>
      </c>
      <c r="E182">
        <v>80.09</v>
      </c>
      <c r="F182" t="s">
        <v>183</v>
      </c>
      <c r="G182" s="2">
        <v>3.0000000000000001E-3</v>
      </c>
    </row>
    <row r="183" spans="1:7" x14ac:dyDescent="0.4">
      <c r="A183" s="1">
        <v>45555</v>
      </c>
      <c r="B183">
        <v>80.260000000000005</v>
      </c>
      <c r="C183">
        <v>80.16</v>
      </c>
      <c r="D183">
        <v>80.260000000000005</v>
      </c>
      <c r="E183">
        <v>80</v>
      </c>
      <c r="F183" t="s">
        <v>184</v>
      </c>
      <c r="G183" s="2">
        <v>1.1999999999999999E-3</v>
      </c>
    </row>
    <row r="184" spans="1:7" x14ac:dyDescent="0.4">
      <c r="A184" s="1">
        <v>45558</v>
      </c>
      <c r="B184">
        <v>80.11</v>
      </c>
      <c r="C184">
        <v>80.19</v>
      </c>
      <c r="D184">
        <v>80.209999999999994</v>
      </c>
      <c r="E184">
        <v>80.08</v>
      </c>
      <c r="F184" t="s">
        <v>185</v>
      </c>
      <c r="G184" s="2">
        <v>-1.9E-3</v>
      </c>
    </row>
    <row r="185" spans="1:7" x14ac:dyDescent="0.4">
      <c r="A185" s="1">
        <v>45559</v>
      </c>
      <c r="B185">
        <v>80.12</v>
      </c>
      <c r="C185">
        <v>80.12</v>
      </c>
      <c r="D185">
        <v>80.180000000000007</v>
      </c>
      <c r="E185">
        <v>80</v>
      </c>
      <c r="F185" t="s">
        <v>186</v>
      </c>
      <c r="G185" s="2">
        <v>1E-4</v>
      </c>
    </row>
    <row r="186" spans="1:7" x14ac:dyDescent="0.4">
      <c r="A186" s="1">
        <v>45560</v>
      </c>
      <c r="B186">
        <v>80.03</v>
      </c>
      <c r="C186">
        <v>80.08</v>
      </c>
      <c r="D186">
        <v>80.11</v>
      </c>
      <c r="E186">
        <v>80.02</v>
      </c>
      <c r="F186" t="s">
        <v>187</v>
      </c>
      <c r="G186" s="2">
        <v>-1.1000000000000001E-3</v>
      </c>
    </row>
    <row r="187" spans="1:7" x14ac:dyDescent="0.4">
      <c r="A187" s="1">
        <v>45561</v>
      </c>
      <c r="B187">
        <v>80.16</v>
      </c>
      <c r="C187">
        <v>80.19</v>
      </c>
      <c r="D187">
        <v>80.19</v>
      </c>
      <c r="E187">
        <v>80.02</v>
      </c>
      <c r="F187" t="s">
        <v>188</v>
      </c>
      <c r="G187" s="2">
        <v>1.6000000000000001E-3</v>
      </c>
    </row>
    <row r="188" spans="1:7" x14ac:dyDescent="0.4">
      <c r="A188" s="1">
        <v>45562</v>
      </c>
      <c r="B188">
        <v>80.36</v>
      </c>
      <c r="C188">
        <v>80.22</v>
      </c>
      <c r="D188">
        <v>80.37</v>
      </c>
      <c r="E188">
        <v>80.2</v>
      </c>
      <c r="F188" t="s">
        <v>189</v>
      </c>
      <c r="G188" s="2">
        <v>2.5000000000000001E-3</v>
      </c>
    </row>
    <row r="189" spans="1:7" x14ac:dyDescent="0.4">
      <c r="A189" s="1">
        <v>45565</v>
      </c>
      <c r="B189">
        <v>80.3</v>
      </c>
      <c r="C189">
        <v>80.33</v>
      </c>
      <c r="D189">
        <v>80.37</v>
      </c>
      <c r="E189">
        <v>80.180000000000007</v>
      </c>
      <c r="F189" t="s">
        <v>190</v>
      </c>
      <c r="G189" s="2">
        <v>-6.9999999999999999E-4</v>
      </c>
    </row>
    <row r="190" spans="1:7" x14ac:dyDescent="0.4">
      <c r="A190" s="1">
        <v>45566</v>
      </c>
      <c r="B190">
        <v>79.87</v>
      </c>
      <c r="C190">
        <v>79.989999999999995</v>
      </c>
      <c r="D190">
        <v>80</v>
      </c>
      <c r="E190">
        <v>79.790000000000006</v>
      </c>
      <c r="F190" t="s">
        <v>191</v>
      </c>
      <c r="G190" s="2">
        <v>-5.4000000000000003E-3</v>
      </c>
    </row>
    <row r="191" spans="1:7" x14ac:dyDescent="0.4">
      <c r="A191" s="1">
        <v>45567</v>
      </c>
      <c r="B191">
        <v>79.88</v>
      </c>
      <c r="C191">
        <v>79.78</v>
      </c>
      <c r="D191">
        <v>79.88</v>
      </c>
      <c r="E191">
        <v>79.69</v>
      </c>
      <c r="F191" t="s">
        <v>192</v>
      </c>
      <c r="G191" s="2">
        <v>1E-4</v>
      </c>
    </row>
    <row r="192" spans="1:7" x14ac:dyDescent="0.4">
      <c r="A192" s="1">
        <v>45568</v>
      </c>
      <c r="B192">
        <v>79.69</v>
      </c>
      <c r="C192">
        <v>79.78</v>
      </c>
      <c r="D192">
        <v>79.81</v>
      </c>
      <c r="E192">
        <v>79.63</v>
      </c>
      <c r="F192" t="s">
        <v>193</v>
      </c>
      <c r="G192" s="2">
        <v>-2.3999999999999998E-3</v>
      </c>
    </row>
    <row r="193" spans="1:7" x14ac:dyDescent="0.4">
      <c r="A193" s="1">
        <v>45569</v>
      </c>
      <c r="B193">
        <v>79.599999999999994</v>
      </c>
      <c r="C193">
        <v>79.680000000000007</v>
      </c>
      <c r="D193">
        <v>79.709999999999994</v>
      </c>
      <c r="E193">
        <v>79.540000000000006</v>
      </c>
      <c r="F193" t="s">
        <v>194</v>
      </c>
      <c r="G193" s="2">
        <v>-1.1000000000000001E-3</v>
      </c>
    </row>
    <row r="194" spans="1:7" x14ac:dyDescent="0.4">
      <c r="A194" s="1">
        <v>45572</v>
      </c>
      <c r="B194">
        <v>79.260000000000005</v>
      </c>
      <c r="C194">
        <v>79.540000000000006</v>
      </c>
      <c r="D194">
        <v>79.540000000000006</v>
      </c>
      <c r="E194">
        <v>79.25</v>
      </c>
      <c r="F194" t="s">
        <v>195</v>
      </c>
      <c r="G194" s="2">
        <v>-4.3E-3</v>
      </c>
    </row>
    <row r="195" spans="1:7" x14ac:dyDescent="0.4">
      <c r="A195" s="1">
        <v>45573</v>
      </c>
      <c r="B195">
        <v>79.45</v>
      </c>
      <c r="C195">
        <v>79.37</v>
      </c>
      <c r="D195">
        <v>79.459999999999994</v>
      </c>
      <c r="E195">
        <v>79.3</v>
      </c>
      <c r="F195" t="s">
        <v>196</v>
      </c>
      <c r="G195" s="2">
        <v>2.3999999999999998E-3</v>
      </c>
    </row>
    <row r="196" spans="1:7" x14ac:dyDescent="0.4">
      <c r="A196" s="1">
        <v>45574</v>
      </c>
      <c r="B196">
        <v>79.400000000000006</v>
      </c>
      <c r="C196">
        <v>79.44</v>
      </c>
      <c r="D196">
        <v>79.48</v>
      </c>
      <c r="E196">
        <v>79.34</v>
      </c>
      <c r="F196" t="s">
        <v>197</v>
      </c>
      <c r="G196" s="2">
        <v>-5.9999999999999995E-4</v>
      </c>
    </row>
    <row r="197" spans="1:7" x14ac:dyDescent="0.4">
      <c r="A197" s="1">
        <v>45575</v>
      </c>
      <c r="B197">
        <v>79.36</v>
      </c>
      <c r="C197">
        <v>79.400000000000006</v>
      </c>
      <c r="D197">
        <v>79.400000000000006</v>
      </c>
      <c r="E197">
        <v>79.25</v>
      </c>
      <c r="F197" t="s">
        <v>198</v>
      </c>
      <c r="G197" s="2">
        <v>-5.0000000000000001E-4</v>
      </c>
    </row>
    <row r="198" spans="1:7" x14ac:dyDescent="0.4">
      <c r="A198" s="1">
        <v>45576</v>
      </c>
      <c r="B198">
        <v>79.569999999999993</v>
      </c>
      <c r="C198">
        <v>79.34</v>
      </c>
      <c r="D198">
        <v>79.59</v>
      </c>
      <c r="E198">
        <v>79.34</v>
      </c>
      <c r="F198" t="s">
        <v>199</v>
      </c>
      <c r="G198" s="2">
        <v>2.5999999999999999E-3</v>
      </c>
    </row>
    <row r="199" spans="1:7" x14ac:dyDescent="0.4">
      <c r="A199" s="1">
        <v>45579</v>
      </c>
      <c r="B199">
        <v>79.61</v>
      </c>
      <c r="C199">
        <v>79.62</v>
      </c>
      <c r="D199">
        <v>79.63</v>
      </c>
      <c r="E199">
        <v>79.400000000000006</v>
      </c>
      <c r="F199" t="s">
        <v>200</v>
      </c>
      <c r="G199" s="2">
        <v>5.0000000000000001E-4</v>
      </c>
    </row>
    <row r="200" spans="1:7" x14ac:dyDescent="0.4">
      <c r="A200" s="1">
        <v>45580</v>
      </c>
      <c r="B200">
        <v>79.59</v>
      </c>
      <c r="C200">
        <v>79.599999999999994</v>
      </c>
      <c r="D200">
        <v>79.72</v>
      </c>
      <c r="E200">
        <v>79.58</v>
      </c>
      <c r="F200" t="s">
        <v>201</v>
      </c>
      <c r="G200" s="2">
        <v>-2.9999999999999997E-4</v>
      </c>
    </row>
    <row r="201" spans="1:7" x14ac:dyDescent="0.4">
      <c r="A201" s="1">
        <v>45581</v>
      </c>
      <c r="B201">
        <v>79.73</v>
      </c>
      <c r="C201">
        <v>79.7</v>
      </c>
      <c r="D201">
        <v>79.81</v>
      </c>
      <c r="E201">
        <v>79.650000000000006</v>
      </c>
      <c r="F201" t="s">
        <v>202</v>
      </c>
      <c r="G201" s="2">
        <v>1.8E-3</v>
      </c>
    </row>
    <row r="202" spans="1:7" x14ac:dyDescent="0.4">
      <c r="A202" s="1">
        <v>45582</v>
      </c>
      <c r="B202">
        <v>79.61</v>
      </c>
      <c r="C202">
        <v>79.77</v>
      </c>
      <c r="D202">
        <v>79.8</v>
      </c>
      <c r="E202">
        <v>79.48</v>
      </c>
      <c r="F202" t="s">
        <v>203</v>
      </c>
      <c r="G202" s="2">
        <v>-1.5E-3</v>
      </c>
    </row>
    <row r="203" spans="1:7" x14ac:dyDescent="0.4">
      <c r="A203" s="1">
        <v>45583</v>
      </c>
      <c r="B203">
        <v>79.8</v>
      </c>
      <c r="C203">
        <v>79.7</v>
      </c>
      <c r="D203">
        <v>79.8</v>
      </c>
      <c r="E203">
        <v>79.650000000000006</v>
      </c>
      <c r="F203" t="s">
        <v>204</v>
      </c>
      <c r="G203" s="2">
        <v>2.3999999999999998E-3</v>
      </c>
    </row>
    <row r="204" spans="1:7" x14ac:dyDescent="0.4">
      <c r="A204" s="1">
        <v>45586</v>
      </c>
      <c r="B204">
        <v>79.48</v>
      </c>
      <c r="C204">
        <v>79.66</v>
      </c>
      <c r="D204">
        <v>79.709999999999994</v>
      </c>
      <c r="E204">
        <v>79.400000000000006</v>
      </c>
      <c r="F204" t="s">
        <v>205</v>
      </c>
      <c r="G204" s="2">
        <v>-4.0000000000000001E-3</v>
      </c>
    </row>
    <row r="205" spans="1:7" x14ac:dyDescent="0.4">
      <c r="A205" s="1">
        <v>45587</v>
      </c>
      <c r="B205">
        <v>79.37</v>
      </c>
      <c r="C205">
        <v>79.430000000000007</v>
      </c>
      <c r="D205">
        <v>79.459999999999994</v>
      </c>
      <c r="E205">
        <v>79.28</v>
      </c>
      <c r="F205" t="s">
        <v>206</v>
      </c>
      <c r="G205" s="2">
        <v>-1.4E-3</v>
      </c>
    </row>
    <row r="206" spans="1:7" x14ac:dyDescent="0.4">
      <c r="A206" s="1">
        <v>45588</v>
      </c>
      <c r="B206">
        <v>79.13</v>
      </c>
      <c r="C206">
        <v>79.260000000000005</v>
      </c>
      <c r="D206">
        <v>79.3</v>
      </c>
      <c r="E206">
        <v>79.069999999999993</v>
      </c>
      <c r="F206" t="s">
        <v>207</v>
      </c>
      <c r="G206" s="2">
        <v>-3.0000000000000001E-3</v>
      </c>
    </row>
    <row r="207" spans="1:7" x14ac:dyDescent="0.4">
      <c r="A207" s="1">
        <v>45589</v>
      </c>
      <c r="B207">
        <v>79.36</v>
      </c>
      <c r="C207">
        <v>79.3</v>
      </c>
      <c r="D207">
        <v>79.42</v>
      </c>
      <c r="E207">
        <v>79.209999999999994</v>
      </c>
      <c r="F207" t="s">
        <v>208</v>
      </c>
      <c r="G207" s="2">
        <v>2.8999999999999998E-3</v>
      </c>
    </row>
    <row r="208" spans="1:7" x14ac:dyDescent="0.4">
      <c r="A208" s="1">
        <v>45590</v>
      </c>
      <c r="B208">
        <v>79.28</v>
      </c>
      <c r="C208">
        <v>79.459999999999994</v>
      </c>
      <c r="D208">
        <v>79.55</v>
      </c>
      <c r="E208">
        <v>79.25</v>
      </c>
      <c r="F208" t="s">
        <v>209</v>
      </c>
      <c r="G208" s="2">
        <v>-1E-3</v>
      </c>
    </row>
    <row r="209" spans="1:7" x14ac:dyDescent="0.4">
      <c r="A209" s="1">
        <v>45593</v>
      </c>
      <c r="B209">
        <v>79.48</v>
      </c>
      <c r="C209">
        <v>79.42</v>
      </c>
      <c r="D209">
        <v>79.52</v>
      </c>
      <c r="E209">
        <v>79.38</v>
      </c>
      <c r="F209" t="s">
        <v>210</v>
      </c>
      <c r="G209" s="2">
        <v>2.5000000000000001E-3</v>
      </c>
    </row>
    <row r="210" spans="1:7" x14ac:dyDescent="0.4">
      <c r="A210" s="1">
        <v>45594</v>
      </c>
      <c r="B210">
        <v>79.5</v>
      </c>
      <c r="C210">
        <v>79.25</v>
      </c>
      <c r="D210">
        <v>79.52</v>
      </c>
      <c r="E210">
        <v>79.23</v>
      </c>
      <c r="F210" t="s">
        <v>211</v>
      </c>
      <c r="G210" s="2">
        <v>2.9999999999999997E-4</v>
      </c>
    </row>
    <row r="211" spans="1:7" x14ac:dyDescent="0.4">
      <c r="A211" s="1">
        <v>45595</v>
      </c>
      <c r="B211">
        <v>79.36</v>
      </c>
      <c r="C211">
        <v>79.489999999999995</v>
      </c>
      <c r="D211">
        <v>79.650000000000006</v>
      </c>
      <c r="E211">
        <v>79.33</v>
      </c>
      <c r="F211" t="s">
        <v>212</v>
      </c>
      <c r="G211" s="2">
        <v>-1.8E-3</v>
      </c>
    </row>
    <row r="212" spans="1:7" x14ac:dyDescent="0.4">
      <c r="A212" s="1">
        <v>45596</v>
      </c>
      <c r="B212">
        <v>79.14</v>
      </c>
      <c r="C212">
        <v>79.38</v>
      </c>
      <c r="D212">
        <v>79.38</v>
      </c>
      <c r="E212">
        <v>79.14</v>
      </c>
      <c r="F212" t="s">
        <v>213</v>
      </c>
      <c r="G212" s="2">
        <v>-2.8E-3</v>
      </c>
    </row>
    <row r="213" spans="1:7" x14ac:dyDescent="0.4">
      <c r="A213" s="1">
        <v>45597</v>
      </c>
      <c r="B213">
        <v>78.75</v>
      </c>
      <c r="C213">
        <v>79.03</v>
      </c>
      <c r="D213">
        <v>79.08</v>
      </c>
      <c r="E213">
        <v>78.73</v>
      </c>
      <c r="F213" t="s">
        <v>214</v>
      </c>
      <c r="G213" s="2">
        <v>-4.8999999999999998E-3</v>
      </c>
    </row>
    <row r="214" spans="1:7" x14ac:dyDescent="0.4">
      <c r="A214" s="1">
        <v>45600</v>
      </c>
      <c r="B214">
        <v>78.97</v>
      </c>
      <c r="C214">
        <v>79.05</v>
      </c>
      <c r="D214">
        <v>79.099999999999994</v>
      </c>
      <c r="E214">
        <v>78.89</v>
      </c>
      <c r="F214" t="s">
        <v>98</v>
      </c>
      <c r="G214" s="2">
        <v>2.8E-3</v>
      </c>
    </row>
    <row r="215" spans="1:7" x14ac:dyDescent="0.4">
      <c r="A215" s="1">
        <v>45601</v>
      </c>
      <c r="B215">
        <v>79.19</v>
      </c>
      <c r="C215">
        <v>78.94</v>
      </c>
      <c r="D215">
        <v>79.2</v>
      </c>
      <c r="E215">
        <v>78.94</v>
      </c>
      <c r="F215" t="s">
        <v>215</v>
      </c>
      <c r="G215" s="2">
        <v>2.8E-3</v>
      </c>
    </row>
    <row r="216" spans="1:7" x14ac:dyDescent="0.4">
      <c r="A216" s="1">
        <v>45602</v>
      </c>
      <c r="B216">
        <v>79.33</v>
      </c>
      <c r="C216">
        <v>79.22</v>
      </c>
      <c r="D216">
        <v>79.36</v>
      </c>
      <c r="E216">
        <v>79.08</v>
      </c>
      <c r="F216" t="s">
        <v>216</v>
      </c>
      <c r="G216" s="2">
        <v>1.8E-3</v>
      </c>
    </row>
    <row r="217" spans="1:7" x14ac:dyDescent="0.4">
      <c r="A217" s="1">
        <v>45603</v>
      </c>
      <c r="B217">
        <v>79.67</v>
      </c>
      <c r="C217">
        <v>79.3</v>
      </c>
      <c r="D217">
        <v>79.7</v>
      </c>
      <c r="E217">
        <v>79.25</v>
      </c>
      <c r="F217" t="s">
        <v>217</v>
      </c>
      <c r="G217" s="2">
        <v>4.3E-3</v>
      </c>
    </row>
    <row r="218" spans="1:7" x14ac:dyDescent="0.4">
      <c r="A218" s="1">
        <v>45604</v>
      </c>
      <c r="B218">
        <v>79.8</v>
      </c>
      <c r="C218">
        <v>79.78</v>
      </c>
      <c r="D218">
        <v>79.83</v>
      </c>
      <c r="E218">
        <v>79.67</v>
      </c>
      <c r="F218" t="s">
        <v>218</v>
      </c>
      <c r="G218" s="2">
        <v>1.6000000000000001E-3</v>
      </c>
    </row>
    <row r="219" spans="1:7" x14ac:dyDescent="0.4">
      <c r="A219" s="1">
        <v>45607</v>
      </c>
      <c r="B219">
        <v>79.709999999999994</v>
      </c>
      <c r="C219">
        <v>79.790000000000006</v>
      </c>
      <c r="D219">
        <v>79.819999999999993</v>
      </c>
      <c r="E219">
        <v>79.709999999999994</v>
      </c>
      <c r="F219" t="s">
        <v>219</v>
      </c>
      <c r="G219" s="2">
        <v>-1.1000000000000001E-3</v>
      </c>
    </row>
    <row r="220" spans="1:7" x14ac:dyDescent="0.4">
      <c r="A220" s="1">
        <v>45608</v>
      </c>
      <c r="B220">
        <v>79.39</v>
      </c>
      <c r="C220">
        <v>79.61</v>
      </c>
      <c r="D220">
        <v>79.7</v>
      </c>
      <c r="E220">
        <v>79.33</v>
      </c>
      <c r="F220" t="s">
        <v>220</v>
      </c>
      <c r="G220" s="2">
        <v>-4.0000000000000001E-3</v>
      </c>
    </row>
    <row r="221" spans="1:7" x14ac:dyDescent="0.4">
      <c r="A221" s="1">
        <v>45609</v>
      </c>
      <c r="B221">
        <v>79.41</v>
      </c>
      <c r="C221">
        <v>79.59</v>
      </c>
      <c r="D221">
        <v>79.599999999999994</v>
      </c>
      <c r="E221">
        <v>79.38</v>
      </c>
      <c r="F221" t="s">
        <v>221</v>
      </c>
      <c r="G221" s="2">
        <v>2.9999999999999997E-4</v>
      </c>
    </row>
    <row r="222" spans="1:7" x14ac:dyDescent="0.4">
      <c r="A222" s="1">
        <v>45610</v>
      </c>
      <c r="B222">
        <v>79.239999999999995</v>
      </c>
      <c r="C222">
        <v>79.459999999999994</v>
      </c>
      <c r="D222">
        <v>79.53</v>
      </c>
      <c r="E222">
        <v>79.239999999999995</v>
      </c>
      <c r="F222" t="s">
        <v>138</v>
      </c>
      <c r="G222" s="2">
        <v>-2.0999999999999999E-3</v>
      </c>
    </row>
    <row r="223" spans="1:7" x14ac:dyDescent="0.4">
      <c r="A223" s="1">
        <v>45611</v>
      </c>
      <c r="B223">
        <v>79.23</v>
      </c>
      <c r="C223">
        <v>79.19</v>
      </c>
      <c r="D223">
        <v>79.28</v>
      </c>
      <c r="E223">
        <v>79.05</v>
      </c>
      <c r="F223" t="s">
        <v>222</v>
      </c>
      <c r="G223" s="2">
        <v>-1E-4</v>
      </c>
    </row>
    <row r="224" spans="1:7" x14ac:dyDescent="0.4">
      <c r="A224" s="1">
        <v>45614</v>
      </c>
      <c r="B224">
        <v>79.38</v>
      </c>
      <c r="C224">
        <v>79.27</v>
      </c>
      <c r="D224">
        <v>79.39</v>
      </c>
      <c r="E224">
        <v>79.19</v>
      </c>
      <c r="F224" t="s">
        <v>223</v>
      </c>
      <c r="G224" s="2">
        <v>1.9E-3</v>
      </c>
    </row>
    <row r="225" spans="1:7" x14ac:dyDescent="0.4">
      <c r="A225" s="1">
        <v>45615</v>
      </c>
      <c r="B225">
        <v>79.5</v>
      </c>
      <c r="C225">
        <v>79.319999999999993</v>
      </c>
      <c r="D225">
        <v>79.569999999999993</v>
      </c>
      <c r="E225">
        <v>79.3</v>
      </c>
      <c r="F225" t="s">
        <v>224</v>
      </c>
      <c r="G225" s="2">
        <v>1.5E-3</v>
      </c>
    </row>
    <row r="226" spans="1:7" x14ac:dyDescent="0.4">
      <c r="A226" s="1">
        <v>45616</v>
      </c>
      <c r="B226">
        <v>79.48</v>
      </c>
      <c r="C226">
        <v>79.489999999999995</v>
      </c>
      <c r="D226">
        <v>79.5</v>
      </c>
      <c r="E226">
        <v>79.39</v>
      </c>
      <c r="F226" t="s">
        <v>225</v>
      </c>
      <c r="G226" s="2">
        <v>-2.9999999999999997E-4</v>
      </c>
    </row>
    <row r="227" spans="1:7" x14ac:dyDescent="0.4">
      <c r="A227" s="1">
        <v>45617</v>
      </c>
      <c r="B227">
        <v>79.510000000000005</v>
      </c>
      <c r="C227">
        <v>79.540000000000006</v>
      </c>
      <c r="D227">
        <v>79.64</v>
      </c>
      <c r="E227">
        <v>79.47</v>
      </c>
      <c r="F227" t="s">
        <v>226</v>
      </c>
      <c r="G227" s="2">
        <v>4.0000000000000002E-4</v>
      </c>
    </row>
    <row r="228" spans="1:7" x14ac:dyDescent="0.4">
      <c r="A228" s="1">
        <v>45618</v>
      </c>
      <c r="B228">
        <v>79.489999999999995</v>
      </c>
      <c r="C228">
        <v>79.5</v>
      </c>
      <c r="D228">
        <v>79.59</v>
      </c>
      <c r="E228">
        <v>79.45</v>
      </c>
      <c r="F228" t="s">
        <v>227</v>
      </c>
      <c r="G228" s="2">
        <v>-2.9999999999999997E-4</v>
      </c>
    </row>
    <row r="229" spans="1:7" x14ac:dyDescent="0.4">
      <c r="A229" s="1">
        <v>45621</v>
      </c>
      <c r="B229">
        <v>79.790000000000006</v>
      </c>
      <c r="C229">
        <v>79.72</v>
      </c>
      <c r="D229">
        <v>79.849999999999994</v>
      </c>
      <c r="E229">
        <v>79.72</v>
      </c>
      <c r="F229" t="s">
        <v>228</v>
      </c>
      <c r="G229" s="2">
        <v>3.8E-3</v>
      </c>
    </row>
    <row r="230" spans="1:7" x14ac:dyDescent="0.4">
      <c r="A230" s="1">
        <v>45622</v>
      </c>
      <c r="B230">
        <v>79.64</v>
      </c>
      <c r="C230">
        <v>79.8</v>
      </c>
      <c r="D230">
        <v>79.8</v>
      </c>
      <c r="E230">
        <v>79.569999999999993</v>
      </c>
      <c r="F230" t="s">
        <v>229</v>
      </c>
      <c r="G230" s="2">
        <v>-1.9E-3</v>
      </c>
    </row>
    <row r="231" spans="1:7" x14ac:dyDescent="0.4">
      <c r="A231" s="1">
        <v>45623</v>
      </c>
      <c r="B231">
        <v>79.88</v>
      </c>
      <c r="C231">
        <v>79.709999999999994</v>
      </c>
      <c r="D231">
        <v>79.88</v>
      </c>
      <c r="E231">
        <v>79.69</v>
      </c>
      <c r="F231" t="s">
        <v>230</v>
      </c>
      <c r="G231" s="2">
        <v>3.0000000000000001E-3</v>
      </c>
    </row>
    <row r="232" spans="1:7" x14ac:dyDescent="0.4">
      <c r="A232" s="1">
        <v>45625</v>
      </c>
      <c r="B232">
        <v>80.040000000000006</v>
      </c>
      <c r="C232">
        <v>80.010000000000005</v>
      </c>
      <c r="D232">
        <v>80.069999999999993</v>
      </c>
      <c r="E232">
        <v>79.89</v>
      </c>
      <c r="F232" t="s">
        <v>231</v>
      </c>
      <c r="G232" s="2">
        <v>2E-3</v>
      </c>
    </row>
    <row r="233" spans="1:7" x14ac:dyDescent="0.4">
      <c r="A233" s="1">
        <v>45628</v>
      </c>
      <c r="B233">
        <v>79.650000000000006</v>
      </c>
      <c r="C233">
        <v>79.930000000000007</v>
      </c>
      <c r="D233">
        <v>79.930000000000007</v>
      </c>
      <c r="E233">
        <v>79.53</v>
      </c>
      <c r="F233" t="s">
        <v>232</v>
      </c>
      <c r="G233" s="2">
        <v>-4.8999999999999998E-3</v>
      </c>
    </row>
    <row r="234" spans="1:7" x14ac:dyDescent="0.4">
      <c r="A234" s="1">
        <v>45629</v>
      </c>
      <c r="B234">
        <v>79.650000000000006</v>
      </c>
      <c r="C234">
        <v>79.72</v>
      </c>
      <c r="D234">
        <v>79.739999999999995</v>
      </c>
      <c r="E234">
        <v>79.61</v>
      </c>
      <c r="F234" t="s">
        <v>233</v>
      </c>
      <c r="G234" s="2">
        <v>0</v>
      </c>
    </row>
    <row r="235" spans="1:7" x14ac:dyDescent="0.4">
      <c r="A235" s="1">
        <v>45630</v>
      </c>
      <c r="B235">
        <v>79.84</v>
      </c>
      <c r="C235">
        <v>79.709999999999994</v>
      </c>
      <c r="D235">
        <v>79.84</v>
      </c>
      <c r="E235">
        <v>79.64</v>
      </c>
      <c r="F235" t="s">
        <v>234</v>
      </c>
      <c r="G235" s="2">
        <v>2.3999999999999998E-3</v>
      </c>
    </row>
    <row r="236" spans="1:7" x14ac:dyDescent="0.4">
      <c r="A236" s="1">
        <v>45631</v>
      </c>
      <c r="B236">
        <v>79.77</v>
      </c>
      <c r="C236">
        <v>79.790000000000006</v>
      </c>
      <c r="D236">
        <v>79.819999999999993</v>
      </c>
      <c r="E236">
        <v>79.709999999999994</v>
      </c>
      <c r="F236" t="s">
        <v>235</v>
      </c>
      <c r="G236" s="2">
        <v>-8.9999999999999998E-4</v>
      </c>
    </row>
    <row r="237" spans="1:7" x14ac:dyDescent="0.4">
      <c r="A237" s="1">
        <v>45632</v>
      </c>
      <c r="B237">
        <v>79.900000000000006</v>
      </c>
      <c r="C237">
        <v>79.89</v>
      </c>
      <c r="D237">
        <v>80</v>
      </c>
      <c r="E237">
        <v>79.849999999999994</v>
      </c>
      <c r="F237" t="s">
        <v>236</v>
      </c>
      <c r="G237" s="2">
        <v>1.6000000000000001E-3</v>
      </c>
    </row>
    <row r="238" spans="1:7" x14ac:dyDescent="0.4">
      <c r="A238" s="1">
        <v>45635</v>
      </c>
      <c r="B238">
        <v>79.8</v>
      </c>
      <c r="C238">
        <v>79.900000000000006</v>
      </c>
      <c r="D238">
        <v>79.94</v>
      </c>
      <c r="E238">
        <v>79.78</v>
      </c>
      <c r="F238" t="s">
        <v>237</v>
      </c>
      <c r="G238" s="2">
        <v>-1.2999999999999999E-3</v>
      </c>
    </row>
    <row r="239" spans="1:7" x14ac:dyDescent="0.4">
      <c r="A239" s="1">
        <v>45636</v>
      </c>
      <c r="B239">
        <v>79.84</v>
      </c>
      <c r="C239">
        <v>79.94</v>
      </c>
      <c r="D239">
        <v>79.94</v>
      </c>
      <c r="E239">
        <v>79.739999999999995</v>
      </c>
      <c r="F239" t="s">
        <v>238</v>
      </c>
      <c r="G239" s="2">
        <v>5.0000000000000001E-4</v>
      </c>
    </row>
    <row r="240" spans="1:7" x14ac:dyDescent="0.4">
      <c r="A240" s="1">
        <v>45637</v>
      </c>
      <c r="B240">
        <v>79.86</v>
      </c>
      <c r="C240">
        <v>79.94</v>
      </c>
      <c r="D240">
        <v>79.95</v>
      </c>
      <c r="E240">
        <v>79.83</v>
      </c>
      <c r="F240" t="s">
        <v>239</v>
      </c>
      <c r="G240" s="2">
        <v>2.9999999999999997E-4</v>
      </c>
    </row>
    <row r="241" spans="1:7" x14ac:dyDescent="0.4">
      <c r="A241" s="1">
        <v>45638</v>
      </c>
      <c r="B241">
        <v>79.64</v>
      </c>
      <c r="C241">
        <v>79.81</v>
      </c>
      <c r="D241">
        <v>79.989999999999995</v>
      </c>
      <c r="E241">
        <v>79.63</v>
      </c>
      <c r="F241" t="s">
        <v>240</v>
      </c>
      <c r="G241" s="2">
        <v>-2.8E-3</v>
      </c>
    </row>
    <row r="242" spans="1:7" x14ac:dyDescent="0.4">
      <c r="A242" s="1">
        <v>45639</v>
      </c>
      <c r="B242">
        <v>79.41</v>
      </c>
      <c r="C242">
        <v>79.709999999999994</v>
      </c>
      <c r="D242">
        <v>79.709999999999994</v>
      </c>
      <c r="E242">
        <v>79.38</v>
      </c>
      <c r="F242" t="s">
        <v>241</v>
      </c>
      <c r="G242" s="2">
        <v>-2.8999999999999998E-3</v>
      </c>
    </row>
    <row r="243" spans="1:7" x14ac:dyDescent="0.4">
      <c r="A243" s="1">
        <v>45642</v>
      </c>
      <c r="B243">
        <v>79.56</v>
      </c>
      <c r="C243">
        <v>79.55</v>
      </c>
      <c r="D243">
        <v>79.62</v>
      </c>
      <c r="E243">
        <v>79.48</v>
      </c>
      <c r="F243" t="s">
        <v>242</v>
      </c>
      <c r="G243" s="2">
        <v>1.9E-3</v>
      </c>
    </row>
    <row r="244" spans="1:7" x14ac:dyDescent="0.4">
      <c r="A244" s="1">
        <v>45643</v>
      </c>
      <c r="B244">
        <v>79.39</v>
      </c>
      <c r="C244">
        <v>79.41</v>
      </c>
      <c r="D244">
        <v>79.5</v>
      </c>
      <c r="E244">
        <v>79.39</v>
      </c>
      <c r="F244" t="s">
        <v>243</v>
      </c>
      <c r="G244" s="2">
        <v>-2.0999999999999999E-3</v>
      </c>
    </row>
    <row r="245" spans="1:7" x14ac:dyDescent="0.4">
      <c r="A245" s="1">
        <v>45644</v>
      </c>
      <c r="B245">
        <v>78.17</v>
      </c>
      <c r="C245">
        <v>79.14</v>
      </c>
      <c r="D245">
        <v>79.14</v>
      </c>
      <c r="E245">
        <v>78.150000000000006</v>
      </c>
      <c r="F245" t="s">
        <v>244</v>
      </c>
      <c r="G245" s="2">
        <v>-1.54E-2</v>
      </c>
    </row>
    <row r="246" spans="1:7" x14ac:dyDescent="0.4">
      <c r="A246" s="1">
        <v>45645</v>
      </c>
      <c r="B246">
        <v>78.09</v>
      </c>
      <c r="C246">
        <v>78.45</v>
      </c>
      <c r="D246">
        <v>78.510000000000005</v>
      </c>
      <c r="E246">
        <v>78.09</v>
      </c>
      <c r="F246" t="s">
        <v>245</v>
      </c>
      <c r="G246" s="2">
        <v>-1E-3</v>
      </c>
    </row>
    <row r="247" spans="1:7" x14ac:dyDescent="0.4">
      <c r="A247" s="1">
        <v>45646</v>
      </c>
      <c r="B247">
        <v>78.58</v>
      </c>
      <c r="C247">
        <v>78</v>
      </c>
      <c r="D247">
        <v>78.67</v>
      </c>
      <c r="E247">
        <v>78</v>
      </c>
      <c r="F247" t="s">
        <v>246</v>
      </c>
      <c r="G247" s="2">
        <v>6.3E-3</v>
      </c>
    </row>
    <row r="248" spans="1:7" x14ac:dyDescent="0.4">
      <c r="A248" s="1">
        <v>45649</v>
      </c>
      <c r="B248">
        <v>78.37</v>
      </c>
      <c r="C248">
        <v>78.650000000000006</v>
      </c>
      <c r="D248">
        <v>78.69</v>
      </c>
      <c r="E248">
        <v>78.37</v>
      </c>
      <c r="F248" t="s">
        <v>247</v>
      </c>
      <c r="G248" s="2">
        <v>-2.7000000000000001E-3</v>
      </c>
    </row>
    <row r="249" spans="1:7" x14ac:dyDescent="0.4">
      <c r="A249" s="1">
        <v>45650</v>
      </c>
      <c r="B249">
        <v>78.62</v>
      </c>
      <c r="C249">
        <v>78.400000000000006</v>
      </c>
      <c r="D249">
        <v>78.64</v>
      </c>
      <c r="E249">
        <v>78.349999999999994</v>
      </c>
      <c r="F249" t="s">
        <v>248</v>
      </c>
      <c r="G249" s="2">
        <v>3.2000000000000002E-3</v>
      </c>
    </row>
    <row r="250" spans="1:7" x14ac:dyDescent="0.4">
      <c r="A250" s="1">
        <v>45652</v>
      </c>
      <c r="B250">
        <v>78.819999999999993</v>
      </c>
      <c r="C250">
        <v>78.510000000000005</v>
      </c>
      <c r="D250">
        <v>78.819999999999993</v>
      </c>
      <c r="E250">
        <v>78.47</v>
      </c>
      <c r="F250" t="s">
        <v>249</v>
      </c>
      <c r="G250" s="2">
        <v>2.5000000000000001E-3</v>
      </c>
    </row>
    <row r="251" spans="1:7" x14ac:dyDescent="0.4">
      <c r="A251" s="1">
        <v>45653</v>
      </c>
      <c r="B251">
        <v>78.55</v>
      </c>
      <c r="C251">
        <v>78.739999999999995</v>
      </c>
      <c r="D251">
        <v>78.760000000000005</v>
      </c>
      <c r="E251">
        <v>78.53</v>
      </c>
      <c r="F251" t="s">
        <v>250</v>
      </c>
      <c r="G251" s="2">
        <v>-3.3999999999999998E-3</v>
      </c>
    </row>
    <row r="252" spans="1:7" x14ac:dyDescent="0.4">
      <c r="A252" s="1">
        <v>45656</v>
      </c>
      <c r="B252">
        <v>78.66</v>
      </c>
      <c r="C252">
        <v>78.58</v>
      </c>
      <c r="D252">
        <v>78.739999999999995</v>
      </c>
      <c r="E252">
        <v>78.5</v>
      </c>
      <c r="F252" t="s">
        <v>251</v>
      </c>
      <c r="G252" s="2">
        <v>1.4E-3</v>
      </c>
    </row>
    <row r="253" spans="1:7" x14ac:dyDescent="0.4">
      <c r="A253" s="1">
        <v>45657</v>
      </c>
      <c r="B253">
        <v>78.650000000000006</v>
      </c>
      <c r="C253">
        <v>78.78</v>
      </c>
      <c r="D253">
        <v>78.84</v>
      </c>
      <c r="E253">
        <v>78.55</v>
      </c>
      <c r="F253" t="s">
        <v>101</v>
      </c>
      <c r="G253" s="2">
        <v>-1E-4</v>
      </c>
    </row>
    <row r="254" spans="1:7" x14ac:dyDescent="0.4">
      <c r="A254" s="1">
        <v>45659</v>
      </c>
      <c r="B254">
        <v>78.84</v>
      </c>
      <c r="C254">
        <v>78.88</v>
      </c>
      <c r="D254">
        <v>78.95</v>
      </c>
      <c r="E254">
        <v>78.72</v>
      </c>
      <c r="F254" t="s">
        <v>129</v>
      </c>
      <c r="G254" s="2">
        <v>2.3999999999999998E-3</v>
      </c>
    </row>
    <row r="255" spans="1:7" x14ac:dyDescent="0.4">
      <c r="A255" s="1">
        <v>45660</v>
      </c>
      <c r="B255">
        <v>78.959999999999994</v>
      </c>
      <c r="C255">
        <v>78.989999999999995</v>
      </c>
      <c r="D255">
        <v>79.03</v>
      </c>
      <c r="E255">
        <v>78.930000000000007</v>
      </c>
      <c r="F255" t="s">
        <v>252</v>
      </c>
      <c r="G255" s="2">
        <v>1.5E-3</v>
      </c>
    </row>
    <row r="256" spans="1:7" x14ac:dyDescent="0.4">
      <c r="A256" s="1">
        <v>45663</v>
      </c>
      <c r="B256">
        <v>79.099999999999994</v>
      </c>
      <c r="C256">
        <v>79.150000000000006</v>
      </c>
      <c r="D256">
        <v>79.19</v>
      </c>
      <c r="E256">
        <v>79.010000000000005</v>
      </c>
      <c r="F256" t="s">
        <v>253</v>
      </c>
      <c r="G256" s="2">
        <v>1.8E-3</v>
      </c>
    </row>
    <row r="257" spans="1:7" x14ac:dyDescent="0.4">
      <c r="A257" s="1">
        <v>45664</v>
      </c>
      <c r="B257">
        <v>78.84</v>
      </c>
      <c r="C257">
        <v>79.14</v>
      </c>
      <c r="D257">
        <v>79.22</v>
      </c>
      <c r="E257">
        <v>78.819999999999993</v>
      </c>
      <c r="F257" t="s">
        <v>254</v>
      </c>
      <c r="G257" s="2">
        <v>-3.3E-3</v>
      </c>
    </row>
    <row r="258" spans="1:7" x14ac:dyDescent="0.4">
      <c r="A258" s="1">
        <v>45665</v>
      </c>
      <c r="B258">
        <v>78.94</v>
      </c>
      <c r="C258">
        <v>78.849999999999994</v>
      </c>
      <c r="D258">
        <v>78.989999999999995</v>
      </c>
      <c r="E258">
        <v>78.760000000000005</v>
      </c>
      <c r="F258" t="s">
        <v>255</v>
      </c>
      <c r="G258" s="2">
        <v>1.2999999999999999E-3</v>
      </c>
    </row>
    <row r="259" spans="1:7" x14ac:dyDescent="0.4">
      <c r="A259" s="1">
        <v>45667</v>
      </c>
      <c r="B259">
        <v>78.53</v>
      </c>
      <c r="C259">
        <v>78.8</v>
      </c>
      <c r="D259">
        <v>78.8</v>
      </c>
      <c r="E259">
        <v>78.5</v>
      </c>
      <c r="F259" t="s">
        <v>256</v>
      </c>
      <c r="G259" s="2">
        <v>-5.1999999999999998E-3</v>
      </c>
    </row>
    <row r="260" spans="1:7" x14ac:dyDescent="0.4">
      <c r="A260" s="1">
        <v>45670</v>
      </c>
      <c r="B260">
        <v>78.510000000000005</v>
      </c>
      <c r="C260">
        <v>78.489999999999995</v>
      </c>
      <c r="D260">
        <v>78.56</v>
      </c>
      <c r="E260">
        <v>78.37</v>
      </c>
      <c r="F260" t="s">
        <v>257</v>
      </c>
      <c r="G260" s="2">
        <v>-2.9999999999999997E-4</v>
      </c>
    </row>
    <row r="261" spans="1:7" x14ac:dyDescent="0.4">
      <c r="A261" s="1">
        <v>45671</v>
      </c>
      <c r="B261">
        <v>78.61</v>
      </c>
      <c r="C261">
        <v>78.69</v>
      </c>
      <c r="D261">
        <v>78.73</v>
      </c>
      <c r="E261">
        <v>78.55</v>
      </c>
      <c r="F261" t="s">
        <v>258</v>
      </c>
      <c r="G261" s="2">
        <v>1.2999999999999999E-3</v>
      </c>
    </row>
    <row r="262" spans="1:7" x14ac:dyDescent="0.4">
      <c r="A262" s="1">
        <v>45672</v>
      </c>
      <c r="B262">
        <v>79.3</v>
      </c>
      <c r="C262">
        <v>79.16</v>
      </c>
      <c r="D262">
        <v>79.31</v>
      </c>
      <c r="E262">
        <v>79.06</v>
      </c>
      <c r="F262" t="s">
        <v>259</v>
      </c>
      <c r="G262" s="2">
        <v>8.8000000000000005E-3</v>
      </c>
    </row>
    <row r="263" spans="1:7" x14ac:dyDescent="0.4">
      <c r="A263" s="1">
        <v>45673</v>
      </c>
      <c r="B263">
        <v>79.39</v>
      </c>
      <c r="C263">
        <v>79.209999999999994</v>
      </c>
      <c r="D263">
        <v>79.41</v>
      </c>
      <c r="E263">
        <v>79.12</v>
      </c>
      <c r="F263" t="s">
        <v>260</v>
      </c>
      <c r="G263" s="2">
        <v>1.1000000000000001E-3</v>
      </c>
    </row>
    <row r="264" spans="1:7" x14ac:dyDescent="0.4">
      <c r="A264" s="1">
        <v>45674</v>
      </c>
      <c r="B264">
        <v>79.459999999999994</v>
      </c>
      <c r="C264">
        <v>79.489999999999995</v>
      </c>
      <c r="D264">
        <v>79.52</v>
      </c>
      <c r="E264">
        <v>79.39</v>
      </c>
      <c r="F264" t="s">
        <v>92</v>
      </c>
      <c r="G264" s="2">
        <v>8.9999999999999998E-4</v>
      </c>
    </row>
    <row r="265" spans="1:7" x14ac:dyDescent="0.4">
      <c r="A265" s="1">
        <v>45678</v>
      </c>
      <c r="B265">
        <v>79.67</v>
      </c>
      <c r="C265">
        <v>79.61</v>
      </c>
      <c r="D265">
        <v>79.7</v>
      </c>
      <c r="E265">
        <v>79.599999999999994</v>
      </c>
      <c r="F265" t="s">
        <v>261</v>
      </c>
      <c r="G265" s="2">
        <v>2.5999999999999999E-3</v>
      </c>
    </row>
    <row r="266" spans="1:7" x14ac:dyDescent="0.4">
      <c r="A266" s="1">
        <v>45679</v>
      </c>
      <c r="B266">
        <v>79.56</v>
      </c>
      <c r="C266">
        <v>79.7</v>
      </c>
      <c r="D266">
        <v>79.72</v>
      </c>
      <c r="E266">
        <v>79.52</v>
      </c>
      <c r="F266" t="s">
        <v>262</v>
      </c>
      <c r="G266" s="2">
        <v>-1.4E-3</v>
      </c>
    </row>
    <row r="267" spans="1:7" x14ac:dyDescent="0.4">
      <c r="A267" s="1">
        <v>45680</v>
      </c>
      <c r="B267">
        <v>79.66</v>
      </c>
      <c r="C267">
        <v>79.52</v>
      </c>
      <c r="D267">
        <v>79.67</v>
      </c>
      <c r="E267">
        <v>79.44</v>
      </c>
      <c r="F267" t="s">
        <v>263</v>
      </c>
      <c r="G267" s="2">
        <v>1.2999999999999999E-3</v>
      </c>
    </row>
    <row r="268" spans="1:7" x14ac:dyDescent="0.4">
      <c r="A268" s="1">
        <v>45681</v>
      </c>
      <c r="B268">
        <v>79.75</v>
      </c>
      <c r="C268">
        <v>79.7</v>
      </c>
      <c r="D268">
        <v>79.83</v>
      </c>
      <c r="E268">
        <v>79.650000000000006</v>
      </c>
      <c r="F268" t="s">
        <v>264</v>
      </c>
      <c r="G268" s="2">
        <v>1.1000000000000001E-3</v>
      </c>
    </row>
    <row r="269" spans="1:7" x14ac:dyDescent="0.4">
      <c r="A269" s="1">
        <v>45684</v>
      </c>
      <c r="B269">
        <v>79.81</v>
      </c>
      <c r="C269">
        <v>79.67</v>
      </c>
      <c r="D269">
        <v>79.86</v>
      </c>
      <c r="E269">
        <v>79.61</v>
      </c>
      <c r="F269" t="s">
        <v>265</v>
      </c>
      <c r="G269" s="2">
        <v>8.0000000000000004E-4</v>
      </c>
    </row>
    <row r="270" spans="1:7" x14ac:dyDescent="0.4">
      <c r="A270" s="1">
        <v>45685</v>
      </c>
      <c r="B270">
        <v>79.78</v>
      </c>
      <c r="C270">
        <v>79.77</v>
      </c>
      <c r="D270">
        <v>79.81</v>
      </c>
      <c r="E270">
        <v>79.67</v>
      </c>
      <c r="F270" t="s">
        <v>266</v>
      </c>
      <c r="G270" s="2">
        <v>-4.0000000000000002E-4</v>
      </c>
    </row>
    <row r="271" spans="1:7" x14ac:dyDescent="0.4">
      <c r="A271" s="1">
        <v>45686</v>
      </c>
      <c r="B271">
        <v>79.73</v>
      </c>
      <c r="C271">
        <v>79.760000000000005</v>
      </c>
      <c r="D271">
        <v>79.83</v>
      </c>
      <c r="E271">
        <v>79.62</v>
      </c>
      <c r="F271" t="s">
        <v>267</v>
      </c>
      <c r="G271" s="2">
        <v>-5.9999999999999995E-4</v>
      </c>
    </row>
    <row r="272" spans="1:7" x14ac:dyDescent="0.4">
      <c r="A272" s="1">
        <v>45687</v>
      </c>
      <c r="B272">
        <v>79.88</v>
      </c>
      <c r="C272">
        <v>79.94</v>
      </c>
      <c r="D272">
        <v>79.94</v>
      </c>
      <c r="E272">
        <v>79.790000000000006</v>
      </c>
      <c r="F272" t="s">
        <v>86</v>
      </c>
      <c r="G272" s="2">
        <v>1.9E-3</v>
      </c>
    </row>
    <row r="273" spans="1:7" x14ac:dyDescent="0.4">
      <c r="A273" s="1">
        <v>45688</v>
      </c>
      <c r="B273">
        <v>79.72</v>
      </c>
      <c r="C273">
        <v>79.900000000000006</v>
      </c>
      <c r="D273">
        <v>79.97</v>
      </c>
      <c r="E273">
        <v>79.67</v>
      </c>
      <c r="F273" t="s">
        <v>268</v>
      </c>
      <c r="G273" s="2">
        <v>-2E-3</v>
      </c>
    </row>
    <row r="274" spans="1:7" x14ac:dyDescent="0.4">
      <c r="A274" s="1">
        <v>45691</v>
      </c>
      <c r="B274">
        <v>79.260000000000005</v>
      </c>
      <c r="C274">
        <v>79.17</v>
      </c>
      <c r="D274">
        <v>79.37</v>
      </c>
      <c r="E274">
        <v>79.040000000000006</v>
      </c>
      <c r="F274" t="s">
        <v>269</v>
      </c>
      <c r="G274" s="2">
        <v>-5.7999999999999996E-3</v>
      </c>
    </row>
    <row r="275" spans="1:7" x14ac:dyDescent="0.4">
      <c r="A275" s="1">
        <v>45692</v>
      </c>
      <c r="B275">
        <v>79.510000000000005</v>
      </c>
      <c r="C275">
        <v>79.3</v>
      </c>
      <c r="D275">
        <v>79.510000000000005</v>
      </c>
      <c r="E275">
        <v>79.23</v>
      </c>
      <c r="F275" t="s">
        <v>270</v>
      </c>
      <c r="G275" s="2">
        <v>3.2000000000000002E-3</v>
      </c>
    </row>
    <row r="276" spans="1:7" x14ac:dyDescent="0.4">
      <c r="A276" s="1">
        <v>45693</v>
      </c>
      <c r="B276">
        <v>79.72</v>
      </c>
      <c r="C276">
        <v>79.540000000000006</v>
      </c>
      <c r="D276">
        <v>79.77</v>
      </c>
      <c r="E276">
        <v>79.540000000000006</v>
      </c>
      <c r="F276" t="s">
        <v>271</v>
      </c>
      <c r="G276" s="2">
        <v>2.5999999999999999E-3</v>
      </c>
    </row>
    <row r="277" spans="1:7" x14ac:dyDescent="0.4">
      <c r="A277" s="1">
        <v>45694</v>
      </c>
      <c r="B277">
        <v>79.599999999999994</v>
      </c>
      <c r="C277">
        <v>79.72</v>
      </c>
      <c r="D277">
        <v>79.790000000000006</v>
      </c>
      <c r="E277">
        <v>79.58</v>
      </c>
      <c r="F277" t="s">
        <v>272</v>
      </c>
      <c r="G277" s="2">
        <v>-1.5E-3</v>
      </c>
    </row>
    <row r="278" spans="1:7" x14ac:dyDescent="0.4">
      <c r="A278" s="1">
        <v>45695</v>
      </c>
      <c r="B278">
        <v>79.349999999999994</v>
      </c>
      <c r="C278">
        <v>79.56</v>
      </c>
      <c r="D278">
        <v>79.58</v>
      </c>
      <c r="E278">
        <v>79.34</v>
      </c>
      <c r="F278" t="s">
        <v>273</v>
      </c>
      <c r="G278" s="2">
        <v>-3.0999999999999999E-3</v>
      </c>
    </row>
    <row r="279" spans="1:7" x14ac:dyDescent="0.4">
      <c r="A279" s="1">
        <v>45698</v>
      </c>
      <c r="B279">
        <v>79.510000000000005</v>
      </c>
      <c r="C279">
        <v>79.540000000000006</v>
      </c>
      <c r="D279">
        <v>79.59</v>
      </c>
      <c r="E279">
        <v>79.47</v>
      </c>
      <c r="F279" t="s">
        <v>274</v>
      </c>
      <c r="G279" s="2">
        <v>2E-3</v>
      </c>
    </row>
    <row r="280" spans="1:7" x14ac:dyDescent="0.4">
      <c r="A280" s="1">
        <v>45699</v>
      </c>
      <c r="B280">
        <v>79.48</v>
      </c>
      <c r="C280">
        <v>79.53</v>
      </c>
      <c r="D280">
        <v>79.53</v>
      </c>
      <c r="E280">
        <v>79.400000000000006</v>
      </c>
      <c r="F280" t="s">
        <v>275</v>
      </c>
      <c r="G280" s="2">
        <v>-4.0000000000000002E-4</v>
      </c>
    </row>
    <row r="281" spans="1:7" x14ac:dyDescent="0.4">
      <c r="A281" s="1">
        <v>45700</v>
      </c>
      <c r="B281">
        <v>79.31</v>
      </c>
      <c r="C281">
        <v>79.209999999999994</v>
      </c>
      <c r="D281">
        <v>79.430000000000007</v>
      </c>
      <c r="E281">
        <v>79.150000000000006</v>
      </c>
      <c r="F281" t="s">
        <v>276</v>
      </c>
      <c r="G281" s="2">
        <v>-2.0999999999999999E-3</v>
      </c>
    </row>
    <row r="282" spans="1:7" x14ac:dyDescent="0.4">
      <c r="A282" s="1">
        <v>45701</v>
      </c>
      <c r="B282">
        <v>79.67</v>
      </c>
      <c r="C282">
        <v>79.430000000000007</v>
      </c>
      <c r="D282">
        <v>79.7</v>
      </c>
      <c r="E282">
        <v>79.38</v>
      </c>
      <c r="F282" t="s">
        <v>277</v>
      </c>
      <c r="G282" s="2">
        <v>4.4999999999999997E-3</v>
      </c>
    </row>
    <row r="283" spans="1:7" x14ac:dyDescent="0.4">
      <c r="A283" s="1">
        <v>45702</v>
      </c>
      <c r="B283">
        <v>79.760000000000005</v>
      </c>
      <c r="C283">
        <v>79.790000000000006</v>
      </c>
      <c r="D283">
        <v>79.89</v>
      </c>
      <c r="E283">
        <v>79.72</v>
      </c>
      <c r="F283" t="s">
        <v>278</v>
      </c>
      <c r="G283" s="2">
        <v>1.1000000000000001E-3</v>
      </c>
    </row>
    <row r="284" spans="1:7" x14ac:dyDescent="0.4">
      <c r="A284" s="1">
        <v>45706</v>
      </c>
      <c r="B284">
        <v>79.69</v>
      </c>
      <c r="C284">
        <v>79.75</v>
      </c>
      <c r="D284">
        <v>79.81</v>
      </c>
      <c r="E284">
        <v>79.64</v>
      </c>
      <c r="F284" t="s">
        <v>279</v>
      </c>
      <c r="G284" s="2">
        <v>-8.9999999999999998E-4</v>
      </c>
    </row>
    <row r="285" spans="1:7" x14ac:dyDescent="0.4">
      <c r="A285" s="1">
        <v>45707</v>
      </c>
      <c r="B285">
        <v>79.75</v>
      </c>
      <c r="C285">
        <v>79.64</v>
      </c>
      <c r="D285">
        <v>79.760000000000005</v>
      </c>
      <c r="E285">
        <v>79.56</v>
      </c>
      <c r="F285" t="s">
        <v>280</v>
      </c>
      <c r="G285" s="2">
        <v>8.0000000000000004E-4</v>
      </c>
    </row>
    <row r="286" spans="1:7" x14ac:dyDescent="0.4">
      <c r="A286" s="1">
        <v>45708</v>
      </c>
      <c r="B286">
        <v>79.8</v>
      </c>
      <c r="C286">
        <v>79.739999999999995</v>
      </c>
      <c r="D286">
        <v>79.819999999999993</v>
      </c>
      <c r="E286">
        <v>79.680000000000007</v>
      </c>
      <c r="F286" t="s">
        <v>281</v>
      </c>
      <c r="G286" s="2">
        <v>5.9999999999999995E-4</v>
      </c>
    </row>
    <row r="287" spans="1:7" x14ac:dyDescent="0.4">
      <c r="A287" s="1">
        <v>45709</v>
      </c>
      <c r="B287">
        <v>79.650000000000006</v>
      </c>
      <c r="C287">
        <v>79.77</v>
      </c>
      <c r="D287">
        <v>79.86</v>
      </c>
      <c r="E287">
        <v>79.650000000000006</v>
      </c>
      <c r="F287" t="s">
        <v>282</v>
      </c>
      <c r="G287" s="2">
        <v>-1.9E-3</v>
      </c>
    </row>
    <row r="288" spans="1:7" x14ac:dyDescent="0.4">
      <c r="A288" s="1">
        <v>45712</v>
      </c>
      <c r="B288">
        <v>79.75</v>
      </c>
      <c r="C288">
        <v>79.67</v>
      </c>
      <c r="D288">
        <v>79.84</v>
      </c>
      <c r="E288">
        <v>79.64</v>
      </c>
      <c r="F288" t="s">
        <v>283</v>
      </c>
      <c r="G288" s="2">
        <v>1.2999999999999999E-3</v>
      </c>
    </row>
    <row r="289" spans="1:7" x14ac:dyDescent="0.4">
      <c r="A289" s="1">
        <v>45713</v>
      </c>
      <c r="B289">
        <v>79.95</v>
      </c>
      <c r="C289">
        <v>79.95</v>
      </c>
      <c r="D289">
        <v>79.98</v>
      </c>
      <c r="E289">
        <v>79.84</v>
      </c>
      <c r="F289" t="s">
        <v>284</v>
      </c>
      <c r="G289" s="2">
        <v>2.5000000000000001E-3</v>
      </c>
    </row>
    <row r="290" spans="1:7" x14ac:dyDescent="0.4">
      <c r="A290" s="1">
        <v>45714</v>
      </c>
      <c r="B290">
        <v>80.06</v>
      </c>
      <c r="C290">
        <v>80</v>
      </c>
      <c r="D290">
        <v>80.08</v>
      </c>
      <c r="E290">
        <v>79.97</v>
      </c>
      <c r="F290" t="s">
        <v>285</v>
      </c>
      <c r="G290" s="2">
        <v>1.4E-3</v>
      </c>
    </row>
    <row r="291" spans="1:7" x14ac:dyDescent="0.4">
      <c r="A291" s="1">
        <v>45715</v>
      </c>
      <c r="B291">
        <v>79.91</v>
      </c>
      <c r="C291">
        <v>80.05</v>
      </c>
      <c r="D291">
        <v>80.08</v>
      </c>
      <c r="E291">
        <v>79.87</v>
      </c>
      <c r="F291" t="s">
        <v>286</v>
      </c>
      <c r="G291" s="2">
        <v>-1.9E-3</v>
      </c>
    </row>
    <row r="292" spans="1:7" x14ac:dyDescent="0.4">
      <c r="A292" s="1">
        <v>45716</v>
      </c>
      <c r="B292">
        <v>80.13</v>
      </c>
      <c r="C292">
        <v>79.989999999999995</v>
      </c>
      <c r="D292">
        <v>80.13</v>
      </c>
      <c r="E292">
        <v>79.930000000000007</v>
      </c>
      <c r="F292" t="s">
        <v>37</v>
      </c>
      <c r="G292" s="2">
        <v>2.8E-3</v>
      </c>
    </row>
    <row r="293" spans="1:7" x14ac:dyDescent="0.4">
      <c r="A293" s="1">
        <v>45719</v>
      </c>
      <c r="B293">
        <v>79.59</v>
      </c>
      <c r="C293">
        <v>79.69</v>
      </c>
      <c r="D293">
        <v>79.75</v>
      </c>
      <c r="E293">
        <v>79.510000000000005</v>
      </c>
      <c r="F293" t="s">
        <v>287</v>
      </c>
      <c r="G293" s="2">
        <v>-6.7000000000000002E-3</v>
      </c>
    </row>
    <row r="294" spans="1:7" x14ac:dyDescent="0.4">
      <c r="A294" s="1">
        <v>45720</v>
      </c>
      <c r="B294">
        <v>79.58</v>
      </c>
      <c r="C294">
        <v>79.510000000000005</v>
      </c>
      <c r="D294">
        <v>79.64</v>
      </c>
      <c r="E294">
        <v>79.31</v>
      </c>
      <c r="F294" t="s">
        <v>288</v>
      </c>
      <c r="G294" s="2">
        <v>-1E-4</v>
      </c>
    </row>
    <row r="295" spans="1:7" x14ac:dyDescent="0.4">
      <c r="A295" s="1">
        <v>45721</v>
      </c>
      <c r="B295">
        <v>79.62</v>
      </c>
      <c r="C295">
        <v>79.45</v>
      </c>
      <c r="D295">
        <v>79.680000000000007</v>
      </c>
      <c r="E295">
        <v>79.44</v>
      </c>
      <c r="F295" t="s">
        <v>289</v>
      </c>
      <c r="G295" s="2">
        <v>5.0000000000000001E-4</v>
      </c>
    </row>
    <row r="296" spans="1:7" x14ac:dyDescent="0.4">
      <c r="A296" s="1">
        <v>45722</v>
      </c>
      <c r="B296">
        <v>79.319999999999993</v>
      </c>
      <c r="C296">
        <v>79.430000000000007</v>
      </c>
      <c r="D296">
        <v>79.5</v>
      </c>
      <c r="E296">
        <v>79.28</v>
      </c>
      <c r="F296" t="s">
        <v>290</v>
      </c>
      <c r="G296" s="2">
        <v>-3.8E-3</v>
      </c>
    </row>
    <row r="297" spans="1:7" x14ac:dyDescent="0.4">
      <c r="A297" s="1">
        <v>45723</v>
      </c>
      <c r="B297">
        <v>79.45</v>
      </c>
      <c r="C297">
        <v>79.349999999999994</v>
      </c>
      <c r="D297">
        <v>79.510000000000005</v>
      </c>
      <c r="E297">
        <v>79.33</v>
      </c>
      <c r="F297" t="s">
        <v>291</v>
      </c>
      <c r="G297" s="2">
        <v>1.6000000000000001E-3</v>
      </c>
    </row>
    <row r="298" spans="1:7" x14ac:dyDescent="0.4">
      <c r="A298" s="1">
        <v>45726</v>
      </c>
      <c r="B298">
        <v>79.150000000000006</v>
      </c>
      <c r="C298">
        <v>79.3</v>
      </c>
      <c r="D298">
        <v>79.38</v>
      </c>
      <c r="E298">
        <v>79.14</v>
      </c>
      <c r="F298" t="s">
        <v>292</v>
      </c>
      <c r="G298" s="2">
        <v>-3.8E-3</v>
      </c>
    </row>
    <row r="299" spans="1:7" x14ac:dyDescent="0.4">
      <c r="A299" s="1">
        <v>45727</v>
      </c>
      <c r="B299">
        <v>78.87</v>
      </c>
      <c r="C299">
        <v>79.209999999999994</v>
      </c>
      <c r="D299">
        <v>79.260000000000005</v>
      </c>
      <c r="E299">
        <v>78.8</v>
      </c>
      <c r="F299" t="s">
        <v>293</v>
      </c>
      <c r="G299" s="2">
        <v>-3.5000000000000001E-3</v>
      </c>
    </row>
    <row r="300" spans="1:7" x14ac:dyDescent="0.4">
      <c r="A300" s="1">
        <v>45728</v>
      </c>
      <c r="B300">
        <v>78.959999999999994</v>
      </c>
      <c r="C300">
        <v>79.06</v>
      </c>
      <c r="D300">
        <v>79.11</v>
      </c>
      <c r="E300">
        <v>78.88</v>
      </c>
      <c r="F300" t="s">
        <v>294</v>
      </c>
      <c r="G300" s="2">
        <v>1.1000000000000001E-3</v>
      </c>
    </row>
    <row r="301" spans="1:7" x14ac:dyDescent="0.4">
      <c r="A301" s="1">
        <v>45729</v>
      </c>
      <c r="B301">
        <v>78.52</v>
      </c>
      <c r="C301">
        <v>78.86</v>
      </c>
      <c r="D301">
        <v>78.87</v>
      </c>
      <c r="E301">
        <v>78.489999999999995</v>
      </c>
      <c r="F301" t="s">
        <v>295</v>
      </c>
      <c r="G301" s="2">
        <v>-5.5999999999999999E-3</v>
      </c>
    </row>
    <row r="302" spans="1:7" x14ac:dyDescent="0.4">
      <c r="A302" s="1">
        <v>45730</v>
      </c>
      <c r="B302">
        <v>78.88</v>
      </c>
      <c r="C302">
        <v>78.83</v>
      </c>
      <c r="D302">
        <v>78.97</v>
      </c>
      <c r="E302">
        <v>78.709999999999994</v>
      </c>
      <c r="F302" t="s">
        <v>296</v>
      </c>
      <c r="G302" s="2">
        <v>4.5999999999999999E-3</v>
      </c>
    </row>
    <row r="303" spans="1:7" x14ac:dyDescent="0.4">
      <c r="A303" s="1">
        <v>45733</v>
      </c>
      <c r="B303">
        <v>79.069999999999993</v>
      </c>
      <c r="C303">
        <v>78.89</v>
      </c>
      <c r="D303">
        <v>79.099999999999994</v>
      </c>
      <c r="E303">
        <v>78.87</v>
      </c>
      <c r="F303" t="s">
        <v>33</v>
      </c>
      <c r="G303" s="2">
        <v>2.3999999999999998E-3</v>
      </c>
    </row>
    <row r="304" spans="1:7" x14ac:dyDescent="0.4">
      <c r="A304" s="1">
        <v>45734</v>
      </c>
      <c r="B304">
        <v>78.930000000000007</v>
      </c>
      <c r="C304">
        <v>79.010000000000005</v>
      </c>
      <c r="D304">
        <v>79.069999999999993</v>
      </c>
      <c r="E304">
        <v>78.930000000000007</v>
      </c>
      <c r="F304" t="s">
        <v>297</v>
      </c>
      <c r="G304" s="2">
        <v>-1.8E-3</v>
      </c>
    </row>
    <row r="305" spans="1:7" x14ac:dyDescent="0.4">
      <c r="A305" s="1">
        <v>45735</v>
      </c>
      <c r="B305">
        <v>79.45</v>
      </c>
      <c r="C305">
        <v>78.959999999999994</v>
      </c>
      <c r="D305">
        <v>79.540000000000006</v>
      </c>
      <c r="E305">
        <v>78.959999999999994</v>
      </c>
      <c r="F305" t="s">
        <v>298</v>
      </c>
      <c r="G305" s="2">
        <v>6.6E-3</v>
      </c>
    </row>
    <row r="306" spans="1:7" x14ac:dyDescent="0.4">
      <c r="A306" s="1">
        <v>45736</v>
      </c>
      <c r="B306">
        <v>79.34</v>
      </c>
      <c r="C306">
        <v>79.39</v>
      </c>
      <c r="D306">
        <v>79.5</v>
      </c>
      <c r="E306">
        <v>79.25</v>
      </c>
      <c r="F306" t="s">
        <v>299</v>
      </c>
      <c r="G306" s="2">
        <v>-1.4E-3</v>
      </c>
    </row>
    <row r="307" spans="1:7" x14ac:dyDescent="0.4">
      <c r="A307" s="1">
        <v>45737</v>
      </c>
      <c r="B307">
        <v>79.22</v>
      </c>
      <c r="C307">
        <v>79.27</v>
      </c>
      <c r="D307">
        <v>79.31</v>
      </c>
      <c r="E307">
        <v>79.069999999999993</v>
      </c>
      <c r="F307" t="s">
        <v>300</v>
      </c>
      <c r="G307" s="2">
        <v>-1.5E-3</v>
      </c>
    </row>
    <row r="308" spans="1:7" x14ac:dyDescent="0.4">
      <c r="A308" s="1">
        <v>45740</v>
      </c>
      <c r="B308">
        <v>79.45</v>
      </c>
      <c r="C308">
        <v>79.42</v>
      </c>
      <c r="D308">
        <v>79.5</v>
      </c>
      <c r="E308">
        <v>79.349999999999994</v>
      </c>
      <c r="F308" t="s">
        <v>301</v>
      </c>
      <c r="G308" s="2">
        <v>2.8999999999999998E-3</v>
      </c>
    </row>
    <row r="309" spans="1:7" x14ac:dyDescent="0.4">
      <c r="A309" s="1">
        <v>45741</v>
      </c>
      <c r="B309">
        <v>79.41</v>
      </c>
      <c r="C309">
        <v>79.5</v>
      </c>
      <c r="D309">
        <v>79.58</v>
      </c>
      <c r="E309">
        <v>79.38</v>
      </c>
      <c r="F309" t="s">
        <v>240</v>
      </c>
      <c r="G309" s="2">
        <v>-5.0000000000000001E-4</v>
      </c>
    </row>
    <row r="310" spans="1:7" x14ac:dyDescent="0.4">
      <c r="A310" s="1">
        <v>45742</v>
      </c>
      <c r="B310">
        <v>79.09</v>
      </c>
      <c r="C310">
        <v>79.400000000000006</v>
      </c>
      <c r="D310">
        <v>79.42</v>
      </c>
      <c r="E310">
        <v>78.97</v>
      </c>
      <c r="F310" t="s">
        <v>302</v>
      </c>
      <c r="G310" s="2">
        <v>-4.0000000000000001E-3</v>
      </c>
    </row>
    <row r="311" spans="1:7" x14ac:dyDescent="0.4">
      <c r="A311" s="1">
        <v>45743</v>
      </c>
      <c r="B311">
        <v>78.94</v>
      </c>
      <c r="C311">
        <v>79.05</v>
      </c>
      <c r="D311">
        <v>79.14</v>
      </c>
      <c r="E311">
        <v>78.930000000000007</v>
      </c>
      <c r="F311" t="s">
        <v>303</v>
      </c>
      <c r="G311" s="2">
        <v>-1.9E-3</v>
      </c>
    </row>
    <row r="312" spans="1:7" x14ac:dyDescent="0.4">
      <c r="A312" s="1">
        <v>45744</v>
      </c>
      <c r="B312">
        <v>78.8</v>
      </c>
      <c r="C312">
        <v>78.989999999999995</v>
      </c>
      <c r="D312">
        <v>79</v>
      </c>
      <c r="E312">
        <v>78.66</v>
      </c>
      <c r="F312" t="s">
        <v>304</v>
      </c>
      <c r="G312" s="2">
        <v>-1.8E-3</v>
      </c>
    </row>
    <row r="313" spans="1:7" x14ac:dyDescent="0.4">
      <c r="A313" s="1">
        <v>45747</v>
      </c>
      <c r="B313">
        <v>78.89</v>
      </c>
      <c r="C313">
        <v>78.52</v>
      </c>
      <c r="D313">
        <v>78.92</v>
      </c>
      <c r="E313">
        <v>78.52</v>
      </c>
      <c r="F313" t="s">
        <v>305</v>
      </c>
      <c r="G313" s="2">
        <v>1.1000000000000001E-3</v>
      </c>
    </row>
    <row r="314" spans="1:7" x14ac:dyDescent="0.4">
      <c r="A314" s="1">
        <v>45748</v>
      </c>
      <c r="B314">
        <v>78.69</v>
      </c>
      <c r="C314">
        <v>78.680000000000007</v>
      </c>
      <c r="D314">
        <v>78.72</v>
      </c>
      <c r="E314">
        <v>78.430000000000007</v>
      </c>
      <c r="F314" t="s">
        <v>306</v>
      </c>
      <c r="G314" s="2">
        <v>-2.5000000000000001E-3</v>
      </c>
    </row>
    <row r="315" spans="1:7" x14ac:dyDescent="0.4">
      <c r="A315" s="1">
        <v>45749</v>
      </c>
      <c r="B315">
        <v>78.849999999999994</v>
      </c>
      <c r="C315">
        <v>78.540000000000006</v>
      </c>
      <c r="D315">
        <v>78.86</v>
      </c>
      <c r="E315">
        <v>78.540000000000006</v>
      </c>
      <c r="F315" t="s">
        <v>307</v>
      </c>
      <c r="G315" s="2">
        <v>2E-3</v>
      </c>
    </row>
    <row r="316" spans="1:7" x14ac:dyDescent="0.4">
      <c r="A316" s="1">
        <v>45750</v>
      </c>
      <c r="B316">
        <v>77.87</v>
      </c>
      <c r="C316">
        <v>78.099999999999994</v>
      </c>
      <c r="D316">
        <v>78.28</v>
      </c>
      <c r="E316">
        <v>77.739999999999995</v>
      </c>
      <c r="F316" t="s">
        <v>308</v>
      </c>
      <c r="G316" s="2">
        <v>-1.24E-2</v>
      </c>
    </row>
    <row r="317" spans="1:7" x14ac:dyDescent="0.4">
      <c r="A317" s="1">
        <v>45751</v>
      </c>
      <c r="B317">
        <v>76.760000000000005</v>
      </c>
      <c r="C317">
        <v>76.8</v>
      </c>
      <c r="D317">
        <v>77.33</v>
      </c>
      <c r="E317">
        <v>76.540000000000006</v>
      </c>
      <c r="F317" t="s">
        <v>309</v>
      </c>
      <c r="G317" s="2">
        <v>-1.43E-2</v>
      </c>
    </row>
    <row r="318" spans="1:7" x14ac:dyDescent="0.4">
      <c r="A318" s="1">
        <v>45754</v>
      </c>
      <c r="B318">
        <v>76.099999999999994</v>
      </c>
      <c r="C318">
        <v>75.87</v>
      </c>
      <c r="D318">
        <v>77.599999999999994</v>
      </c>
      <c r="E318">
        <v>75.63</v>
      </c>
      <c r="F318" t="s">
        <v>310</v>
      </c>
      <c r="G318" s="2">
        <v>-8.6E-3</v>
      </c>
    </row>
    <row r="319" spans="1:7" x14ac:dyDescent="0.4">
      <c r="A319" s="1">
        <v>45755</v>
      </c>
      <c r="B319">
        <v>75.75</v>
      </c>
      <c r="C319">
        <v>77.02</v>
      </c>
      <c r="D319">
        <v>77.13</v>
      </c>
      <c r="E319">
        <v>75.42</v>
      </c>
      <c r="F319" t="s">
        <v>311</v>
      </c>
      <c r="G319" s="2">
        <v>-4.5999999999999999E-3</v>
      </c>
    </row>
    <row r="320" spans="1:7" x14ac:dyDescent="0.4">
      <c r="A320" s="1">
        <v>45756</v>
      </c>
      <c r="B320">
        <v>77.78</v>
      </c>
      <c r="C320">
        <v>75.099999999999994</v>
      </c>
      <c r="D320">
        <v>77.84</v>
      </c>
      <c r="E320">
        <v>75.08</v>
      </c>
      <c r="F320" t="s">
        <v>312</v>
      </c>
      <c r="G320" s="2">
        <v>2.6800000000000001E-2</v>
      </c>
    </row>
    <row r="321" spans="1:7" x14ac:dyDescent="0.4">
      <c r="A321" s="1">
        <v>45757</v>
      </c>
      <c r="B321">
        <v>76.510000000000005</v>
      </c>
      <c r="C321">
        <v>77.069999999999993</v>
      </c>
      <c r="D321">
        <v>77.180000000000007</v>
      </c>
      <c r="E321">
        <v>76.14</v>
      </c>
      <c r="F321" t="s">
        <v>313</v>
      </c>
      <c r="G321" s="2">
        <v>-1.6299999999999999E-2</v>
      </c>
    </row>
    <row r="322" spans="1:7" x14ac:dyDescent="0.4">
      <c r="A322" s="1">
        <v>45758</v>
      </c>
      <c r="B322">
        <v>76.739999999999995</v>
      </c>
      <c r="C322">
        <v>76.27</v>
      </c>
      <c r="D322">
        <v>77.17</v>
      </c>
      <c r="E322">
        <v>76</v>
      </c>
      <c r="F322" t="s">
        <v>314</v>
      </c>
      <c r="G322" s="2">
        <v>3.0000000000000001E-3</v>
      </c>
    </row>
    <row r="323" spans="1:7" x14ac:dyDescent="0.4">
      <c r="A323" s="1">
        <v>45761</v>
      </c>
      <c r="B323">
        <v>77.12</v>
      </c>
      <c r="C323">
        <v>77.28</v>
      </c>
      <c r="D323">
        <v>77.459999999999994</v>
      </c>
      <c r="E323">
        <v>76.94</v>
      </c>
      <c r="F323" t="s">
        <v>315</v>
      </c>
      <c r="G323" s="2">
        <v>5.0000000000000001E-3</v>
      </c>
    </row>
    <row r="324" spans="1:7" x14ac:dyDescent="0.4">
      <c r="A324" s="1">
        <v>45762</v>
      </c>
      <c r="B324">
        <v>77.33</v>
      </c>
      <c r="C324">
        <v>77.239999999999995</v>
      </c>
      <c r="D324">
        <v>77.5</v>
      </c>
      <c r="E324">
        <v>77.180000000000007</v>
      </c>
      <c r="F324" t="s">
        <v>316</v>
      </c>
      <c r="G324" s="2">
        <v>2.7000000000000001E-3</v>
      </c>
    </row>
    <row r="325" spans="1:7" x14ac:dyDescent="0.4">
      <c r="A325" s="1">
        <v>45763</v>
      </c>
      <c r="B325">
        <v>77.319999999999993</v>
      </c>
      <c r="C325">
        <v>77.349999999999994</v>
      </c>
      <c r="D325">
        <v>77.52</v>
      </c>
      <c r="E325">
        <v>77.11</v>
      </c>
      <c r="F325" t="s">
        <v>317</v>
      </c>
      <c r="G325" s="2">
        <v>-1E-4</v>
      </c>
    </row>
    <row r="326" spans="1:7" x14ac:dyDescent="0.4">
      <c r="A326" s="1">
        <v>45764</v>
      </c>
      <c r="B326">
        <v>77.77</v>
      </c>
      <c r="C326">
        <v>77.62</v>
      </c>
      <c r="D326">
        <v>77.790000000000006</v>
      </c>
      <c r="E326">
        <v>77.53</v>
      </c>
      <c r="F326" t="s">
        <v>318</v>
      </c>
      <c r="G326" s="2">
        <v>5.7999999999999996E-3</v>
      </c>
    </row>
    <row r="327" spans="1:7" x14ac:dyDescent="0.4">
      <c r="A327" s="1">
        <v>45768</v>
      </c>
      <c r="B327">
        <v>77.31</v>
      </c>
      <c r="C327">
        <v>77.489999999999995</v>
      </c>
      <c r="D327">
        <v>77.510000000000005</v>
      </c>
      <c r="E327">
        <v>77.150000000000006</v>
      </c>
      <c r="F327" t="s">
        <v>319</v>
      </c>
      <c r="G327" s="2">
        <v>-5.8999999999999999E-3</v>
      </c>
    </row>
    <row r="328" spans="1:7" x14ac:dyDescent="0.4">
      <c r="A328" s="1">
        <v>45769</v>
      </c>
      <c r="B328">
        <v>77.61</v>
      </c>
      <c r="C328">
        <v>77.58</v>
      </c>
      <c r="D328">
        <v>77.81</v>
      </c>
      <c r="E328">
        <v>77.5</v>
      </c>
      <c r="F328" t="s">
        <v>320</v>
      </c>
      <c r="G328" s="2">
        <v>3.8999999999999998E-3</v>
      </c>
    </row>
    <row r="329" spans="1:7" x14ac:dyDescent="0.4">
      <c r="A329" s="1">
        <v>45770</v>
      </c>
      <c r="B329">
        <v>78</v>
      </c>
      <c r="C329">
        <v>78.599999999999994</v>
      </c>
      <c r="D329">
        <v>78.739999999999995</v>
      </c>
      <c r="E329">
        <v>77.97</v>
      </c>
      <c r="F329" t="s">
        <v>321</v>
      </c>
      <c r="G329" s="2">
        <v>5.0000000000000001E-3</v>
      </c>
    </row>
    <row r="330" spans="1:7" x14ac:dyDescent="0.4">
      <c r="A330" s="1">
        <v>45771</v>
      </c>
      <c r="B330">
        <v>78.7</v>
      </c>
      <c r="C330">
        <v>78.28</v>
      </c>
      <c r="D330">
        <v>78.739999999999995</v>
      </c>
      <c r="E330">
        <v>78.180000000000007</v>
      </c>
      <c r="F330" t="s">
        <v>322</v>
      </c>
      <c r="G330" s="2">
        <v>8.9999999999999993E-3</v>
      </c>
    </row>
    <row r="331" spans="1:7" x14ac:dyDescent="0.4">
      <c r="A331" s="1">
        <v>45772</v>
      </c>
      <c r="B331">
        <v>78.77</v>
      </c>
      <c r="C331">
        <v>78.59</v>
      </c>
      <c r="D331">
        <v>78.930000000000007</v>
      </c>
      <c r="E331">
        <v>78.540000000000006</v>
      </c>
      <c r="F331" t="s">
        <v>323</v>
      </c>
      <c r="G331" s="2">
        <v>8.9999999999999998E-4</v>
      </c>
    </row>
    <row r="332" spans="1:7" x14ac:dyDescent="0.4">
      <c r="A332" s="1">
        <v>45775</v>
      </c>
      <c r="B332">
        <v>78.81</v>
      </c>
      <c r="C332">
        <v>78.78</v>
      </c>
      <c r="D332">
        <v>78.87</v>
      </c>
      <c r="E332">
        <v>78.55</v>
      </c>
      <c r="F332" t="s">
        <v>324</v>
      </c>
      <c r="G332" s="2">
        <v>5.0000000000000001E-4</v>
      </c>
    </row>
    <row r="333" spans="1:7" x14ac:dyDescent="0.4">
      <c r="A333" s="1">
        <v>45776</v>
      </c>
      <c r="B333">
        <v>79.02</v>
      </c>
      <c r="C333">
        <v>78.650000000000006</v>
      </c>
      <c r="D333">
        <v>79.05</v>
      </c>
      <c r="E333">
        <v>78.650000000000006</v>
      </c>
      <c r="F333" t="s">
        <v>325</v>
      </c>
      <c r="G333" s="2">
        <v>2.7000000000000001E-3</v>
      </c>
    </row>
    <row r="334" spans="1:7" x14ac:dyDescent="0.4">
      <c r="A334" s="1">
        <v>45777</v>
      </c>
      <c r="B334">
        <v>78.599999999999994</v>
      </c>
      <c r="C334">
        <v>78.63</v>
      </c>
      <c r="D334">
        <v>78.709999999999994</v>
      </c>
      <c r="E334">
        <v>78.459999999999994</v>
      </c>
      <c r="F334" t="s">
        <v>326</v>
      </c>
      <c r="G334" s="2">
        <v>-5.3E-3</v>
      </c>
    </row>
    <row r="335" spans="1:7" x14ac:dyDescent="0.4">
      <c r="A335" s="1">
        <v>45778</v>
      </c>
      <c r="B335">
        <v>78.3</v>
      </c>
      <c r="C335">
        <v>78.39</v>
      </c>
      <c r="D335">
        <v>78.489999999999995</v>
      </c>
      <c r="E335">
        <v>78.22</v>
      </c>
      <c r="F335" t="s">
        <v>327</v>
      </c>
      <c r="G335" s="2">
        <v>-3.8E-3</v>
      </c>
    </row>
    <row r="336" spans="1:7" x14ac:dyDescent="0.4">
      <c r="A336" s="1">
        <v>45779</v>
      </c>
      <c r="B336">
        <v>78.540000000000006</v>
      </c>
      <c r="C336">
        <v>78.5</v>
      </c>
      <c r="D336">
        <v>78.61</v>
      </c>
      <c r="E336">
        <v>78.36</v>
      </c>
      <c r="F336" t="s">
        <v>328</v>
      </c>
      <c r="G336" s="2">
        <v>3.0999999999999999E-3</v>
      </c>
    </row>
    <row r="337" spans="1:7" x14ac:dyDescent="0.4">
      <c r="A337" s="1">
        <v>45782</v>
      </c>
      <c r="B337">
        <v>78.510000000000005</v>
      </c>
      <c r="C337">
        <v>78.47</v>
      </c>
      <c r="D337">
        <v>78.64</v>
      </c>
      <c r="E337">
        <v>78.400000000000006</v>
      </c>
      <c r="F337" t="s">
        <v>329</v>
      </c>
      <c r="G337" s="2">
        <v>-4.0000000000000002E-4</v>
      </c>
    </row>
    <row r="338" spans="1:7" x14ac:dyDescent="0.4">
      <c r="A338" s="1">
        <v>45783</v>
      </c>
      <c r="B338" s="11">
        <v>78.44</v>
      </c>
      <c r="C338" s="7">
        <v>78.400000000000006</v>
      </c>
      <c r="D338" s="7">
        <v>78.52</v>
      </c>
      <c r="E338" s="7">
        <v>78.33</v>
      </c>
      <c r="F338" s="7" t="s">
        <v>787</v>
      </c>
      <c r="G338" s="8">
        <v>-8.0000000000000004E-4</v>
      </c>
    </row>
    <row r="339" spans="1:7" x14ac:dyDescent="0.4">
      <c r="A339" s="1">
        <v>45784</v>
      </c>
      <c r="B339" s="9">
        <v>78.52</v>
      </c>
      <c r="C339" s="7">
        <v>78.56</v>
      </c>
      <c r="D339" s="7">
        <v>78.62</v>
      </c>
      <c r="E339" s="7">
        <v>78.36</v>
      </c>
      <c r="F339" s="7" t="s">
        <v>789</v>
      </c>
      <c r="G339" s="10">
        <v>8.9999999999999998E-4</v>
      </c>
    </row>
    <row r="340" spans="1:7" x14ac:dyDescent="0.4">
      <c r="A340" s="1">
        <v>45785</v>
      </c>
      <c r="B340" s="11">
        <v>78.5</v>
      </c>
      <c r="C340" s="7">
        <v>78.67</v>
      </c>
      <c r="D340" s="7">
        <v>78.77</v>
      </c>
      <c r="E340" s="7">
        <v>78.459999999999994</v>
      </c>
      <c r="F340" s="7" t="s">
        <v>171</v>
      </c>
      <c r="G340" s="8">
        <v>-2.9999999999999997E-4</v>
      </c>
    </row>
    <row r="341" spans="1:7" x14ac:dyDescent="0.4">
      <c r="A341" s="1">
        <v>45786</v>
      </c>
      <c r="B341" s="9">
        <v>78.55</v>
      </c>
      <c r="C341" s="7">
        <v>78.59</v>
      </c>
      <c r="D341" s="7">
        <v>78.7</v>
      </c>
      <c r="E341" s="7">
        <v>78.540000000000006</v>
      </c>
      <c r="F341" s="7" t="s">
        <v>791</v>
      </c>
      <c r="G341" s="10">
        <v>5.9999999999999995E-4</v>
      </c>
    </row>
    <row r="342" spans="1:7" x14ac:dyDescent="0.4">
      <c r="A342" s="1">
        <v>45789</v>
      </c>
      <c r="B342" s="9">
        <v>79.36</v>
      </c>
      <c r="C342" s="7">
        <v>79.25</v>
      </c>
      <c r="D342" s="7">
        <v>79.39</v>
      </c>
      <c r="E342" s="7">
        <v>79.03</v>
      </c>
      <c r="F342" s="7" t="s">
        <v>792</v>
      </c>
      <c r="G342" s="10">
        <v>1.03E-2</v>
      </c>
    </row>
    <row r="343" spans="1:7" x14ac:dyDescent="0.4">
      <c r="A343" s="1">
        <v>45790</v>
      </c>
      <c r="B343" s="9">
        <v>79.44</v>
      </c>
      <c r="C343" s="7">
        <v>79.34</v>
      </c>
      <c r="D343" s="7">
        <v>79.569999999999993</v>
      </c>
      <c r="E343" s="7">
        <v>79.319999999999993</v>
      </c>
      <c r="F343" s="7" t="s">
        <v>796</v>
      </c>
      <c r="G343" s="10">
        <v>1.4E-3</v>
      </c>
    </row>
    <row r="344" spans="1:7" x14ac:dyDescent="0.4">
      <c r="A344" s="1">
        <v>45791</v>
      </c>
      <c r="B344" s="11">
        <v>79.180000000000007</v>
      </c>
      <c r="C344" s="7">
        <v>79.400000000000006</v>
      </c>
      <c r="D344" s="7">
        <v>79.400000000000006</v>
      </c>
      <c r="E344" s="7">
        <v>79.14</v>
      </c>
      <c r="F344" s="7" t="s">
        <v>798</v>
      </c>
      <c r="G344" s="22">
        <v>-0.36</v>
      </c>
    </row>
    <row r="345" spans="1:7" x14ac:dyDescent="0.4">
      <c r="A345" s="1">
        <v>45792</v>
      </c>
      <c r="B345" s="20">
        <v>79.33</v>
      </c>
      <c r="C345" s="13">
        <v>79.06</v>
      </c>
      <c r="D345" s="13">
        <v>79.319999999999993</v>
      </c>
      <c r="E345" s="13">
        <v>79.06</v>
      </c>
      <c r="F345" s="13" t="s">
        <v>800</v>
      </c>
      <c r="G345" s="21"/>
    </row>
    <row r="346" spans="1:7" x14ac:dyDescent="0.4">
      <c r="A346" s="1">
        <v>45793</v>
      </c>
      <c r="B346" s="20">
        <v>79.42</v>
      </c>
      <c r="C346" s="13">
        <v>79.38</v>
      </c>
      <c r="D346" s="13">
        <v>79.430000000000007</v>
      </c>
      <c r="E346" s="13">
        <v>79.27</v>
      </c>
      <c r="F346" s="13" t="s">
        <v>802</v>
      </c>
      <c r="G346" s="21"/>
    </row>
    <row r="347" spans="1:7" x14ac:dyDescent="0.4">
      <c r="A347" s="1">
        <v>45796</v>
      </c>
      <c r="B347" s="12">
        <v>79.38</v>
      </c>
      <c r="C347" s="13">
        <v>79.06</v>
      </c>
      <c r="D347" s="13">
        <v>79.39</v>
      </c>
      <c r="E347" s="13">
        <v>79.05</v>
      </c>
      <c r="F347" s="13"/>
    </row>
    <row r="348" spans="1:7" x14ac:dyDescent="0.4">
      <c r="A348" s="1">
        <v>45797</v>
      </c>
      <c r="B348" s="11">
        <v>79.34</v>
      </c>
      <c r="C348" s="7">
        <v>79.27</v>
      </c>
      <c r="D348" s="7">
        <v>79.38</v>
      </c>
      <c r="E348" s="7">
        <v>79.209999999999994</v>
      </c>
      <c r="F348" s="7" t="s">
        <v>803</v>
      </c>
      <c r="G348" s="8">
        <v>-5.0000000000000001E-4</v>
      </c>
    </row>
    <row r="349" spans="1:7" x14ac:dyDescent="0.4">
      <c r="A349" s="1">
        <v>45798</v>
      </c>
      <c r="B349" s="12">
        <v>78.81</v>
      </c>
      <c r="C349" s="13">
        <v>79.08</v>
      </c>
      <c r="D349" s="13">
        <v>79.22</v>
      </c>
      <c r="E349" s="13">
        <v>78.8</v>
      </c>
      <c r="F349" s="13" t="s">
        <v>806</v>
      </c>
    </row>
    <row r="350" spans="1:7" x14ac:dyDescent="0.4">
      <c r="A350" s="1">
        <v>45799</v>
      </c>
      <c r="B350" s="20">
        <v>78.959999999999994</v>
      </c>
      <c r="C350" s="13">
        <v>78.790000000000006</v>
      </c>
      <c r="D350" s="13">
        <v>79.040000000000006</v>
      </c>
      <c r="E350" s="13">
        <v>78.75</v>
      </c>
      <c r="F350" s="13" t="s">
        <v>807</v>
      </c>
    </row>
    <row r="351" spans="1:7" x14ac:dyDescent="0.4">
      <c r="A351" s="1">
        <v>45800</v>
      </c>
      <c r="B351" s="12">
        <v>78.95</v>
      </c>
      <c r="C351" s="13">
        <v>78.760000000000005</v>
      </c>
      <c r="D351" s="13">
        <v>78.98</v>
      </c>
      <c r="E351" s="13">
        <v>78.75</v>
      </c>
      <c r="F351" s="13" t="s">
        <v>811</v>
      </c>
      <c r="G351" s="23"/>
    </row>
    <row r="352" spans="1:7" x14ac:dyDescent="0.4">
      <c r="A352" s="1">
        <v>45804</v>
      </c>
      <c r="B352" s="20">
        <v>79.430000000000007</v>
      </c>
      <c r="C352" s="13">
        <v>79.28</v>
      </c>
      <c r="D352" s="13">
        <v>79.44</v>
      </c>
      <c r="E352" s="13">
        <v>79.17</v>
      </c>
      <c r="F352" s="13" t="s">
        <v>813</v>
      </c>
      <c r="G352" s="21"/>
    </row>
    <row r="353" spans="1:6" x14ac:dyDescent="0.4">
      <c r="A353" s="1">
        <v>45805</v>
      </c>
      <c r="B353" s="12">
        <v>79.38</v>
      </c>
      <c r="C353" s="13">
        <v>79.41</v>
      </c>
      <c r="D353" s="13">
        <v>79.430000000000007</v>
      </c>
      <c r="E353" s="13">
        <v>79.260000000000005</v>
      </c>
      <c r="F353" s="13"/>
    </row>
    <row r="354" spans="1:6" x14ac:dyDescent="0.4">
      <c r="A354" s="1">
        <v>45806</v>
      </c>
      <c r="B354" s="20">
        <v>79.5</v>
      </c>
      <c r="C354" s="13">
        <v>79.56</v>
      </c>
      <c r="D354" s="13">
        <v>79.540000000000006</v>
      </c>
      <c r="E354" s="13">
        <v>79.41</v>
      </c>
      <c r="F354" s="13"/>
    </row>
    <row r="355" spans="1:6" x14ac:dyDescent="0.4">
      <c r="A355" s="1">
        <v>45807</v>
      </c>
      <c r="B355" s="20">
        <v>79.569999999999993</v>
      </c>
      <c r="C355" s="13">
        <v>79.45</v>
      </c>
      <c r="D355" s="13">
        <v>79.58</v>
      </c>
      <c r="E355" s="13">
        <v>79.400000000000006</v>
      </c>
    </row>
    <row r="356" spans="1:6" x14ac:dyDescent="0.4">
      <c r="A356" s="1">
        <v>45810</v>
      </c>
      <c r="B356" s="12">
        <v>79.180000000000007</v>
      </c>
      <c r="C356" s="13">
        <v>79.13</v>
      </c>
      <c r="D356" s="13">
        <v>79.180000000000007</v>
      </c>
      <c r="E356" s="13">
        <v>78.989999999999995</v>
      </c>
    </row>
    <row r="357" spans="1:6" x14ac:dyDescent="0.4">
      <c r="A357" s="1">
        <v>45811</v>
      </c>
      <c r="B357" s="20">
        <v>79.33</v>
      </c>
      <c r="C357" s="13">
        <v>79.239999999999995</v>
      </c>
      <c r="D357" s="13">
        <v>79.34</v>
      </c>
      <c r="E357" s="13">
        <v>79.17</v>
      </c>
      <c r="F357" s="13"/>
    </row>
    <row r="358" spans="1:6" x14ac:dyDescent="0.4">
      <c r="A358" s="1">
        <v>45812</v>
      </c>
      <c r="B358" s="20">
        <v>79.48</v>
      </c>
      <c r="C358" s="13">
        <v>79.34</v>
      </c>
      <c r="D358" s="13">
        <v>79.5</v>
      </c>
      <c r="E358" s="13">
        <v>79.39</v>
      </c>
      <c r="F358" s="13"/>
    </row>
    <row r="359" spans="1:6" x14ac:dyDescent="0.4">
      <c r="A359" s="1">
        <v>45813</v>
      </c>
      <c r="B359" s="12">
        <v>79.31</v>
      </c>
      <c r="C359" s="13">
        <v>79.47</v>
      </c>
      <c r="D359" s="13">
        <v>79.489999999999995</v>
      </c>
      <c r="E359" s="13">
        <v>79.260000000000005</v>
      </c>
      <c r="F359" s="13">
        <v>4</v>
      </c>
    </row>
    <row r="360" spans="1:6" x14ac:dyDescent="0.4">
      <c r="A360" s="1">
        <v>45814</v>
      </c>
      <c r="B360" s="12">
        <v>79.3</v>
      </c>
      <c r="C360" s="13">
        <v>79.38</v>
      </c>
      <c r="D360" s="13">
        <v>79.39</v>
      </c>
      <c r="E360" s="13">
        <v>79.25</v>
      </c>
      <c r="F360" s="13"/>
    </row>
    <row r="361" spans="1:6" x14ac:dyDescent="0.4">
      <c r="A361" s="1">
        <v>45817</v>
      </c>
      <c r="B361" s="20">
        <v>79.34</v>
      </c>
      <c r="C361" s="13">
        <v>79.28</v>
      </c>
      <c r="D361" s="13">
        <v>79.430000000000007</v>
      </c>
      <c r="E361" s="13">
        <v>79.28</v>
      </c>
      <c r="F361" s="13"/>
    </row>
    <row r="362" spans="1:6" x14ac:dyDescent="0.4">
      <c r="A362" s="1">
        <v>45818</v>
      </c>
      <c r="B362" s="20">
        <v>79.53</v>
      </c>
      <c r="C362" s="13">
        <v>79.41</v>
      </c>
      <c r="D362" s="13">
        <v>79.55</v>
      </c>
      <c r="E362" s="13">
        <v>79.33</v>
      </c>
      <c r="F362" s="13"/>
    </row>
    <row r="363" spans="1:6" x14ac:dyDescent="0.4">
      <c r="A363" s="1">
        <v>45819</v>
      </c>
      <c r="B363" s="12">
        <v>79.510000000000005</v>
      </c>
      <c r="C363" s="13">
        <v>79.59</v>
      </c>
      <c r="D363" s="13">
        <v>79.64</v>
      </c>
      <c r="E363" s="13">
        <v>79.489999999999995</v>
      </c>
    </row>
    <row r="364" spans="1:6" x14ac:dyDescent="0.4">
      <c r="A364" s="1">
        <v>45820</v>
      </c>
      <c r="B364" s="20">
        <v>79.58</v>
      </c>
      <c r="C364" s="13">
        <v>79.53</v>
      </c>
      <c r="D364" s="13">
        <v>79.59</v>
      </c>
      <c r="E364" s="13">
        <v>79.47</v>
      </c>
      <c r="F364" s="13"/>
    </row>
    <row r="365" spans="1:6" x14ac:dyDescent="0.4">
      <c r="A365" s="1">
        <v>45821</v>
      </c>
      <c r="B365" s="12">
        <v>79.36</v>
      </c>
      <c r="C365" s="13">
        <v>79.42</v>
      </c>
      <c r="D365" s="13">
        <v>79.5</v>
      </c>
      <c r="E365" s="13">
        <v>79.3</v>
      </c>
      <c r="F365" s="13"/>
    </row>
    <row r="366" spans="1:6" x14ac:dyDescent="0.4">
      <c r="A366" s="1">
        <v>45824</v>
      </c>
      <c r="B366" s="20">
        <v>79.52</v>
      </c>
      <c r="C366" s="13">
        <v>79.52</v>
      </c>
      <c r="D366" s="13">
        <v>79.599999999999994</v>
      </c>
      <c r="E366" s="13">
        <v>79.5</v>
      </c>
      <c r="F366" s="13"/>
    </row>
    <row r="367" spans="1:6" x14ac:dyDescent="0.4">
      <c r="A367" s="1">
        <v>45825</v>
      </c>
      <c r="B367" s="12">
        <v>79.430000000000007</v>
      </c>
      <c r="C367" s="13">
        <v>79.52</v>
      </c>
      <c r="D367" s="13">
        <v>79.64</v>
      </c>
      <c r="E367" s="13">
        <v>79.37</v>
      </c>
      <c r="F367" s="13"/>
    </row>
    <row r="368" spans="1:6" x14ac:dyDescent="0.4">
      <c r="A368" s="1">
        <v>45826</v>
      </c>
      <c r="B368" s="20">
        <v>79.55</v>
      </c>
      <c r="C368" s="13">
        <v>79.489999999999995</v>
      </c>
      <c r="D368" s="13">
        <v>79.709999999999994</v>
      </c>
      <c r="E368" s="13">
        <v>79.430000000000007</v>
      </c>
      <c r="F368" s="13"/>
    </row>
    <row r="369" spans="1:6" x14ac:dyDescent="0.4">
      <c r="A369" s="1">
        <v>45828</v>
      </c>
      <c r="B369" s="20">
        <v>79.8</v>
      </c>
      <c r="C369" s="13">
        <v>79.62</v>
      </c>
      <c r="D369" s="13">
        <v>79.81</v>
      </c>
      <c r="E369" s="13">
        <v>79.59</v>
      </c>
      <c r="F369" s="13"/>
    </row>
    <row r="370" spans="1:6" x14ac:dyDescent="0.4">
      <c r="A370" s="1">
        <v>45831</v>
      </c>
      <c r="B370" s="20">
        <v>79.95</v>
      </c>
      <c r="C370" s="13">
        <v>79.77</v>
      </c>
      <c r="D370" s="13">
        <v>79.95</v>
      </c>
      <c r="E370" s="13">
        <v>79.73</v>
      </c>
    </row>
    <row r="371" spans="1:6" x14ac:dyDescent="0.4">
      <c r="A371" s="1">
        <v>45832</v>
      </c>
      <c r="B371" s="20">
        <v>80.16</v>
      </c>
      <c r="C371" s="13">
        <v>80.010000000000005</v>
      </c>
      <c r="D371" s="13">
        <v>80.209999999999994</v>
      </c>
      <c r="E371" s="13">
        <v>80</v>
      </c>
    </row>
    <row r="372" spans="1:6" x14ac:dyDescent="0.4">
      <c r="A372" s="1">
        <v>45833</v>
      </c>
      <c r="B372" s="12">
        <v>80.150000000000006</v>
      </c>
      <c r="C372" s="13">
        <v>80.180000000000007</v>
      </c>
      <c r="D372" s="13">
        <v>80.2</v>
      </c>
      <c r="E372" s="13">
        <v>80.08</v>
      </c>
      <c r="F372" s="13"/>
    </row>
    <row r="373" spans="1:6" x14ac:dyDescent="0.4">
      <c r="A373" s="1">
        <v>45834</v>
      </c>
      <c r="B373" s="20">
        <v>80.38</v>
      </c>
      <c r="C373" s="13">
        <v>80.27</v>
      </c>
      <c r="D373" s="13">
        <v>80.38</v>
      </c>
      <c r="E373" s="13">
        <v>80.209999999999994</v>
      </c>
      <c r="F373" s="13"/>
    </row>
    <row r="374" spans="1:6" x14ac:dyDescent="0.4">
      <c r="A374" s="1">
        <v>45835</v>
      </c>
      <c r="B374" s="12">
        <v>80.34</v>
      </c>
      <c r="C374" s="13">
        <v>80.400000000000006</v>
      </c>
      <c r="D374" s="13">
        <v>80.459999999999994</v>
      </c>
      <c r="E374" s="13">
        <v>80.3</v>
      </c>
      <c r="F374" s="13"/>
    </row>
    <row r="375" spans="1:6" x14ac:dyDescent="0.4">
      <c r="A375" s="1">
        <v>45838</v>
      </c>
      <c r="B375" s="20">
        <v>80.64</v>
      </c>
      <c r="C375" s="13">
        <v>80.510000000000005</v>
      </c>
      <c r="D375" s="13">
        <v>80.64</v>
      </c>
      <c r="E375" s="13">
        <v>80.459999999999994</v>
      </c>
      <c r="F375" s="13"/>
    </row>
    <row r="376" spans="1:6" x14ac:dyDescent="0.4">
      <c r="A376" s="1">
        <v>45839</v>
      </c>
      <c r="B376" s="11">
        <v>80.2</v>
      </c>
      <c r="C376" s="7">
        <v>80.180000000000007</v>
      </c>
      <c r="D376" s="7">
        <v>80.25</v>
      </c>
      <c r="E376" s="7">
        <v>80.14</v>
      </c>
      <c r="F376" s="7"/>
    </row>
    <row r="377" spans="1:6" x14ac:dyDescent="0.4">
      <c r="A377" s="1">
        <v>45840</v>
      </c>
      <c r="B377" s="20">
        <v>80.319999999999993</v>
      </c>
      <c r="C377" s="13">
        <v>80.17</v>
      </c>
      <c r="D377" s="13">
        <v>80.319999999999993</v>
      </c>
      <c r="E377" s="13">
        <v>80.08</v>
      </c>
      <c r="F377" s="13"/>
    </row>
    <row r="378" spans="1:6" x14ac:dyDescent="0.4">
      <c r="A378" s="1">
        <v>45841</v>
      </c>
      <c r="B378" s="20">
        <v>80.37</v>
      </c>
      <c r="C378" s="13">
        <v>80.3</v>
      </c>
      <c r="D378" s="13">
        <v>80.39</v>
      </c>
      <c r="E378" s="13">
        <v>80.27</v>
      </c>
      <c r="F378" s="13"/>
    </row>
    <row r="379" spans="1:6" x14ac:dyDescent="0.4">
      <c r="A379" s="1">
        <v>45845</v>
      </c>
      <c r="B379" s="11">
        <v>80.11</v>
      </c>
      <c r="C379" s="7">
        <v>80.319999999999993</v>
      </c>
      <c r="D379" s="7">
        <v>80.34</v>
      </c>
      <c r="E379" s="7">
        <v>80.06</v>
      </c>
      <c r="F379" s="7"/>
    </row>
    <row r="380" spans="1:6" x14ac:dyDescent="0.4">
      <c r="A380" s="1">
        <v>45846</v>
      </c>
      <c r="B380" s="12">
        <v>79.989999999999995</v>
      </c>
      <c r="C380" s="13">
        <v>80.09</v>
      </c>
      <c r="D380" s="13">
        <v>80.12</v>
      </c>
      <c r="E380" s="13">
        <v>79.94</v>
      </c>
      <c r="F380" s="13">
        <v>30</v>
      </c>
    </row>
    <row r="381" spans="1:6" x14ac:dyDescent="0.4">
      <c r="A381" s="1">
        <v>45847</v>
      </c>
      <c r="B381" s="20">
        <v>80.22</v>
      </c>
      <c r="C381" s="13">
        <v>80.14</v>
      </c>
      <c r="D381" s="13">
        <v>80.209999999999994</v>
      </c>
      <c r="E381" s="13">
        <v>80.08</v>
      </c>
      <c r="F381" s="13"/>
    </row>
    <row r="382" spans="1:6" x14ac:dyDescent="0.4">
      <c r="A382" s="1">
        <v>45848</v>
      </c>
      <c r="B382" s="12">
        <v>80.13</v>
      </c>
      <c r="C382" s="13">
        <v>80.2</v>
      </c>
      <c r="D382" s="13">
        <v>80.209999999999994</v>
      </c>
      <c r="E382" s="13">
        <v>80.13</v>
      </c>
      <c r="F382" s="13"/>
    </row>
    <row r="383" spans="1:6" x14ac:dyDescent="0.4">
      <c r="A383" s="1">
        <v>45849</v>
      </c>
      <c r="B383" s="11">
        <v>80.03</v>
      </c>
      <c r="C383" s="7">
        <v>80.040000000000006</v>
      </c>
      <c r="D383" s="7">
        <v>80.05</v>
      </c>
      <c r="E383" s="7">
        <v>79.930000000000007</v>
      </c>
      <c r="F383" s="7"/>
    </row>
    <row r="384" spans="1:6" x14ac:dyDescent="0.4">
      <c r="A384" s="1">
        <v>45852</v>
      </c>
      <c r="B384" s="20">
        <v>80.09</v>
      </c>
      <c r="C384" s="13">
        <v>80.010000000000005</v>
      </c>
      <c r="D384" s="13">
        <v>80.099999999999994</v>
      </c>
      <c r="E384" s="13">
        <v>79.97</v>
      </c>
      <c r="F384" s="13"/>
    </row>
    <row r="385" spans="1:6" x14ac:dyDescent="0.4">
      <c r="A385" s="1">
        <v>45853</v>
      </c>
      <c r="B385" s="12">
        <v>79.849999999999994</v>
      </c>
      <c r="C385" s="13">
        <v>80.16</v>
      </c>
      <c r="D385" s="13">
        <v>80.17</v>
      </c>
      <c r="E385" s="13">
        <v>79.849999999999994</v>
      </c>
      <c r="F385" s="13"/>
    </row>
    <row r="386" spans="1:6" x14ac:dyDescent="0.4">
      <c r="A386" s="1">
        <v>45854</v>
      </c>
      <c r="B386" s="20">
        <v>80.06</v>
      </c>
      <c r="C386" s="13">
        <v>79.95</v>
      </c>
      <c r="D386" s="13">
        <v>80.08</v>
      </c>
      <c r="E386" s="13">
        <v>79.760000000000005</v>
      </c>
      <c r="F386" s="13"/>
    </row>
    <row r="387" spans="1:6" x14ac:dyDescent="0.4">
      <c r="A387" s="1">
        <v>45855</v>
      </c>
      <c r="B387" s="20">
        <v>80.14</v>
      </c>
      <c r="C387" s="13">
        <v>80.040000000000006</v>
      </c>
      <c r="D387" s="13">
        <v>80.180000000000007</v>
      </c>
      <c r="E387" s="13">
        <v>80</v>
      </c>
    </row>
    <row r="388" spans="1:6" x14ac:dyDescent="0.4">
      <c r="A388" s="1">
        <v>45856</v>
      </c>
      <c r="B388" s="20">
        <v>80.25</v>
      </c>
      <c r="C388" s="13">
        <v>80.260000000000005</v>
      </c>
      <c r="D388" s="13">
        <v>80.319999999999993</v>
      </c>
      <c r="E388" s="13">
        <v>80.180000000000007</v>
      </c>
      <c r="F388" s="13"/>
    </row>
    <row r="389" spans="1:6" x14ac:dyDescent="0.4">
      <c r="A389" s="1">
        <v>45859</v>
      </c>
      <c r="B389" s="20">
        <v>80.36</v>
      </c>
      <c r="C389" s="13">
        <v>80.319999999999993</v>
      </c>
      <c r="D389" s="13">
        <v>80.45</v>
      </c>
      <c r="E389" s="13">
        <v>80.34</v>
      </c>
      <c r="F389" s="13"/>
    </row>
    <row r="390" spans="1:6" x14ac:dyDescent="0.4">
      <c r="A390" s="1">
        <v>45860</v>
      </c>
      <c r="B390" s="20">
        <v>80.489999999999995</v>
      </c>
      <c r="C390" s="13">
        <v>80.42</v>
      </c>
      <c r="D390" s="13">
        <v>80.489999999999995</v>
      </c>
      <c r="E390" s="13">
        <v>80.34</v>
      </c>
      <c r="F390" s="13"/>
    </row>
    <row r="391" spans="1:6" x14ac:dyDescent="0.4">
      <c r="A391" s="1">
        <v>45861</v>
      </c>
      <c r="B391" s="20">
        <v>80.540000000000006</v>
      </c>
      <c r="C391" s="13">
        <v>80.52</v>
      </c>
      <c r="D391" s="13">
        <v>80.540000000000006</v>
      </c>
      <c r="E391" s="13">
        <v>80.44</v>
      </c>
      <c r="F391" s="13"/>
    </row>
    <row r="392" spans="1:6" x14ac:dyDescent="0.4">
      <c r="A392" s="1">
        <v>45862</v>
      </c>
      <c r="B392" s="12">
        <v>80.44</v>
      </c>
      <c r="C392" s="13">
        <v>80.44</v>
      </c>
      <c r="D392" s="13">
        <v>80.5</v>
      </c>
      <c r="E392" s="13">
        <v>80.41</v>
      </c>
    </row>
    <row r="393" spans="1:6" x14ac:dyDescent="0.4">
      <c r="A393" s="1">
        <v>45863</v>
      </c>
      <c r="B393" s="20">
        <v>80.489999999999995</v>
      </c>
      <c r="C393" s="13">
        <v>80.5</v>
      </c>
      <c r="D393" s="13">
        <v>80.58</v>
      </c>
      <c r="E393" s="13">
        <v>80.400000000000006</v>
      </c>
      <c r="F393" s="13"/>
    </row>
    <row r="394" spans="1:6" x14ac:dyDescent="0.4">
      <c r="A394" s="1">
        <v>45867</v>
      </c>
      <c r="B394" s="20">
        <v>80.48</v>
      </c>
      <c r="C394" s="13">
        <v>80.52</v>
      </c>
      <c r="D394" s="13">
        <v>80.540000000000006</v>
      </c>
      <c r="E394" s="13">
        <v>80.45</v>
      </c>
      <c r="F394" s="13"/>
    </row>
    <row r="395" spans="1:6" x14ac:dyDescent="0.4">
      <c r="A395" s="1">
        <v>45868</v>
      </c>
      <c r="B395" s="12">
        <v>80.33</v>
      </c>
      <c r="C395" s="13">
        <v>80.45</v>
      </c>
      <c r="D395" s="13">
        <v>80.510000000000005</v>
      </c>
      <c r="E395" s="13">
        <v>80.25</v>
      </c>
      <c r="F395" s="13"/>
    </row>
    <row r="396" spans="1:6" x14ac:dyDescent="0.4">
      <c r="A396" s="1">
        <v>45869</v>
      </c>
      <c r="B396" s="9">
        <v>80.38</v>
      </c>
      <c r="C396" s="7">
        <v>80.400000000000006</v>
      </c>
      <c r="D396" s="7">
        <v>80.48</v>
      </c>
      <c r="E396" s="7">
        <v>80.33</v>
      </c>
    </row>
    <row r="397" spans="1:6" x14ac:dyDescent="0.4">
      <c r="A397" s="1">
        <v>45870</v>
      </c>
      <c r="B397" s="12">
        <v>79.98</v>
      </c>
      <c r="C397" s="13">
        <v>80.040000000000006</v>
      </c>
      <c r="D397" s="13">
        <v>80.06</v>
      </c>
      <c r="E397" s="13">
        <v>79.81</v>
      </c>
      <c r="F397" s="13"/>
    </row>
    <row r="398" spans="1:6" x14ac:dyDescent="0.4">
      <c r="A398" s="1">
        <v>45873</v>
      </c>
      <c r="B398" s="20">
        <v>80.25</v>
      </c>
      <c r="C398" s="13">
        <v>80.09</v>
      </c>
      <c r="D398" s="13">
        <v>80.25</v>
      </c>
      <c r="E398" s="13">
        <v>80.06</v>
      </c>
    </row>
    <row r="399" spans="1:6" x14ac:dyDescent="0.4">
      <c r="A399" s="1">
        <v>45874</v>
      </c>
      <c r="B399" s="12">
        <v>80.209999999999994</v>
      </c>
      <c r="C399" s="13">
        <v>80.209999999999994</v>
      </c>
      <c r="D399" s="13">
        <v>80.239999999999995</v>
      </c>
      <c r="E399" s="13">
        <v>80.099999999999994</v>
      </c>
      <c r="F399" s="13"/>
    </row>
    <row r="400" spans="1:6" x14ac:dyDescent="0.4">
      <c r="A400" s="1">
        <v>45875</v>
      </c>
      <c r="B400" s="20">
        <v>80.28</v>
      </c>
      <c r="C400" s="13">
        <v>80.209999999999994</v>
      </c>
      <c r="D400" s="13">
        <v>80.3</v>
      </c>
      <c r="E400" s="13">
        <v>80.14</v>
      </c>
    </row>
    <row r="401" spans="1:6" x14ac:dyDescent="0.4">
      <c r="A401" s="1">
        <v>45876</v>
      </c>
      <c r="B401" s="12">
        <v>80.23</v>
      </c>
      <c r="C401" s="13">
        <v>80.31</v>
      </c>
      <c r="D401" s="13">
        <v>80.36</v>
      </c>
      <c r="E401" s="13">
        <v>80.16</v>
      </c>
      <c r="F401" s="13"/>
    </row>
    <row r="402" spans="1:6" x14ac:dyDescent="0.4">
      <c r="A402" s="1">
        <v>45877</v>
      </c>
      <c r="B402" s="20">
        <v>80.22</v>
      </c>
      <c r="C402" s="13">
        <v>80.2</v>
      </c>
      <c r="D402" s="13">
        <v>80.25</v>
      </c>
      <c r="E402" s="13">
        <v>80.150000000000006</v>
      </c>
      <c r="F402" s="13"/>
    </row>
    <row r="403" spans="1:6" x14ac:dyDescent="0.4">
      <c r="A403" s="1">
        <v>45880</v>
      </c>
      <c r="B403" s="12">
        <v>80.22</v>
      </c>
      <c r="C403" s="13">
        <v>80.22</v>
      </c>
      <c r="D403" s="13">
        <v>80.290000000000006</v>
      </c>
      <c r="E403" s="13">
        <v>80.17</v>
      </c>
      <c r="F403" s="13"/>
    </row>
    <row r="404" spans="1:6" x14ac:dyDescent="0.4">
      <c r="A404" s="1">
        <v>45881</v>
      </c>
      <c r="B404" s="20">
        <v>80.400000000000006</v>
      </c>
      <c r="C404" s="13">
        <v>80.27</v>
      </c>
      <c r="D404" s="13">
        <v>80.39</v>
      </c>
      <c r="E404" s="13">
        <v>80.22</v>
      </c>
    </row>
    <row r="405" spans="1:6" x14ac:dyDescent="0.4">
      <c r="A405" s="1">
        <v>45882</v>
      </c>
      <c r="B405" s="20">
        <v>80.61</v>
      </c>
      <c r="C405" s="13">
        <v>80.459999999999994</v>
      </c>
      <c r="D405" s="13">
        <v>80.61</v>
      </c>
      <c r="E405" s="13">
        <v>80.459999999999994</v>
      </c>
      <c r="F405" s="13"/>
    </row>
    <row r="406" spans="1:6" x14ac:dyDescent="0.4">
      <c r="A406" s="1">
        <v>45883</v>
      </c>
      <c r="B406" s="12">
        <v>80.400000000000006</v>
      </c>
      <c r="C406" s="13">
        <v>80.489999999999995</v>
      </c>
      <c r="D406" s="13">
        <v>80.489999999999995</v>
      </c>
      <c r="E406" s="13">
        <v>80.349999999999994</v>
      </c>
      <c r="F406" s="13"/>
    </row>
    <row r="407" spans="1:6" x14ac:dyDescent="0.4">
      <c r="A407" s="1">
        <v>45884</v>
      </c>
      <c r="B407" s="20">
        <v>80.459999999999994</v>
      </c>
      <c r="C407" s="13">
        <v>80.47</v>
      </c>
      <c r="D407" s="13">
        <v>80.47</v>
      </c>
      <c r="E407" s="13">
        <v>80.37</v>
      </c>
    </row>
    <row r="408" spans="1:6" x14ac:dyDescent="0.4">
      <c r="A408" s="1">
        <v>45887</v>
      </c>
      <c r="B408" s="12">
        <v>80.39</v>
      </c>
      <c r="C408" s="13">
        <v>80.45</v>
      </c>
      <c r="D408" s="13">
        <v>80.489999999999995</v>
      </c>
      <c r="E408" s="13">
        <v>80.38</v>
      </c>
      <c r="F408" s="13"/>
    </row>
    <row r="409" spans="1:6" x14ac:dyDescent="0.4">
      <c r="A409" s="1">
        <v>45888</v>
      </c>
      <c r="B409" s="12">
        <v>80.39</v>
      </c>
      <c r="C409" s="13">
        <v>80.44</v>
      </c>
      <c r="D409" s="13">
        <v>80.459999999999994</v>
      </c>
      <c r="E409" s="13">
        <v>80.36</v>
      </c>
      <c r="F409" s="13"/>
    </row>
    <row r="410" spans="1:6" x14ac:dyDescent="0.4">
      <c r="A410" s="1">
        <v>45889</v>
      </c>
      <c r="B410" s="12">
        <v>80.349999999999994</v>
      </c>
      <c r="C410" s="13">
        <v>80.41</v>
      </c>
      <c r="D410" s="13">
        <v>80.430000000000007</v>
      </c>
      <c r="E410" s="13">
        <v>80.31</v>
      </c>
      <c r="F410" s="13"/>
    </row>
    <row r="411" spans="1:6" x14ac:dyDescent="0.4">
      <c r="A411" s="1">
        <v>45890</v>
      </c>
      <c r="B411" s="12">
        <v>80.2</v>
      </c>
      <c r="C411" s="13">
        <v>80.260000000000005</v>
      </c>
      <c r="D411" s="13">
        <v>80.290000000000006</v>
      </c>
      <c r="E411" s="13">
        <v>80.19</v>
      </c>
      <c r="F411" s="13"/>
    </row>
    <row r="412" spans="1:6" x14ac:dyDescent="0.4">
      <c r="A412" s="1">
        <v>45891</v>
      </c>
      <c r="B412" s="20">
        <v>80.849999999999994</v>
      </c>
      <c r="C412" s="13">
        <v>80.319999999999993</v>
      </c>
      <c r="D412" s="13">
        <v>80.86</v>
      </c>
      <c r="E412" s="13">
        <v>80.3</v>
      </c>
      <c r="F412" s="13"/>
    </row>
    <row r="413" spans="1:6" x14ac:dyDescent="0.4">
      <c r="A413" s="1">
        <v>45894</v>
      </c>
      <c r="B413" s="12">
        <v>80.709999999999994</v>
      </c>
      <c r="C413" s="13">
        <v>80.78</v>
      </c>
      <c r="D413" s="13">
        <v>80.81</v>
      </c>
      <c r="E413" s="13">
        <v>80.709999999999994</v>
      </c>
      <c r="F413" s="13"/>
    </row>
    <row r="414" spans="1:6" x14ac:dyDescent="0.4">
      <c r="A414" s="1">
        <v>45895</v>
      </c>
      <c r="B414" s="20">
        <v>80.87</v>
      </c>
      <c r="C414" s="13">
        <v>80.790000000000006</v>
      </c>
      <c r="D414" s="13">
        <v>80.89</v>
      </c>
      <c r="E414" s="13">
        <v>80.739999999999995</v>
      </c>
      <c r="F414" s="13"/>
    </row>
    <row r="415" spans="1:6" x14ac:dyDescent="0.4">
      <c r="A415" s="1">
        <v>45896</v>
      </c>
      <c r="B415" s="20">
        <v>80.97</v>
      </c>
      <c r="C415" s="13">
        <v>80.819999999999993</v>
      </c>
      <c r="D415" s="13">
        <v>80.989999999999995</v>
      </c>
      <c r="E415" s="13">
        <v>80.819999999999993</v>
      </c>
      <c r="F415" s="13"/>
    </row>
    <row r="416" spans="1:6" x14ac:dyDescent="0.4">
      <c r="A416" s="1">
        <v>45897</v>
      </c>
      <c r="B416" s="20">
        <v>81.010000000000005</v>
      </c>
      <c r="C416" s="13">
        <v>80.97</v>
      </c>
      <c r="D416" s="13">
        <v>81</v>
      </c>
      <c r="E416" s="13">
        <v>80.900000000000006</v>
      </c>
      <c r="F416" s="13"/>
    </row>
    <row r="417" spans="1:6" x14ac:dyDescent="0.4">
      <c r="A417" s="1">
        <v>45898</v>
      </c>
      <c r="B417" s="12">
        <v>80.86</v>
      </c>
      <c r="C417" s="13">
        <v>80.989999999999995</v>
      </c>
      <c r="D417" s="13">
        <v>80.989999999999995</v>
      </c>
      <c r="E417" s="13">
        <v>80.86</v>
      </c>
      <c r="F417" s="13"/>
    </row>
    <row r="418" spans="1:6" x14ac:dyDescent="0.4">
      <c r="A418" s="1">
        <v>45902</v>
      </c>
      <c r="B418" s="12">
        <v>80.39</v>
      </c>
      <c r="C418" s="13">
        <v>80.27</v>
      </c>
      <c r="D418" s="13">
        <v>80.400000000000006</v>
      </c>
      <c r="E418" s="13">
        <v>80.209999999999994</v>
      </c>
      <c r="F418" s="13"/>
    </row>
    <row r="419" spans="1:6" x14ac:dyDescent="0.4">
      <c r="A419" s="1">
        <v>45903</v>
      </c>
      <c r="B419" s="20">
        <v>80.61</v>
      </c>
      <c r="C419" s="13">
        <v>80.41</v>
      </c>
      <c r="D419" s="13">
        <v>80.61</v>
      </c>
      <c r="E419" s="13">
        <v>80.41</v>
      </c>
      <c r="F419" s="13"/>
    </row>
    <row r="420" spans="1:6" x14ac:dyDescent="0.4">
      <c r="A420" s="1">
        <v>45904</v>
      </c>
      <c r="B420" s="20">
        <v>80.83</v>
      </c>
      <c r="C420" s="13">
        <v>80.66</v>
      </c>
      <c r="D420" s="13">
        <v>80.84</v>
      </c>
      <c r="E420" s="13">
        <v>80.63</v>
      </c>
      <c r="F420" s="13"/>
    </row>
    <row r="421" spans="1:6" x14ac:dyDescent="0.4">
      <c r="A421" s="1">
        <v>45905</v>
      </c>
      <c r="B421" s="20">
        <v>80.87</v>
      </c>
      <c r="C421" s="13">
        <v>80.98</v>
      </c>
      <c r="D421" s="13">
        <v>81.099999999999994</v>
      </c>
      <c r="E421" s="13">
        <v>80.84</v>
      </c>
      <c r="F421" s="13"/>
    </row>
    <row r="422" spans="1:6" x14ac:dyDescent="0.4">
      <c r="A422" s="1">
        <v>45908</v>
      </c>
      <c r="B422" s="12">
        <v>80.87</v>
      </c>
      <c r="C422" s="13">
        <v>80.95</v>
      </c>
      <c r="D422" s="13">
        <v>80.97</v>
      </c>
      <c r="E422" s="13">
        <v>80.849999999999994</v>
      </c>
      <c r="F422" s="13"/>
    </row>
    <row r="423" spans="1:6" x14ac:dyDescent="0.4">
      <c r="A423" s="1">
        <v>45909</v>
      </c>
      <c r="B423" s="12">
        <v>80.78</v>
      </c>
      <c r="C423" s="13">
        <v>80.849999999999994</v>
      </c>
      <c r="D423" s="13">
        <v>80.87</v>
      </c>
      <c r="E423" s="13">
        <v>80.67</v>
      </c>
      <c r="F423" s="13"/>
    </row>
    <row r="424" spans="1:6" x14ac:dyDescent="0.4">
      <c r="A424" s="1">
        <v>45910</v>
      </c>
      <c r="B424" s="20">
        <v>80.84</v>
      </c>
      <c r="C424" s="13">
        <v>80.87</v>
      </c>
      <c r="D424" s="13">
        <v>80.930000000000007</v>
      </c>
      <c r="E424" s="13">
        <v>80.790000000000006</v>
      </c>
      <c r="F424" s="13"/>
    </row>
    <row r="425" spans="1:6" x14ac:dyDescent="0.4">
      <c r="A425" s="1">
        <v>45911</v>
      </c>
      <c r="B425" s="20">
        <v>81.040000000000006</v>
      </c>
      <c r="C425" s="13">
        <v>80.91</v>
      </c>
      <c r="D425" s="13">
        <v>81.099999999999994</v>
      </c>
      <c r="E425" s="13">
        <v>80.91</v>
      </c>
      <c r="F425" s="13"/>
    </row>
    <row r="426" spans="1:6" x14ac:dyDescent="0.4">
      <c r="A426" s="1">
        <v>45912</v>
      </c>
      <c r="B426" s="12">
        <v>80.959999999999994</v>
      </c>
      <c r="C426" s="13">
        <v>81.03</v>
      </c>
      <c r="D426" s="13">
        <v>81.03</v>
      </c>
      <c r="E426" s="13">
        <v>80.94</v>
      </c>
      <c r="F426" s="13"/>
    </row>
    <row r="427" spans="1:6" x14ac:dyDescent="0.4">
      <c r="A427" s="1">
        <v>45915</v>
      </c>
      <c r="B427" s="20">
        <v>81.19</v>
      </c>
      <c r="C427" s="13">
        <v>81.08</v>
      </c>
      <c r="D427" s="13">
        <v>81.2</v>
      </c>
      <c r="E427" s="13">
        <v>81.08</v>
      </c>
      <c r="F427" s="13"/>
    </row>
    <row r="428" spans="1:6" x14ac:dyDescent="0.4">
      <c r="A428" s="1">
        <v>45916</v>
      </c>
      <c r="B428" s="12">
        <v>81.13</v>
      </c>
      <c r="C428" s="13">
        <v>81.23</v>
      </c>
      <c r="D428" s="13">
        <v>81.23</v>
      </c>
      <c r="E428" s="13">
        <v>81.099999999999994</v>
      </c>
      <c r="F428" s="13"/>
    </row>
    <row r="429" spans="1:6" x14ac:dyDescent="0.4">
      <c r="A429" s="1">
        <v>45917</v>
      </c>
      <c r="B429" s="12">
        <v>81.05</v>
      </c>
      <c r="C429" s="13">
        <v>81.19</v>
      </c>
      <c r="D429" s="13">
        <v>81.239999999999995</v>
      </c>
      <c r="E429" s="13">
        <v>80.91</v>
      </c>
      <c r="F429" s="13"/>
    </row>
    <row r="430" spans="1:6" x14ac:dyDescent="0.4">
      <c r="A430" s="1">
        <v>45918</v>
      </c>
      <c r="B430" s="20">
        <v>81.23</v>
      </c>
      <c r="C430" s="13">
        <v>81.14</v>
      </c>
      <c r="D430" s="13">
        <v>81.260000000000005</v>
      </c>
      <c r="E430" s="13">
        <v>81.069999999999993</v>
      </c>
      <c r="F430" s="13"/>
    </row>
    <row r="431" spans="1:6" x14ac:dyDescent="0.4">
      <c r="A431" s="1">
        <v>45919</v>
      </c>
      <c r="B431" s="20">
        <v>81.260000000000005</v>
      </c>
      <c r="C431" s="13">
        <v>81.25</v>
      </c>
      <c r="D431" s="13">
        <v>81.290000000000006</v>
      </c>
      <c r="E431" s="13">
        <v>81.150000000000006</v>
      </c>
      <c r="F431" s="13"/>
    </row>
    <row r="432" spans="1:6" x14ac:dyDescent="0.4">
      <c r="A432" s="1">
        <v>45922</v>
      </c>
      <c r="B432" s="20">
        <v>81.31</v>
      </c>
      <c r="C432" s="13">
        <v>81.19</v>
      </c>
      <c r="D432" s="13">
        <v>81.319999999999993</v>
      </c>
      <c r="E432" s="13">
        <v>81.180000000000007</v>
      </c>
      <c r="F432" s="13"/>
    </row>
    <row r="433" spans="1:6" x14ac:dyDescent="0.4">
      <c r="A433" s="1">
        <v>45923</v>
      </c>
      <c r="B433" s="12">
        <v>81.260000000000005</v>
      </c>
      <c r="C433" s="13">
        <v>81.34</v>
      </c>
      <c r="D433" s="13">
        <v>81.36</v>
      </c>
      <c r="E433" s="13">
        <v>81.2</v>
      </c>
      <c r="F433" s="13"/>
    </row>
    <row r="434" spans="1:6" x14ac:dyDescent="0.4">
      <c r="A434" s="1">
        <v>45924</v>
      </c>
      <c r="B434" s="12">
        <v>81.150000000000006</v>
      </c>
      <c r="C434" s="13">
        <v>81.25</v>
      </c>
      <c r="D434" s="13">
        <v>81.25</v>
      </c>
      <c r="E434" s="13">
        <v>81.12</v>
      </c>
      <c r="F434" s="13"/>
    </row>
    <row r="435" spans="1:6" x14ac:dyDescent="0.4">
      <c r="A435" s="1">
        <v>45925</v>
      </c>
      <c r="B435" s="12">
        <v>80.92</v>
      </c>
      <c r="C435" s="13">
        <v>81</v>
      </c>
      <c r="D435" s="13">
        <v>81</v>
      </c>
      <c r="E435" s="13">
        <v>80.900000000000006</v>
      </c>
      <c r="F435" s="13"/>
    </row>
    <row r="436" spans="1:6" x14ac:dyDescent="0.4">
      <c r="A436" s="1">
        <v>45926</v>
      </c>
      <c r="B436" s="20">
        <v>81.08</v>
      </c>
      <c r="C436" s="13">
        <v>81.040000000000006</v>
      </c>
      <c r="D436" s="13">
        <v>81.11</v>
      </c>
      <c r="E436" s="13">
        <v>80.959999999999994</v>
      </c>
      <c r="F436" s="13"/>
    </row>
    <row r="437" spans="1:6" x14ac:dyDescent="0.4">
      <c r="A437" s="1">
        <v>45929</v>
      </c>
      <c r="B437" s="20">
        <v>81.22</v>
      </c>
      <c r="C437" s="13">
        <v>81.16</v>
      </c>
      <c r="D437" s="13">
        <v>81.23</v>
      </c>
      <c r="E437" s="13">
        <v>81.13</v>
      </c>
    </row>
    <row r="438" spans="1:6" x14ac:dyDescent="0.4">
      <c r="A438" s="1">
        <v>45930</v>
      </c>
      <c r="B438" s="12">
        <v>81.19</v>
      </c>
      <c r="C438" s="13">
        <v>81.2</v>
      </c>
      <c r="D438" s="13">
        <v>81.209999999999994</v>
      </c>
      <c r="E438" s="13">
        <v>81.099999999999994</v>
      </c>
      <c r="F438" s="13"/>
    </row>
    <row r="439" spans="1:6" x14ac:dyDescent="0.4">
      <c r="A439" s="1">
        <v>45931</v>
      </c>
      <c r="B439" s="12">
        <v>80.959999999999994</v>
      </c>
      <c r="C439" s="13">
        <v>80.81</v>
      </c>
      <c r="D439" s="13">
        <v>80.989999999999995</v>
      </c>
      <c r="E439" s="13">
        <v>80.78</v>
      </c>
    </row>
    <row r="440" spans="1:6" x14ac:dyDescent="0.4">
      <c r="A440" s="1">
        <v>45932</v>
      </c>
      <c r="B440" s="11">
        <v>80.92</v>
      </c>
      <c r="C440" s="7">
        <v>80.94</v>
      </c>
      <c r="D440" s="7">
        <v>80.959999999999994</v>
      </c>
      <c r="E440" s="7">
        <v>80.84</v>
      </c>
      <c r="F440" s="7"/>
    </row>
    <row r="441" spans="1:6" x14ac:dyDescent="0.4">
      <c r="A441" s="1">
        <v>45933</v>
      </c>
      <c r="B441" s="12">
        <v>80.84</v>
      </c>
      <c r="C441" s="13">
        <v>80.92</v>
      </c>
      <c r="D441" s="13">
        <v>80.930000000000007</v>
      </c>
      <c r="E441" s="13">
        <v>80.819999999999993</v>
      </c>
      <c r="F441" s="13"/>
    </row>
    <row r="442" spans="1:6" x14ac:dyDescent="0.4">
      <c r="A442" s="1">
        <v>45936</v>
      </c>
      <c r="B442" s="20">
        <v>80.86</v>
      </c>
      <c r="C442" s="13">
        <v>80.89</v>
      </c>
      <c r="D442" s="13">
        <v>80.900000000000006</v>
      </c>
      <c r="E442" s="13">
        <v>80.83</v>
      </c>
      <c r="F442" s="13"/>
    </row>
    <row r="443" spans="1:6" x14ac:dyDescent="0.4">
      <c r="A443" s="1">
        <v>45937</v>
      </c>
      <c r="B443" s="12">
        <v>80.77</v>
      </c>
      <c r="C443" s="13">
        <v>80.89</v>
      </c>
      <c r="D443" s="13">
        <v>80.89</v>
      </c>
      <c r="E443" s="13">
        <v>80.760000000000005</v>
      </c>
      <c r="F443" s="13"/>
    </row>
    <row r="444" spans="1:6" x14ac:dyDescent="0.4">
      <c r="A444" s="1">
        <v>45938</v>
      </c>
      <c r="B444" s="11">
        <v>80.66</v>
      </c>
      <c r="C444" s="7">
        <v>80.819999999999993</v>
      </c>
      <c r="D444" s="7">
        <v>80.84</v>
      </c>
      <c r="E444" s="7">
        <v>80.64</v>
      </c>
      <c r="F444" s="7"/>
    </row>
    <row r="445" spans="1:6" x14ac:dyDescent="0.4">
      <c r="A445" s="1">
        <v>45939</v>
      </c>
      <c r="B445" s="11">
        <v>80.45</v>
      </c>
      <c r="C445" s="7">
        <v>80.64</v>
      </c>
      <c r="D445" s="7">
        <v>80.64</v>
      </c>
      <c r="E445" s="7">
        <v>80.31</v>
      </c>
      <c r="F445" s="7"/>
    </row>
    <row r="446" spans="1:6" x14ac:dyDescent="0.4">
      <c r="A446" s="1">
        <v>45940</v>
      </c>
      <c r="B446" s="11">
        <v>79.95</v>
      </c>
      <c r="C446" s="7">
        <v>80.47</v>
      </c>
      <c r="D446" s="7">
        <v>80.489999999999995</v>
      </c>
      <c r="E446" s="7">
        <v>79.95</v>
      </c>
    </row>
    <row r="447" spans="1:6" x14ac:dyDescent="0.4">
      <c r="A447" s="1">
        <v>45943</v>
      </c>
      <c r="B447" s="9">
        <v>80.44</v>
      </c>
      <c r="C447" s="7">
        <v>80.23</v>
      </c>
      <c r="D447" s="7">
        <v>80.45</v>
      </c>
      <c r="E447" s="7">
        <v>80.180000000000007</v>
      </c>
      <c r="F447" s="7"/>
    </row>
    <row r="448" spans="1:6" x14ac:dyDescent="0.4">
      <c r="A448" s="1">
        <v>45944</v>
      </c>
      <c r="B448" s="9">
        <v>80.540000000000006</v>
      </c>
      <c r="C448" s="7">
        <v>80.180000000000007</v>
      </c>
      <c r="D448" s="7">
        <v>80.64</v>
      </c>
      <c r="E448" s="7">
        <v>80.11</v>
      </c>
      <c r="F448" s="7"/>
    </row>
    <row r="449" spans="1:6" x14ac:dyDescent="0.4">
      <c r="A449" s="1">
        <v>45945</v>
      </c>
      <c r="B449" s="20">
        <v>80.8</v>
      </c>
      <c r="C449" s="13">
        <v>80.72</v>
      </c>
      <c r="D449" s="13">
        <v>80.83</v>
      </c>
      <c r="E449" s="13">
        <v>80.599999999999994</v>
      </c>
    </row>
    <row r="450" spans="1:6" x14ac:dyDescent="0.4">
      <c r="A450" s="1">
        <v>45946</v>
      </c>
      <c r="B450" s="11">
        <v>80.540000000000006</v>
      </c>
      <c r="C450" s="7">
        <v>80.8</v>
      </c>
      <c r="D450" s="7">
        <v>80.819999999999993</v>
      </c>
      <c r="E450" s="7">
        <v>80.459999999999994</v>
      </c>
      <c r="F450" s="7"/>
    </row>
    <row r="451" spans="1:6" x14ac:dyDescent="0.4">
      <c r="A451" s="1">
        <v>45947</v>
      </c>
      <c r="B451" s="9">
        <v>80.72</v>
      </c>
      <c r="C451" s="7">
        <v>80.44</v>
      </c>
      <c r="D451" s="7">
        <v>80.73</v>
      </c>
      <c r="E451" s="7">
        <v>80.430000000000007</v>
      </c>
      <c r="F451" s="7"/>
    </row>
    <row r="452" spans="1:6" x14ac:dyDescent="0.4">
      <c r="A452" s="1">
        <v>45950</v>
      </c>
      <c r="B452" s="20">
        <v>80.88</v>
      </c>
      <c r="C452" s="13">
        <v>80.77</v>
      </c>
      <c r="D452" s="13">
        <v>80.900000000000006</v>
      </c>
      <c r="E452" s="13">
        <v>80.78</v>
      </c>
      <c r="F452" s="13"/>
    </row>
    <row r="453" spans="1:6" x14ac:dyDescent="0.4">
      <c r="A453" s="1">
        <v>45951</v>
      </c>
      <c r="B453" s="12">
        <v>80.760000000000005</v>
      </c>
      <c r="C453" s="13">
        <v>80.88</v>
      </c>
      <c r="D453" s="13">
        <v>80.930000000000007</v>
      </c>
      <c r="E453" s="13">
        <v>80.760000000000005</v>
      </c>
      <c r="F453" s="13"/>
    </row>
    <row r="454" spans="1:6" x14ac:dyDescent="0.4">
      <c r="A454" s="1">
        <v>45952</v>
      </c>
      <c r="B454" s="11">
        <v>80.709999999999994</v>
      </c>
      <c r="C454" s="7">
        <v>80.760000000000005</v>
      </c>
      <c r="D454" s="7">
        <v>80.81</v>
      </c>
      <c r="E454" s="7">
        <v>80.599999999999994</v>
      </c>
      <c r="F454" s="7"/>
    </row>
    <row r="455" spans="1:6" x14ac:dyDescent="0.4">
      <c r="A455" s="1">
        <v>45953</v>
      </c>
      <c r="B455" s="20">
        <v>80.84</v>
      </c>
      <c r="C455" s="13">
        <v>80.7</v>
      </c>
      <c r="D455" s="13">
        <v>80.86</v>
      </c>
      <c r="E455" s="13">
        <v>80.7</v>
      </c>
    </row>
    <row r="456" spans="1:6" x14ac:dyDescent="0.4">
      <c r="A456" s="1">
        <v>45954</v>
      </c>
      <c r="B456" s="20">
        <v>81.08</v>
      </c>
      <c r="C456" s="13">
        <v>81.03</v>
      </c>
      <c r="D456" s="13">
        <v>81.09</v>
      </c>
      <c r="E456" s="13">
        <v>80.97</v>
      </c>
      <c r="F456" s="13"/>
    </row>
    <row r="457" spans="1:6" x14ac:dyDescent="0.4">
      <c r="A457" s="1">
        <v>45957</v>
      </c>
      <c r="B457" s="20">
        <v>81.27</v>
      </c>
      <c r="C457" s="13">
        <v>81.17</v>
      </c>
      <c r="D457" s="13">
        <v>81.319999999999993</v>
      </c>
      <c r="E457" s="13">
        <v>81.13</v>
      </c>
      <c r="F457" s="13"/>
    </row>
    <row r="458" spans="1:6" x14ac:dyDescent="0.4">
      <c r="A458" s="1">
        <v>45958</v>
      </c>
      <c r="B458" s="12">
        <v>81.2</v>
      </c>
      <c r="C458" s="13">
        <v>81.28</v>
      </c>
      <c r="D458" s="13">
        <v>81.28</v>
      </c>
      <c r="E458" s="13">
        <v>81.17</v>
      </c>
      <c r="F458" s="13"/>
    </row>
    <row r="459" spans="1:6" x14ac:dyDescent="0.4">
      <c r="A459" s="1">
        <v>45959</v>
      </c>
      <c r="B459" s="12">
        <v>80.95</v>
      </c>
      <c r="C459" s="13">
        <v>81.2</v>
      </c>
      <c r="D459" s="13">
        <v>81.23</v>
      </c>
      <c r="E459" s="13">
        <v>80.900000000000006</v>
      </c>
      <c r="F459" s="13"/>
    </row>
    <row r="460" spans="1:6" x14ac:dyDescent="0.4">
      <c r="A460" s="1">
        <v>45960</v>
      </c>
      <c r="B460" s="12">
        <v>80.8</v>
      </c>
      <c r="C460" s="13">
        <v>80.790000000000006</v>
      </c>
      <c r="D460" s="13">
        <v>80.94</v>
      </c>
      <c r="E460" s="13">
        <v>80.760000000000005</v>
      </c>
      <c r="F460" s="13"/>
    </row>
    <row r="461" spans="1:6" x14ac:dyDescent="0.4">
      <c r="A461" s="1">
        <v>45961</v>
      </c>
      <c r="B461" s="11">
        <v>80.8</v>
      </c>
      <c r="C461" s="7">
        <v>80.89</v>
      </c>
      <c r="D461" s="7">
        <v>80.959999999999994</v>
      </c>
      <c r="E461" s="7">
        <v>80.75</v>
      </c>
      <c r="F461" s="7"/>
    </row>
    <row r="462" spans="1:6" x14ac:dyDescent="0.4">
      <c r="A462" s="1">
        <v>45964</v>
      </c>
      <c r="B462" s="12">
        <v>80.16</v>
      </c>
      <c r="C462" s="13">
        <v>80.39</v>
      </c>
      <c r="D462" s="13">
        <v>80.39</v>
      </c>
      <c r="E462" s="13">
        <v>80.14</v>
      </c>
      <c r="F462" s="13"/>
    </row>
    <row r="463" spans="1:6" x14ac:dyDescent="0.4">
      <c r="A463" s="1">
        <v>45965</v>
      </c>
      <c r="B463" s="20">
        <v>80.150000000000006</v>
      </c>
      <c r="C463" s="13">
        <v>79.98</v>
      </c>
      <c r="D463" s="13">
        <v>80.209999999999994</v>
      </c>
      <c r="E463" s="13">
        <v>79.97</v>
      </c>
      <c r="F463" s="13"/>
    </row>
    <row r="464" spans="1:6" x14ac:dyDescent="0.4">
      <c r="A464" s="1">
        <v>45966</v>
      </c>
      <c r="B464" s="20">
        <v>80.23</v>
      </c>
      <c r="C464" s="13">
        <v>80.19</v>
      </c>
      <c r="D464" s="13">
        <v>80.28</v>
      </c>
      <c r="E464" s="13">
        <v>80.17</v>
      </c>
      <c r="F464" s="13"/>
    </row>
    <row r="465" spans="1:6" x14ac:dyDescent="0.4">
      <c r="A465" s="1">
        <v>45967</v>
      </c>
      <c r="B465" s="20">
        <v>80.260000000000005</v>
      </c>
      <c r="C465" s="13">
        <v>80.31</v>
      </c>
      <c r="D465" s="13">
        <v>80.319999999999993</v>
      </c>
      <c r="E465" s="13">
        <v>80.13</v>
      </c>
    </row>
    <row r="466" spans="1:6" x14ac:dyDescent="0.4">
      <c r="A466" s="1">
        <v>45968</v>
      </c>
      <c r="B466" s="9">
        <v>80.33</v>
      </c>
      <c r="C466" s="7">
        <v>80.25</v>
      </c>
      <c r="D466" s="7">
        <v>80.34</v>
      </c>
      <c r="E466" s="7">
        <v>80.09</v>
      </c>
      <c r="F466" s="7"/>
    </row>
    <row r="467" spans="1:6" x14ac:dyDescent="0.4">
      <c r="A467" s="1">
        <v>45971</v>
      </c>
      <c r="B467" s="9">
        <v>80.599999999999994</v>
      </c>
      <c r="C467" s="7">
        <v>80.45</v>
      </c>
      <c r="D467" s="7">
        <v>80.64</v>
      </c>
      <c r="E467" s="7">
        <v>80.44</v>
      </c>
      <c r="F467" s="7"/>
    </row>
    <row r="468" spans="1:6" x14ac:dyDescent="0.4">
      <c r="A468" s="1">
        <v>45972</v>
      </c>
      <c r="B468" s="20">
        <v>80.69</v>
      </c>
      <c r="C468" s="13">
        <v>80.61</v>
      </c>
      <c r="D468" s="13">
        <v>80.709999999999994</v>
      </c>
      <c r="E468" s="13">
        <v>80.61</v>
      </c>
      <c r="F468" s="13"/>
    </row>
    <row r="469" spans="1:6" x14ac:dyDescent="0.4">
      <c r="A469" s="1">
        <v>45973</v>
      </c>
      <c r="B469" s="12">
        <v>80.55</v>
      </c>
      <c r="C469" s="13">
        <v>80.680000000000007</v>
      </c>
      <c r="D469" s="13">
        <v>80.7</v>
      </c>
      <c r="E469" s="13">
        <v>80.489999999999995</v>
      </c>
      <c r="F469" s="13"/>
    </row>
    <row r="470" spans="1:6" x14ac:dyDescent="0.4">
      <c r="A470" s="1">
        <v>45974</v>
      </c>
      <c r="B470" s="11">
        <v>80.2</v>
      </c>
      <c r="C470" s="7">
        <v>80.42</v>
      </c>
      <c r="D470" s="7">
        <v>80.42</v>
      </c>
      <c r="E470" s="7">
        <v>80.150000000000006</v>
      </c>
      <c r="F470" s="7"/>
    </row>
    <row r="471" spans="1:6" x14ac:dyDescent="0.4">
      <c r="A471" s="1">
        <v>45975</v>
      </c>
      <c r="B471" s="20">
        <v>80.22</v>
      </c>
      <c r="C471" s="13">
        <v>80.08</v>
      </c>
      <c r="D471" s="13">
        <v>80.39</v>
      </c>
      <c r="E471" s="13">
        <v>80.08</v>
      </c>
      <c r="F471" s="13"/>
    </row>
    <row r="472" spans="1:6" x14ac:dyDescent="0.4">
      <c r="A472" s="1">
        <v>45978</v>
      </c>
      <c r="B472" s="11">
        <v>80.09</v>
      </c>
      <c r="C472" s="7">
        <v>80.19</v>
      </c>
      <c r="D472" s="7">
        <v>80.260000000000005</v>
      </c>
      <c r="E472" s="7">
        <v>80.040000000000006</v>
      </c>
      <c r="F472" s="7"/>
    </row>
    <row r="473" spans="1:6" x14ac:dyDescent="0.4">
      <c r="A473" s="1">
        <v>45979</v>
      </c>
      <c r="B473" s="9">
        <v>80.11</v>
      </c>
      <c r="C473" s="7">
        <v>80.02</v>
      </c>
      <c r="D473" s="7">
        <v>80.180000000000007</v>
      </c>
      <c r="E473" s="7">
        <v>79.989999999999995</v>
      </c>
      <c r="F473" s="7"/>
    </row>
    <row r="474" spans="1:6" x14ac:dyDescent="0.4">
      <c r="A474" s="1">
        <v>45980</v>
      </c>
      <c r="B474" s="9">
        <v>80.11</v>
      </c>
      <c r="C474" s="7">
        <v>80.02</v>
      </c>
      <c r="D474" s="7">
        <v>80.180000000000007</v>
      </c>
      <c r="E474" s="7">
        <v>79.989999999999995</v>
      </c>
      <c r="F474" s="7"/>
    </row>
    <row r="475" spans="1:6" x14ac:dyDescent="0.4">
      <c r="A475" s="1">
        <v>45981</v>
      </c>
      <c r="B475" s="12">
        <v>80.099999999999994</v>
      </c>
      <c r="C475" s="13">
        <v>80.41</v>
      </c>
      <c r="D475" s="13">
        <v>80.489999999999995</v>
      </c>
      <c r="E475" s="13">
        <v>80.099999999999994</v>
      </c>
      <c r="F475" s="13"/>
    </row>
    <row r="476" spans="1:6" x14ac:dyDescent="0.4">
      <c r="A476" s="1">
        <v>45982</v>
      </c>
      <c r="B476" s="20">
        <v>80.37</v>
      </c>
      <c r="C476" s="13">
        <v>80.260000000000005</v>
      </c>
      <c r="D476" s="13">
        <v>80.400000000000006</v>
      </c>
      <c r="E476" s="13">
        <v>80.13</v>
      </c>
      <c r="F476" s="13"/>
    </row>
    <row r="477" spans="1:6" x14ac:dyDescent="0.4">
      <c r="A477" s="1">
        <v>45985</v>
      </c>
      <c r="B477" s="20">
        <v>80.58</v>
      </c>
      <c r="C477" s="13">
        <v>80.41</v>
      </c>
      <c r="D477" s="13">
        <v>80.599999999999994</v>
      </c>
      <c r="E477" s="13">
        <v>80.400000000000006</v>
      </c>
    </row>
    <row r="478" spans="1:6" x14ac:dyDescent="0.4">
      <c r="A478" s="1">
        <v>45986</v>
      </c>
      <c r="B478" s="20">
        <v>80.87</v>
      </c>
      <c r="C478" s="13">
        <v>80.569999999999993</v>
      </c>
      <c r="D478" s="13">
        <v>80.900000000000006</v>
      </c>
      <c r="E478" s="13">
        <v>80.55</v>
      </c>
      <c r="F478" s="13"/>
    </row>
    <row r="479" spans="1:6" x14ac:dyDescent="0.4">
      <c r="A479" s="1">
        <v>45987</v>
      </c>
      <c r="B479" s="20">
        <v>80.95</v>
      </c>
      <c r="C479" s="13">
        <v>80.83</v>
      </c>
      <c r="D479" s="13">
        <v>80.98</v>
      </c>
      <c r="E479" s="13">
        <v>80.790000000000006</v>
      </c>
      <c r="F479" s="13"/>
    </row>
    <row r="480" spans="1:6" x14ac:dyDescent="0.4">
      <c r="A480" s="1">
        <v>45989</v>
      </c>
      <c r="B480" s="9">
        <v>80.989999999999995</v>
      </c>
      <c r="C480" s="7">
        <v>81</v>
      </c>
      <c r="D480" s="7">
        <v>81.069999999999993</v>
      </c>
      <c r="E480" s="7">
        <v>80.94</v>
      </c>
      <c r="F480" s="7"/>
    </row>
    <row r="481" spans="1:6" x14ac:dyDescent="0.4">
      <c r="A481" s="1">
        <v>45992</v>
      </c>
      <c r="B481" s="12">
        <v>80.47</v>
      </c>
      <c r="C481" s="13">
        <v>80.400000000000006</v>
      </c>
      <c r="D481" s="13">
        <v>80.540000000000006</v>
      </c>
      <c r="E481" s="13">
        <v>80.38</v>
      </c>
      <c r="F481" s="13"/>
    </row>
    <row r="482" spans="1:6" x14ac:dyDescent="0.4">
      <c r="A482" s="1">
        <v>45993</v>
      </c>
      <c r="B482" s="20">
        <v>80.599999999999994</v>
      </c>
      <c r="C482" s="13">
        <v>80.540000000000006</v>
      </c>
      <c r="D482" s="13">
        <v>80.64</v>
      </c>
      <c r="E482" s="13">
        <v>80.47</v>
      </c>
    </row>
    <row r="483" spans="1:6" x14ac:dyDescent="0.4">
      <c r="A483" s="1">
        <v>45994</v>
      </c>
      <c r="B483" s="20">
        <v>80.69</v>
      </c>
      <c r="C483" s="13">
        <v>80.61</v>
      </c>
      <c r="D483" s="13">
        <v>80.790000000000006</v>
      </c>
      <c r="E483" s="13">
        <v>80.569999999999993</v>
      </c>
      <c r="F483" s="13"/>
    </row>
    <row r="484" spans="1:6" x14ac:dyDescent="0.4">
      <c r="A484" s="1">
        <v>45995</v>
      </c>
      <c r="B484" s="20">
        <v>80.75</v>
      </c>
      <c r="C484" s="13">
        <v>80.7</v>
      </c>
      <c r="D484" s="13">
        <v>80.77</v>
      </c>
      <c r="E484" s="13">
        <v>80.569999999999993</v>
      </c>
      <c r="F484" s="13"/>
    </row>
    <row r="485" spans="1:6" x14ac:dyDescent="0.4">
      <c r="A485" s="1">
        <v>45996</v>
      </c>
      <c r="B485" s="12">
        <v>80.75</v>
      </c>
      <c r="C485" s="13">
        <v>80.73</v>
      </c>
      <c r="D485" s="13">
        <v>80.81</v>
      </c>
      <c r="E485" s="13">
        <v>80.67</v>
      </c>
      <c r="F485" s="13"/>
    </row>
    <row r="486" spans="1:6" x14ac:dyDescent="0.4">
      <c r="A486" s="1">
        <v>45999</v>
      </c>
      <c r="B486" s="12">
        <v>80.55</v>
      </c>
      <c r="C486" s="13">
        <v>80.72</v>
      </c>
      <c r="D486" s="13">
        <v>80.739999999999995</v>
      </c>
      <c r="E486" s="13">
        <v>80.489999999999995</v>
      </c>
      <c r="F486" s="13"/>
    </row>
    <row r="487" spans="1:6" x14ac:dyDescent="0.4">
      <c r="A487" s="1">
        <v>46000</v>
      </c>
      <c r="B487" s="12">
        <v>80.459999999999994</v>
      </c>
      <c r="C487" s="13">
        <v>80.55</v>
      </c>
      <c r="D487" s="13">
        <v>80.61</v>
      </c>
      <c r="E487" s="13">
        <v>80.44</v>
      </c>
    </row>
    <row r="488" spans="1:6" x14ac:dyDescent="0.4">
      <c r="A488" s="1">
        <v>46001</v>
      </c>
      <c r="B488" s="20">
        <v>80.73</v>
      </c>
      <c r="C488" s="13">
        <v>80.430000000000007</v>
      </c>
      <c r="D488" s="13">
        <v>80.790000000000006</v>
      </c>
      <c r="E488" s="13">
        <v>80.42</v>
      </c>
      <c r="F488" s="13"/>
    </row>
    <row r="489" spans="1:6" x14ac:dyDescent="0.4">
      <c r="A489" s="1">
        <v>46002</v>
      </c>
      <c r="B489" s="12">
        <v>80.72</v>
      </c>
      <c r="C489" s="13">
        <v>80.739999999999995</v>
      </c>
      <c r="D489" s="13">
        <v>80.760000000000005</v>
      </c>
      <c r="E489" s="13">
        <v>80.66</v>
      </c>
      <c r="F489" s="13"/>
    </row>
    <row r="490" spans="1:6" x14ac:dyDescent="0.4">
      <c r="A490" s="1">
        <v>46003</v>
      </c>
      <c r="B490" s="12">
        <v>80.569999999999993</v>
      </c>
      <c r="C490" s="13">
        <v>80.69</v>
      </c>
      <c r="D490" s="13">
        <v>80.709999999999994</v>
      </c>
      <c r="E490" s="13">
        <v>80.53</v>
      </c>
      <c r="F490" s="13"/>
    </row>
    <row r="491" spans="1:6" x14ac:dyDescent="0.4">
      <c r="A491" s="1">
        <v>46006</v>
      </c>
      <c r="B491" s="20">
        <v>80.61</v>
      </c>
      <c r="C491" s="13">
        <v>80.67</v>
      </c>
      <c r="D491" s="13">
        <v>80.680000000000007</v>
      </c>
      <c r="E491" s="13">
        <v>80.569999999999993</v>
      </c>
      <c r="F491" s="13"/>
    </row>
    <row r="492" spans="1:6" x14ac:dyDescent="0.4">
      <c r="A492" s="1">
        <v>46007</v>
      </c>
      <c r="B492" s="9">
        <v>80.66</v>
      </c>
      <c r="C492" s="7">
        <v>80.61</v>
      </c>
      <c r="D492" s="7">
        <v>80.67</v>
      </c>
      <c r="E492" s="7">
        <v>80.56</v>
      </c>
      <c r="F492" s="7"/>
    </row>
    <row r="493" spans="1:6" x14ac:dyDescent="0.4">
      <c r="A493" s="1">
        <v>46008</v>
      </c>
      <c r="B493">
        <v>80.56</v>
      </c>
    </row>
  </sheetData>
  <autoFilter ref="A1:G1" xr:uid="{00000000-0009-0000-0000-000006000000}">
    <sortState xmlns:xlrd2="http://schemas.microsoft.com/office/spreadsheetml/2017/richdata2" ref="A2:G337">
      <sortCondition ref="A1"/>
    </sortState>
  </autoFilter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3"/>
  <sheetViews>
    <sheetView topLeftCell="A483" workbookViewId="0">
      <selection activeCell="B494" sqref="B494"/>
    </sheetView>
  </sheetViews>
  <sheetFormatPr defaultRowHeight="17.399999999999999" x14ac:dyDescent="0.4"/>
  <cols>
    <col min="1" max="1" width="11.0976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45293</v>
      </c>
      <c r="B2">
        <v>96.03</v>
      </c>
      <c r="C2">
        <v>95.93</v>
      </c>
      <c r="D2">
        <v>96.14</v>
      </c>
      <c r="E2">
        <v>95.92</v>
      </c>
      <c r="F2" t="s">
        <v>498</v>
      </c>
      <c r="G2" s="2">
        <v>-3.7000000000000002E-3</v>
      </c>
    </row>
    <row r="3" spans="1:7" x14ac:dyDescent="0.4">
      <c r="A3" s="1">
        <v>45294</v>
      </c>
      <c r="B3">
        <v>96.26</v>
      </c>
      <c r="C3">
        <v>95.61</v>
      </c>
      <c r="D3">
        <v>96.33</v>
      </c>
      <c r="E3">
        <v>95.53</v>
      </c>
      <c r="F3" t="s">
        <v>499</v>
      </c>
      <c r="G3" s="2">
        <v>2.3999999999999998E-3</v>
      </c>
    </row>
    <row r="4" spans="1:7" x14ac:dyDescent="0.4">
      <c r="A4" s="1">
        <v>45295</v>
      </c>
      <c r="B4">
        <v>95.68</v>
      </c>
      <c r="C4">
        <v>95.69</v>
      </c>
      <c r="D4">
        <v>95.83</v>
      </c>
      <c r="E4">
        <v>95.58</v>
      </c>
      <c r="F4" t="s">
        <v>500</v>
      </c>
      <c r="G4" s="2">
        <v>-6.0000000000000001E-3</v>
      </c>
    </row>
    <row r="5" spans="1:7" x14ac:dyDescent="0.4">
      <c r="A5" s="1">
        <v>45296</v>
      </c>
      <c r="B5">
        <v>95.33</v>
      </c>
      <c r="C5">
        <v>95.33</v>
      </c>
      <c r="D5">
        <v>96.02</v>
      </c>
      <c r="E5">
        <v>95.26</v>
      </c>
      <c r="F5" t="s">
        <v>501</v>
      </c>
      <c r="G5" s="2">
        <v>-3.7000000000000002E-3</v>
      </c>
    </row>
    <row r="6" spans="1:7" x14ac:dyDescent="0.4">
      <c r="A6" s="1">
        <v>45299</v>
      </c>
      <c r="B6">
        <v>95.65</v>
      </c>
      <c r="C6">
        <v>95.39</v>
      </c>
      <c r="D6">
        <v>95.96</v>
      </c>
      <c r="E6">
        <v>95.36</v>
      </c>
      <c r="F6" t="s">
        <v>502</v>
      </c>
      <c r="G6" s="2">
        <v>3.3999999999999998E-3</v>
      </c>
    </row>
    <row r="7" spans="1:7" x14ac:dyDescent="0.4">
      <c r="A7" s="1">
        <v>45300</v>
      </c>
      <c r="B7">
        <v>95.61</v>
      </c>
      <c r="C7">
        <v>95.52</v>
      </c>
      <c r="D7">
        <v>95.75</v>
      </c>
      <c r="E7">
        <v>95.52</v>
      </c>
      <c r="F7" t="s">
        <v>503</v>
      </c>
      <c r="G7" s="2">
        <v>-4.0000000000000002E-4</v>
      </c>
    </row>
    <row r="8" spans="1:7" x14ac:dyDescent="0.4">
      <c r="A8" s="1">
        <v>45301</v>
      </c>
      <c r="B8">
        <v>95.46</v>
      </c>
      <c r="C8">
        <v>95.79</v>
      </c>
      <c r="D8">
        <v>95.86</v>
      </c>
      <c r="E8">
        <v>95.44</v>
      </c>
      <c r="F8" t="s">
        <v>504</v>
      </c>
      <c r="G8" s="2">
        <v>-1.6000000000000001E-3</v>
      </c>
    </row>
    <row r="9" spans="1:7" x14ac:dyDescent="0.4">
      <c r="A9" s="1">
        <v>45302</v>
      </c>
      <c r="B9">
        <v>95.97</v>
      </c>
      <c r="C9">
        <v>95.6</v>
      </c>
      <c r="D9">
        <v>96.04</v>
      </c>
      <c r="E9">
        <v>95.47</v>
      </c>
      <c r="F9" t="s">
        <v>505</v>
      </c>
      <c r="G9" s="2">
        <v>5.3E-3</v>
      </c>
    </row>
    <row r="10" spans="1:7" x14ac:dyDescent="0.4">
      <c r="A10" s="1">
        <v>45303</v>
      </c>
      <c r="B10">
        <v>96.23</v>
      </c>
      <c r="C10">
        <v>96.23</v>
      </c>
      <c r="D10">
        <v>96.48</v>
      </c>
      <c r="E10">
        <v>96.02</v>
      </c>
      <c r="F10" t="s">
        <v>506</v>
      </c>
      <c r="G10" s="2">
        <v>2.7000000000000001E-3</v>
      </c>
    </row>
    <row r="11" spans="1:7" x14ac:dyDescent="0.4">
      <c r="A11" s="1">
        <v>45307</v>
      </c>
      <c r="B11">
        <v>95.45</v>
      </c>
      <c r="C11">
        <v>95.84</v>
      </c>
      <c r="D11">
        <v>95.96</v>
      </c>
      <c r="E11">
        <v>95.32</v>
      </c>
      <c r="F11" t="s">
        <v>507</v>
      </c>
      <c r="G11" s="2">
        <v>-8.0999999999999996E-3</v>
      </c>
    </row>
    <row r="12" spans="1:7" x14ac:dyDescent="0.4">
      <c r="A12" s="1">
        <v>45308</v>
      </c>
      <c r="B12">
        <v>95.14</v>
      </c>
      <c r="C12">
        <v>95.17</v>
      </c>
      <c r="D12">
        <v>95.23</v>
      </c>
      <c r="E12">
        <v>94.95</v>
      </c>
      <c r="F12" t="s">
        <v>508</v>
      </c>
      <c r="G12" s="2">
        <v>-3.2000000000000002E-3</v>
      </c>
    </row>
    <row r="13" spans="1:7" x14ac:dyDescent="0.4">
      <c r="A13" s="1">
        <v>45309</v>
      </c>
      <c r="B13">
        <v>94.93</v>
      </c>
      <c r="C13">
        <v>95.1</v>
      </c>
      <c r="D13">
        <v>95.17</v>
      </c>
      <c r="E13">
        <v>94.83</v>
      </c>
      <c r="F13" t="s">
        <v>509</v>
      </c>
      <c r="G13" s="2">
        <v>-2.2000000000000001E-3</v>
      </c>
    </row>
    <row r="14" spans="1:7" x14ac:dyDescent="0.4">
      <c r="A14" s="1">
        <v>45310</v>
      </c>
      <c r="B14">
        <v>94.94</v>
      </c>
      <c r="C14">
        <v>94.78</v>
      </c>
      <c r="D14">
        <v>94.96</v>
      </c>
      <c r="E14">
        <v>94.54</v>
      </c>
      <c r="F14" t="s">
        <v>510</v>
      </c>
      <c r="G14" s="2">
        <v>1E-4</v>
      </c>
    </row>
    <row r="15" spans="1:7" x14ac:dyDescent="0.4">
      <c r="A15" s="1">
        <v>45313</v>
      </c>
      <c r="B15">
        <v>95.23</v>
      </c>
      <c r="C15">
        <v>95.28</v>
      </c>
      <c r="D15">
        <v>95.39</v>
      </c>
      <c r="E15">
        <v>95.15</v>
      </c>
      <c r="F15" t="s">
        <v>511</v>
      </c>
      <c r="G15" s="2">
        <v>3.0999999999999999E-3</v>
      </c>
    </row>
    <row r="16" spans="1:7" x14ac:dyDescent="0.4">
      <c r="A16" s="1">
        <v>45314</v>
      </c>
      <c r="B16">
        <v>94.99</v>
      </c>
      <c r="C16">
        <v>95</v>
      </c>
      <c r="D16">
        <v>95.02</v>
      </c>
      <c r="E16">
        <v>94.87</v>
      </c>
      <c r="F16" t="s">
        <v>512</v>
      </c>
      <c r="G16" s="2">
        <v>-2.5000000000000001E-3</v>
      </c>
    </row>
    <row r="17" spans="1:7" x14ac:dyDescent="0.4">
      <c r="A17" s="1">
        <v>45315</v>
      </c>
      <c r="B17">
        <v>94.72</v>
      </c>
      <c r="C17">
        <v>95.34</v>
      </c>
      <c r="D17">
        <v>95.37</v>
      </c>
      <c r="E17">
        <v>94.66</v>
      </c>
      <c r="F17" t="s">
        <v>513</v>
      </c>
      <c r="G17" s="2">
        <v>-2.8E-3</v>
      </c>
    </row>
    <row r="18" spans="1:7" x14ac:dyDescent="0.4">
      <c r="A18" s="1">
        <v>45316</v>
      </c>
      <c r="B18">
        <v>95.13</v>
      </c>
      <c r="C18">
        <v>95.05</v>
      </c>
      <c r="D18">
        <v>95.16</v>
      </c>
      <c r="E18">
        <v>94.9</v>
      </c>
      <c r="F18" t="s">
        <v>514</v>
      </c>
      <c r="G18" s="2">
        <v>4.3E-3</v>
      </c>
    </row>
    <row r="19" spans="1:7" x14ac:dyDescent="0.4">
      <c r="A19" s="1">
        <v>45317</v>
      </c>
      <c r="B19">
        <v>94.96</v>
      </c>
      <c r="C19">
        <v>95.05</v>
      </c>
      <c r="D19">
        <v>95.05</v>
      </c>
      <c r="E19">
        <v>94.84</v>
      </c>
      <c r="F19" t="s">
        <v>515</v>
      </c>
      <c r="G19" s="2">
        <v>-1.8E-3</v>
      </c>
    </row>
    <row r="20" spans="1:7" x14ac:dyDescent="0.4">
      <c r="A20" s="1">
        <v>45320</v>
      </c>
      <c r="B20">
        <v>95.53</v>
      </c>
      <c r="C20">
        <v>95.25</v>
      </c>
      <c r="D20">
        <v>95.62</v>
      </c>
      <c r="E20">
        <v>95.18</v>
      </c>
      <c r="F20" t="s">
        <v>516</v>
      </c>
      <c r="G20" s="2">
        <v>6.0000000000000001E-3</v>
      </c>
    </row>
    <row r="21" spans="1:7" x14ac:dyDescent="0.4">
      <c r="A21" s="1">
        <v>45321</v>
      </c>
      <c r="B21">
        <v>95.66</v>
      </c>
      <c r="C21">
        <v>95.69</v>
      </c>
      <c r="D21">
        <v>95.74</v>
      </c>
      <c r="E21">
        <v>95.15</v>
      </c>
      <c r="F21" t="s">
        <v>517</v>
      </c>
      <c r="G21" s="2">
        <v>1.4E-3</v>
      </c>
    </row>
    <row r="22" spans="1:7" x14ac:dyDescent="0.4">
      <c r="A22" s="1">
        <v>45322</v>
      </c>
      <c r="B22">
        <v>96.46</v>
      </c>
      <c r="C22">
        <v>96.09</v>
      </c>
      <c r="D22">
        <v>96.47</v>
      </c>
      <c r="E22">
        <v>95.99</v>
      </c>
      <c r="F22" t="s">
        <v>518</v>
      </c>
      <c r="G22" s="2">
        <v>8.3999999999999995E-3</v>
      </c>
    </row>
    <row r="23" spans="1:7" x14ac:dyDescent="0.4">
      <c r="A23" s="1">
        <v>45323</v>
      </c>
      <c r="B23">
        <v>96.82</v>
      </c>
      <c r="C23">
        <v>96.6</v>
      </c>
      <c r="D23">
        <v>97.11</v>
      </c>
      <c r="E23">
        <v>96.34</v>
      </c>
      <c r="F23" t="s">
        <v>519</v>
      </c>
      <c r="G23" s="2">
        <v>3.7000000000000002E-3</v>
      </c>
    </row>
    <row r="24" spans="1:7" x14ac:dyDescent="0.4">
      <c r="A24" s="1">
        <v>45324</v>
      </c>
      <c r="B24">
        <v>95.56</v>
      </c>
      <c r="C24">
        <v>95.74</v>
      </c>
      <c r="D24">
        <v>95.9</v>
      </c>
      <c r="E24">
        <v>95.38</v>
      </c>
      <c r="F24" t="s">
        <v>520</v>
      </c>
      <c r="G24" s="2">
        <v>-1.2999999999999999E-2</v>
      </c>
    </row>
    <row r="25" spans="1:7" x14ac:dyDescent="0.4">
      <c r="A25" s="1">
        <v>45327</v>
      </c>
      <c r="B25">
        <v>94.63</v>
      </c>
      <c r="C25">
        <v>94.9</v>
      </c>
      <c r="D25">
        <v>94.99</v>
      </c>
      <c r="E25">
        <v>94.53</v>
      </c>
      <c r="F25" t="s">
        <v>521</v>
      </c>
      <c r="G25" s="2">
        <v>-9.7000000000000003E-3</v>
      </c>
    </row>
    <row r="26" spans="1:7" x14ac:dyDescent="0.4">
      <c r="A26" s="1">
        <v>45328</v>
      </c>
      <c r="B26">
        <v>95.14</v>
      </c>
      <c r="C26">
        <v>94.74</v>
      </c>
      <c r="D26">
        <v>95.23</v>
      </c>
      <c r="E26">
        <v>94.71</v>
      </c>
      <c r="F26" t="s">
        <v>522</v>
      </c>
      <c r="G26" s="2">
        <v>5.4000000000000003E-3</v>
      </c>
    </row>
    <row r="27" spans="1:7" x14ac:dyDescent="0.4">
      <c r="A27" s="1">
        <v>45329</v>
      </c>
      <c r="B27">
        <v>94.97</v>
      </c>
      <c r="C27">
        <v>94.97</v>
      </c>
      <c r="D27">
        <v>95.35</v>
      </c>
      <c r="E27">
        <v>94.93</v>
      </c>
      <c r="F27" t="s">
        <v>523</v>
      </c>
      <c r="G27" s="2">
        <v>-1.8E-3</v>
      </c>
    </row>
    <row r="28" spans="1:7" x14ac:dyDescent="0.4">
      <c r="A28" s="1">
        <v>45330</v>
      </c>
      <c r="B28">
        <v>94.66</v>
      </c>
      <c r="C28">
        <v>94.76</v>
      </c>
      <c r="D28">
        <v>94.84</v>
      </c>
      <c r="E28">
        <v>94.57</v>
      </c>
      <c r="F28" t="s">
        <v>524</v>
      </c>
      <c r="G28" s="2">
        <v>-3.3E-3</v>
      </c>
    </row>
    <row r="29" spans="1:7" x14ac:dyDescent="0.4">
      <c r="A29" s="1">
        <v>45331</v>
      </c>
      <c r="B29">
        <v>94.49</v>
      </c>
      <c r="C29">
        <v>94.43</v>
      </c>
      <c r="D29">
        <v>94.57</v>
      </c>
      <c r="E29">
        <v>94.4</v>
      </c>
      <c r="F29" t="s">
        <v>525</v>
      </c>
      <c r="G29" s="2">
        <v>-1.8E-3</v>
      </c>
    </row>
    <row r="30" spans="1:7" x14ac:dyDescent="0.4">
      <c r="A30" s="1">
        <v>45334</v>
      </c>
      <c r="B30">
        <v>94.58</v>
      </c>
      <c r="C30">
        <v>94.57</v>
      </c>
      <c r="D30">
        <v>94.68</v>
      </c>
      <c r="E30">
        <v>94.4</v>
      </c>
      <c r="F30" t="s">
        <v>526</v>
      </c>
      <c r="G30" s="2">
        <v>1E-3</v>
      </c>
    </row>
    <row r="31" spans="1:7" x14ac:dyDescent="0.4">
      <c r="A31" s="1">
        <v>45335</v>
      </c>
      <c r="B31">
        <v>93.54</v>
      </c>
      <c r="C31">
        <v>93.88</v>
      </c>
      <c r="D31">
        <v>93.96</v>
      </c>
      <c r="E31">
        <v>93.52</v>
      </c>
      <c r="F31" t="s">
        <v>527</v>
      </c>
      <c r="G31" s="2">
        <v>-1.0999999999999999E-2</v>
      </c>
    </row>
    <row r="32" spans="1:7" x14ac:dyDescent="0.4">
      <c r="A32" s="1">
        <v>45336</v>
      </c>
      <c r="B32">
        <v>93.89</v>
      </c>
      <c r="C32">
        <v>93.64</v>
      </c>
      <c r="D32">
        <v>94.06</v>
      </c>
      <c r="E32">
        <v>93.64</v>
      </c>
      <c r="F32" t="s">
        <v>528</v>
      </c>
      <c r="G32" s="2">
        <v>3.7000000000000002E-3</v>
      </c>
    </row>
    <row r="33" spans="1:7" x14ac:dyDescent="0.4">
      <c r="A33" s="1">
        <v>45337</v>
      </c>
      <c r="B33">
        <v>94.15</v>
      </c>
      <c r="C33">
        <v>94.3</v>
      </c>
      <c r="D33">
        <v>94.4</v>
      </c>
      <c r="E33">
        <v>94.03</v>
      </c>
      <c r="F33" t="s">
        <v>529</v>
      </c>
      <c r="G33" s="2">
        <v>2.8E-3</v>
      </c>
    </row>
    <row r="34" spans="1:7" x14ac:dyDescent="0.4">
      <c r="A34" s="1">
        <v>45338</v>
      </c>
      <c r="B34">
        <v>93.74</v>
      </c>
      <c r="C34">
        <v>93.6</v>
      </c>
      <c r="D34">
        <v>93.79</v>
      </c>
      <c r="E34">
        <v>93.55</v>
      </c>
      <c r="F34" t="s">
        <v>530</v>
      </c>
      <c r="G34" s="2">
        <v>-4.4000000000000003E-3</v>
      </c>
    </row>
    <row r="35" spans="1:7" x14ac:dyDescent="0.4">
      <c r="A35" s="1">
        <v>45342</v>
      </c>
      <c r="B35">
        <v>93.9</v>
      </c>
      <c r="C35">
        <v>93.93</v>
      </c>
      <c r="D35">
        <v>94.12</v>
      </c>
      <c r="E35">
        <v>93.89</v>
      </c>
      <c r="F35" t="s">
        <v>531</v>
      </c>
      <c r="G35" s="2">
        <v>1.6999999999999999E-3</v>
      </c>
    </row>
    <row r="36" spans="1:7" x14ac:dyDescent="0.4">
      <c r="A36" s="1">
        <v>45343</v>
      </c>
      <c r="B36">
        <v>93.6</v>
      </c>
      <c r="C36">
        <v>93.97</v>
      </c>
      <c r="D36">
        <v>94.02</v>
      </c>
      <c r="E36">
        <v>93.54</v>
      </c>
      <c r="F36" t="s">
        <v>532</v>
      </c>
      <c r="G36" s="2">
        <v>-3.2000000000000002E-3</v>
      </c>
    </row>
    <row r="37" spans="1:7" x14ac:dyDescent="0.4">
      <c r="A37" s="1">
        <v>45344</v>
      </c>
      <c r="B37">
        <v>93.61</v>
      </c>
      <c r="C37">
        <v>93.57</v>
      </c>
      <c r="D37">
        <v>93.79</v>
      </c>
      <c r="E37">
        <v>93.44</v>
      </c>
      <c r="F37" t="s">
        <v>533</v>
      </c>
      <c r="G37" s="2">
        <v>1E-4</v>
      </c>
    </row>
    <row r="38" spans="1:7" x14ac:dyDescent="0.4">
      <c r="A38" s="1">
        <v>45345</v>
      </c>
      <c r="B38">
        <v>94.04</v>
      </c>
      <c r="C38">
        <v>93.64</v>
      </c>
      <c r="D38">
        <v>94.11</v>
      </c>
      <c r="E38">
        <v>93.64</v>
      </c>
      <c r="F38" t="s">
        <v>512</v>
      </c>
      <c r="G38" s="2">
        <v>4.5999999999999999E-3</v>
      </c>
    </row>
    <row r="39" spans="1:7" x14ac:dyDescent="0.4">
      <c r="A39" s="1">
        <v>45348</v>
      </c>
      <c r="B39">
        <v>93.9</v>
      </c>
      <c r="C39">
        <v>94.05</v>
      </c>
      <c r="D39">
        <v>94.06</v>
      </c>
      <c r="E39">
        <v>93.68</v>
      </c>
      <c r="F39" t="s">
        <v>534</v>
      </c>
      <c r="G39" s="2">
        <v>-1.5E-3</v>
      </c>
    </row>
    <row r="40" spans="1:7" x14ac:dyDescent="0.4">
      <c r="A40" s="1">
        <v>45349</v>
      </c>
      <c r="B40">
        <v>93.69</v>
      </c>
      <c r="C40">
        <v>93.76</v>
      </c>
      <c r="D40">
        <v>93.92</v>
      </c>
      <c r="E40">
        <v>93.63</v>
      </c>
      <c r="F40" t="s">
        <v>535</v>
      </c>
      <c r="G40" s="2">
        <v>-2.2000000000000001E-3</v>
      </c>
    </row>
    <row r="41" spans="1:7" x14ac:dyDescent="0.4">
      <c r="A41" s="1">
        <v>45350</v>
      </c>
      <c r="B41">
        <v>94.03</v>
      </c>
      <c r="C41">
        <v>93.8</v>
      </c>
      <c r="D41">
        <v>94.03</v>
      </c>
      <c r="E41">
        <v>93.74</v>
      </c>
      <c r="F41" t="s">
        <v>536</v>
      </c>
      <c r="G41" s="2">
        <v>3.5999999999999999E-3</v>
      </c>
    </row>
    <row r="42" spans="1:7" x14ac:dyDescent="0.4">
      <c r="A42" s="1">
        <v>45351</v>
      </c>
      <c r="B42">
        <v>94.22</v>
      </c>
      <c r="C42">
        <v>94.1</v>
      </c>
      <c r="D42">
        <v>94.33</v>
      </c>
      <c r="E42">
        <v>94.08</v>
      </c>
      <c r="F42" t="s">
        <v>537</v>
      </c>
      <c r="G42" s="2">
        <v>2E-3</v>
      </c>
    </row>
    <row r="43" spans="1:7" x14ac:dyDescent="0.4">
      <c r="A43" s="1">
        <v>45352</v>
      </c>
      <c r="B43">
        <v>94.4</v>
      </c>
      <c r="C43">
        <v>93.85</v>
      </c>
      <c r="D43">
        <v>94.46</v>
      </c>
      <c r="E43">
        <v>93.62</v>
      </c>
      <c r="F43" t="s">
        <v>538</v>
      </c>
      <c r="G43" s="2">
        <v>1.9E-3</v>
      </c>
    </row>
    <row r="44" spans="1:7" x14ac:dyDescent="0.4">
      <c r="A44" s="1">
        <v>45355</v>
      </c>
      <c r="B44">
        <v>94.19</v>
      </c>
      <c r="C44">
        <v>94.08</v>
      </c>
      <c r="D44">
        <v>94.29</v>
      </c>
      <c r="E44">
        <v>94.07</v>
      </c>
      <c r="F44" t="s">
        <v>539</v>
      </c>
      <c r="G44" s="2">
        <v>-2.2000000000000001E-3</v>
      </c>
    </row>
    <row r="45" spans="1:7" x14ac:dyDescent="0.4">
      <c r="A45" s="1">
        <v>45356</v>
      </c>
      <c r="B45">
        <v>94.77</v>
      </c>
      <c r="C45">
        <v>94.67</v>
      </c>
      <c r="D45">
        <v>94.94</v>
      </c>
      <c r="E45">
        <v>94.56</v>
      </c>
      <c r="F45" t="s">
        <v>540</v>
      </c>
      <c r="G45" s="2">
        <v>6.1999999999999998E-3</v>
      </c>
    </row>
    <row r="46" spans="1:7" x14ac:dyDescent="0.4">
      <c r="A46" s="1">
        <v>45357</v>
      </c>
      <c r="B46">
        <v>95</v>
      </c>
      <c r="C46">
        <v>94.94</v>
      </c>
      <c r="D46">
        <v>95.19</v>
      </c>
      <c r="E46">
        <v>94.89</v>
      </c>
      <c r="F46" t="s">
        <v>541</v>
      </c>
      <c r="G46" s="2">
        <v>2.3999999999999998E-3</v>
      </c>
    </row>
    <row r="47" spans="1:7" x14ac:dyDescent="0.4">
      <c r="A47" s="1">
        <v>45358</v>
      </c>
      <c r="B47">
        <v>95.16</v>
      </c>
      <c r="C47">
        <v>95.19</v>
      </c>
      <c r="D47">
        <v>95.22</v>
      </c>
      <c r="E47">
        <v>94.92</v>
      </c>
      <c r="F47" t="s">
        <v>542</v>
      </c>
      <c r="G47" s="2">
        <v>1.6999999999999999E-3</v>
      </c>
    </row>
    <row r="48" spans="1:7" x14ac:dyDescent="0.4">
      <c r="A48" s="1">
        <v>45359</v>
      </c>
      <c r="B48">
        <v>95.23</v>
      </c>
      <c r="C48">
        <v>95.32</v>
      </c>
      <c r="D48">
        <v>95.39</v>
      </c>
      <c r="E48">
        <v>95.15</v>
      </c>
      <c r="F48" t="s">
        <v>543</v>
      </c>
      <c r="G48" s="2">
        <v>6.9999999999999999E-4</v>
      </c>
    </row>
    <row r="49" spans="1:7" x14ac:dyDescent="0.4">
      <c r="A49" s="1">
        <v>45362</v>
      </c>
      <c r="B49">
        <v>95.11</v>
      </c>
      <c r="C49">
        <v>95.26</v>
      </c>
      <c r="D49">
        <v>95.29</v>
      </c>
      <c r="E49">
        <v>95.02</v>
      </c>
      <c r="F49" t="s">
        <v>544</v>
      </c>
      <c r="G49" s="2">
        <v>-1.2999999999999999E-3</v>
      </c>
    </row>
    <row r="50" spans="1:7" x14ac:dyDescent="0.4">
      <c r="A50" s="1">
        <v>45363</v>
      </c>
      <c r="B50">
        <v>94.72</v>
      </c>
      <c r="C50">
        <v>94.84</v>
      </c>
      <c r="D50">
        <v>94.87</v>
      </c>
      <c r="E50">
        <v>94.61</v>
      </c>
      <c r="F50" t="s">
        <v>545</v>
      </c>
      <c r="G50" s="2">
        <v>-4.1000000000000003E-3</v>
      </c>
    </row>
    <row r="51" spans="1:7" x14ac:dyDescent="0.4">
      <c r="A51" s="1">
        <v>45364</v>
      </c>
      <c r="B51">
        <v>94.51</v>
      </c>
      <c r="C51">
        <v>94.58</v>
      </c>
      <c r="D51">
        <v>94.65</v>
      </c>
      <c r="E51">
        <v>94.47</v>
      </c>
      <c r="F51" t="s">
        <v>546</v>
      </c>
      <c r="G51" s="2">
        <v>-2.2000000000000001E-3</v>
      </c>
    </row>
    <row r="52" spans="1:7" x14ac:dyDescent="0.4">
      <c r="A52" s="1">
        <v>45365</v>
      </c>
      <c r="B52">
        <v>93.81</v>
      </c>
      <c r="C52">
        <v>94.16</v>
      </c>
      <c r="D52">
        <v>94.17</v>
      </c>
      <c r="E52">
        <v>93.79</v>
      </c>
      <c r="F52" t="s">
        <v>547</v>
      </c>
      <c r="G52" s="2">
        <v>-7.4000000000000003E-3</v>
      </c>
    </row>
    <row r="53" spans="1:7" x14ac:dyDescent="0.4">
      <c r="A53" s="1">
        <v>45366</v>
      </c>
      <c r="B53">
        <v>93.65</v>
      </c>
      <c r="C53">
        <v>93.74</v>
      </c>
      <c r="D53">
        <v>93.82</v>
      </c>
      <c r="E53">
        <v>93.63</v>
      </c>
      <c r="F53" t="s">
        <v>548</v>
      </c>
      <c r="G53" s="2">
        <v>-1.6999999999999999E-3</v>
      </c>
    </row>
    <row r="54" spans="1:7" x14ac:dyDescent="0.4">
      <c r="A54" s="1">
        <v>45369</v>
      </c>
      <c r="B54">
        <v>93.54</v>
      </c>
      <c r="C54">
        <v>93.62</v>
      </c>
      <c r="D54">
        <v>93.7</v>
      </c>
      <c r="E54">
        <v>93.45</v>
      </c>
      <c r="F54" t="s">
        <v>549</v>
      </c>
      <c r="G54" s="2">
        <v>-1.1999999999999999E-3</v>
      </c>
    </row>
    <row r="55" spans="1:7" x14ac:dyDescent="0.4">
      <c r="A55" s="1">
        <v>45370</v>
      </c>
      <c r="B55">
        <v>93.81</v>
      </c>
      <c r="C55">
        <v>93.73</v>
      </c>
      <c r="D55">
        <v>93.93</v>
      </c>
      <c r="E55">
        <v>93.67</v>
      </c>
      <c r="F55" t="s">
        <v>550</v>
      </c>
      <c r="G55" s="2">
        <v>2.8999999999999998E-3</v>
      </c>
    </row>
    <row r="56" spans="1:7" x14ac:dyDescent="0.4">
      <c r="A56" s="1">
        <v>45371</v>
      </c>
      <c r="B56">
        <v>94.03</v>
      </c>
      <c r="C56">
        <v>93.91</v>
      </c>
      <c r="D56">
        <v>94.35</v>
      </c>
      <c r="E56">
        <v>93.7</v>
      </c>
      <c r="F56" t="s">
        <v>551</v>
      </c>
      <c r="G56" s="2">
        <v>2.3E-3</v>
      </c>
    </row>
    <row r="57" spans="1:7" x14ac:dyDescent="0.4">
      <c r="A57" s="1">
        <v>45372</v>
      </c>
      <c r="B57">
        <v>94.04</v>
      </c>
      <c r="C57">
        <v>94.21</v>
      </c>
      <c r="D57">
        <v>94.28</v>
      </c>
      <c r="E57">
        <v>93.96</v>
      </c>
      <c r="F57" t="s">
        <v>552</v>
      </c>
      <c r="G57" s="2">
        <v>1E-4</v>
      </c>
    </row>
    <row r="58" spans="1:7" x14ac:dyDescent="0.4">
      <c r="A58" s="1">
        <v>45373</v>
      </c>
      <c r="B58">
        <v>94.5</v>
      </c>
      <c r="C58">
        <v>94.56</v>
      </c>
      <c r="D58">
        <v>94.56</v>
      </c>
      <c r="E58">
        <v>94.41</v>
      </c>
      <c r="F58" t="s">
        <v>553</v>
      </c>
      <c r="G58" s="2">
        <v>4.8999999999999998E-3</v>
      </c>
    </row>
    <row r="59" spans="1:7" x14ac:dyDescent="0.4">
      <c r="A59" s="1">
        <v>45376</v>
      </c>
      <c r="B59">
        <v>94.25</v>
      </c>
      <c r="C59">
        <v>94.41</v>
      </c>
      <c r="D59">
        <v>94.41</v>
      </c>
      <c r="E59">
        <v>94.19</v>
      </c>
      <c r="F59" t="s">
        <v>554</v>
      </c>
      <c r="G59" s="2">
        <v>-2.5999999999999999E-3</v>
      </c>
    </row>
    <row r="60" spans="1:7" x14ac:dyDescent="0.4">
      <c r="A60" s="1">
        <v>45377</v>
      </c>
      <c r="B60">
        <v>94.39</v>
      </c>
      <c r="C60">
        <v>94.22</v>
      </c>
      <c r="D60">
        <v>94.41</v>
      </c>
      <c r="E60">
        <v>94.11</v>
      </c>
      <c r="F60" t="s">
        <v>555</v>
      </c>
      <c r="G60" s="2">
        <v>1.5E-3</v>
      </c>
    </row>
    <row r="61" spans="1:7" x14ac:dyDescent="0.4">
      <c r="A61" s="1">
        <v>45378</v>
      </c>
      <c r="B61">
        <v>94.75</v>
      </c>
      <c r="C61">
        <v>94.5</v>
      </c>
      <c r="D61">
        <v>94.79</v>
      </c>
      <c r="E61">
        <v>94.49</v>
      </c>
      <c r="F61" t="s">
        <v>556</v>
      </c>
      <c r="G61" s="2">
        <v>3.8E-3</v>
      </c>
    </row>
    <row r="62" spans="1:7" x14ac:dyDescent="0.4">
      <c r="A62" s="1">
        <v>45379</v>
      </c>
      <c r="B62">
        <v>94.66</v>
      </c>
      <c r="C62">
        <v>94.54</v>
      </c>
      <c r="D62">
        <v>94.76</v>
      </c>
      <c r="E62">
        <v>94.47</v>
      </c>
      <c r="F62" t="s">
        <v>557</v>
      </c>
      <c r="G62" s="2">
        <v>-8.9999999999999998E-4</v>
      </c>
    </row>
    <row r="63" spans="1:7" x14ac:dyDescent="0.4">
      <c r="A63" s="1">
        <v>45383</v>
      </c>
      <c r="B63">
        <v>93.53</v>
      </c>
      <c r="C63">
        <v>93.99</v>
      </c>
      <c r="D63">
        <v>93.99</v>
      </c>
      <c r="E63">
        <v>93.46</v>
      </c>
      <c r="F63" t="s">
        <v>558</v>
      </c>
      <c r="G63" s="2">
        <v>-1.1900000000000001E-2</v>
      </c>
    </row>
    <row r="64" spans="1:7" x14ac:dyDescent="0.4">
      <c r="A64" s="1">
        <v>45384</v>
      </c>
      <c r="B64">
        <v>93.33</v>
      </c>
      <c r="C64">
        <v>93.11</v>
      </c>
      <c r="D64">
        <v>93.37</v>
      </c>
      <c r="E64">
        <v>93.01</v>
      </c>
      <c r="F64" t="s">
        <v>559</v>
      </c>
      <c r="G64" s="2">
        <v>-2.0999999999999999E-3</v>
      </c>
    </row>
    <row r="65" spans="1:7" x14ac:dyDescent="0.4">
      <c r="A65" s="1">
        <v>45385</v>
      </c>
      <c r="B65">
        <v>93.44</v>
      </c>
      <c r="C65">
        <v>92.95</v>
      </c>
      <c r="D65">
        <v>93.44</v>
      </c>
      <c r="E65">
        <v>92.86</v>
      </c>
      <c r="F65" t="s">
        <v>560</v>
      </c>
      <c r="G65" s="2">
        <v>1.1999999999999999E-3</v>
      </c>
    </row>
    <row r="66" spans="1:7" x14ac:dyDescent="0.4">
      <c r="A66" s="1">
        <v>45386</v>
      </c>
      <c r="B66">
        <v>93.76</v>
      </c>
      <c r="C66">
        <v>93.64</v>
      </c>
      <c r="D66">
        <v>93.78</v>
      </c>
      <c r="E66">
        <v>93.38</v>
      </c>
      <c r="F66" t="s">
        <v>561</v>
      </c>
      <c r="G66" s="2">
        <v>3.3999999999999998E-3</v>
      </c>
    </row>
    <row r="67" spans="1:7" x14ac:dyDescent="0.4">
      <c r="A67" s="1">
        <v>45387</v>
      </c>
      <c r="B67">
        <v>93.14</v>
      </c>
      <c r="C67">
        <v>93.25</v>
      </c>
      <c r="D67">
        <v>93.54</v>
      </c>
      <c r="E67">
        <v>93.13</v>
      </c>
      <c r="F67" t="s">
        <v>562</v>
      </c>
      <c r="G67" s="2">
        <v>-6.6E-3</v>
      </c>
    </row>
    <row r="68" spans="1:7" x14ac:dyDescent="0.4">
      <c r="A68" s="1">
        <v>45390</v>
      </c>
      <c r="B68">
        <v>92.93</v>
      </c>
      <c r="C68">
        <v>92.91</v>
      </c>
      <c r="D68">
        <v>93.06</v>
      </c>
      <c r="E68">
        <v>92.81</v>
      </c>
      <c r="F68" t="s">
        <v>563</v>
      </c>
      <c r="G68" s="2">
        <v>-2.3E-3</v>
      </c>
    </row>
    <row r="69" spans="1:7" x14ac:dyDescent="0.4">
      <c r="A69" s="1">
        <v>45391</v>
      </c>
      <c r="B69">
        <v>93.3</v>
      </c>
      <c r="C69">
        <v>93.2</v>
      </c>
      <c r="D69">
        <v>93.38</v>
      </c>
      <c r="E69">
        <v>93.2</v>
      </c>
      <c r="F69" t="s">
        <v>564</v>
      </c>
      <c r="G69" s="2">
        <v>4.0000000000000001E-3</v>
      </c>
    </row>
    <row r="70" spans="1:7" x14ac:dyDescent="0.4">
      <c r="A70" s="1">
        <v>45392</v>
      </c>
      <c r="B70">
        <v>92.06</v>
      </c>
      <c r="C70">
        <v>92.51</v>
      </c>
      <c r="D70">
        <v>92.57</v>
      </c>
      <c r="E70">
        <v>91.92</v>
      </c>
      <c r="F70" t="s">
        <v>565</v>
      </c>
      <c r="G70" s="2">
        <v>-1.3299999999999999E-2</v>
      </c>
    </row>
    <row r="71" spans="1:7" x14ac:dyDescent="0.4">
      <c r="A71" s="1">
        <v>45393</v>
      </c>
      <c r="B71">
        <v>91.93</v>
      </c>
      <c r="C71">
        <v>92.23</v>
      </c>
      <c r="D71">
        <v>92.27</v>
      </c>
      <c r="E71">
        <v>91.81</v>
      </c>
      <c r="F71" t="s">
        <v>566</v>
      </c>
      <c r="G71" s="2">
        <v>-1.4E-3</v>
      </c>
    </row>
    <row r="72" spans="1:7" x14ac:dyDescent="0.4">
      <c r="A72" s="1">
        <v>45394</v>
      </c>
      <c r="B72">
        <v>92.31</v>
      </c>
      <c r="C72">
        <v>92.41</v>
      </c>
      <c r="D72">
        <v>92.56</v>
      </c>
      <c r="E72">
        <v>92.31</v>
      </c>
      <c r="F72" t="s">
        <v>567</v>
      </c>
      <c r="G72" s="2">
        <v>4.1000000000000003E-3</v>
      </c>
    </row>
    <row r="73" spans="1:7" x14ac:dyDescent="0.4">
      <c r="A73" s="1">
        <v>45397</v>
      </c>
      <c r="B73">
        <v>91.72</v>
      </c>
      <c r="C73">
        <v>91.68</v>
      </c>
      <c r="D73">
        <v>91.74</v>
      </c>
      <c r="E73">
        <v>91.35</v>
      </c>
      <c r="F73" t="s">
        <v>568</v>
      </c>
      <c r="G73" s="2">
        <v>-6.4000000000000003E-3</v>
      </c>
    </row>
    <row r="74" spans="1:7" x14ac:dyDescent="0.4">
      <c r="A74" s="1">
        <v>45398</v>
      </c>
      <c r="B74">
        <v>91.36</v>
      </c>
      <c r="C74">
        <v>91.32</v>
      </c>
      <c r="D74">
        <v>91.53</v>
      </c>
      <c r="E74">
        <v>91.18</v>
      </c>
      <c r="F74" t="s">
        <v>569</v>
      </c>
      <c r="G74" s="2">
        <v>-3.8999999999999998E-3</v>
      </c>
    </row>
    <row r="75" spans="1:7" x14ac:dyDescent="0.4">
      <c r="A75" s="1">
        <v>45399</v>
      </c>
      <c r="B75">
        <v>91.94</v>
      </c>
      <c r="C75">
        <v>91.69</v>
      </c>
      <c r="D75">
        <v>92.01</v>
      </c>
      <c r="E75">
        <v>91.54</v>
      </c>
      <c r="F75" t="s">
        <v>570</v>
      </c>
      <c r="G75" s="2">
        <v>6.3E-3</v>
      </c>
    </row>
    <row r="76" spans="1:7" x14ac:dyDescent="0.4">
      <c r="A76" s="1">
        <v>45400</v>
      </c>
      <c r="B76">
        <v>91.62</v>
      </c>
      <c r="C76">
        <v>91.85</v>
      </c>
      <c r="D76">
        <v>91.85</v>
      </c>
      <c r="E76">
        <v>91.5</v>
      </c>
      <c r="F76" t="s">
        <v>561</v>
      </c>
      <c r="G76" s="2">
        <v>-3.5000000000000001E-3</v>
      </c>
    </row>
    <row r="77" spans="1:7" x14ac:dyDescent="0.4">
      <c r="A77" s="1">
        <v>45401</v>
      </c>
      <c r="B77">
        <v>91.74</v>
      </c>
      <c r="C77">
        <v>91.84</v>
      </c>
      <c r="D77">
        <v>91.86</v>
      </c>
      <c r="E77">
        <v>91.64</v>
      </c>
      <c r="F77" t="s">
        <v>571</v>
      </c>
      <c r="G77" s="2">
        <v>1.2999999999999999E-3</v>
      </c>
    </row>
    <row r="78" spans="1:7" x14ac:dyDescent="0.4">
      <c r="A78" s="1">
        <v>45404</v>
      </c>
      <c r="B78">
        <v>91.75</v>
      </c>
      <c r="C78">
        <v>91.57</v>
      </c>
      <c r="D78">
        <v>91.82</v>
      </c>
      <c r="E78">
        <v>91.55</v>
      </c>
      <c r="F78" t="s">
        <v>572</v>
      </c>
      <c r="G78" s="2">
        <v>1E-4</v>
      </c>
    </row>
    <row r="79" spans="1:7" x14ac:dyDescent="0.4">
      <c r="A79" s="1">
        <v>45405</v>
      </c>
      <c r="B79">
        <v>91.87</v>
      </c>
      <c r="C79">
        <v>91.63</v>
      </c>
      <c r="D79">
        <v>92.1</v>
      </c>
      <c r="E79">
        <v>91.54</v>
      </c>
      <c r="F79" t="s">
        <v>573</v>
      </c>
      <c r="G79" s="2">
        <v>1.2999999999999999E-3</v>
      </c>
    </row>
    <row r="80" spans="1:7" x14ac:dyDescent="0.4">
      <c r="A80" s="1">
        <v>45406</v>
      </c>
      <c r="B80">
        <v>91.59</v>
      </c>
      <c r="C80">
        <v>91.66</v>
      </c>
      <c r="D80">
        <v>91.69</v>
      </c>
      <c r="E80">
        <v>91.43</v>
      </c>
      <c r="F80" t="s">
        <v>574</v>
      </c>
      <c r="G80" s="2">
        <v>-3.0000000000000001E-3</v>
      </c>
    </row>
    <row r="81" spans="1:7" x14ac:dyDescent="0.4">
      <c r="A81" s="1">
        <v>45407</v>
      </c>
      <c r="B81">
        <v>91.24</v>
      </c>
      <c r="C81">
        <v>91.09</v>
      </c>
      <c r="D81">
        <v>91.32</v>
      </c>
      <c r="E81">
        <v>91.02</v>
      </c>
      <c r="F81" t="s">
        <v>575</v>
      </c>
      <c r="G81" s="2">
        <v>-3.8E-3</v>
      </c>
    </row>
    <row r="82" spans="1:7" x14ac:dyDescent="0.4">
      <c r="A82" s="1">
        <v>45408</v>
      </c>
      <c r="B82">
        <v>91.49</v>
      </c>
      <c r="C82">
        <v>91.45</v>
      </c>
      <c r="D82">
        <v>91.63</v>
      </c>
      <c r="E82">
        <v>91.42</v>
      </c>
      <c r="F82" t="s">
        <v>576</v>
      </c>
      <c r="G82" s="2">
        <v>2.7000000000000001E-3</v>
      </c>
    </row>
    <row r="83" spans="1:7" x14ac:dyDescent="0.4">
      <c r="A83" s="1">
        <v>45411</v>
      </c>
      <c r="B83">
        <v>91.86</v>
      </c>
      <c r="C83">
        <v>91.7</v>
      </c>
      <c r="D83">
        <v>91.88</v>
      </c>
      <c r="E83">
        <v>91.62</v>
      </c>
      <c r="F83" t="s">
        <v>577</v>
      </c>
      <c r="G83" s="2">
        <v>4.0000000000000001E-3</v>
      </c>
    </row>
    <row r="84" spans="1:7" x14ac:dyDescent="0.4">
      <c r="A84" s="1">
        <v>45412</v>
      </c>
      <c r="B84">
        <v>91.43</v>
      </c>
      <c r="C84">
        <v>91.51</v>
      </c>
      <c r="D84">
        <v>91.65</v>
      </c>
      <c r="E84">
        <v>91.35</v>
      </c>
      <c r="F84" t="s">
        <v>578</v>
      </c>
      <c r="G84" s="2">
        <v>-4.7000000000000002E-3</v>
      </c>
    </row>
    <row r="85" spans="1:7" x14ac:dyDescent="0.4">
      <c r="A85" s="1">
        <v>45413</v>
      </c>
      <c r="B85">
        <v>91.52</v>
      </c>
      <c r="C85">
        <v>91.43</v>
      </c>
      <c r="D85">
        <v>91.86</v>
      </c>
      <c r="E85">
        <v>91.19</v>
      </c>
      <c r="F85" t="s">
        <v>579</v>
      </c>
      <c r="G85" s="2">
        <v>1E-3</v>
      </c>
    </row>
    <row r="86" spans="1:7" x14ac:dyDescent="0.4">
      <c r="A86" s="1">
        <v>45414</v>
      </c>
      <c r="B86">
        <v>91.95</v>
      </c>
      <c r="C86">
        <v>91.52</v>
      </c>
      <c r="D86">
        <v>92.01</v>
      </c>
      <c r="E86">
        <v>91.45</v>
      </c>
      <c r="F86" t="s">
        <v>580</v>
      </c>
      <c r="G86" s="2">
        <v>4.7000000000000002E-3</v>
      </c>
    </row>
    <row r="87" spans="1:7" x14ac:dyDescent="0.4">
      <c r="A87" s="1">
        <v>45415</v>
      </c>
      <c r="B87">
        <v>92.46</v>
      </c>
      <c r="C87">
        <v>92.61</v>
      </c>
      <c r="D87">
        <v>92.7</v>
      </c>
      <c r="E87">
        <v>92.22</v>
      </c>
      <c r="F87" t="s">
        <v>581</v>
      </c>
      <c r="G87" s="2">
        <v>5.4999999999999997E-3</v>
      </c>
    </row>
    <row r="88" spans="1:7" x14ac:dyDescent="0.4">
      <c r="A88" s="1">
        <v>45418</v>
      </c>
      <c r="B88">
        <v>92.54</v>
      </c>
      <c r="C88">
        <v>92.5</v>
      </c>
      <c r="D88">
        <v>92.64</v>
      </c>
      <c r="E88">
        <v>92.41</v>
      </c>
      <c r="F88" t="s">
        <v>582</v>
      </c>
      <c r="G88" s="2">
        <v>8.9999999999999998E-4</v>
      </c>
    </row>
    <row r="89" spans="1:7" x14ac:dyDescent="0.4">
      <c r="A89" s="1">
        <v>45419</v>
      </c>
      <c r="B89">
        <v>92.78</v>
      </c>
      <c r="C89">
        <v>92.87</v>
      </c>
      <c r="D89">
        <v>93.02</v>
      </c>
      <c r="E89">
        <v>92.7</v>
      </c>
      <c r="F89" t="s">
        <v>583</v>
      </c>
      <c r="G89" s="2">
        <v>2.5999999999999999E-3</v>
      </c>
    </row>
    <row r="90" spans="1:7" x14ac:dyDescent="0.4">
      <c r="A90" s="1">
        <v>45420</v>
      </c>
      <c r="B90">
        <v>92.52</v>
      </c>
      <c r="C90">
        <v>92.58</v>
      </c>
      <c r="D90">
        <v>92.66</v>
      </c>
      <c r="E90">
        <v>92.51</v>
      </c>
      <c r="F90" t="s">
        <v>584</v>
      </c>
      <c r="G90" s="2">
        <v>-2.8E-3</v>
      </c>
    </row>
    <row r="91" spans="1:7" x14ac:dyDescent="0.4">
      <c r="A91" s="1">
        <v>45421</v>
      </c>
      <c r="B91">
        <v>92.8</v>
      </c>
      <c r="C91">
        <v>92.5</v>
      </c>
      <c r="D91">
        <v>92.86</v>
      </c>
      <c r="E91">
        <v>92.47</v>
      </c>
      <c r="F91" t="s">
        <v>585</v>
      </c>
      <c r="G91" s="2">
        <v>3.0000000000000001E-3</v>
      </c>
    </row>
    <row r="92" spans="1:7" x14ac:dyDescent="0.4">
      <c r="A92" s="1">
        <v>45422</v>
      </c>
      <c r="B92">
        <v>92.5</v>
      </c>
      <c r="C92">
        <v>92.6</v>
      </c>
      <c r="D92">
        <v>92.64</v>
      </c>
      <c r="E92">
        <v>92.45</v>
      </c>
      <c r="F92" t="s">
        <v>586</v>
      </c>
      <c r="G92" s="2">
        <v>-3.2000000000000002E-3</v>
      </c>
    </row>
    <row r="93" spans="1:7" x14ac:dyDescent="0.4">
      <c r="A93" s="1">
        <v>45425</v>
      </c>
      <c r="B93">
        <v>92.61</v>
      </c>
      <c r="C93">
        <v>92.74</v>
      </c>
      <c r="D93">
        <v>92.76</v>
      </c>
      <c r="E93">
        <v>92.6</v>
      </c>
      <c r="F93" t="s">
        <v>587</v>
      </c>
      <c r="G93" s="2">
        <v>1.1999999999999999E-3</v>
      </c>
    </row>
    <row r="94" spans="1:7" x14ac:dyDescent="0.4">
      <c r="A94" s="1">
        <v>45426</v>
      </c>
      <c r="B94">
        <v>92.88</v>
      </c>
      <c r="C94">
        <v>92.79</v>
      </c>
      <c r="D94">
        <v>92.92</v>
      </c>
      <c r="E94">
        <v>92.69</v>
      </c>
      <c r="F94" t="s">
        <v>588</v>
      </c>
      <c r="G94" s="2">
        <v>2.8999999999999998E-3</v>
      </c>
    </row>
    <row r="95" spans="1:7" x14ac:dyDescent="0.4">
      <c r="A95" s="1">
        <v>45427</v>
      </c>
      <c r="B95">
        <v>93.58</v>
      </c>
      <c r="C95">
        <v>93.42</v>
      </c>
      <c r="D95">
        <v>93.64</v>
      </c>
      <c r="E95">
        <v>93.29</v>
      </c>
      <c r="F95" t="s">
        <v>589</v>
      </c>
      <c r="G95" s="2">
        <v>7.4999999999999997E-3</v>
      </c>
    </row>
    <row r="96" spans="1:7" x14ac:dyDescent="0.4">
      <c r="A96" s="1">
        <v>45428</v>
      </c>
      <c r="B96">
        <v>93.4</v>
      </c>
      <c r="C96">
        <v>93.61</v>
      </c>
      <c r="D96">
        <v>93.61</v>
      </c>
      <c r="E96">
        <v>93.37</v>
      </c>
      <c r="F96" t="s">
        <v>590</v>
      </c>
      <c r="G96" s="2">
        <v>-1.9E-3</v>
      </c>
    </row>
    <row r="97" spans="1:7" x14ac:dyDescent="0.4">
      <c r="A97" s="1">
        <v>45429</v>
      </c>
      <c r="B97">
        <v>93.11</v>
      </c>
      <c r="C97">
        <v>93.25</v>
      </c>
      <c r="D97">
        <v>93.33</v>
      </c>
      <c r="E97">
        <v>93.09</v>
      </c>
      <c r="F97" t="s">
        <v>591</v>
      </c>
      <c r="G97" s="2">
        <v>-3.0999999999999999E-3</v>
      </c>
    </row>
    <row r="98" spans="1:7" x14ac:dyDescent="0.4">
      <c r="A98" s="1">
        <v>45432</v>
      </c>
      <c r="B98">
        <v>92.97</v>
      </c>
      <c r="C98">
        <v>92.98</v>
      </c>
      <c r="D98">
        <v>93.06</v>
      </c>
      <c r="E98">
        <v>92.93</v>
      </c>
      <c r="F98" t="s">
        <v>592</v>
      </c>
      <c r="G98" s="2">
        <v>-1.5E-3</v>
      </c>
    </row>
    <row r="99" spans="1:7" x14ac:dyDescent="0.4">
      <c r="A99" s="1">
        <v>45433</v>
      </c>
      <c r="B99">
        <v>93.21</v>
      </c>
      <c r="C99">
        <v>93.25</v>
      </c>
      <c r="D99">
        <v>93.29</v>
      </c>
      <c r="E99">
        <v>93.16</v>
      </c>
      <c r="F99" t="s">
        <v>593</v>
      </c>
      <c r="G99" s="2">
        <v>2.5999999999999999E-3</v>
      </c>
    </row>
    <row r="100" spans="1:7" x14ac:dyDescent="0.4">
      <c r="A100" s="1">
        <v>45434</v>
      </c>
      <c r="B100">
        <v>93.09</v>
      </c>
      <c r="C100">
        <v>92.98</v>
      </c>
      <c r="D100">
        <v>93.2</v>
      </c>
      <c r="E100">
        <v>92.97</v>
      </c>
      <c r="F100" t="s">
        <v>594</v>
      </c>
      <c r="G100" s="2">
        <v>-1.2999999999999999E-3</v>
      </c>
    </row>
    <row r="101" spans="1:7" x14ac:dyDescent="0.4">
      <c r="A101" s="1">
        <v>45435</v>
      </c>
      <c r="B101">
        <v>92.76</v>
      </c>
      <c r="C101">
        <v>93.13</v>
      </c>
      <c r="D101">
        <v>93.14</v>
      </c>
      <c r="E101">
        <v>92.62</v>
      </c>
      <c r="F101" t="s">
        <v>595</v>
      </c>
      <c r="G101" s="2">
        <v>-3.5000000000000001E-3</v>
      </c>
    </row>
    <row r="102" spans="1:7" x14ac:dyDescent="0.4">
      <c r="A102" s="1">
        <v>45436</v>
      </c>
      <c r="B102">
        <v>92.88</v>
      </c>
      <c r="C102">
        <v>92.67</v>
      </c>
      <c r="D102">
        <v>92.89</v>
      </c>
      <c r="E102">
        <v>92.64</v>
      </c>
      <c r="F102" t="s">
        <v>596</v>
      </c>
      <c r="G102" s="2">
        <v>1.2999999999999999E-3</v>
      </c>
    </row>
    <row r="103" spans="1:7" x14ac:dyDescent="0.4">
      <c r="A103" s="1">
        <v>45440</v>
      </c>
      <c r="B103">
        <v>92.36</v>
      </c>
      <c r="C103">
        <v>92.96</v>
      </c>
      <c r="D103">
        <v>92.98</v>
      </c>
      <c r="E103">
        <v>92.33</v>
      </c>
      <c r="F103" t="s">
        <v>597</v>
      </c>
      <c r="G103" s="2">
        <v>-5.5999999999999999E-3</v>
      </c>
    </row>
    <row r="104" spans="1:7" x14ac:dyDescent="0.4">
      <c r="A104" s="1">
        <v>45441</v>
      </c>
      <c r="B104">
        <v>91.91</v>
      </c>
      <c r="C104">
        <v>92.13</v>
      </c>
      <c r="D104">
        <v>92.14</v>
      </c>
      <c r="E104">
        <v>91.72</v>
      </c>
      <c r="F104" t="s">
        <v>598</v>
      </c>
      <c r="G104" s="2">
        <v>-4.8999999999999998E-3</v>
      </c>
    </row>
    <row r="105" spans="1:7" x14ac:dyDescent="0.4">
      <c r="A105" s="1">
        <v>45442</v>
      </c>
      <c r="B105">
        <v>92.37</v>
      </c>
      <c r="C105">
        <v>92.22</v>
      </c>
      <c r="D105">
        <v>92.39</v>
      </c>
      <c r="E105">
        <v>92.17</v>
      </c>
      <c r="F105" t="s">
        <v>599</v>
      </c>
      <c r="G105" s="2">
        <v>5.0000000000000001E-3</v>
      </c>
    </row>
    <row r="106" spans="1:7" x14ac:dyDescent="0.4">
      <c r="A106" s="1">
        <v>45443</v>
      </c>
      <c r="B106">
        <v>92.8</v>
      </c>
      <c r="C106">
        <v>92.65</v>
      </c>
      <c r="D106">
        <v>92.82</v>
      </c>
      <c r="E106">
        <v>92.61</v>
      </c>
      <c r="F106" t="s">
        <v>600</v>
      </c>
      <c r="G106" s="2">
        <v>4.7000000000000002E-3</v>
      </c>
    </row>
    <row r="107" spans="1:7" x14ac:dyDescent="0.4">
      <c r="A107" s="1">
        <v>45446</v>
      </c>
      <c r="B107">
        <v>93.13</v>
      </c>
      <c r="C107">
        <v>92.65</v>
      </c>
      <c r="D107">
        <v>93.18</v>
      </c>
      <c r="E107">
        <v>92.65</v>
      </c>
      <c r="F107" t="s">
        <v>601</v>
      </c>
      <c r="G107" s="2">
        <v>3.5999999999999999E-3</v>
      </c>
    </row>
    <row r="108" spans="1:7" x14ac:dyDescent="0.4">
      <c r="A108" s="1">
        <v>45447</v>
      </c>
      <c r="B108">
        <v>93.64</v>
      </c>
      <c r="C108">
        <v>93.44</v>
      </c>
      <c r="D108">
        <v>93.73</v>
      </c>
      <c r="E108">
        <v>93.38</v>
      </c>
      <c r="F108" t="s">
        <v>602</v>
      </c>
      <c r="G108" s="2">
        <v>5.4999999999999997E-3</v>
      </c>
    </row>
    <row r="109" spans="1:7" x14ac:dyDescent="0.4">
      <c r="A109" s="1">
        <v>45448</v>
      </c>
      <c r="B109">
        <v>93.98</v>
      </c>
      <c r="C109">
        <v>93.76</v>
      </c>
      <c r="D109">
        <v>93.99</v>
      </c>
      <c r="E109">
        <v>93.49</v>
      </c>
      <c r="F109" t="s">
        <v>603</v>
      </c>
      <c r="G109" s="2">
        <v>3.5999999999999999E-3</v>
      </c>
    </row>
    <row r="110" spans="1:7" x14ac:dyDescent="0.4">
      <c r="A110" s="1">
        <v>45449</v>
      </c>
      <c r="B110">
        <v>93.94</v>
      </c>
      <c r="C110">
        <v>93.82</v>
      </c>
      <c r="D110">
        <v>94.03</v>
      </c>
      <c r="E110">
        <v>93.79</v>
      </c>
      <c r="F110" t="s">
        <v>604</v>
      </c>
      <c r="G110" s="2">
        <v>-4.0000000000000002E-4</v>
      </c>
    </row>
    <row r="111" spans="1:7" x14ac:dyDescent="0.4">
      <c r="A111" s="1">
        <v>45450</v>
      </c>
      <c r="B111">
        <v>92.95</v>
      </c>
      <c r="C111">
        <v>93.14</v>
      </c>
      <c r="D111">
        <v>93.16</v>
      </c>
      <c r="E111">
        <v>92.94</v>
      </c>
      <c r="F111" t="s">
        <v>605</v>
      </c>
      <c r="G111" s="2">
        <v>-1.0500000000000001E-2</v>
      </c>
    </row>
    <row r="112" spans="1:7" x14ac:dyDescent="0.4">
      <c r="A112" s="1">
        <v>45453</v>
      </c>
      <c r="B112">
        <v>92.75</v>
      </c>
      <c r="C112">
        <v>92.78</v>
      </c>
      <c r="D112">
        <v>92.84</v>
      </c>
      <c r="E112">
        <v>92.66</v>
      </c>
      <c r="F112" t="s">
        <v>606</v>
      </c>
      <c r="G112" s="2">
        <v>-2.2000000000000001E-3</v>
      </c>
    </row>
    <row r="113" spans="1:7" x14ac:dyDescent="0.4">
      <c r="A113" s="1">
        <v>45454</v>
      </c>
      <c r="B113">
        <v>93.24</v>
      </c>
      <c r="C113">
        <v>92.91</v>
      </c>
      <c r="D113">
        <v>93.26</v>
      </c>
      <c r="E113">
        <v>92.82</v>
      </c>
      <c r="F113" t="s">
        <v>607</v>
      </c>
      <c r="G113" s="2">
        <v>5.3E-3</v>
      </c>
    </row>
    <row r="114" spans="1:7" x14ac:dyDescent="0.4">
      <c r="A114" s="1">
        <v>45455</v>
      </c>
      <c r="B114">
        <v>93.76</v>
      </c>
      <c r="C114">
        <v>94.08</v>
      </c>
      <c r="D114">
        <v>94.32</v>
      </c>
      <c r="E114">
        <v>93.74</v>
      </c>
      <c r="F114" t="s">
        <v>608</v>
      </c>
      <c r="G114" s="2">
        <v>5.5999999999999999E-3</v>
      </c>
    </row>
    <row r="115" spans="1:7" x14ac:dyDescent="0.4">
      <c r="A115" s="1">
        <v>45456</v>
      </c>
      <c r="B115">
        <v>94.38</v>
      </c>
      <c r="C115">
        <v>94.18</v>
      </c>
      <c r="D115">
        <v>94.52</v>
      </c>
      <c r="E115">
        <v>94.07</v>
      </c>
      <c r="F115" t="s">
        <v>609</v>
      </c>
      <c r="G115" s="2">
        <v>6.6E-3</v>
      </c>
    </row>
    <row r="116" spans="1:7" x14ac:dyDescent="0.4">
      <c r="A116" s="1">
        <v>45457</v>
      </c>
      <c r="B116">
        <v>94.6</v>
      </c>
      <c r="C116">
        <v>94.51</v>
      </c>
      <c r="D116">
        <v>94.69</v>
      </c>
      <c r="E116">
        <v>94.46</v>
      </c>
      <c r="F116" t="s">
        <v>610</v>
      </c>
      <c r="G116" s="2">
        <v>2.3E-3</v>
      </c>
    </row>
    <row r="117" spans="1:7" x14ac:dyDescent="0.4">
      <c r="A117" s="1">
        <v>45460</v>
      </c>
      <c r="B117">
        <v>94.16</v>
      </c>
      <c r="C117">
        <v>94.14</v>
      </c>
      <c r="D117">
        <v>94.22</v>
      </c>
      <c r="E117">
        <v>94.03</v>
      </c>
      <c r="F117" t="s">
        <v>611</v>
      </c>
      <c r="G117" s="2">
        <v>-4.7000000000000002E-3</v>
      </c>
    </row>
    <row r="118" spans="1:7" x14ac:dyDescent="0.4">
      <c r="A118" s="1">
        <v>45461</v>
      </c>
      <c r="B118">
        <v>94.57</v>
      </c>
      <c r="C118">
        <v>94.32</v>
      </c>
      <c r="D118">
        <v>94.68</v>
      </c>
      <c r="E118">
        <v>94.28</v>
      </c>
      <c r="F118" t="s">
        <v>612</v>
      </c>
      <c r="G118" s="2">
        <v>4.4000000000000003E-3</v>
      </c>
    </row>
    <row r="119" spans="1:7" x14ac:dyDescent="0.4">
      <c r="A119" s="1">
        <v>45463</v>
      </c>
      <c r="B119">
        <v>94.33</v>
      </c>
      <c r="C119">
        <v>94.1</v>
      </c>
      <c r="D119">
        <v>94.36</v>
      </c>
      <c r="E119">
        <v>94.05</v>
      </c>
      <c r="F119" t="s">
        <v>613</v>
      </c>
      <c r="G119" s="2">
        <v>-2.5000000000000001E-3</v>
      </c>
    </row>
    <row r="120" spans="1:7" x14ac:dyDescent="0.4">
      <c r="A120" s="1">
        <v>45464</v>
      </c>
      <c r="B120">
        <v>94.35</v>
      </c>
      <c r="C120">
        <v>94.51</v>
      </c>
      <c r="D120">
        <v>94.6</v>
      </c>
      <c r="E120">
        <v>94.18</v>
      </c>
      <c r="F120" t="s">
        <v>502</v>
      </c>
      <c r="G120" s="2">
        <v>2.0000000000000001E-4</v>
      </c>
    </row>
    <row r="121" spans="1:7" x14ac:dyDescent="0.4">
      <c r="A121" s="1">
        <v>45467</v>
      </c>
      <c r="B121">
        <v>94.43</v>
      </c>
      <c r="C121">
        <v>94.37</v>
      </c>
      <c r="D121">
        <v>94.43</v>
      </c>
      <c r="E121">
        <v>94.22</v>
      </c>
      <c r="F121" t="s">
        <v>614</v>
      </c>
      <c r="G121" s="2">
        <v>8.0000000000000004E-4</v>
      </c>
    </row>
    <row r="122" spans="1:7" x14ac:dyDescent="0.4">
      <c r="A122" s="1">
        <v>45468</v>
      </c>
      <c r="B122">
        <v>94.51</v>
      </c>
      <c r="C122">
        <v>94.37</v>
      </c>
      <c r="D122">
        <v>94.55</v>
      </c>
      <c r="E122">
        <v>94.32</v>
      </c>
      <c r="F122" t="s">
        <v>615</v>
      </c>
      <c r="G122" s="2">
        <v>8.0000000000000004E-4</v>
      </c>
    </row>
    <row r="123" spans="1:7" x14ac:dyDescent="0.4">
      <c r="A123" s="1">
        <v>45469</v>
      </c>
      <c r="B123">
        <v>93.94</v>
      </c>
      <c r="C123">
        <v>94.02</v>
      </c>
      <c r="D123">
        <v>94.09</v>
      </c>
      <c r="E123">
        <v>93.92</v>
      </c>
      <c r="F123" t="s">
        <v>616</v>
      </c>
      <c r="G123" s="2">
        <v>-6.0000000000000001E-3</v>
      </c>
    </row>
    <row r="124" spans="1:7" x14ac:dyDescent="0.4">
      <c r="A124" s="1">
        <v>45470</v>
      </c>
      <c r="B124">
        <v>94.15</v>
      </c>
      <c r="C124">
        <v>94.12</v>
      </c>
      <c r="D124">
        <v>94.24</v>
      </c>
      <c r="E124">
        <v>94.11</v>
      </c>
      <c r="F124" t="s">
        <v>617</v>
      </c>
      <c r="G124" s="2">
        <v>2.2000000000000001E-3</v>
      </c>
    </row>
    <row r="125" spans="1:7" x14ac:dyDescent="0.4">
      <c r="A125" s="1">
        <v>45471</v>
      </c>
      <c r="B125">
        <v>93.65</v>
      </c>
      <c r="C125">
        <v>94.36</v>
      </c>
      <c r="D125">
        <v>94.38</v>
      </c>
      <c r="E125">
        <v>93.64</v>
      </c>
      <c r="F125" t="s">
        <v>618</v>
      </c>
      <c r="G125" s="2">
        <v>-5.3E-3</v>
      </c>
    </row>
    <row r="126" spans="1:7" x14ac:dyDescent="0.4">
      <c r="A126" s="1">
        <v>45474</v>
      </c>
      <c r="B126">
        <v>92.67</v>
      </c>
      <c r="C126">
        <v>92.84</v>
      </c>
      <c r="D126">
        <v>93.11</v>
      </c>
      <c r="E126">
        <v>92.58</v>
      </c>
      <c r="F126" t="s">
        <v>619</v>
      </c>
      <c r="G126" s="2">
        <v>-1.0500000000000001E-2</v>
      </c>
    </row>
    <row r="127" spans="1:7" x14ac:dyDescent="0.4">
      <c r="A127" s="1">
        <v>45475</v>
      </c>
      <c r="B127">
        <v>93.02</v>
      </c>
      <c r="C127">
        <v>93.06</v>
      </c>
      <c r="D127">
        <v>93.13</v>
      </c>
      <c r="E127">
        <v>92.88</v>
      </c>
      <c r="F127" t="s">
        <v>620</v>
      </c>
      <c r="G127" s="2">
        <v>3.8E-3</v>
      </c>
    </row>
    <row r="128" spans="1:7" x14ac:dyDescent="0.4">
      <c r="A128" s="1">
        <v>45476</v>
      </c>
      <c r="B128">
        <v>93.64</v>
      </c>
      <c r="C128">
        <v>93.25</v>
      </c>
      <c r="D128">
        <v>93.68</v>
      </c>
      <c r="E128">
        <v>93.2</v>
      </c>
      <c r="F128" t="s">
        <v>621</v>
      </c>
      <c r="G128" s="2">
        <v>6.7000000000000002E-3</v>
      </c>
    </row>
    <row r="129" spans="1:7" x14ac:dyDescent="0.4">
      <c r="A129" s="1">
        <v>45478</v>
      </c>
      <c r="B129">
        <v>94.16</v>
      </c>
      <c r="C129">
        <v>93.97</v>
      </c>
      <c r="D129">
        <v>94.22</v>
      </c>
      <c r="E129">
        <v>93.85</v>
      </c>
      <c r="F129" t="s">
        <v>622</v>
      </c>
      <c r="G129" s="2">
        <v>5.5999999999999999E-3</v>
      </c>
    </row>
    <row r="130" spans="1:7" x14ac:dyDescent="0.4">
      <c r="A130" s="1">
        <v>45481</v>
      </c>
      <c r="B130">
        <v>94.19</v>
      </c>
      <c r="C130">
        <v>94.13</v>
      </c>
      <c r="D130">
        <v>94.26</v>
      </c>
      <c r="E130">
        <v>93.99</v>
      </c>
      <c r="F130" t="s">
        <v>536</v>
      </c>
      <c r="G130" s="2">
        <v>2.9999999999999997E-4</v>
      </c>
    </row>
    <row r="131" spans="1:7" x14ac:dyDescent="0.4">
      <c r="A131" s="1">
        <v>45482</v>
      </c>
      <c r="B131">
        <v>94.06</v>
      </c>
      <c r="C131">
        <v>94.04</v>
      </c>
      <c r="D131">
        <v>94.17</v>
      </c>
      <c r="E131">
        <v>93.83</v>
      </c>
      <c r="F131" t="s">
        <v>623</v>
      </c>
      <c r="G131" s="2">
        <v>-1.4E-3</v>
      </c>
    </row>
    <row r="132" spans="1:7" x14ac:dyDescent="0.4">
      <c r="A132" s="1">
        <v>45483</v>
      </c>
      <c r="B132">
        <v>94.15</v>
      </c>
      <c r="C132">
        <v>94.14</v>
      </c>
      <c r="D132">
        <v>94.2</v>
      </c>
      <c r="E132">
        <v>94</v>
      </c>
      <c r="F132" t="s">
        <v>624</v>
      </c>
      <c r="G132" s="2">
        <v>1E-3</v>
      </c>
    </row>
    <row r="133" spans="1:7" x14ac:dyDescent="0.4">
      <c r="A133" s="1">
        <v>45484</v>
      </c>
      <c r="B133">
        <v>94.75</v>
      </c>
      <c r="C133">
        <v>94.82</v>
      </c>
      <c r="D133">
        <v>94.98</v>
      </c>
      <c r="E133">
        <v>94.71</v>
      </c>
      <c r="F133" t="s">
        <v>625</v>
      </c>
      <c r="G133" s="2">
        <v>6.4000000000000003E-3</v>
      </c>
    </row>
    <row r="134" spans="1:7" x14ac:dyDescent="0.4">
      <c r="A134" s="1">
        <v>45485</v>
      </c>
      <c r="B134">
        <v>94.95</v>
      </c>
      <c r="C134">
        <v>94.77</v>
      </c>
      <c r="D134">
        <v>94.95</v>
      </c>
      <c r="E134">
        <v>94.71</v>
      </c>
      <c r="F134" t="s">
        <v>626</v>
      </c>
      <c r="G134" s="2">
        <v>2.0999999999999999E-3</v>
      </c>
    </row>
    <row r="135" spans="1:7" x14ac:dyDescent="0.4">
      <c r="A135" s="1">
        <v>45488</v>
      </c>
      <c r="B135">
        <v>94.65</v>
      </c>
      <c r="C135">
        <v>94.71</v>
      </c>
      <c r="D135">
        <v>94.83</v>
      </c>
      <c r="E135">
        <v>94.57</v>
      </c>
      <c r="F135" t="s">
        <v>627</v>
      </c>
      <c r="G135" s="2">
        <v>-3.2000000000000002E-3</v>
      </c>
    </row>
    <row r="136" spans="1:7" x14ac:dyDescent="0.4">
      <c r="A136" s="1">
        <v>45489</v>
      </c>
      <c r="B136">
        <v>95.07</v>
      </c>
      <c r="C136">
        <v>94.82</v>
      </c>
      <c r="D136">
        <v>95.08</v>
      </c>
      <c r="E136">
        <v>94.72</v>
      </c>
      <c r="F136" t="s">
        <v>628</v>
      </c>
      <c r="G136" s="2">
        <v>4.4000000000000003E-3</v>
      </c>
    </row>
    <row r="137" spans="1:7" x14ac:dyDescent="0.4">
      <c r="A137" s="1">
        <v>45490</v>
      </c>
      <c r="B137">
        <v>95.15</v>
      </c>
      <c r="C137">
        <v>94.93</v>
      </c>
      <c r="D137">
        <v>95.21</v>
      </c>
      <c r="E137">
        <v>94.84</v>
      </c>
      <c r="F137" t="s">
        <v>622</v>
      </c>
      <c r="G137" s="2">
        <v>8.0000000000000004E-4</v>
      </c>
    </row>
    <row r="138" spans="1:7" x14ac:dyDescent="0.4">
      <c r="A138" s="1">
        <v>45491</v>
      </c>
      <c r="B138">
        <v>94.88</v>
      </c>
      <c r="C138">
        <v>94.94</v>
      </c>
      <c r="D138">
        <v>95.14</v>
      </c>
      <c r="E138">
        <v>94.82</v>
      </c>
      <c r="F138" t="s">
        <v>629</v>
      </c>
      <c r="G138" s="2">
        <v>-2.8E-3</v>
      </c>
    </row>
    <row r="139" spans="1:7" x14ac:dyDescent="0.4">
      <c r="A139" s="1">
        <v>45492</v>
      </c>
      <c r="B139">
        <v>94.58</v>
      </c>
      <c r="C139">
        <v>94.63</v>
      </c>
      <c r="D139">
        <v>94.7</v>
      </c>
      <c r="E139">
        <v>94.53</v>
      </c>
      <c r="F139" t="s">
        <v>630</v>
      </c>
      <c r="G139" s="2">
        <v>-3.2000000000000002E-3</v>
      </c>
    </row>
    <row r="140" spans="1:7" x14ac:dyDescent="0.4">
      <c r="A140" s="1">
        <v>45495</v>
      </c>
      <c r="B140">
        <v>94.49</v>
      </c>
      <c r="C140">
        <v>94.69</v>
      </c>
      <c r="D140">
        <v>94.76</v>
      </c>
      <c r="E140">
        <v>94.33</v>
      </c>
      <c r="F140" t="s">
        <v>631</v>
      </c>
      <c r="G140" s="2">
        <v>-1E-3</v>
      </c>
    </row>
    <row r="141" spans="1:7" x14ac:dyDescent="0.4">
      <c r="A141" s="1">
        <v>45496</v>
      </c>
      <c r="B141">
        <v>94.56</v>
      </c>
      <c r="C141">
        <v>94.62</v>
      </c>
      <c r="D141">
        <v>94.75</v>
      </c>
      <c r="E141">
        <v>94.54</v>
      </c>
      <c r="F141" t="s">
        <v>632</v>
      </c>
      <c r="G141" s="2">
        <v>6.9999999999999999E-4</v>
      </c>
    </row>
    <row r="142" spans="1:7" x14ac:dyDescent="0.4">
      <c r="A142" s="1">
        <v>45497</v>
      </c>
      <c r="B142">
        <v>94.35</v>
      </c>
      <c r="C142">
        <v>94.73</v>
      </c>
      <c r="D142">
        <v>94.88</v>
      </c>
      <c r="E142">
        <v>94.33</v>
      </c>
      <c r="F142" t="s">
        <v>633</v>
      </c>
      <c r="G142" s="2">
        <v>-2.2000000000000001E-3</v>
      </c>
    </row>
    <row r="143" spans="1:7" x14ac:dyDescent="0.4">
      <c r="A143" s="1">
        <v>45498</v>
      </c>
      <c r="B143">
        <v>94.56</v>
      </c>
      <c r="C143">
        <v>94.54</v>
      </c>
      <c r="D143">
        <v>94.88</v>
      </c>
      <c r="E143">
        <v>94.49</v>
      </c>
      <c r="F143" t="s">
        <v>634</v>
      </c>
      <c r="G143" s="2">
        <v>2.2000000000000001E-3</v>
      </c>
    </row>
    <row r="144" spans="1:7" x14ac:dyDescent="0.4">
      <c r="A144" s="1">
        <v>45499</v>
      </c>
      <c r="B144">
        <v>95.01</v>
      </c>
      <c r="C144">
        <v>94.96</v>
      </c>
      <c r="D144">
        <v>95.04</v>
      </c>
      <c r="E144">
        <v>94.87</v>
      </c>
      <c r="F144" t="s">
        <v>635</v>
      </c>
      <c r="G144" s="2">
        <v>4.7999999999999996E-3</v>
      </c>
    </row>
    <row r="145" spans="1:7" x14ac:dyDescent="0.4">
      <c r="A145" s="1">
        <v>45502</v>
      </c>
      <c r="B145">
        <v>95.17</v>
      </c>
      <c r="C145">
        <v>95.25</v>
      </c>
      <c r="D145">
        <v>95.26</v>
      </c>
      <c r="E145">
        <v>95.08</v>
      </c>
      <c r="F145" t="s">
        <v>636</v>
      </c>
      <c r="G145" s="2">
        <v>1.6999999999999999E-3</v>
      </c>
    </row>
    <row r="146" spans="1:7" x14ac:dyDescent="0.4">
      <c r="A146" s="1">
        <v>45503</v>
      </c>
      <c r="B146">
        <v>95.37</v>
      </c>
      <c r="C146">
        <v>95.28</v>
      </c>
      <c r="D146">
        <v>95.47</v>
      </c>
      <c r="E146">
        <v>95.11</v>
      </c>
      <c r="F146" t="s">
        <v>637</v>
      </c>
      <c r="G146" s="2">
        <v>2.0999999999999999E-3</v>
      </c>
    </row>
    <row r="147" spans="1:7" x14ac:dyDescent="0.4">
      <c r="A147" s="1">
        <v>45504</v>
      </c>
      <c r="B147">
        <v>96.07</v>
      </c>
      <c r="C147">
        <v>95.65</v>
      </c>
      <c r="D147">
        <v>96.08</v>
      </c>
      <c r="E147">
        <v>95.44</v>
      </c>
      <c r="F147" t="s">
        <v>638</v>
      </c>
      <c r="G147" s="2">
        <v>7.3000000000000001E-3</v>
      </c>
    </row>
    <row r="148" spans="1:7" x14ac:dyDescent="0.4">
      <c r="A148" s="1">
        <v>45505</v>
      </c>
      <c r="B148">
        <v>96.19</v>
      </c>
      <c r="C148">
        <v>96</v>
      </c>
      <c r="D148">
        <v>96.43</v>
      </c>
      <c r="E148">
        <v>95.98</v>
      </c>
      <c r="F148" t="s">
        <v>639</v>
      </c>
      <c r="G148" s="2">
        <v>1.1999999999999999E-3</v>
      </c>
    </row>
    <row r="149" spans="1:7" x14ac:dyDescent="0.4">
      <c r="A149" s="1">
        <v>45506</v>
      </c>
      <c r="B149">
        <v>97.68</v>
      </c>
      <c r="C149">
        <v>97.19</v>
      </c>
      <c r="D149">
        <v>97.75</v>
      </c>
      <c r="E149">
        <v>97.13</v>
      </c>
      <c r="F149" t="s">
        <v>640</v>
      </c>
      <c r="G149" s="2">
        <v>1.55E-2</v>
      </c>
    </row>
    <row r="150" spans="1:7" x14ac:dyDescent="0.4">
      <c r="A150" s="1">
        <v>45509</v>
      </c>
      <c r="B150">
        <v>97.78</v>
      </c>
      <c r="C150">
        <v>98.39</v>
      </c>
      <c r="D150">
        <v>98.58</v>
      </c>
      <c r="E150">
        <v>97.4</v>
      </c>
      <c r="F150" t="s">
        <v>641</v>
      </c>
      <c r="G150" s="2">
        <v>1E-3</v>
      </c>
    </row>
    <row r="151" spans="1:7" x14ac:dyDescent="0.4">
      <c r="A151" s="1">
        <v>45510</v>
      </c>
      <c r="B151">
        <v>96.91</v>
      </c>
      <c r="C151">
        <v>97.54</v>
      </c>
      <c r="D151">
        <v>97.57</v>
      </c>
      <c r="E151">
        <v>96.84</v>
      </c>
      <c r="F151" t="s">
        <v>642</v>
      </c>
      <c r="G151" s="2">
        <v>-8.8999999999999999E-3</v>
      </c>
    </row>
    <row r="152" spans="1:7" x14ac:dyDescent="0.4">
      <c r="A152" s="1">
        <v>45511</v>
      </c>
      <c r="B152">
        <v>96.56</v>
      </c>
      <c r="C152">
        <v>96.63</v>
      </c>
      <c r="D152">
        <v>96.73</v>
      </c>
      <c r="E152">
        <v>96.38</v>
      </c>
      <c r="F152" t="s">
        <v>542</v>
      </c>
      <c r="G152" s="2">
        <v>-3.5999999999999999E-3</v>
      </c>
    </row>
    <row r="153" spans="1:7" x14ac:dyDescent="0.4">
      <c r="A153" s="1">
        <v>45512</v>
      </c>
      <c r="B153">
        <v>96.27</v>
      </c>
      <c r="C153">
        <v>96.16</v>
      </c>
      <c r="D153">
        <v>96.34</v>
      </c>
      <c r="E153">
        <v>96.07</v>
      </c>
      <c r="F153" t="s">
        <v>643</v>
      </c>
      <c r="G153" s="2">
        <v>-3.0000000000000001E-3</v>
      </c>
    </row>
    <row r="154" spans="1:7" x14ac:dyDescent="0.4">
      <c r="A154" s="1">
        <v>45513</v>
      </c>
      <c r="B154">
        <v>96.66</v>
      </c>
      <c r="C154">
        <v>96.78</v>
      </c>
      <c r="D154">
        <v>96.79</v>
      </c>
      <c r="E154">
        <v>96.58</v>
      </c>
      <c r="F154" t="s">
        <v>644</v>
      </c>
      <c r="G154" s="2">
        <v>4.1000000000000003E-3</v>
      </c>
    </row>
    <row r="155" spans="1:7" x14ac:dyDescent="0.4">
      <c r="A155" s="1">
        <v>45516</v>
      </c>
      <c r="B155">
        <v>96.93</v>
      </c>
      <c r="C155">
        <v>96.54</v>
      </c>
      <c r="D155">
        <v>96.97</v>
      </c>
      <c r="E155">
        <v>96.47</v>
      </c>
      <c r="F155" t="s">
        <v>645</v>
      </c>
      <c r="G155" s="2">
        <v>2.8E-3</v>
      </c>
    </row>
    <row r="156" spans="1:7" x14ac:dyDescent="0.4">
      <c r="A156" s="1">
        <v>45517</v>
      </c>
      <c r="B156">
        <v>97.36</v>
      </c>
      <c r="C156">
        <v>97.33</v>
      </c>
      <c r="D156">
        <v>97.36</v>
      </c>
      <c r="E156">
        <v>97.19</v>
      </c>
      <c r="F156" t="s">
        <v>646</v>
      </c>
      <c r="G156" s="2">
        <v>4.4000000000000003E-3</v>
      </c>
    </row>
    <row r="157" spans="1:7" x14ac:dyDescent="0.4">
      <c r="A157" s="1">
        <v>45518</v>
      </c>
      <c r="B157">
        <v>97.49</v>
      </c>
      <c r="C157">
        <v>97.32</v>
      </c>
      <c r="D157">
        <v>97.63</v>
      </c>
      <c r="E157">
        <v>97.3</v>
      </c>
      <c r="F157" t="s">
        <v>590</v>
      </c>
      <c r="G157" s="2">
        <v>1.2999999999999999E-3</v>
      </c>
    </row>
    <row r="158" spans="1:7" x14ac:dyDescent="0.4">
      <c r="A158" s="1">
        <v>45519</v>
      </c>
      <c r="B158">
        <v>96.88</v>
      </c>
      <c r="C158">
        <v>96.7</v>
      </c>
      <c r="D158">
        <v>96.88</v>
      </c>
      <c r="E158">
        <v>96.62</v>
      </c>
      <c r="F158" t="s">
        <v>647</v>
      </c>
      <c r="G158" s="2">
        <v>-6.3E-3</v>
      </c>
    </row>
    <row r="159" spans="1:7" x14ac:dyDescent="0.4">
      <c r="A159" s="1">
        <v>45520</v>
      </c>
      <c r="B159">
        <v>97.07</v>
      </c>
      <c r="C159">
        <v>97.08</v>
      </c>
      <c r="D159">
        <v>97.09</v>
      </c>
      <c r="E159">
        <v>96.81</v>
      </c>
      <c r="F159" t="s">
        <v>648</v>
      </c>
      <c r="G159" s="2">
        <v>2E-3</v>
      </c>
    </row>
    <row r="160" spans="1:7" x14ac:dyDescent="0.4">
      <c r="A160" s="1">
        <v>45523</v>
      </c>
      <c r="B160">
        <v>97.2</v>
      </c>
      <c r="C160">
        <v>97.04</v>
      </c>
      <c r="D160">
        <v>97.31</v>
      </c>
      <c r="E160">
        <v>97.02</v>
      </c>
      <c r="F160" t="s">
        <v>648</v>
      </c>
      <c r="G160" s="2">
        <v>1.2999999999999999E-3</v>
      </c>
    </row>
    <row r="161" spans="1:7" x14ac:dyDescent="0.4">
      <c r="A161" s="1">
        <v>45524</v>
      </c>
      <c r="B161">
        <v>97.59</v>
      </c>
      <c r="C161">
        <v>97.44</v>
      </c>
      <c r="D161">
        <v>97.63</v>
      </c>
      <c r="E161">
        <v>97.36</v>
      </c>
      <c r="F161" t="s">
        <v>649</v>
      </c>
      <c r="G161" s="2">
        <v>4.0000000000000001E-3</v>
      </c>
    </row>
    <row r="162" spans="1:7" x14ac:dyDescent="0.4">
      <c r="A162" s="1">
        <v>45525</v>
      </c>
      <c r="B162">
        <v>97.79</v>
      </c>
      <c r="C162">
        <v>97.69</v>
      </c>
      <c r="D162">
        <v>98.01</v>
      </c>
      <c r="E162">
        <v>97.46</v>
      </c>
      <c r="F162" t="s">
        <v>650</v>
      </c>
      <c r="G162" s="2">
        <v>2E-3</v>
      </c>
    </row>
    <row r="163" spans="1:7" x14ac:dyDescent="0.4">
      <c r="A163" s="1">
        <v>45526</v>
      </c>
      <c r="B163">
        <v>97.34</v>
      </c>
      <c r="C163">
        <v>97.55</v>
      </c>
      <c r="D163">
        <v>97.57</v>
      </c>
      <c r="E163">
        <v>97.2</v>
      </c>
      <c r="F163" t="s">
        <v>651</v>
      </c>
      <c r="G163" s="2">
        <v>-4.5999999999999999E-3</v>
      </c>
    </row>
    <row r="164" spans="1:7" x14ac:dyDescent="0.4">
      <c r="A164" s="1">
        <v>45527</v>
      </c>
      <c r="B164">
        <v>97.79</v>
      </c>
      <c r="C164">
        <v>97.54</v>
      </c>
      <c r="D164">
        <v>97.86</v>
      </c>
      <c r="E164">
        <v>97.43</v>
      </c>
      <c r="F164" t="s">
        <v>555</v>
      </c>
      <c r="G164" s="2">
        <v>4.5999999999999999E-3</v>
      </c>
    </row>
    <row r="165" spans="1:7" x14ac:dyDescent="0.4">
      <c r="A165" s="1">
        <v>45530</v>
      </c>
      <c r="B165">
        <v>97.67</v>
      </c>
      <c r="C165">
        <v>97.96</v>
      </c>
      <c r="D165">
        <v>97.97</v>
      </c>
      <c r="E165">
        <v>97.67</v>
      </c>
      <c r="F165" t="s">
        <v>652</v>
      </c>
      <c r="G165" s="2">
        <v>-1.1999999999999999E-3</v>
      </c>
    </row>
    <row r="166" spans="1:7" x14ac:dyDescent="0.4">
      <c r="A166" s="1">
        <v>45531</v>
      </c>
      <c r="B166">
        <v>97.63</v>
      </c>
      <c r="C166">
        <v>97.4</v>
      </c>
      <c r="D166">
        <v>97.69</v>
      </c>
      <c r="E166">
        <v>97.36</v>
      </c>
      <c r="F166" t="s">
        <v>653</v>
      </c>
      <c r="G166" s="2">
        <v>-4.0000000000000002E-4</v>
      </c>
    </row>
    <row r="167" spans="1:7" x14ac:dyDescent="0.4">
      <c r="A167" s="1">
        <v>45532</v>
      </c>
      <c r="B167">
        <v>97.58</v>
      </c>
      <c r="C167">
        <v>97.65</v>
      </c>
      <c r="D167">
        <v>97.73</v>
      </c>
      <c r="E167">
        <v>97.54</v>
      </c>
      <c r="F167" t="s">
        <v>654</v>
      </c>
      <c r="G167" s="2">
        <v>-5.0000000000000001E-4</v>
      </c>
    </row>
    <row r="168" spans="1:7" x14ac:dyDescent="0.4">
      <c r="A168" s="1">
        <v>45533</v>
      </c>
      <c r="B168">
        <v>97.41</v>
      </c>
      <c r="C168">
        <v>97.36</v>
      </c>
      <c r="D168">
        <v>97.45</v>
      </c>
      <c r="E168">
        <v>97.26</v>
      </c>
      <c r="F168" t="s">
        <v>655</v>
      </c>
      <c r="G168" s="2">
        <v>-1.6999999999999999E-3</v>
      </c>
    </row>
    <row r="169" spans="1:7" x14ac:dyDescent="0.4">
      <c r="A169" s="1">
        <v>45534</v>
      </c>
      <c r="B169">
        <v>97.07</v>
      </c>
      <c r="C169">
        <v>97.43</v>
      </c>
      <c r="D169">
        <v>97.55</v>
      </c>
      <c r="E169">
        <v>97.04</v>
      </c>
      <c r="F169" t="s">
        <v>656</v>
      </c>
      <c r="G169" s="2">
        <v>-3.5000000000000001E-3</v>
      </c>
    </row>
    <row r="170" spans="1:7" x14ac:dyDescent="0.4">
      <c r="A170" s="1">
        <v>45538</v>
      </c>
      <c r="B170">
        <v>97.42</v>
      </c>
      <c r="C170">
        <v>97.31</v>
      </c>
      <c r="D170">
        <v>97.57</v>
      </c>
      <c r="E170">
        <v>97.25</v>
      </c>
      <c r="F170" t="s">
        <v>657</v>
      </c>
      <c r="G170" s="2">
        <v>3.5999999999999999E-3</v>
      </c>
    </row>
    <row r="171" spans="1:7" x14ac:dyDescent="0.4">
      <c r="A171" s="1">
        <v>45539</v>
      </c>
      <c r="B171">
        <v>97.99</v>
      </c>
      <c r="C171">
        <v>97.53</v>
      </c>
      <c r="D171">
        <v>98.04</v>
      </c>
      <c r="E171">
        <v>97.5</v>
      </c>
      <c r="F171" t="s">
        <v>658</v>
      </c>
      <c r="G171" s="2">
        <v>5.8999999999999999E-3</v>
      </c>
    </row>
    <row r="172" spans="1:7" x14ac:dyDescent="0.4">
      <c r="A172" s="1">
        <v>45540</v>
      </c>
      <c r="B172">
        <v>98.22</v>
      </c>
      <c r="C172">
        <v>98.25</v>
      </c>
      <c r="D172">
        <v>98.3</v>
      </c>
      <c r="E172">
        <v>97.91</v>
      </c>
      <c r="F172" t="s">
        <v>659</v>
      </c>
      <c r="G172" s="2">
        <v>2.3E-3</v>
      </c>
    </row>
    <row r="173" spans="1:7" x14ac:dyDescent="0.4">
      <c r="A173" s="1">
        <v>45541</v>
      </c>
      <c r="B173">
        <v>98.36</v>
      </c>
      <c r="C173">
        <v>98.26</v>
      </c>
      <c r="D173">
        <v>98.85</v>
      </c>
      <c r="E173">
        <v>98.02</v>
      </c>
      <c r="F173" t="s">
        <v>660</v>
      </c>
      <c r="G173" s="2">
        <v>1.4E-3</v>
      </c>
    </row>
    <row r="174" spans="1:7" x14ac:dyDescent="0.4">
      <c r="A174" s="1">
        <v>45544</v>
      </c>
      <c r="B174">
        <v>98.5</v>
      </c>
      <c r="C174">
        <v>98.3</v>
      </c>
      <c r="D174">
        <v>98.57</v>
      </c>
      <c r="E174">
        <v>98.18</v>
      </c>
      <c r="F174" t="s">
        <v>661</v>
      </c>
      <c r="G174" s="2">
        <v>1.4E-3</v>
      </c>
    </row>
    <row r="175" spans="1:7" x14ac:dyDescent="0.4">
      <c r="A175" s="1">
        <v>45545</v>
      </c>
      <c r="B175">
        <v>98.92</v>
      </c>
      <c r="C175">
        <v>98.51</v>
      </c>
      <c r="D175">
        <v>98.97</v>
      </c>
      <c r="E175">
        <v>98.49</v>
      </c>
      <c r="F175" t="s">
        <v>662</v>
      </c>
      <c r="G175" s="2">
        <v>4.3E-3</v>
      </c>
    </row>
    <row r="176" spans="1:7" x14ac:dyDescent="0.4">
      <c r="A176" s="1">
        <v>45546</v>
      </c>
      <c r="B176">
        <v>98.85</v>
      </c>
      <c r="C176">
        <v>98.72</v>
      </c>
      <c r="D176">
        <v>99.15</v>
      </c>
      <c r="E176">
        <v>98.66</v>
      </c>
      <c r="F176" t="s">
        <v>663</v>
      </c>
      <c r="G176" s="2">
        <v>-6.9999999999999999E-4</v>
      </c>
    </row>
    <row r="177" spans="1:7" x14ac:dyDescent="0.4">
      <c r="A177" s="1">
        <v>45547</v>
      </c>
      <c r="B177">
        <v>98.69</v>
      </c>
      <c r="C177">
        <v>98.77</v>
      </c>
      <c r="D177">
        <v>98.88</v>
      </c>
      <c r="E177">
        <v>98.5</v>
      </c>
      <c r="F177" t="s">
        <v>664</v>
      </c>
      <c r="G177" s="2">
        <v>-1.6000000000000001E-3</v>
      </c>
    </row>
    <row r="178" spans="1:7" x14ac:dyDescent="0.4">
      <c r="A178" s="1">
        <v>45548</v>
      </c>
      <c r="B178">
        <v>98.88</v>
      </c>
      <c r="C178">
        <v>98.96</v>
      </c>
      <c r="D178">
        <v>99</v>
      </c>
      <c r="E178">
        <v>98.76</v>
      </c>
      <c r="F178" t="s">
        <v>665</v>
      </c>
      <c r="G178" s="2">
        <v>1.9E-3</v>
      </c>
    </row>
    <row r="179" spans="1:7" x14ac:dyDescent="0.4">
      <c r="A179" s="1">
        <v>45551</v>
      </c>
      <c r="B179">
        <v>99.14</v>
      </c>
      <c r="C179">
        <v>98.99</v>
      </c>
      <c r="D179">
        <v>99.18</v>
      </c>
      <c r="E179">
        <v>98.87</v>
      </c>
      <c r="F179" t="s">
        <v>666</v>
      </c>
      <c r="G179" s="2">
        <v>2.5999999999999999E-3</v>
      </c>
    </row>
    <row r="180" spans="1:7" x14ac:dyDescent="0.4">
      <c r="A180" s="1">
        <v>45552</v>
      </c>
      <c r="B180">
        <v>98.96</v>
      </c>
      <c r="C180">
        <v>99.08</v>
      </c>
      <c r="D180">
        <v>99.14</v>
      </c>
      <c r="E180">
        <v>98.89</v>
      </c>
      <c r="F180" t="s">
        <v>524</v>
      </c>
      <c r="G180" s="2">
        <v>-1.8E-3</v>
      </c>
    </row>
    <row r="181" spans="1:7" x14ac:dyDescent="0.4">
      <c r="A181" s="1">
        <v>45553</v>
      </c>
      <c r="B181">
        <v>98.53</v>
      </c>
      <c r="C181">
        <v>98.73</v>
      </c>
      <c r="D181">
        <v>99.04</v>
      </c>
      <c r="E181">
        <v>98.48</v>
      </c>
      <c r="F181" t="s">
        <v>667</v>
      </c>
      <c r="G181" s="2">
        <v>-4.3E-3</v>
      </c>
    </row>
    <row r="182" spans="1:7" x14ac:dyDescent="0.4">
      <c r="A182" s="1">
        <v>45554</v>
      </c>
      <c r="B182">
        <v>98.45</v>
      </c>
      <c r="C182">
        <v>98.26</v>
      </c>
      <c r="D182">
        <v>98.46</v>
      </c>
      <c r="E182">
        <v>98.22</v>
      </c>
      <c r="F182" t="s">
        <v>668</v>
      </c>
      <c r="G182" s="2">
        <v>-8.0000000000000004E-4</v>
      </c>
    </row>
    <row r="183" spans="1:7" x14ac:dyDescent="0.4">
      <c r="A183" s="1">
        <v>45555</v>
      </c>
      <c r="B183">
        <v>98.42</v>
      </c>
      <c r="C183">
        <v>98.31</v>
      </c>
      <c r="D183">
        <v>98.55</v>
      </c>
      <c r="E183">
        <v>98.18</v>
      </c>
      <c r="F183" t="s">
        <v>669</v>
      </c>
      <c r="G183" s="2">
        <v>-2.9999999999999997E-4</v>
      </c>
    </row>
    <row r="184" spans="1:7" x14ac:dyDescent="0.4">
      <c r="A184" s="1">
        <v>45558</v>
      </c>
      <c r="B184">
        <v>98.36</v>
      </c>
      <c r="C184">
        <v>98.22</v>
      </c>
      <c r="D184">
        <v>98.45</v>
      </c>
      <c r="E184">
        <v>97.99</v>
      </c>
      <c r="F184" t="s">
        <v>670</v>
      </c>
      <c r="G184" s="2">
        <v>-5.9999999999999995E-4</v>
      </c>
    </row>
    <row r="185" spans="1:7" x14ac:dyDescent="0.4">
      <c r="A185" s="1">
        <v>45559</v>
      </c>
      <c r="B185">
        <v>98.47</v>
      </c>
      <c r="C185">
        <v>98.09</v>
      </c>
      <c r="D185">
        <v>98.5</v>
      </c>
      <c r="E185">
        <v>98.01</v>
      </c>
      <c r="F185" t="s">
        <v>669</v>
      </c>
      <c r="G185" s="2">
        <v>1.1000000000000001E-3</v>
      </c>
    </row>
    <row r="186" spans="1:7" x14ac:dyDescent="0.4">
      <c r="A186" s="1">
        <v>45560</v>
      </c>
      <c r="B186">
        <v>98.07</v>
      </c>
      <c r="C186">
        <v>98.27</v>
      </c>
      <c r="D186">
        <v>98.27</v>
      </c>
      <c r="E186">
        <v>98.07</v>
      </c>
      <c r="F186" t="s">
        <v>671</v>
      </c>
      <c r="G186" s="2">
        <v>-4.1000000000000003E-3</v>
      </c>
    </row>
    <row r="187" spans="1:7" x14ac:dyDescent="0.4">
      <c r="A187" s="1">
        <v>45561</v>
      </c>
      <c r="B187">
        <v>98</v>
      </c>
      <c r="C187">
        <v>98.15</v>
      </c>
      <c r="D187">
        <v>98.2</v>
      </c>
      <c r="E187">
        <v>97.83</v>
      </c>
      <c r="F187" t="s">
        <v>672</v>
      </c>
      <c r="G187" s="2">
        <v>-6.9999999999999999E-4</v>
      </c>
    </row>
    <row r="188" spans="1:7" x14ac:dyDescent="0.4">
      <c r="A188" s="1">
        <v>45562</v>
      </c>
      <c r="B188">
        <v>98.39</v>
      </c>
      <c r="C188">
        <v>98.23</v>
      </c>
      <c r="D188">
        <v>98.43</v>
      </c>
      <c r="E188">
        <v>98.15</v>
      </c>
      <c r="F188" t="s">
        <v>673</v>
      </c>
      <c r="G188" s="2">
        <v>4.0000000000000001E-3</v>
      </c>
    </row>
    <row r="189" spans="1:7" x14ac:dyDescent="0.4">
      <c r="A189" s="1">
        <v>45565</v>
      </c>
      <c r="B189">
        <v>98.12</v>
      </c>
      <c r="C189">
        <v>98.32</v>
      </c>
      <c r="D189">
        <v>98.35</v>
      </c>
      <c r="E189">
        <v>97.96</v>
      </c>
      <c r="F189" t="s">
        <v>674</v>
      </c>
      <c r="G189" s="2">
        <v>-2.7000000000000001E-3</v>
      </c>
    </row>
    <row r="190" spans="1:7" x14ac:dyDescent="0.4">
      <c r="A190" s="1">
        <v>45566</v>
      </c>
      <c r="B190">
        <v>98.19</v>
      </c>
      <c r="C190">
        <v>98.17</v>
      </c>
      <c r="D190">
        <v>98.47</v>
      </c>
      <c r="E190">
        <v>98.08</v>
      </c>
      <c r="F190" t="s">
        <v>675</v>
      </c>
      <c r="G190" s="2">
        <v>6.9999999999999999E-4</v>
      </c>
    </row>
    <row r="191" spans="1:7" x14ac:dyDescent="0.4">
      <c r="A191" s="1">
        <v>45567</v>
      </c>
      <c r="B191">
        <v>97.91</v>
      </c>
      <c r="C191">
        <v>97.75</v>
      </c>
      <c r="D191">
        <v>97.94</v>
      </c>
      <c r="E191">
        <v>97.64</v>
      </c>
      <c r="F191" t="s">
        <v>676</v>
      </c>
      <c r="G191" s="2">
        <v>-2.8999999999999998E-3</v>
      </c>
    </row>
    <row r="192" spans="1:7" x14ac:dyDescent="0.4">
      <c r="A192" s="1">
        <v>45568</v>
      </c>
      <c r="B192">
        <v>97.41</v>
      </c>
      <c r="C192">
        <v>97.65</v>
      </c>
      <c r="D192">
        <v>97.72</v>
      </c>
      <c r="E192">
        <v>97.38</v>
      </c>
      <c r="F192" t="s">
        <v>677</v>
      </c>
      <c r="G192" s="2">
        <v>-5.1000000000000004E-3</v>
      </c>
    </row>
    <row r="193" spans="1:7" x14ac:dyDescent="0.4">
      <c r="A193" s="1">
        <v>45569</v>
      </c>
      <c r="B193">
        <v>96.47</v>
      </c>
      <c r="C193">
        <v>96.57</v>
      </c>
      <c r="D193">
        <v>96.78</v>
      </c>
      <c r="E193">
        <v>96.42</v>
      </c>
      <c r="F193" t="s">
        <v>678</v>
      </c>
      <c r="G193" s="2">
        <v>-9.5999999999999992E-3</v>
      </c>
    </row>
    <row r="194" spans="1:7" x14ac:dyDescent="0.4">
      <c r="A194" s="1">
        <v>45572</v>
      </c>
      <c r="B194">
        <v>96.12</v>
      </c>
      <c r="C194">
        <v>96.11</v>
      </c>
      <c r="D194">
        <v>96.27</v>
      </c>
      <c r="E194">
        <v>96.07</v>
      </c>
      <c r="F194" t="s">
        <v>679</v>
      </c>
      <c r="G194" s="2">
        <v>-3.5999999999999999E-3</v>
      </c>
    </row>
    <row r="195" spans="1:7" x14ac:dyDescent="0.4">
      <c r="A195" s="1">
        <v>45573</v>
      </c>
      <c r="B195">
        <v>96.2</v>
      </c>
      <c r="C195">
        <v>95.97</v>
      </c>
      <c r="D195">
        <v>96.2</v>
      </c>
      <c r="E195">
        <v>95.93</v>
      </c>
      <c r="F195" t="s">
        <v>680</v>
      </c>
      <c r="G195" s="2">
        <v>8.0000000000000004E-4</v>
      </c>
    </row>
    <row r="196" spans="1:7" x14ac:dyDescent="0.4">
      <c r="A196" s="1">
        <v>45574</v>
      </c>
      <c r="B196">
        <v>95.84</v>
      </c>
      <c r="C196">
        <v>96.03</v>
      </c>
      <c r="D196">
        <v>96.08</v>
      </c>
      <c r="E196">
        <v>95.79</v>
      </c>
      <c r="F196" t="s">
        <v>681</v>
      </c>
      <c r="G196" s="2">
        <v>-3.7000000000000002E-3</v>
      </c>
    </row>
    <row r="197" spans="1:7" x14ac:dyDescent="0.4">
      <c r="A197" s="1">
        <v>45575</v>
      </c>
      <c r="B197">
        <v>95.83</v>
      </c>
      <c r="C197">
        <v>95.77</v>
      </c>
      <c r="D197">
        <v>95.88</v>
      </c>
      <c r="E197">
        <v>95.53</v>
      </c>
      <c r="F197" t="s">
        <v>682</v>
      </c>
      <c r="G197" s="2">
        <v>-1E-4</v>
      </c>
    </row>
    <row r="198" spans="1:7" x14ac:dyDescent="0.4">
      <c r="A198" s="1">
        <v>45576</v>
      </c>
      <c r="B198">
        <v>95.86</v>
      </c>
      <c r="C198">
        <v>95.73</v>
      </c>
      <c r="D198">
        <v>95.95</v>
      </c>
      <c r="E198">
        <v>95.68</v>
      </c>
      <c r="F198" t="s">
        <v>650</v>
      </c>
      <c r="G198" s="2">
        <v>2.9999999999999997E-4</v>
      </c>
    </row>
    <row r="199" spans="1:7" x14ac:dyDescent="0.4">
      <c r="A199" s="1">
        <v>45579</v>
      </c>
      <c r="B199">
        <v>95.69</v>
      </c>
      <c r="C199">
        <v>95.46</v>
      </c>
      <c r="D199">
        <v>95.69</v>
      </c>
      <c r="E199">
        <v>95.4</v>
      </c>
      <c r="F199" t="s">
        <v>683</v>
      </c>
      <c r="G199" s="2">
        <v>-1.8E-3</v>
      </c>
    </row>
    <row r="200" spans="1:7" x14ac:dyDescent="0.4">
      <c r="A200" s="1">
        <v>45580</v>
      </c>
      <c r="B200">
        <v>96.18</v>
      </c>
      <c r="C200">
        <v>96.06</v>
      </c>
      <c r="D200">
        <v>96.22</v>
      </c>
      <c r="E200">
        <v>96</v>
      </c>
      <c r="F200" t="s">
        <v>676</v>
      </c>
      <c r="G200" s="2">
        <v>5.1000000000000004E-3</v>
      </c>
    </row>
    <row r="201" spans="1:7" x14ac:dyDescent="0.4">
      <c r="A201" s="1">
        <v>45581</v>
      </c>
      <c r="B201">
        <v>96.33</v>
      </c>
      <c r="C201">
        <v>96.36</v>
      </c>
      <c r="D201">
        <v>96.46</v>
      </c>
      <c r="E201">
        <v>96.27</v>
      </c>
      <c r="F201" t="s">
        <v>684</v>
      </c>
      <c r="G201" s="2">
        <v>1.6000000000000001E-3</v>
      </c>
    </row>
    <row r="202" spans="1:7" x14ac:dyDescent="0.4">
      <c r="A202" s="1">
        <v>45582</v>
      </c>
      <c r="B202">
        <v>95.83</v>
      </c>
      <c r="C202">
        <v>95.91</v>
      </c>
      <c r="D202">
        <v>95.95</v>
      </c>
      <c r="E202">
        <v>95.75</v>
      </c>
      <c r="F202" t="s">
        <v>685</v>
      </c>
      <c r="G202" s="2">
        <v>-5.1999999999999998E-3</v>
      </c>
    </row>
    <row r="203" spans="1:7" x14ac:dyDescent="0.4">
      <c r="A203" s="1">
        <v>45583</v>
      </c>
      <c r="B203">
        <v>95.94</v>
      </c>
      <c r="C203">
        <v>95.99</v>
      </c>
      <c r="D203">
        <v>96.04</v>
      </c>
      <c r="E203">
        <v>95.92</v>
      </c>
      <c r="F203" t="s">
        <v>644</v>
      </c>
      <c r="G203" s="2">
        <v>1.1000000000000001E-3</v>
      </c>
    </row>
    <row r="204" spans="1:7" x14ac:dyDescent="0.4">
      <c r="A204" s="1">
        <v>45586</v>
      </c>
      <c r="B204">
        <v>95.2</v>
      </c>
      <c r="C204">
        <v>95.57</v>
      </c>
      <c r="D204">
        <v>95.6</v>
      </c>
      <c r="E204">
        <v>95.19</v>
      </c>
      <c r="F204" t="s">
        <v>686</v>
      </c>
      <c r="G204" s="2">
        <v>-7.7000000000000002E-3</v>
      </c>
    </row>
    <row r="205" spans="1:7" x14ac:dyDescent="0.4">
      <c r="A205" s="1">
        <v>45587</v>
      </c>
      <c r="B205">
        <v>95.11</v>
      </c>
      <c r="C205">
        <v>95.32</v>
      </c>
      <c r="D205">
        <v>95.38</v>
      </c>
      <c r="E205">
        <v>95.03</v>
      </c>
      <c r="F205" t="s">
        <v>576</v>
      </c>
      <c r="G205" s="2">
        <v>-8.9999999999999998E-4</v>
      </c>
    </row>
    <row r="206" spans="1:7" x14ac:dyDescent="0.4">
      <c r="A206" s="1">
        <v>45588</v>
      </c>
      <c r="B206">
        <v>94.89</v>
      </c>
      <c r="C206">
        <v>94.83</v>
      </c>
      <c r="D206">
        <v>95</v>
      </c>
      <c r="E206">
        <v>94.74</v>
      </c>
      <c r="F206" t="s">
        <v>687</v>
      </c>
      <c r="G206" s="2">
        <v>-2.3E-3</v>
      </c>
    </row>
    <row r="207" spans="1:7" x14ac:dyDescent="0.4">
      <c r="A207" s="1">
        <v>45589</v>
      </c>
      <c r="B207">
        <v>95.1</v>
      </c>
      <c r="C207">
        <v>94.98</v>
      </c>
      <c r="D207">
        <v>95.26</v>
      </c>
      <c r="E207">
        <v>94.87</v>
      </c>
      <c r="F207" t="s">
        <v>688</v>
      </c>
      <c r="G207" s="2">
        <v>2.2000000000000001E-3</v>
      </c>
    </row>
    <row r="208" spans="1:7" x14ac:dyDescent="0.4">
      <c r="A208" s="1">
        <v>45590</v>
      </c>
      <c r="B208">
        <v>94.89</v>
      </c>
      <c r="C208">
        <v>95.31</v>
      </c>
      <c r="D208">
        <v>95.32</v>
      </c>
      <c r="E208">
        <v>94.82</v>
      </c>
      <c r="F208" t="s">
        <v>646</v>
      </c>
      <c r="G208" s="2">
        <v>-2.2000000000000001E-3</v>
      </c>
    </row>
    <row r="209" spans="1:7" x14ac:dyDescent="0.4">
      <c r="A209" s="1">
        <v>45593</v>
      </c>
      <c r="B209">
        <v>94.67</v>
      </c>
      <c r="C209">
        <v>94.91</v>
      </c>
      <c r="D209">
        <v>94.92</v>
      </c>
      <c r="E209">
        <v>94.49</v>
      </c>
      <c r="F209" t="s">
        <v>689</v>
      </c>
      <c r="G209" s="2">
        <v>-2.3E-3</v>
      </c>
    </row>
    <row r="210" spans="1:7" x14ac:dyDescent="0.4">
      <c r="A210" s="1">
        <v>45594</v>
      </c>
      <c r="B210">
        <v>94.71</v>
      </c>
      <c r="C210">
        <v>94.27</v>
      </c>
      <c r="D210">
        <v>94.72</v>
      </c>
      <c r="E210">
        <v>94.22</v>
      </c>
      <c r="F210" t="s">
        <v>690</v>
      </c>
      <c r="G210" s="2">
        <v>4.0000000000000002E-4</v>
      </c>
    </row>
    <row r="211" spans="1:7" x14ac:dyDescent="0.4">
      <c r="A211" s="1">
        <v>45595</v>
      </c>
      <c r="B211">
        <v>94.57</v>
      </c>
      <c r="C211">
        <v>94.93</v>
      </c>
      <c r="D211">
        <v>95.17</v>
      </c>
      <c r="E211">
        <v>94.53</v>
      </c>
      <c r="F211" t="s">
        <v>691</v>
      </c>
      <c r="G211" s="2">
        <v>-1.5E-3</v>
      </c>
    </row>
    <row r="212" spans="1:7" x14ac:dyDescent="0.4">
      <c r="A212" s="1">
        <v>45596</v>
      </c>
      <c r="B212">
        <v>94.52</v>
      </c>
      <c r="C212">
        <v>94.42</v>
      </c>
      <c r="D212">
        <v>94.7</v>
      </c>
      <c r="E212">
        <v>94.21</v>
      </c>
      <c r="F212" t="s">
        <v>580</v>
      </c>
      <c r="G212" s="2">
        <v>-5.0000000000000001E-4</v>
      </c>
    </row>
    <row r="213" spans="1:7" x14ac:dyDescent="0.4">
      <c r="A213" s="1">
        <v>45597</v>
      </c>
      <c r="B213">
        <v>93.67</v>
      </c>
      <c r="C213">
        <v>94.36</v>
      </c>
      <c r="D213">
        <v>94.46</v>
      </c>
      <c r="E213">
        <v>93.64</v>
      </c>
      <c r="F213" t="s">
        <v>692</v>
      </c>
      <c r="G213" s="2">
        <v>-8.9999999999999993E-3</v>
      </c>
    </row>
    <row r="214" spans="1:7" x14ac:dyDescent="0.4">
      <c r="A214" s="1">
        <v>45600</v>
      </c>
      <c r="B214">
        <v>94.17</v>
      </c>
      <c r="C214">
        <v>94.32</v>
      </c>
      <c r="D214">
        <v>94.44</v>
      </c>
      <c r="E214">
        <v>93.99</v>
      </c>
      <c r="F214" t="s">
        <v>693</v>
      </c>
      <c r="G214" s="2">
        <v>5.3E-3</v>
      </c>
    </row>
    <row r="215" spans="1:7" x14ac:dyDescent="0.4">
      <c r="A215" s="1">
        <v>45601</v>
      </c>
      <c r="B215">
        <v>94.22</v>
      </c>
      <c r="C215">
        <v>94.05</v>
      </c>
      <c r="D215">
        <v>94.33</v>
      </c>
      <c r="E215">
        <v>93.74</v>
      </c>
      <c r="F215" t="s">
        <v>694</v>
      </c>
      <c r="G215" s="2">
        <v>5.0000000000000001E-4</v>
      </c>
    </row>
    <row r="216" spans="1:7" x14ac:dyDescent="0.4">
      <c r="A216" s="1">
        <v>45602</v>
      </c>
      <c r="B216">
        <v>93.25</v>
      </c>
      <c r="C216">
        <v>93.04</v>
      </c>
      <c r="D216">
        <v>93.51</v>
      </c>
      <c r="E216">
        <v>93.01</v>
      </c>
      <c r="F216" t="s">
        <v>695</v>
      </c>
      <c r="G216" s="2">
        <v>-1.03E-2</v>
      </c>
    </row>
    <row r="217" spans="1:7" x14ac:dyDescent="0.4">
      <c r="A217" s="1">
        <v>45603</v>
      </c>
      <c r="B217">
        <v>94</v>
      </c>
      <c r="C217">
        <v>93.63</v>
      </c>
      <c r="D217">
        <v>94.17</v>
      </c>
      <c r="E217">
        <v>93.58</v>
      </c>
      <c r="F217" t="s">
        <v>696</v>
      </c>
      <c r="G217" s="2">
        <v>8.0000000000000002E-3</v>
      </c>
    </row>
    <row r="218" spans="1:7" x14ac:dyDescent="0.4">
      <c r="A218" s="1">
        <v>45604</v>
      </c>
      <c r="B218">
        <v>94.2</v>
      </c>
      <c r="C218">
        <v>94.2</v>
      </c>
      <c r="D218">
        <v>94.47</v>
      </c>
      <c r="E218">
        <v>94.09</v>
      </c>
      <c r="F218" t="s">
        <v>697</v>
      </c>
      <c r="G218" s="2">
        <v>2.0999999999999999E-3</v>
      </c>
    </row>
    <row r="219" spans="1:7" x14ac:dyDescent="0.4">
      <c r="A219" s="1">
        <v>45607</v>
      </c>
      <c r="B219">
        <v>93.94</v>
      </c>
      <c r="C219">
        <v>93.92</v>
      </c>
      <c r="D219">
        <v>93.96</v>
      </c>
      <c r="E219">
        <v>93.78</v>
      </c>
      <c r="F219" t="s">
        <v>698</v>
      </c>
      <c r="G219" s="2">
        <v>-2.8E-3</v>
      </c>
    </row>
    <row r="220" spans="1:7" x14ac:dyDescent="0.4">
      <c r="A220" s="1">
        <v>45608</v>
      </c>
      <c r="B220">
        <v>93.35</v>
      </c>
      <c r="C220">
        <v>93.57</v>
      </c>
      <c r="D220">
        <v>93.76</v>
      </c>
      <c r="E220">
        <v>93.24</v>
      </c>
      <c r="F220" t="s">
        <v>699</v>
      </c>
      <c r="G220" s="2">
        <v>-6.3E-3</v>
      </c>
    </row>
    <row r="221" spans="1:7" x14ac:dyDescent="0.4">
      <c r="A221" s="1">
        <v>45609</v>
      </c>
      <c r="B221">
        <v>93.29</v>
      </c>
      <c r="C221">
        <v>93.77</v>
      </c>
      <c r="D221">
        <v>93.78</v>
      </c>
      <c r="E221">
        <v>93.17</v>
      </c>
      <c r="F221" t="s">
        <v>700</v>
      </c>
      <c r="G221" s="2">
        <v>-5.9999999999999995E-4</v>
      </c>
    </row>
    <row r="222" spans="1:7" x14ac:dyDescent="0.4">
      <c r="A222" s="1">
        <v>45610</v>
      </c>
      <c r="B222">
        <v>93.28</v>
      </c>
      <c r="C222">
        <v>93.44</v>
      </c>
      <c r="D222">
        <v>93.66</v>
      </c>
      <c r="E222">
        <v>93.17</v>
      </c>
      <c r="F222" t="s">
        <v>701</v>
      </c>
      <c r="G222" s="2">
        <v>-1E-4</v>
      </c>
    </row>
    <row r="223" spans="1:7" x14ac:dyDescent="0.4">
      <c r="A223" s="1">
        <v>45611</v>
      </c>
      <c r="B223">
        <v>93.32</v>
      </c>
      <c r="C223">
        <v>93.1</v>
      </c>
      <c r="D223">
        <v>93.63</v>
      </c>
      <c r="E223">
        <v>92.9</v>
      </c>
      <c r="F223" t="s">
        <v>702</v>
      </c>
      <c r="G223" s="2">
        <v>4.0000000000000002E-4</v>
      </c>
    </row>
    <row r="224" spans="1:7" x14ac:dyDescent="0.4">
      <c r="A224" s="1">
        <v>45614</v>
      </c>
      <c r="B224">
        <v>93.53</v>
      </c>
      <c r="C224">
        <v>93.28</v>
      </c>
      <c r="D224">
        <v>93.59</v>
      </c>
      <c r="E224">
        <v>93.17</v>
      </c>
      <c r="F224" t="s">
        <v>703</v>
      </c>
      <c r="G224" s="2">
        <v>2.3E-3</v>
      </c>
    </row>
    <row r="225" spans="1:7" x14ac:dyDescent="0.4">
      <c r="A225" s="1">
        <v>45615</v>
      </c>
      <c r="B225">
        <v>93.73</v>
      </c>
      <c r="C225">
        <v>93.82</v>
      </c>
      <c r="D225">
        <v>93.88</v>
      </c>
      <c r="E225">
        <v>93.68</v>
      </c>
      <c r="F225" t="s">
        <v>617</v>
      </c>
      <c r="G225" s="2">
        <v>2.0999999999999999E-3</v>
      </c>
    </row>
    <row r="226" spans="1:7" x14ac:dyDescent="0.4">
      <c r="A226" s="1">
        <v>45616</v>
      </c>
      <c r="B226">
        <v>93.59</v>
      </c>
      <c r="C226">
        <v>93.47</v>
      </c>
      <c r="D226">
        <v>93.76</v>
      </c>
      <c r="E226">
        <v>93.44</v>
      </c>
      <c r="F226" t="s">
        <v>704</v>
      </c>
      <c r="G226" s="2">
        <v>-1.5E-3</v>
      </c>
    </row>
    <row r="227" spans="1:7" x14ac:dyDescent="0.4">
      <c r="A227" s="1">
        <v>45617</v>
      </c>
      <c r="B227">
        <v>93.54</v>
      </c>
      <c r="C227">
        <v>93.66</v>
      </c>
      <c r="D227">
        <v>93.83</v>
      </c>
      <c r="E227">
        <v>93.42</v>
      </c>
      <c r="F227" t="s">
        <v>632</v>
      </c>
      <c r="G227" s="2">
        <v>-5.0000000000000001E-4</v>
      </c>
    </row>
    <row r="228" spans="1:7" x14ac:dyDescent="0.4">
      <c r="A228" s="1">
        <v>45618</v>
      </c>
      <c r="B228">
        <v>93.6</v>
      </c>
      <c r="C228">
        <v>93.67</v>
      </c>
      <c r="D228">
        <v>93.72</v>
      </c>
      <c r="E228">
        <v>93.5</v>
      </c>
      <c r="F228" t="s">
        <v>705</v>
      </c>
      <c r="G228" s="2">
        <v>5.9999999999999995E-4</v>
      </c>
    </row>
    <row r="229" spans="1:7" x14ac:dyDescent="0.4">
      <c r="A229" s="1">
        <v>45621</v>
      </c>
      <c r="B229">
        <v>94.61</v>
      </c>
      <c r="C229">
        <v>94.46</v>
      </c>
      <c r="D229">
        <v>94.64</v>
      </c>
      <c r="E229">
        <v>94.32</v>
      </c>
      <c r="F229" t="s">
        <v>706</v>
      </c>
      <c r="G229" s="2">
        <v>1.0800000000000001E-2</v>
      </c>
    </row>
    <row r="230" spans="1:7" x14ac:dyDescent="0.4">
      <c r="A230" s="1">
        <v>45622</v>
      </c>
      <c r="B230">
        <v>94.41</v>
      </c>
      <c r="C230">
        <v>94.41</v>
      </c>
      <c r="D230">
        <v>94.44</v>
      </c>
      <c r="E230">
        <v>94.22</v>
      </c>
      <c r="F230" t="s">
        <v>707</v>
      </c>
      <c r="G230" s="2">
        <v>-2.0999999999999999E-3</v>
      </c>
    </row>
    <row r="231" spans="1:7" x14ac:dyDescent="0.4">
      <c r="A231" s="1">
        <v>45623</v>
      </c>
      <c r="B231">
        <v>94.79</v>
      </c>
      <c r="C231">
        <v>94.79</v>
      </c>
      <c r="D231">
        <v>94.92</v>
      </c>
      <c r="E231">
        <v>94.6</v>
      </c>
      <c r="F231" t="s">
        <v>708</v>
      </c>
      <c r="G231" s="2">
        <v>4.0000000000000001E-3</v>
      </c>
    </row>
    <row r="232" spans="1:7" x14ac:dyDescent="0.4">
      <c r="A232" s="1">
        <v>45625</v>
      </c>
      <c r="B232">
        <v>95.19</v>
      </c>
      <c r="C232">
        <v>95.13</v>
      </c>
      <c r="D232">
        <v>95.2</v>
      </c>
      <c r="E232">
        <v>95</v>
      </c>
      <c r="F232" t="s">
        <v>709</v>
      </c>
      <c r="G232" s="2">
        <v>4.1999999999999997E-3</v>
      </c>
    </row>
    <row r="233" spans="1:7" x14ac:dyDescent="0.4">
      <c r="A233" s="1">
        <v>45628</v>
      </c>
      <c r="B233">
        <v>94.89</v>
      </c>
      <c r="C233">
        <v>94.61</v>
      </c>
      <c r="D233">
        <v>95.01</v>
      </c>
      <c r="E233">
        <v>94.5</v>
      </c>
      <c r="F233" t="s">
        <v>710</v>
      </c>
      <c r="G233" s="2">
        <v>-3.2000000000000002E-3</v>
      </c>
    </row>
    <row r="234" spans="1:7" x14ac:dyDescent="0.4">
      <c r="A234" s="1">
        <v>45629</v>
      </c>
      <c r="B234">
        <v>94.62</v>
      </c>
      <c r="C234">
        <v>94.99</v>
      </c>
      <c r="D234">
        <v>95.03</v>
      </c>
      <c r="E234">
        <v>94.56</v>
      </c>
      <c r="F234" t="s">
        <v>711</v>
      </c>
      <c r="G234" s="2">
        <v>-2.8E-3</v>
      </c>
    </row>
    <row r="235" spans="1:7" x14ac:dyDescent="0.4">
      <c r="A235" s="1">
        <v>45630</v>
      </c>
      <c r="B235">
        <v>94.98</v>
      </c>
      <c r="C235">
        <v>94.38</v>
      </c>
      <c r="D235">
        <v>95.01</v>
      </c>
      <c r="E235">
        <v>94.35</v>
      </c>
      <c r="F235" t="s">
        <v>712</v>
      </c>
      <c r="G235" s="2">
        <v>3.8E-3</v>
      </c>
    </row>
    <row r="236" spans="1:7" x14ac:dyDescent="0.4">
      <c r="A236" s="1">
        <v>45631</v>
      </c>
      <c r="B236">
        <v>94.97</v>
      </c>
      <c r="C236">
        <v>94.7</v>
      </c>
      <c r="D236">
        <v>95.03</v>
      </c>
      <c r="E236">
        <v>94.7</v>
      </c>
      <c r="F236" t="s">
        <v>713</v>
      </c>
      <c r="G236" s="2">
        <v>-1E-4</v>
      </c>
    </row>
    <row r="237" spans="1:7" x14ac:dyDescent="0.4">
      <c r="A237" s="1">
        <v>45632</v>
      </c>
      <c r="B237">
        <v>95.27</v>
      </c>
      <c r="C237">
        <v>95.36</v>
      </c>
      <c r="D237">
        <v>95.42</v>
      </c>
      <c r="E237">
        <v>95.07</v>
      </c>
      <c r="F237" t="s">
        <v>714</v>
      </c>
      <c r="G237" s="2">
        <v>3.2000000000000002E-3</v>
      </c>
    </row>
    <row r="238" spans="1:7" x14ac:dyDescent="0.4">
      <c r="A238" s="1">
        <v>45635</v>
      </c>
      <c r="B238">
        <v>94.94</v>
      </c>
      <c r="C238">
        <v>95.14</v>
      </c>
      <c r="D238">
        <v>95.16</v>
      </c>
      <c r="E238">
        <v>94.94</v>
      </c>
      <c r="F238" t="s">
        <v>626</v>
      </c>
      <c r="G238" s="2">
        <v>-3.5000000000000001E-3</v>
      </c>
    </row>
    <row r="239" spans="1:7" x14ac:dyDescent="0.4">
      <c r="A239" s="1">
        <v>45636</v>
      </c>
      <c r="B239">
        <v>94.77</v>
      </c>
      <c r="C239">
        <v>94.74</v>
      </c>
      <c r="D239">
        <v>94.84</v>
      </c>
      <c r="E239">
        <v>94.65</v>
      </c>
      <c r="F239" t="s">
        <v>715</v>
      </c>
      <c r="G239" s="2">
        <v>-1.8E-3</v>
      </c>
    </row>
    <row r="240" spans="1:7" x14ac:dyDescent="0.4">
      <c r="A240" s="1">
        <v>45637</v>
      </c>
      <c r="B240">
        <v>94.49</v>
      </c>
      <c r="C240">
        <v>94.91</v>
      </c>
      <c r="D240">
        <v>95</v>
      </c>
      <c r="E240">
        <v>94.46</v>
      </c>
      <c r="F240" t="s">
        <v>532</v>
      </c>
      <c r="G240" s="2">
        <v>-3.0000000000000001E-3</v>
      </c>
    </row>
    <row r="241" spans="1:7" x14ac:dyDescent="0.4">
      <c r="A241" s="1">
        <v>45638</v>
      </c>
      <c r="B241">
        <v>94.13</v>
      </c>
      <c r="C241">
        <v>94.38</v>
      </c>
      <c r="D241">
        <v>94.46</v>
      </c>
      <c r="E241">
        <v>94.1</v>
      </c>
      <c r="F241" t="s">
        <v>716</v>
      </c>
      <c r="G241" s="2">
        <v>-3.8E-3</v>
      </c>
    </row>
    <row r="242" spans="1:7" x14ac:dyDescent="0.4">
      <c r="A242" s="1">
        <v>45639</v>
      </c>
      <c r="B242">
        <v>93.69</v>
      </c>
      <c r="C242">
        <v>93.98</v>
      </c>
      <c r="D242">
        <v>94</v>
      </c>
      <c r="E242">
        <v>93.64</v>
      </c>
      <c r="F242" t="s">
        <v>612</v>
      </c>
      <c r="G242" s="2">
        <v>-4.7000000000000002E-3</v>
      </c>
    </row>
    <row r="243" spans="1:7" x14ac:dyDescent="0.4">
      <c r="A243" s="1">
        <v>45642</v>
      </c>
      <c r="B243">
        <v>93.72</v>
      </c>
      <c r="C243">
        <v>93.86</v>
      </c>
      <c r="D243">
        <v>93.87</v>
      </c>
      <c r="E243">
        <v>93.62</v>
      </c>
      <c r="F243" t="s">
        <v>717</v>
      </c>
      <c r="G243" s="2">
        <v>2.9999999999999997E-4</v>
      </c>
    </row>
    <row r="244" spans="1:7" x14ac:dyDescent="0.4">
      <c r="A244" s="1">
        <v>45643</v>
      </c>
      <c r="B244">
        <v>93.72</v>
      </c>
      <c r="C244">
        <v>93.7</v>
      </c>
      <c r="D244">
        <v>93.87</v>
      </c>
      <c r="E244">
        <v>93.67</v>
      </c>
      <c r="F244" t="s">
        <v>718</v>
      </c>
      <c r="G244" s="2">
        <v>0</v>
      </c>
    </row>
    <row r="245" spans="1:7" x14ac:dyDescent="0.4">
      <c r="A245" s="1">
        <v>45644</v>
      </c>
      <c r="B245">
        <v>92.69</v>
      </c>
      <c r="C245">
        <v>93.4</v>
      </c>
      <c r="D245">
        <v>93.52</v>
      </c>
      <c r="E245">
        <v>92.62</v>
      </c>
      <c r="F245" t="s">
        <v>719</v>
      </c>
      <c r="G245" s="2">
        <v>-1.0999999999999999E-2</v>
      </c>
    </row>
    <row r="246" spans="1:7" x14ac:dyDescent="0.4">
      <c r="A246" s="1">
        <v>45645</v>
      </c>
      <c r="B246">
        <v>92.27</v>
      </c>
      <c r="C246">
        <v>92.38</v>
      </c>
      <c r="D246">
        <v>92.44</v>
      </c>
      <c r="E246">
        <v>92.11</v>
      </c>
      <c r="F246" t="s">
        <v>720</v>
      </c>
      <c r="G246" s="2">
        <v>-4.4999999999999997E-3</v>
      </c>
    </row>
    <row r="247" spans="1:7" x14ac:dyDescent="0.4">
      <c r="A247" s="1">
        <v>45646</v>
      </c>
      <c r="B247">
        <v>92.61</v>
      </c>
      <c r="C247">
        <v>92.75</v>
      </c>
      <c r="D247">
        <v>92.9</v>
      </c>
      <c r="E247">
        <v>92.59</v>
      </c>
      <c r="F247" t="s">
        <v>721</v>
      </c>
      <c r="G247" s="2">
        <v>3.7000000000000002E-3</v>
      </c>
    </row>
    <row r="248" spans="1:7" x14ac:dyDescent="0.4">
      <c r="A248" s="1">
        <v>45649</v>
      </c>
      <c r="B248">
        <v>92.2</v>
      </c>
      <c r="C248">
        <v>92.54</v>
      </c>
      <c r="D248">
        <v>92.58</v>
      </c>
      <c r="E248">
        <v>92.13</v>
      </c>
      <c r="F248" t="s">
        <v>710</v>
      </c>
      <c r="G248" s="2">
        <v>-4.4000000000000003E-3</v>
      </c>
    </row>
    <row r="249" spans="1:7" x14ac:dyDescent="0.4">
      <c r="A249" s="1">
        <v>45650</v>
      </c>
      <c r="B249">
        <v>92.25</v>
      </c>
      <c r="C249">
        <v>92.01</v>
      </c>
      <c r="D249">
        <v>92.26</v>
      </c>
      <c r="E249">
        <v>91.97</v>
      </c>
      <c r="F249" t="s">
        <v>722</v>
      </c>
      <c r="G249" s="2">
        <v>5.0000000000000001E-4</v>
      </c>
    </row>
    <row r="250" spans="1:7" x14ac:dyDescent="0.4">
      <c r="A250" s="1">
        <v>45652</v>
      </c>
      <c r="B250">
        <v>92.32</v>
      </c>
      <c r="C250">
        <v>91.96</v>
      </c>
      <c r="D250">
        <v>92.36</v>
      </c>
      <c r="E250">
        <v>91.93</v>
      </c>
      <c r="F250" t="s">
        <v>723</v>
      </c>
      <c r="G250" s="2">
        <v>8.0000000000000004E-4</v>
      </c>
    </row>
    <row r="251" spans="1:7" x14ac:dyDescent="0.4">
      <c r="A251" s="1">
        <v>45653</v>
      </c>
      <c r="B251">
        <v>92.08</v>
      </c>
      <c r="C251">
        <v>92.26</v>
      </c>
      <c r="D251">
        <v>92.39</v>
      </c>
      <c r="E251">
        <v>92.06</v>
      </c>
      <c r="F251" t="s">
        <v>627</v>
      </c>
      <c r="G251" s="2">
        <v>-2.5999999999999999E-3</v>
      </c>
    </row>
    <row r="252" spans="1:7" x14ac:dyDescent="0.4">
      <c r="A252" s="1">
        <v>45656</v>
      </c>
      <c r="B252">
        <v>92.62</v>
      </c>
      <c r="C252">
        <v>92.53</v>
      </c>
      <c r="D252">
        <v>92.67</v>
      </c>
      <c r="E252">
        <v>92.51</v>
      </c>
      <c r="F252" t="s">
        <v>656</v>
      </c>
      <c r="G252" s="2">
        <v>5.8999999999999999E-3</v>
      </c>
    </row>
    <row r="253" spans="1:7" x14ac:dyDescent="0.4">
      <c r="A253" s="1">
        <v>45657</v>
      </c>
      <c r="B253">
        <v>92.45</v>
      </c>
      <c r="C253">
        <v>92.75</v>
      </c>
      <c r="D253">
        <v>92.82</v>
      </c>
      <c r="E253">
        <v>92.38</v>
      </c>
      <c r="F253" t="s">
        <v>724</v>
      </c>
      <c r="G253" s="2">
        <v>-1.8E-3</v>
      </c>
    </row>
    <row r="254" spans="1:7" x14ac:dyDescent="0.4">
      <c r="A254" s="1">
        <v>45659</v>
      </c>
      <c r="B254">
        <v>92.5</v>
      </c>
      <c r="C254">
        <v>92.65</v>
      </c>
      <c r="D254">
        <v>92.78</v>
      </c>
      <c r="E254">
        <v>92.31</v>
      </c>
      <c r="F254" t="s">
        <v>684</v>
      </c>
      <c r="G254" s="2">
        <v>5.0000000000000001E-4</v>
      </c>
    </row>
    <row r="255" spans="1:7" x14ac:dyDescent="0.4">
      <c r="A255" s="1">
        <v>45660</v>
      </c>
      <c r="B255">
        <v>92.35</v>
      </c>
      <c r="C255">
        <v>92.6</v>
      </c>
      <c r="D255">
        <v>92.67</v>
      </c>
      <c r="E255">
        <v>92.32</v>
      </c>
      <c r="F255" t="s">
        <v>725</v>
      </c>
      <c r="G255" s="2">
        <v>-1.6000000000000001E-3</v>
      </c>
    </row>
    <row r="256" spans="1:7" x14ac:dyDescent="0.4">
      <c r="A256" s="1">
        <v>45663</v>
      </c>
      <c r="B256">
        <v>92.26</v>
      </c>
      <c r="C256">
        <v>92.24</v>
      </c>
      <c r="D256">
        <v>92.33</v>
      </c>
      <c r="E256">
        <v>92.06</v>
      </c>
      <c r="F256" t="s">
        <v>726</v>
      </c>
      <c r="G256" s="2">
        <v>-1E-3</v>
      </c>
    </row>
    <row r="257" spans="1:7" x14ac:dyDescent="0.4">
      <c r="A257" s="1">
        <v>45664</v>
      </c>
      <c r="B257">
        <v>91.84</v>
      </c>
      <c r="C257">
        <v>92.14</v>
      </c>
      <c r="D257">
        <v>92.21</v>
      </c>
      <c r="E257">
        <v>91.75</v>
      </c>
      <c r="F257" t="s">
        <v>727</v>
      </c>
      <c r="G257" s="2">
        <v>-4.5999999999999999E-3</v>
      </c>
    </row>
    <row r="258" spans="1:7" x14ac:dyDescent="0.4">
      <c r="A258" s="1">
        <v>45665</v>
      </c>
      <c r="B258">
        <v>92</v>
      </c>
      <c r="C258">
        <v>91.71</v>
      </c>
      <c r="D258">
        <v>92.02</v>
      </c>
      <c r="E258">
        <v>91.68</v>
      </c>
      <c r="F258" t="s">
        <v>728</v>
      </c>
      <c r="G258" s="2">
        <v>1.6999999999999999E-3</v>
      </c>
    </row>
    <row r="259" spans="1:7" x14ac:dyDescent="0.4">
      <c r="A259" s="1">
        <v>45667</v>
      </c>
      <c r="B259">
        <v>91.33</v>
      </c>
      <c r="C259">
        <v>91.46</v>
      </c>
      <c r="D259">
        <v>91.63</v>
      </c>
      <c r="E259">
        <v>91.23</v>
      </c>
      <c r="F259" t="s">
        <v>729</v>
      </c>
      <c r="G259" s="2">
        <v>-7.3000000000000001E-3</v>
      </c>
    </row>
    <row r="260" spans="1:7" x14ac:dyDescent="0.4">
      <c r="A260" s="1">
        <v>45670</v>
      </c>
      <c r="B260">
        <v>91.17</v>
      </c>
      <c r="C260">
        <v>91.28</v>
      </c>
      <c r="D260">
        <v>91.31</v>
      </c>
      <c r="E260">
        <v>91.08</v>
      </c>
      <c r="F260" t="s">
        <v>707</v>
      </c>
      <c r="G260" s="2">
        <v>-1.8E-3</v>
      </c>
    </row>
    <row r="261" spans="1:7" x14ac:dyDescent="0.4">
      <c r="A261" s="1">
        <v>45671</v>
      </c>
      <c r="B261">
        <v>91.2</v>
      </c>
      <c r="C261">
        <v>91.21</v>
      </c>
      <c r="D261">
        <v>91.28</v>
      </c>
      <c r="E261">
        <v>91.08</v>
      </c>
      <c r="F261" t="s">
        <v>730</v>
      </c>
      <c r="G261" s="2">
        <v>2.9999999999999997E-4</v>
      </c>
    </row>
    <row r="262" spans="1:7" x14ac:dyDescent="0.4">
      <c r="A262" s="1">
        <v>45672</v>
      </c>
      <c r="B262">
        <v>92.16</v>
      </c>
      <c r="C262">
        <v>92.13</v>
      </c>
      <c r="D262">
        <v>92.23</v>
      </c>
      <c r="E262">
        <v>91.97</v>
      </c>
      <c r="F262" t="s">
        <v>731</v>
      </c>
      <c r="G262" s="2">
        <v>1.0500000000000001E-2</v>
      </c>
    </row>
    <row r="263" spans="1:7" x14ac:dyDescent="0.4">
      <c r="A263" s="1">
        <v>45673</v>
      </c>
      <c r="B263">
        <v>92.38</v>
      </c>
      <c r="C263">
        <v>92.08</v>
      </c>
      <c r="D263">
        <v>92.58</v>
      </c>
      <c r="E263">
        <v>91.95</v>
      </c>
      <c r="F263" t="s">
        <v>732</v>
      </c>
      <c r="G263" s="2">
        <v>2.3999999999999998E-3</v>
      </c>
    </row>
    <row r="264" spans="1:7" x14ac:dyDescent="0.4">
      <c r="A264" s="1">
        <v>45674</v>
      </c>
      <c r="B264">
        <v>92.45</v>
      </c>
      <c r="C264">
        <v>92.52</v>
      </c>
      <c r="D264">
        <v>92.58</v>
      </c>
      <c r="E264">
        <v>92.36</v>
      </c>
      <c r="F264" t="s">
        <v>733</v>
      </c>
      <c r="G264" s="2">
        <v>8.0000000000000004E-4</v>
      </c>
    </row>
    <row r="265" spans="1:7" x14ac:dyDescent="0.4">
      <c r="A265" s="1">
        <v>45678</v>
      </c>
      <c r="B265">
        <v>92.76</v>
      </c>
      <c r="C265">
        <v>92.75</v>
      </c>
      <c r="D265">
        <v>92.82</v>
      </c>
      <c r="E265">
        <v>92.61</v>
      </c>
      <c r="F265" t="s">
        <v>653</v>
      </c>
      <c r="G265" s="2">
        <v>3.3999999999999998E-3</v>
      </c>
    </row>
    <row r="266" spans="1:7" x14ac:dyDescent="0.4">
      <c r="A266" s="1">
        <v>45679</v>
      </c>
      <c r="B266">
        <v>92.52</v>
      </c>
      <c r="C266">
        <v>92.72</v>
      </c>
      <c r="D266">
        <v>92.73</v>
      </c>
      <c r="E266">
        <v>92.41</v>
      </c>
      <c r="F266" t="s">
        <v>734</v>
      </c>
      <c r="G266" s="2">
        <v>-2.5999999999999999E-3</v>
      </c>
    </row>
    <row r="267" spans="1:7" x14ac:dyDescent="0.4">
      <c r="A267" s="1">
        <v>45680</v>
      </c>
      <c r="B267">
        <v>92.28</v>
      </c>
      <c r="C267">
        <v>92.13</v>
      </c>
      <c r="D267">
        <v>92.35</v>
      </c>
      <c r="E267">
        <v>92.13</v>
      </c>
      <c r="F267" t="s">
        <v>643</v>
      </c>
      <c r="G267" s="2">
        <v>-2.5999999999999999E-3</v>
      </c>
    </row>
    <row r="268" spans="1:7" x14ac:dyDescent="0.4">
      <c r="A268" s="1">
        <v>45681</v>
      </c>
      <c r="B268">
        <v>92.47</v>
      </c>
      <c r="C268">
        <v>92.25</v>
      </c>
      <c r="D268">
        <v>92.58</v>
      </c>
      <c r="E268">
        <v>92.19</v>
      </c>
      <c r="F268" t="s">
        <v>735</v>
      </c>
      <c r="G268" s="2">
        <v>2.0999999999999999E-3</v>
      </c>
    </row>
    <row r="269" spans="1:7" x14ac:dyDescent="0.4">
      <c r="A269" s="1">
        <v>45684</v>
      </c>
      <c r="B269">
        <v>93.07</v>
      </c>
      <c r="C269">
        <v>93.08</v>
      </c>
      <c r="D269">
        <v>93.15</v>
      </c>
      <c r="E269">
        <v>92.86</v>
      </c>
      <c r="F269" t="s">
        <v>626</v>
      </c>
      <c r="G269" s="2">
        <v>6.4999999999999997E-3</v>
      </c>
    </row>
    <row r="270" spans="1:7" x14ac:dyDescent="0.4">
      <c r="A270" s="1">
        <v>45685</v>
      </c>
      <c r="B270">
        <v>93.08</v>
      </c>
      <c r="C270">
        <v>92.84</v>
      </c>
      <c r="D270">
        <v>93.1</v>
      </c>
      <c r="E270">
        <v>92.78</v>
      </c>
      <c r="F270" t="s">
        <v>733</v>
      </c>
      <c r="G270" s="2">
        <v>1E-4</v>
      </c>
    </row>
    <row r="271" spans="1:7" x14ac:dyDescent="0.4">
      <c r="A271" s="1">
        <v>45686</v>
      </c>
      <c r="B271">
        <v>92.97</v>
      </c>
      <c r="C271">
        <v>93.18</v>
      </c>
      <c r="D271">
        <v>93.25</v>
      </c>
      <c r="E271">
        <v>92.7</v>
      </c>
      <c r="F271" t="s">
        <v>736</v>
      </c>
      <c r="G271" s="2">
        <v>-1.1999999999999999E-3</v>
      </c>
    </row>
    <row r="272" spans="1:7" x14ac:dyDescent="0.4">
      <c r="A272" s="1">
        <v>45687</v>
      </c>
      <c r="B272">
        <v>93.17</v>
      </c>
      <c r="C272">
        <v>93.17</v>
      </c>
      <c r="D272">
        <v>93.32</v>
      </c>
      <c r="E272">
        <v>93.08</v>
      </c>
      <c r="F272" t="s">
        <v>730</v>
      </c>
      <c r="G272" s="2">
        <v>2.2000000000000001E-3</v>
      </c>
    </row>
    <row r="273" spans="1:7" x14ac:dyDescent="0.4">
      <c r="A273" s="1">
        <v>45688</v>
      </c>
      <c r="B273">
        <v>93.02</v>
      </c>
      <c r="C273">
        <v>93.2</v>
      </c>
      <c r="D273">
        <v>93.34</v>
      </c>
      <c r="E273">
        <v>92.81</v>
      </c>
      <c r="F273" t="s">
        <v>737</v>
      </c>
      <c r="G273" s="2">
        <v>-1.6000000000000001E-3</v>
      </c>
    </row>
    <row r="274" spans="1:7" x14ac:dyDescent="0.4">
      <c r="A274" s="1">
        <v>45691</v>
      </c>
      <c r="B274">
        <v>92.79</v>
      </c>
      <c r="C274">
        <v>92.99</v>
      </c>
      <c r="D274">
        <v>93.28</v>
      </c>
      <c r="E274">
        <v>92.65</v>
      </c>
      <c r="F274" t="s">
        <v>531</v>
      </c>
      <c r="G274" s="2">
        <v>-2.5000000000000001E-3</v>
      </c>
    </row>
    <row r="275" spans="1:7" x14ac:dyDescent="0.4">
      <c r="A275" s="1">
        <v>45692</v>
      </c>
      <c r="B275">
        <v>93.02</v>
      </c>
      <c r="C275">
        <v>92.6</v>
      </c>
      <c r="D275">
        <v>93.02</v>
      </c>
      <c r="E275">
        <v>92.6</v>
      </c>
      <c r="F275" t="s">
        <v>738</v>
      </c>
      <c r="G275" s="2">
        <v>2.5000000000000001E-3</v>
      </c>
    </row>
    <row r="276" spans="1:7" x14ac:dyDescent="0.4">
      <c r="A276" s="1">
        <v>45693</v>
      </c>
      <c r="B276">
        <v>93.56</v>
      </c>
      <c r="C276">
        <v>93.4</v>
      </c>
      <c r="D276">
        <v>93.73</v>
      </c>
      <c r="E276">
        <v>93.37</v>
      </c>
      <c r="F276" t="s">
        <v>669</v>
      </c>
      <c r="G276" s="2">
        <v>5.7999999999999996E-3</v>
      </c>
    </row>
    <row r="277" spans="1:7" x14ac:dyDescent="0.4">
      <c r="A277" s="1">
        <v>45694</v>
      </c>
      <c r="B277">
        <v>93.45</v>
      </c>
      <c r="C277">
        <v>93.46</v>
      </c>
      <c r="D277">
        <v>93.58</v>
      </c>
      <c r="E277">
        <v>93.31</v>
      </c>
      <c r="F277" t="s">
        <v>630</v>
      </c>
      <c r="G277" s="2">
        <v>-1.1999999999999999E-3</v>
      </c>
    </row>
    <row r="278" spans="1:7" x14ac:dyDescent="0.4">
      <c r="A278" s="1">
        <v>45695</v>
      </c>
      <c r="B278">
        <v>93.14</v>
      </c>
      <c r="C278">
        <v>93.15</v>
      </c>
      <c r="D278">
        <v>93.22</v>
      </c>
      <c r="E278">
        <v>92.98</v>
      </c>
      <c r="F278" t="s">
        <v>739</v>
      </c>
      <c r="G278" s="2">
        <v>-3.3E-3</v>
      </c>
    </row>
    <row r="279" spans="1:7" x14ac:dyDescent="0.4">
      <c r="A279" s="1">
        <v>45698</v>
      </c>
      <c r="B279">
        <v>93.12</v>
      </c>
      <c r="C279">
        <v>93.24</v>
      </c>
      <c r="D279">
        <v>93.37</v>
      </c>
      <c r="E279">
        <v>93.07</v>
      </c>
      <c r="F279" t="s">
        <v>587</v>
      </c>
      <c r="G279" s="2">
        <v>-2.0000000000000001E-4</v>
      </c>
    </row>
    <row r="280" spans="1:7" x14ac:dyDescent="0.4">
      <c r="A280" s="1">
        <v>45699</v>
      </c>
      <c r="B280">
        <v>92.88</v>
      </c>
      <c r="C280">
        <v>92.89</v>
      </c>
      <c r="D280">
        <v>92.96</v>
      </c>
      <c r="E280">
        <v>92.82</v>
      </c>
      <c r="F280" t="s">
        <v>740</v>
      </c>
      <c r="G280" s="2">
        <v>-2.5999999999999999E-3</v>
      </c>
    </row>
    <row r="281" spans="1:7" x14ac:dyDescent="0.4">
      <c r="A281" s="1">
        <v>45700</v>
      </c>
      <c r="B281">
        <v>92.24</v>
      </c>
      <c r="C281">
        <v>92.26</v>
      </c>
      <c r="D281">
        <v>92.32</v>
      </c>
      <c r="E281">
        <v>92.08</v>
      </c>
      <c r="F281" t="s">
        <v>741</v>
      </c>
      <c r="G281" s="2">
        <v>-6.8999999999999999E-3</v>
      </c>
    </row>
    <row r="282" spans="1:7" x14ac:dyDescent="0.4">
      <c r="A282" s="1">
        <v>45701</v>
      </c>
      <c r="B282">
        <v>92.93</v>
      </c>
      <c r="C282">
        <v>92.71</v>
      </c>
      <c r="D282">
        <v>93</v>
      </c>
      <c r="E282">
        <v>92.7</v>
      </c>
      <c r="F282" t="s">
        <v>553</v>
      </c>
      <c r="G282" s="2">
        <v>7.4999999999999997E-3</v>
      </c>
    </row>
    <row r="283" spans="1:7" x14ac:dyDescent="0.4">
      <c r="A283" s="1">
        <v>45702</v>
      </c>
      <c r="B283">
        <v>93.32</v>
      </c>
      <c r="C283">
        <v>93.36</v>
      </c>
      <c r="D283">
        <v>93.51</v>
      </c>
      <c r="E283">
        <v>93.28</v>
      </c>
      <c r="F283" t="s">
        <v>564</v>
      </c>
      <c r="G283" s="2">
        <v>4.1999999999999997E-3</v>
      </c>
    </row>
    <row r="284" spans="1:7" x14ac:dyDescent="0.4">
      <c r="A284" s="1">
        <v>45706</v>
      </c>
      <c r="B284">
        <v>92.82</v>
      </c>
      <c r="C284">
        <v>93.03</v>
      </c>
      <c r="D284">
        <v>93.13</v>
      </c>
      <c r="E284">
        <v>92.81</v>
      </c>
      <c r="F284" t="s">
        <v>742</v>
      </c>
      <c r="G284" s="2">
        <v>-5.4000000000000003E-3</v>
      </c>
    </row>
    <row r="285" spans="1:7" x14ac:dyDescent="0.4">
      <c r="A285" s="1">
        <v>45707</v>
      </c>
      <c r="B285">
        <v>92.97</v>
      </c>
      <c r="C285">
        <v>92.77</v>
      </c>
      <c r="D285">
        <v>93.01</v>
      </c>
      <c r="E285">
        <v>92.76</v>
      </c>
      <c r="F285" t="s">
        <v>717</v>
      </c>
      <c r="G285" s="2">
        <v>1.6000000000000001E-3</v>
      </c>
    </row>
    <row r="286" spans="1:7" x14ac:dyDescent="0.4">
      <c r="A286" s="1">
        <v>45708</v>
      </c>
      <c r="B286">
        <v>93.16</v>
      </c>
      <c r="C286">
        <v>93.12</v>
      </c>
      <c r="D286">
        <v>93.25</v>
      </c>
      <c r="E286">
        <v>93.11</v>
      </c>
      <c r="F286" t="s">
        <v>732</v>
      </c>
      <c r="G286" s="2">
        <v>2E-3</v>
      </c>
    </row>
    <row r="287" spans="1:7" x14ac:dyDescent="0.4">
      <c r="A287" s="1">
        <v>45709</v>
      </c>
      <c r="B287">
        <v>93.71</v>
      </c>
      <c r="C287">
        <v>93.28</v>
      </c>
      <c r="D287">
        <v>93.83</v>
      </c>
      <c r="E287">
        <v>93.26</v>
      </c>
      <c r="F287" t="s">
        <v>743</v>
      </c>
      <c r="G287" s="2">
        <v>5.8999999999999999E-3</v>
      </c>
    </row>
    <row r="288" spans="1:7" x14ac:dyDescent="0.4">
      <c r="A288" s="1">
        <v>45712</v>
      </c>
      <c r="B288">
        <v>93.91</v>
      </c>
      <c r="C288">
        <v>93.62</v>
      </c>
      <c r="D288">
        <v>93.97</v>
      </c>
      <c r="E288">
        <v>93.59</v>
      </c>
      <c r="F288" t="s">
        <v>744</v>
      </c>
      <c r="G288" s="2">
        <v>2.0999999999999999E-3</v>
      </c>
    </row>
    <row r="289" spans="1:7" x14ac:dyDescent="0.4">
      <c r="A289" s="1">
        <v>45713</v>
      </c>
      <c r="B289">
        <v>94.65</v>
      </c>
      <c r="C289">
        <v>94.5</v>
      </c>
      <c r="D289">
        <v>94.7</v>
      </c>
      <c r="E289">
        <v>94.42</v>
      </c>
      <c r="F289" t="s">
        <v>745</v>
      </c>
      <c r="G289" s="2">
        <v>7.9000000000000008E-3</v>
      </c>
    </row>
    <row r="290" spans="1:7" x14ac:dyDescent="0.4">
      <c r="A290" s="1">
        <v>45714</v>
      </c>
      <c r="B290">
        <v>94.91</v>
      </c>
      <c r="C290">
        <v>94.61</v>
      </c>
      <c r="D290">
        <v>94.97</v>
      </c>
      <c r="E290">
        <v>94.49</v>
      </c>
      <c r="F290" t="s">
        <v>746</v>
      </c>
      <c r="G290" s="2">
        <v>2.7000000000000001E-3</v>
      </c>
    </row>
    <row r="291" spans="1:7" x14ac:dyDescent="0.4">
      <c r="A291" s="1">
        <v>45715</v>
      </c>
      <c r="B291">
        <v>94.8</v>
      </c>
      <c r="C291">
        <v>94.59</v>
      </c>
      <c r="D291">
        <v>94.83</v>
      </c>
      <c r="E291">
        <v>94.55</v>
      </c>
      <c r="F291" t="s">
        <v>712</v>
      </c>
      <c r="G291" s="2">
        <v>-1.1999999999999999E-3</v>
      </c>
    </row>
    <row r="292" spans="1:7" x14ac:dyDescent="0.4">
      <c r="A292" s="1">
        <v>45716</v>
      </c>
      <c r="B292">
        <v>95.32</v>
      </c>
      <c r="C292">
        <v>95.09</v>
      </c>
      <c r="D292">
        <v>95.36</v>
      </c>
      <c r="E292">
        <v>94.9</v>
      </c>
      <c r="F292" t="s">
        <v>747</v>
      </c>
      <c r="G292" s="2">
        <v>5.4999999999999997E-3</v>
      </c>
    </row>
    <row r="293" spans="1:7" x14ac:dyDescent="0.4">
      <c r="A293" s="1">
        <v>45719</v>
      </c>
      <c r="B293">
        <v>95.39</v>
      </c>
      <c r="C293">
        <v>94.72</v>
      </c>
      <c r="D293">
        <v>95.45</v>
      </c>
      <c r="E293">
        <v>94.71</v>
      </c>
      <c r="F293" t="s">
        <v>748</v>
      </c>
      <c r="G293" s="2">
        <v>6.9999999999999999E-4</v>
      </c>
    </row>
    <row r="294" spans="1:7" x14ac:dyDescent="0.4">
      <c r="A294" s="1">
        <v>45720</v>
      </c>
      <c r="B294">
        <v>95.09</v>
      </c>
      <c r="C294">
        <v>95.54</v>
      </c>
      <c r="D294">
        <v>95.78</v>
      </c>
      <c r="E294">
        <v>94.93</v>
      </c>
      <c r="F294" t="s">
        <v>749</v>
      </c>
      <c r="G294" s="2">
        <v>-3.0999999999999999E-3</v>
      </c>
    </row>
    <row r="295" spans="1:7" x14ac:dyDescent="0.4">
      <c r="A295" s="1">
        <v>45721</v>
      </c>
      <c r="B295">
        <v>94.56</v>
      </c>
      <c r="C295">
        <v>95.11</v>
      </c>
      <c r="D295">
        <v>95.24</v>
      </c>
      <c r="E295">
        <v>94.53</v>
      </c>
      <c r="F295" t="s">
        <v>750</v>
      </c>
      <c r="G295" s="2">
        <v>-5.5999999999999999E-3</v>
      </c>
    </row>
    <row r="296" spans="1:7" x14ac:dyDescent="0.4">
      <c r="A296" s="1">
        <v>45722</v>
      </c>
      <c r="B296">
        <v>94.51</v>
      </c>
      <c r="C296">
        <v>94.51</v>
      </c>
      <c r="D296">
        <v>94.69</v>
      </c>
      <c r="E296">
        <v>94.16</v>
      </c>
      <c r="F296" t="s">
        <v>751</v>
      </c>
      <c r="G296" s="2">
        <v>-5.0000000000000001E-4</v>
      </c>
    </row>
    <row r="297" spans="1:7" x14ac:dyDescent="0.4">
      <c r="A297" s="1">
        <v>45723</v>
      </c>
      <c r="B297">
        <v>94.39</v>
      </c>
      <c r="C297">
        <v>94.98</v>
      </c>
      <c r="D297">
        <v>95.02</v>
      </c>
      <c r="E297">
        <v>94.29</v>
      </c>
      <c r="F297" t="s">
        <v>504</v>
      </c>
      <c r="G297" s="2">
        <v>-1.2999999999999999E-3</v>
      </c>
    </row>
    <row r="298" spans="1:7" x14ac:dyDescent="0.4">
      <c r="A298" s="1">
        <v>45726</v>
      </c>
      <c r="B298">
        <v>95.05</v>
      </c>
      <c r="C298">
        <v>94.94</v>
      </c>
      <c r="D298">
        <v>95.2</v>
      </c>
      <c r="E298">
        <v>94.85</v>
      </c>
      <c r="F298" t="s">
        <v>745</v>
      </c>
      <c r="G298" s="2">
        <v>7.0000000000000001E-3</v>
      </c>
    </row>
    <row r="299" spans="1:7" x14ac:dyDescent="0.4">
      <c r="A299" s="1">
        <v>45727</v>
      </c>
      <c r="B299">
        <v>94.71</v>
      </c>
      <c r="C299">
        <v>95.05</v>
      </c>
      <c r="D299">
        <v>95.31</v>
      </c>
      <c r="E299">
        <v>94.58</v>
      </c>
      <c r="F299" t="s">
        <v>752</v>
      </c>
      <c r="G299" s="2">
        <v>-3.5999999999999999E-3</v>
      </c>
    </row>
    <row r="300" spans="1:7" x14ac:dyDescent="0.4">
      <c r="A300" s="1">
        <v>45728</v>
      </c>
      <c r="B300">
        <v>94.43</v>
      </c>
      <c r="C300">
        <v>94.41</v>
      </c>
      <c r="D300">
        <v>94.66</v>
      </c>
      <c r="E300">
        <v>94.39</v>
      </c>
      <c r="F300" t="s">
        <v>753</v>
      </c>
      <c r="G300" s="2">
        <v>-3.0000000000000001E-3</v>
      </c>
    </row>
    <row r="301" spans="1:7" x14ac:dyDescent="0.4">
      <c r="A301" s="1">
        <v>45729</v>
      </c>
      <c r="B301">
        <v>94.81</v>
      </c>
      <c r="C301">
        <v>94.29</v>
      </c>
      <c r="D301">
        <v>94.85</v>
      </c>
      <c r="E301">
        <v>94.2</v>
      </c>
      <c r="F301" t="s">
        <v>754</v>
      </c>
      <c r="G301" s="2">
        <v>4.0000000000000001E-3</v>
      </c>
    </row>
    <row r="302" spans="1:7" x14ac:dyDescent="0.4">
      <c r="A302" s="1">
        <v>45730</v>
      </c>
      <c r="B302">
        <v>94.48</v>
      </c>
      <c r="C302">
        <v>94.57</v>
      </c>
      <c r="D302">
        <v>94.65</v>
      </c>
      <c r="E302">
        <v>94.45</v>
      </c>
      <c r="F302" t="s">
        <v>755</v>
      </c>
      <c r="G302" s="2">
        <v>-3.5000000000000001E-3</v>
      </c>
    </row>
    <row r="303" spans="1:7" x14ac:dyDescent="0.4">
      <c r="A303" s="1">
        <v>45733</v>
      </c>
      <c r="B303">
        <v>94.56</v>
      </c>
      <c r="C303">
        <v>94.64</v>
      </c>
      <c r="D303">
        <v>94.85</v>
      </c>
      <c r="E303">
        <v>94.46</v>
      </c>
      <c r="F303" t="s">
        <v>756</v>
      </c>
      <c r="G303" s="2">
        <v>8.0000000000000004E-4</v>
      </c>
    </row>
    <row r="304" spans="1:7" x14ac:dyDescent="0.4">
      <c r="A304" s="1">
        <v>45734</v>
      </c>
      <c r="B304">
        <v>94.67</v>
      </c>
      <c r="C304">
        <v>94.42</v>
      </c>
      <c r="D304">
        <v>94.83</v>
      </c>
      <c r="E304">
        <v>94.4</v>
      </c>
      <c r="F304" t="s">
        <v>757</v>
      </c>
      <c r="G304" s="2">
        <v>1.1999999999999999E-3</v>
      </c>
    </row>
    <row r="305" spans="1:7" x14ac:dyDescent="0.4">
      <c r="A305" s="1">
        <v>45735</v>
      </c>
      <c r="B305">
        <v>94.96</v>
      </c>
      <c r="C305">
        <v>94.59</v>
      </c>
      <c r="D305">
        <v>94.99</v>
      </c>
      <c r="E305">
        <v>94.44</v>
      </c>
      <c r="F305" t="s">
        <v>604</v>
      </c>
      <c r="G305" s="2">
        <v>3.0999999999999999E-3</v>
      </c>
    </row>
    <row r="306" spans="1:7" x14ac:dyDescent="0.4">
      <c r="A306" s="1">
        <v>45736</v>
      </c>
      <c r="B306">
        <v>95.1</v>
      </c>
      <c r="C306">
        <v>95.47</v>
      </c>
      <c r="D306">
        <v>95.49</v>
      </c>
      <c r="E306">
        <v>94.99</v>
      </c>
      <c r="F306" t="s">
        <v>758</v>
      </c>
      <c r="G306" s="2">
        <v>1.5E-3</v>
      </c>
    </row>
    <row r="307" spans="1:7" x14ac:dyDescent="0.4">
      <c r="A307" s="1">
        <v>45737</v>
      </c>
      <c r="B307">
        <v>95.02</v>
      </c>
      <c r="C307">
        <v>95.25</v>
      </c>
      <c r="D307">
        <v>95.34</v>
      </c>
      <c r="E307">
        <v>95</v>
      </c>
      <c r="F307" t="s">
        <v>736</v>
      </c>
      <c r="G307" s="2">
        <v>-8.0000000000000004E-4</v>
      </c>
    </row>
    <row r="308" spans="1:7" x14ac:dyDescent="0.4">
      <c r="A308" s="1">
        <v>45740</v>
      </c>
      <c r="B308">
        <v>94.47</v>
      </c>
      <c r="C308">
        <v>94.75</v>
      </c>
      <c r="D308">
        <v>94.78</v>
      </c>
      <c r="E308">
        <v>94.44</v>
      </c>
      <c r="F308" t="s">
        <v>651</v>
      </c>
      <c r="G308" s="2">
        <v>-5.7999999999999996E-3</v>
      </c>
    </row>
    <row r="309" spans="1:7" x14ac:dyDescent="0.4">
      <c r="A309" s="1">
        <v>45741</v>
      </c>
      <c r="B309">
        <v>94.63</v>
      </c>
      <c r="C309">
        <v>94.47</v>
      </c>
      <c r="D309">
        <v>94.74</v>
      </c>
      <c r="E309">
        <v>94.45</v>
      </c>
      <c r="F309" t="s">
        <v>759</v>
      </c>
      <c r="G309" s="2">
        <v>1.6999999999999999E-3</v>
      </c>
    </row>
    <row r="310" spans="1:7" x14ac:dyDescent="0.4">
      <c r="A310" s="1">
        <v>45742</v>
      </c>
      <c r="B310">
        <v>94.41</v>
      </c>
      <c r="C310">
        <v>94.47</v>
      </c>
      <c r="D310">
        <v>94.57</v>
      </c>
      <c r="E310">
        <v>94.32</v>
      </c>
      <c r="F310" t="s">
        <v>760</v>
      </c>
      <c r="G310" s="2">
        <v>-2.3E-3</v>
      </c>
    </row>
    <row r="311" spans="1:7" x14ac:dyDescent="0.4">
      <c r="A311" s="1">
        <v>45743</v>
      </c>
      <c r="B311">
        <v>94.33</v>
      </c>
      <c r="C311">
        <v>94.3</v>
      </c>
      <c r="D311">
        <v>94.41</v>
      </c>
      <c r="E311">
        <v>94.21</v>
      </c>
      <c r="F311" t="s">
        <v>707</v>
      </c>
      <c r="G311" s="2">
        <v>-8.0000000000000004E-4</v>
      </c>
    </row>
    <row r="312" spans="1:7" x14ac:dyDescent="0.4">
      <c r="A312" s="1">
        <v>45744</v>
      </c>
      <c r="B312">
        <v>95.09</v>
      </c>
      <c r="C312">
        <v>94.78</v>
      </c>
      <c r="D312">
        <v>95.15</v>
      </c>
      <c r="E312">
        <v>94.75</v>
      </c>
      <c r="F312" t="s">
        <v>761</v>
      </c>
      <c r="G312" s="2">
        <v>8.0999999999999996E-3</v>
      </c>
    </row>
    <row r="313" spans="1:7" x14ac:dyDescent="0.4">
      <c r="A313" s="1">
        <v>45747</v>
      </c>
      <c r="B313">
        <v>95.37</v>
      </c>
      <c r="C313">
        <v>95.49</v>
      </c>
      <c r="D313">
        <v>95.56</v>
      </c>
      <c r="E313">
        <v>95.09</v>
      </c>
      <c r="F313" t="s">
        <v>762</v>
      </c>
      <c r="G313" s="2">
        <v>2.8999999999999998E-3</v>
      </c>
    </row>
    <row r="314" spans="1:7" x14ac:dyDescent="0.4">
      <c r="A314" s="1">
        <v>45748</v>
      </c>
      <c r="B314">
        <v>95.4</v>
      </c>
      <c r="C314">
        <v>95.27</v>
      </c>
      <c r="D314">
        <v>95.66</v>
      </c>
      <c r="E314">
        <v>95.26</v>
      </c>
      <c r="F314" t="s">
        <v>763</v>
      </c>
      <c r="G314" s="2">
        <v>2.9999999999999997E-4</v>
      </c>
    </row>
    <row r="315" spans="1:7" x14ac:dyDescent="0.4">
      <c r="A315" s="1">
        <v>45749</v>
      </c>
      <c r="B315">
        <v>95.31</v>
      </c>
      <c r="C315">
        <v>95.8</v>
      </c>
      <c r="D315">
        <v>95.8</v>
      </c>
      <c r="E315">
        <v>95</v>
      </c>
      <c r="F315" t="s">
        <v>764</v>
      </c>
      <c r="G315" s="2">
        <v>-8.9999999999999998E-4</v>
      </c>
    </row>
    <row r="316" spans="1:7" x14ac:dyDescent="0.4">
      <c r="A316" s="1">
        <v>45750</v>
      </c>
      <c r="B316">
        <v>96.29</v>
      </c>
      <c r="C316">
        <v>96.41</v>
      </c>
      <c r="D316">
        <v>96.64</v>
      </c>
      <c r="E316">
        <v>96.18</v>
      </c>
      <c r="F316" t="s">
        <v>765</v>
      </c>
      <c r="G316" s="2">
        <v>1.03E-2</v>
      </c>
    </row>
    <row r="317" spans="1:7" x14ac:dyDescent="0.4">
      <c r="A317" s="1">
        <v>45751</v>
      </c>
      <c r="B317">
        <v>96.56</v>
      </c>
      <c r="C317">
        <v>97.2</v>
      </c>
      <c r="D317">
        <v>97.51</v>
      </c>
      <c r="E317">
        <v>96.55</v>
      </c>
      <c r="F317" t="s">
        <v>766</v>
      </c>
      <c r="G317" s="2">
        <v>2.8E-3</v>
      </c>
    </row>
    <row r="318" spans="1:7" x14ac:dyDescent="0.4">
      <c r="A318" s="1">
        <v>45754</v>
      </c>
      <c r="B318">
        <v>95.41</v>
      </c>
      <c r="C318">
        <v>96.49</v>
      </c>
      <c r="D318">
        <v>96.66</v>
      </c>
      <c r="E318">
        <v>95.19</v>
      </c>
      <c r="F318" t="s">
        <v>767</v>
      </c>
      <c r="G318" s="2">
        <v>-1.1900000000000001E-2</v>
      </c>
    </row>
    <row r="319" spans="1:7" x14ac:dyDescent="0.4">
      <c r="A319" s="1">
        <v>45755</v>
      </c>
      <c r="B319">
        <v>94.93</v>
      </c>
      <c r="C319">
        <v>94.9</v>
      </c>
      <c r="D319">
        <v>95.58</v>
      </c>
      <c r="E319">
        <v>94.88</v>
      </c>
      <c r="F319" t="s">
        <v>768</v>
      </c>
      <c r="G319" s="2">
        <v>-5.0000000000000001E-3</v>
      </c>
    </row>
    <row r="320" spans="1:7" x14ac:dyDescent="0.4">
      <c r="A320" s="1">
        <v>45756</v>
      </c>
      <c r="B320">
        <v>94.63</v>
      </c>
      <c r="C320">
        <v>94.23</v>
      </c>
      <c r="D320">
        <v>94.68</v>
      </c>
      <c r="E320">
        <v>93.61</v>
      </c>
      <c r="F320" t="s">
        <v>769</v>
      </c>
      <c r="G320" s="2">
        <v>-3.2000000000000002E-3</v>
      </c>
    </row>
    <row r="321" spans="1:7" x14ac:dyDescent="0.4">
      <c r="A321" s="1">
        <v>45757</v>
      </c>
      <c r="B321">
        <v>94.04</v>
      </c>
      <c r="C321">
        <v>94.52</v>
      </c>
      <c r="D321">
        <v>94.78</v>
      </c>
      <c r="E321">
        <v>93.99</v>
      </c>
      <c r="F321" t="s">
        <v>770</v>
      </c>
      <c r="G321" s="2">
        <v>-6.1999999999999998E-3</v>
      </c>
    </row>
    <row r="322" spans="1:7" x14ac:dyDescent="0.4">
      <c r="A322" s="1">
        <v>45758</v>
      </c>
      <c r="B322">
        <v>93.51</v>
      </c>
      <c r="C322">
        <v>93.47</v>
      </c>
      <c r="D322">
        <v>93.73</v>
      </c>
      <c r="E322">
        <v>92.79</v>
      </c>
      <c r="F322" t="s">
        <v>771</v>
      </c>
      <c r="G322" s="2">
        <v>-5.5999999999999999E-3</v>
      </c>
    </row>
    <row r="323" spans="1:7" x14ac:dyDescent="0.4">
      <c r="A323" s="1">
        <v>45761</v>
      </c>
      <c r="B323">
        <v>94.26</v>
      </c>
      <c r="C323">
        <v>93.92</v>
      </c>
      <c r="D323">
        <v>94.36</v>
      </c>
      <c r="E323">
        <v>93.79</v>
      </c>
      <c r="F323" t="s">
        <v>772</v>
      </c>
      <c r="G323" s="2">
        <v>8.0000000000000002E-3</v>
      </c>
    </row>
    <row r="324" spans="1:7" x14ac:dyDescent="0.4">
      <c r="A324" s="1">
        <v>45762</v>
      </c>
      <c r="B324">
        <v>94.54</v>
      </c>
      <c r="C324">
        <v>94.25</v>
      </c>
      <c r="D324">
        <v>94.76</v>
      </c>
      <c r="E324">
        <v>94.24</v>
      </c>
      <c r="F324" t="s">
        <v>773</v>
      </c>
      <c r="G324" s="2">
        <v>3.0000000000000001E-3</v>
      </c>
    </row>
    <row r="325" spans="1:7" x14ac:dyDescent="0.4">
      <c r="A325" s="1">
        <v>45763</v>
      </c>
      <c r="B325">
        <v>94.95</v>
      </c>
      <c r="C325">
        <v>94.66</v>
      </c>
      <c r="D325">
        <v>95.08</v>
      </c>
      <c r="E325">
        <v>94.46</v>
      </c>
      <c r="F325" t="s">
        <v>774</v>
      </c>
      <c r="G325" s="2">
        <v>4.3E-3</v>
      </c>
    </row>
    <row r="326" spans="1:7" x14ac:dyDescent="0.4">
      <c r="A326" s="1">
        <v>45764</v>
      </c>
      <c r="B326">
        <v>94.68</v>
      </c>
      <c r="C326">
        <v>94.9</v>
      </c>
      <c r="D326">
        <v>94.99</v>
      </c>
      <c r="E326">
        <v>94.59</v>
      </c>
      <c r="F326" t="s">
        <v>775</v>
      </c>
      <c r="G326" s="2">
        <v>-2.8E-3</v>
      </c>
    </row>
    <row r="327" spans="1:7" x14ac:dyDescent="0.4">
      <c r="A327" s="1">
        <v>45768</v>
      </c>
      <c r="B327">
        <v>94.17</v>
      </c>
      <c r="C327">
        <v>94.4</v>
      </c>
      <c r="D327">
        <v>94.75</v>
      </c>
      <c r="E327">
        <v>94.15</v>
      </c>
      <c r="F327" t="s">
        <v>776</v>
      </c>
      <c r="G327" s="2">
        <v>-5.4000000000000003E-3</v>
      </c>
    </row>
    <row r="328" spans="1:7" x14ac:dyDescent="0.4">
      <c r="A328" s="1">
        <v>45769</v>
      </c>
      <c r="B328">
        <v>94.24</v>
      </c>
      <c r="C328">
        <v>94.42</v>
      </c>
      <c r="D328">
        <v>94.44</v>
      </c>
      <c r="E328">
        <v>94.23</v>
      </c>
      <c r="F328" t="s">
        <v>612</v>
      </c>
      <c r="G328" s="2">
        <v>6.9999999999999999E-4</v>
      </c>
    </row>
    <row r="329" spans="1:7" x14ac:dyDescent="0.4">
      <c r="A329" s="1">
        <v>45770</v>
      </c>
      <c r="B329">
        <v>94.34</v>
      </c>
      <c r="C329">
        <v>95.04</v>
      </c>
      <c r="D329">
        <v>95.22</v>
      </c>
      <c r="E329">
        <v>94.22</v>
      </c>
      <c r="F329" t="s">
        <v>699</v>
      </c>
      <c r="G329" s="2">
        <v>1.1000000000000001E-3</v>
      </c>
    </row>
    <row r="330" spans="1:7" x14ac:dyDescent="0.4">
      <c r="A330" s="1">
        <v>45771</v>
      </c>
      <c r="B330">
        <v>94.85</v>
      </c>
      <c r="C330">
        <v>94.72</v>
      </c>
      <c r="D330">
        <v>94.88</v>
      </c>
      <c r="E330">
        <v>94.62</v>
      </c>
      <c r="F330" t="s">
        <v>777</v>
      </c>
      <c r="G330" s="2">
        <v>5.4000000000000003E-3</v>
      </c>
    </row>
    <row r="331" spans="1:7" x14ac:dyDescent="0.4">
      <c r="A331" s="1">
        <v>45772</v>
      </c>
      <c r="B331">
        <v>95.21</v>
      </c>
      <c r="C331">
        <v>95.11</v>
      </c>
      <c r="D331">
        <v>95.28</v>
      </c>
      <c r="E331">
        <v>94.97</v>
      </c>
      <c r="F331" t="s">
        <v>778</v>
      </c>
      <c r="G331" s="2">
        <v>3.8E-3</v>
      </c>
    </row>
    <row r="332" spans="1:7" x14ac:dyDescent="0.4">
      <c r="A332" s="1">
        <v>45775</v>
      </c>
      <c r="B332">
        <v>95.59</v>
      </c>
      <c r="C332">
        <v>95.1</v>
      </c>
      <c r="D332">
        <v>95.62</v>
      </c>
      <c r="E332">
        <v>95.07</v>
      </c>
      <c r="F332" t="s">
        <v>617</v>
      </c>
      <c r="G332" s="2">
        <v>4.0000000000000001E-3</v>
      </c>
    </row>
    <row r="333" spans="1:7" x14ac:dyDescent="0.4">
      <c r="A333" s="1">
        <v>45776</v>
      </c>
      <c r="B333">
        <v>95.92</v>
      </c>
      <c r="C333">
        <v>95.54</v>
      </c>
      <c r="D333">
        <v>95.93</v>
      </c>
      <c r="E333">
        <v>95.53</v>
      </c>
      <c r="F333" t="s">
        <v>779</v>
      </c>
      <c r="G333" s="2">
        <v>3.5000000000000001E-3</v>
      </c>
    </row>
    <row r="334" spans="1:7" x14ac:dyDescent="0.4">
      <c r="A334" s="1">
        <v>45777</v>
      </c>
      <c r="B334">
        <v>96.07</v>
      </c>
      <c r="C334">
        <v>95.9</v>
      </c>
      <c r="D334">
        <v>96.16</v>
      </c>
      <c r="E334">
        <v>95.8</v>
      </c>
      <c r="F334" t="s">
        <v>780</v>
      </c>
      <c r="G334" s="2">
        <v>1.6000000000000001E-3</v>
      </c>
    </row>
    <row r="335" spans="1:7" x14ac:dyDescent="0.4">
      <c r="A335" s="1">
        <v>45778</v>
      </c>
      <c r="B335">
        <v>95.34</v>
      </c>
      <c r="C335">
        <v>95.88</v>
      </c>
      <c r="D335">
        <v>95.89</v>
      </c>
      <c r="E335">
        <v>95.15</v>
      </c>
      <c r="F335" t="s">
        <v>781</v>
      </c>
      <c r="G335" s="2">
        <v>-7.6E-3</v>
      </c>
    </row>
    <row r="336" spans="1:7" x14ac:dyDescent="0.4">
      <c r="A336" s="1">
        <v>45779</v>
      </c>
      <c r="B336">
        <v>94.7</v>
      </c>
      <c r="C336">
        <v>94.85</v>
      </c>
      <c r="D336">
        <v>94.99</v>
      </c>
      <c r="E336">
        <v>94.54</v>
      </c>
      <c r="F336" t="s">
        <v>522</v>
      </c>
      <c r="G336" s="2">
        <v>-6.7000000000000002E-3</v>
      </c>
    </row>
    <row r="337" spans="1:7" x14ac:dyDescent="0.4">
      <c r="A337" s="1">
        <v>45782</v>
      </c>
      <c r="B337">
        <v>94.53</v>
      </c>
      <c r="C337">
        <v>94.67</v>
      </c>
      <c r="D337">
        <v>94.68</v>
      </c>
      <c r="E337">
        <v>94.33</v>
      </c>
      <c r="F337" t="s">
        <v>782</v>
      </c>
      <c r="G337" s="2">
        <v>-1.8E-3</v>
      </c>
    </row>
    <row r="338" spans="1:7" x14ac:dyDescent="0.4">
      <c r="A338" s="1">
        <v>45783</v>
      </c>
      <c r="B338" s="9">
        <v>94.77</v>
      </c>
      <c r="C338" s="7">
        <v>94.5</v>
      </c>
      <c r="D338" s="7">
        <v>94.79</v>
      </c>
      <c r="E338" s="7">
        <v>94.4</v>
      </c>
      <c r="F338" s="7" t="s">
        <v>576</v>
      </c>
      <c r="G338" s="10">
        <v>2.5000000000000001E-3</v>
      </c>
    </row>
    <row r="339" spans="1:7" x14ac:dyDescent="0.4">
      <c r="A339" s="1">
        <v>45784</v>
      </c>
      <c r="B339" s="9">
        <v>95.02</v>
      </c>
      <c r="C339" s="7">
        <v>94.87</v>
      </c>
      <c r="D339" s="7">
        <v>95.14</v>
      </c>
      <c r="E339" s="7">
        <v>94.85</v>
      </c>
      <c r="F339" s="7" t="s">
        <v>788</v>
      </c>
      <c r="G339" s="10">
        <v>2.5999999999999999E-3</v>
      </c>
    </row>
    <row r="340" spans="1:7" x14ac:dyDescent="0.4">
      <c r="A340" s="1">
        <v>45785</v>
      </c>
      <c r="B340" s="11">
        <v>94.27</v>
      </c>
      <c r="C340" s="7">
        <v>94.95</v>
      </c>
      <c r="D340" s="7">
        <v>94.97</v>
      </c>
      <c r="E340" s="7">
        <v>94.26</v>
      </c>
      <c r="F340" s="7" t="s">
        <v>790</v>
      </c>
      <c r="G340" s="8">
        <v>-7.9000000000000008E-3</v>
      </c>
    </row>
    <row r="341" spans="1:7" x14ac:dyDescent="0.4">
      <c r="A341" s="1">
        <v>45786</v>
      </c>
      <c r="B341" s="9">
        <v>94.35</v>
      </c>
      <c r="C341" s="7">
        <v>94.44</v>
      </c>
      <c r="D341" s="7">
        <v>94.61</v>
      </c>
      <c r="E341" s="7">
        <v>94.32</v>
      </c>
      <c r="F341" s="7" t="s">
        <v>723</v>
      </c>
      <c r="G341" s="10">
        <v>6.9999999999999999E-4</v>
      </c>
    </row>
    <row r="342" spans="1:7" x14ac:dyDescent="0.4">
      <c r="A342" s="1">
        <v>45789</v>
      </c>
      <c r="B342" s="12">
        <v>93.75</v>
      </c>
      <c r="C342" s="13">
        <v>93.73</v>
      </c>
      <c r="D342" s="13">
        <v>93.97</v>
      </c>
      <c r="E342" s="13">
        <v>93.73</v>
      </c>
      <c r="F342" s="13" t="s">
        <v>793</v>
      </c>
      <c r="G342" s="14">
        <v>-6.4000000000000003E-3</v>
      </c>
    </row>
    <row r="343" spans="1:7" x14ac:dyDescent="0.4">
      <c r="A343" s="1">
        <v>45790</v>
      </c>
      <c r="B343" s="12">
        <v>93.68</v>
      </c>
      <c r="C343" s="13">
        <v>93.87</v>
      </c>
      <c r="D343" s="13">
        <v>93.92</v>
      </c>
      <c r="E343" s="13">
        <v>93.53</v>
      </c>
      <c r="F343" s="13" t="s">
        <v>795</v>
      </c>
      <c r="G343" s="14">
        <v>-6.9999999999999999E-4</v>
      </c>
    </row>
    <row r="344" spans="1:7" x14ac:dyDescent="0.4">
      <c r="A344" s="1">
        <v>45791</v>
      </c>
      <c r="B344" s="12">
        <v>93.33</v>
      </c>
      <c r="C344" s="13">
        <v>93.64</v>
      </c>
      <c r="D344" s="13">
        <v>93.71</v>
      </c>
      <c r="E344" s="13">
        <v>93.27</v>
      </c>
      <c r="F344" s="13" t="s">
        <v>738</v>
      </c>
      <c r="G344" s="23" t="s">
        <v>799</v>
      </c>
    </row>
    <row r="345" spans="1:7" x14ac:dyDescent="0.4">
      <c r="A345" s="1">
        <v>45792</v>
      </c>
      <c r="B345" s="20">
        <v>93.94</v>
      </c>
      <c r="C345" s="13">
        <v>93.72</v>
      </c>
      <c r="D345" s="13">
        <v>93.99</v>
      </c>
      <c r="E345" s="13">
        <v>93.6</v>
      </c>
      <c r="F345" s="13" t="s">
        <v>757</v>
      </c>
      <c r="G345" s="21"/>
    </row>
    <row r="346" spans="1:7" x14ac:dyDescent="0.4">
      <c r="A346" s="1">
        <v>45793</v>
      </c>
      <c r="B346" s="20">
        <v>93.97</v>
      </c>
      <c r="C346" s="13">
        <v>94.31</v>
      </c>
      <c r="D346" s="13">
        <v>94.33</v>
      </c>
      <c r="E346" s="13">
        <v>93.96</v>
      </c>
      <c r="F346" s="13" t="s">
        <v>801</v>
      </c>
      <c r="G346" s="21"/>
    </row>
    <row r="347" spans="1:7" x14ac:dyDescent="0.4">
      <c r="A347" s="1">
        <v>45796</v>
      </c>
      <c r="B347" s="12">
        <v>93.91</v>
      </c>
      <c r="C347" s="13">
        <v>93.42</v>
      </c>
      <c r="D347" s="13">
        <v>93.93</v>
      </c>
      <c r="E347" s="13">
        <v>93.4</v>
      </c>
      <c r="F347" s="13"/>
    </row>
    <row r="348" spans="1:7" x14ac:dyDescent="0.4">
      <c r="A348" s="1">
        <v>45797</v>
      </c>
      <c r="B348" s="12">
        <v>93.8</v>
      </c>
      <c r="C348" s="13">
        <v>93.67</v>
      </c>
      <c r="D348" s="13">
        <v>93.86</v>
      </c>
      <c r="E348" s="13">
        <v>93.53</v>
      </c>
      <c r="F348" s="13" t="s">
        <v>804</v>
      </c>
      <c r="G348" s="23">
        <v>-0.1</v>
      </c>
    </row>
    <row r="349" spans="1:7" x14ac:dyDescent="0.4">
      <c r="A349" s="1">
        <v>45798</v>
      </c>
      <c r="B349" s="12">
        <v>93.15</v>
      </c>
      <c r="C349" s="13">
        <v>93.43</v>
      </c>
      <c r="D349" s="13">
        <v>93.56</v>
      </c>
      <c r="E349" s="13">
        <v>93.04</v>
      </c>
      <c r="F349" s="13" t="s">
        <v>805</v>
      </c>
      <c r="G349" s="23"/>
    </row>
    <row r="350" spans="1:7" x14ac:dyDescent="0.4">
      <c r="A350" s="1">
        <v>45799</v>
      </c>
      <c r="B350" s="20">
        <v>93.5</v>
      </c>
      <c r="C350" s="13">
        <v>93.19</v>
      </c>
      <c r="D350" s="13">
        <v>93.54</v>
      </c>
      <c r="E350" s="13">
        <v>93.06</v>
      </c>
      <c r="F350" s="13" t="s">
        <v>809</v>
      </c>
      <c r="G350" s="21"/>
    </row>
    <row r="351" spans="1:7" x14ac:dyDescent="0.4">
      <c r="A351" s="1">
        <v>45800</v>
      </c>
      <c r="B351" s="20">
        <v>93.77</v>
      </c>
      <c r="C351" s="13">
        <v>93.91</v>
      </c>
      <c r="D351" s="13">
        <v>93.92</v>
      </c>
      <c r="E351" s="13">
        <v>93.64</v>
      </c>
      <c r="F351" s="13" t="s">
        <v>810</v>
      </c>
    </row>
    <row r="352" spans="1:7" x14ac:dyDescent="0.4">
      <c r="A352" s="1">
        <v>45804</v>
      </c>
      <c r="B352" s="20">
        <v>94.16</v>
      </c>
      <c r="C352" s="13">
        <v>93.97</v>
      </c>
      <c r="D352" s="13">
        <v>94.25</v>
      </c>
      <c r="E352" s="13">
        <v>93.87</v>
      </c>
      <c r="F352" s="13" t="s">
        <v>812</v>
      </c>
      <c r="G352" s="21"/>
    </row>
    <row r="353" spans="1:6" x14ac:dyDescent="0.4">
      <c r="A353" s="1">
        <v>45805</v>
      </c>
      <c r="B353" s="12">
        <v>93.9</v>
      </c>
      <c r="C353" s="13">
        <v>93.96</v>
      </c>
      <c r="D353" s="13">
        <v>94.04</v>
      </c>
      <c r="E353" s="13">
        <v>93.8</v>
      </c>
      <c r="F353" s="13"/>
    </row>
    <row r="354" spans="1:6" x14ac:dyDescent="0.4">
      <c r="A354" s="1">
        <v>45806</v>
      </c>
      <c r="B354" s="20">
        <v>94.29</v>
      </c>
      <c r="C354" s="13">
        <v>94.14</v>
      </c>
      <c r="D354" s="13">
        <v>94.38</v>
      </c>
      <c r="E354" s="13">
        <v>94.1</v>
      </c>
    </row>
    <row r="355" spans="1:6" x14ac:dyDescent="0.4">
      <c r="A355" s="1">
        <v>45807</v>
      </c>
      <c r="B355" s="20">
        <v>94.57</v>
      </c>
      <c r="C355" s="13">
        <v>94.36</v>
      </c>
      <c r="D355" s="13">
        <v>94.62</v>
      </c>
      <c r="E355" s="13">
        <v>94.3</v>
      </c>
      <c r="F355" s="13"/>
    </row>
    <row r="356" spans="1:6" x14ac:dyDescent="0.4">
      <c r="A356" s="1">
        <v>45810</v>
      </c>
      <c r="B356" s="12">
        <v>93.95</v>
      </c>
      <c r="C356" s="13">
        <v>94</v>
      </c>
      <c r="D356" s="13">
        <v>94.14</v>
      </c>
      <c r="E356" s="13">
        <v>93.78</v>
      </c>
      <c r="F356" s="13">
        <v>1</v>
      </c>
    </row>
    <row r="357" spans="1:6" x14ac:dyDescent="0.4">
      <c r="A357" s="1">
        <v>45811</v>
      </c>
      <c r="B357" s="12">
        <v>93.85</v>
      </c>
      <c r="C357" s="13">
        <v>94.07</v>
      </c>
      <c r="D357" s="13">
        <v>94.2</v>
      </c>
      <c r="E357" s="13">
        <v>93.77</v>
      </c>
    </row>
    <row r="358" spans="1:6" x14ac:dyDescent="0.4">
      <c r="A358" s="1">
        <v>45812</v>
      </c>
      <c r="B358" s="20">
        <v>94.53</v>
      </c>
      <c r="C358" s="13">
        <v>94.21</v>
      </c>
      <c r="D358" s="13">
        <v>94.62</v>
      </c>
      <c r="E358" s="13">
        <v>94.14</v>
      </c>
      <c r="F358" s="13"/>
    </row>
    <row r="359" spans="1:6" x14ac:dyDescent="0.4">
      <c r="A359" s="1">
        <v>45813</v>
      </c>
      <c r="B359" s="12">
        <v>94.26</v>
      </c>
      <c r="C359" s="13">
        <v>94.54</v>
      </c>
      <c r="D359" s="13">
        <v>94.66</v>
      </c>
      <c r="E359" s="13">
        <v>94.23</v>
      </c>
      <c r="F359" s="13"/>
    </row>
    <row r="360" spans="1:6" x14ac:dyDescent="0.4">
      <c r="A360" s="1">
        <v>45814</v>
      </c>
      <c r="B360" s="12">
        <v>93.51</v>
      </c>
      <c r="C360" s="13">
        <v>93.78</v>
      </c>
      <c r="D360" s="13">
        <v>93.86</v>
      </c>
      <c r="E360" s="13">
        <v>93.47</v>
      </c>
      <c r="F360" s="13">
        <v>7.62</v>
      </c>
    </row>
    <row r="361" spans="1:6" x14ac:dyDescent="0.4">
      <c r="A361" s="1">
        <v>45817</v>
      </c>
      <c r="B361" s="20">
        <v>93.68</v>
      </c>
      <c r="C361" s="13">
        <v>93.51</v>
      </c>
      <c r="D361" s="13">
        <v>93.8</v>
      </c>
      <c r="E361" s="13">
        <v>93.51</v>
      </c>
      <c r="F361" s="13"/>
    </row>
    <row r="362" spans="1:6" x14ac:dyDescent="0.4">
      <c r="A362" s="1">
        <v>45818</v>
      </c>
      <c r="B362" s="9">
        <v>93.83</v>
      </c>
      <c r="C362" s="7">
        <v>93.98</v>
      </c>
      <c r="D362" s="7">
        <v>94.01</v>
      </c>
      <c r="E362" s="7">
        <v>93.74</v>
      </c>
      <c r="F362" s="7"/>
    </row>
    <row r="363" spans="1:6" x14ac:dyDescent="0.4">
      <c r="A363" s="1">
        <v>45819</v>
      </c>
      <c r="B363" s="20">
        <v>94.23</v>
      </c>
      <c r="C363" s="13">
        <v>94.02</v>
      </c>
      <c r="D363" s="13">
        <v>94.27</v>
      </c>
      <c r="E363" s="13">
        <v>93.94</v>
      </c>
      <c r="F363" s="13"/>
    </row>
    <row r="364" spans="1:6" x14ac:dyDescent="0.4">
      <c r="A364" s="1">
        <v>45820</v>
      </c>
      <c r="B364" s="20">
        <v>94.64</v>
      </c>
      <c r="C364" s="13">
        <v>94.59</v>
      </c>
      <c r="D364" s="13">
        <v>94.64</v>
      </c>
      <c r="E364" s="13">
        <v>94.42</v>
      </c>
      <c r="F364" s="13"/>
    </row>
    <row r="365" spans="1:6" x14ac:dyDescent="0.4">
      <c r="A365" s="1">
        <v>45821</v>
      </c>
      <c r="B365" s="12">
        <v>94.29</v>
      </c>
      <c r="C365" s="13">
        <v>94.43</v>
      </c>
      <c r="D365" s="13">
        <v>94.5</v>
      </c>
      <c r="E365" s="13">
        <v>94.04</v>
      </c>
      <c r="F365" s="13"/>
    </row>
    <row r="366" spans="1:6" x14ac:dyDescent="0.4">
      <c r="A366" s="1">
        <v>45824</v>
      </c>
      <c r="B366" s="12">
        <v>94.02</v>
      </c>
      <c r="C366" s="13">
        <v>94.18</v>
      </c>
      <c r="D366" s="13">
        <v>94.36</v>
      </c>
      <c r="E366" s="13">
        <v>94</v>
      </c>
      <c r="F366" s="13"/>
    </row>
    <row r="367" spans="1:6" x14ac:dyDescent="0.4">
      <c r="A367" s="1">
        <v>45825</v>
      </c>
      <c r="B367" s="20">
        <v>94.47</v>
      </c>
      <c r="C367" s="13">
        <v>94.26</v>
      </c>
      <c r="D367" s="13">
        <v>94.51</v>
      </c>
      <c r="E367" s="13">
        <v>94.11</v>
      </c>
      <c r="F367" s="13"/>
    </row>
    <row r="368" spans="1:6" x14ac:dyDescent="0.4">
      <c r="A368" s="1">
        <v>45826</v>
      </c>
      <c r="B368" s="20">
        <v>94.54</v>
      </c>
      <c r="C368" s="13">
        <v>94.64</v>
      </c>
      <c r="D368" s="13">
        <v>94.82</v>
      </c>
      <c r="E368" s="13">
        <v>94.38</v>
      </c>
      <c r="F368" s="13"/>
    </row>
    <row r="369" spans="1:6" x14ac:dyDescent="0.4">
      <c r="A369" s="1">
        <v>45828</v>
      </c>
      <c r="B369" s="20">
        <v>94.6</v>
      </c>
      <c r="C369" s="13">
        <v>94.35</v>
      </c>
      <c r="D369" s="13">
        <v>94.74</v>
      </c>
      <c r="E369" s="13">
        <v>94.29</v>
      </c>
      <c r="F369" s="13"/>
    </row>
    <row r="370" spans="1:6" x14ac:dyDescent="0.4">
      <c r="A370" s="1">
        <v>45831</v>
      </c>
      <c r="B370" s="20">
        <v>94.93</v>
      </c>
      <c r="C370" s="13">
        <v>94.87</v>
      </c>
      <c r="D370" s="13">
        <v>95.24</v>
      </c>
      <c r="E370" s="13">
        <v>94.81</v>
      </c>
      <c r="F370" s="13"/>
    </row>
    <row r="371" spans="1:6" x14ac:dyDescent="0.4">
      <c r="A371" s="1">
        <v>45832</v>
      </c>
      <c r="B371" s="9">
        <v>95.25</v>
      </c>
      <c r="C371" s="7">
        <v>94.84</v>
      </c>
      <c r="D371" s="7">
        <v>95.31</v>
      </c>
      <c r="E371" s="7">
        <v>94.8</v>
      </c>
      <c r="F371" s="7"/>
    </row>
    <row r="372" spans="1:6" x14ac:dyDescent="0.4">
      <c r="A372" s="1">
        <v>45833</v>
      </c>
      <c r="B372" s="20">
        <v>95.32</v>
      </c>
      <c r="C372" s="13">
        <v>95.09</v>
      </c>
      <c r="D372" s="13">
        <v>95.34</v>
      </c>
      <c r="E372" s="13">
        <v>94.98</v>
      </c>
    </row>
    <row r="373" spans="1:6" x14ac:dyDescent="0.4">
      <c r="A373" s="1">
        <v>45834</v>
      </c>
      <c r="B373" s="20">
        <v>95.64</v>
      </c>
      <c r="C373" s="13">
        <v>95.47</v>
      </c>
      <c r="D373" s="13">
        <v>95.64</v>
      </c>
      <c r="E373" s="13">
        <v>95.35</v>
      </c>
      <c r="F373" s="13"/>
    </row>
    <row r="374" spans="1:6" x14ac:dyDescent="0.4">
      <c r="A374" s="1">
        <v>45835</v>
      </c>
      <c r="B374" s="12">
        <v>95.39</v>
      </c>
      <c r="C374" s="13">
        <v>95.39</v>
      </c>
      <c r="D374" s="13">
        <v>95.68</v>
      </c>
      <c r="E374" s="13">
        <v>95.33</v>
      </c>
      <c r="F374" s="13"/>
    </row>
    <row r="375" spans="1:6" x14ac:dyDescent="0.4">
      <c r="A375" s="1">
        <v>45838</v>
      </c>
      <c r="B375" s="20">
        <v>95.77</v>
      </c>
      <c r="C375" s="13">
        <v>95.6</v>
      </c>
      <c r="D375" s="13">
        <v>95.81</v>
      </c>
      <c r="E375" s="13">
        <v>95.46</v>
      </c>
      <c r="F375" s="13"/>
    </row>
    <row r="376" spans="1:6" x14ac:dyDescent="0.4">
      <c r="A376" s="1">
        <v>45839</v>
      </c>
      <c r="B376" s="11">
        <v>95.29</v>
      </c>
      <c r="C376" s="7">
        <v>95.42</v>
      </c>
      <c r="D376" s="7">
        <v>95.49</v>
      </c>
      <c r="E376" s="7">
        <v>95.12</v>
      </c>
      <c r="F376" s="7"/>
    </row>
    <row r="377" spans="1:6" x14ac:dyDescent="0.4">
      <c r="A377" s="1">
        <v>45840</v>
      </c>
      <c r="B377" s="12">
        <v>95.09</v>
      </c>
      <c r="C377" s="13">
        <v>94.99</v>
      </c>
      <c r="D377" s="13">
        <v>95.14</v>
      </c>
      <c r="E377" s="13">
        <v>94.93</v>
      </c>
      <c r="F377" s="13"/>
    </row>
    <row r="378" spans="1:6" x14ac:dyDescent="0.4">
      <c r="A378" s="1">
        <v>45841</v>
      </c>
      <c r="B378" s="12">
        <v>94.76</v>
      </c>
      <c r="C378" s="13">
        <v>94.8</v>
      </c>
      <c r="D378" s="13">
        <v>94.86</v>
      </c>
      <c r="E378" s="13">
        <v>94.64</v>
      </c>
      <c r="F378" s="13"/>
    </row>
    <row r="379" spans="1:6" x14ac:dyDescent="0.4">
      <c r="A379" s="1">
        <v>45845</v>
      </c>
      <c r="B379" s="12">
        <v>94.46</v>
      </c>
      <c r="C379" s="13">
        <v>94.61</v>
      </c>
      <c r="D379" s="13">
        <v>94.62</v>
      </c>
      <c r="E379" s="13">
        <v>94.39</v>
      </c>
      <c r="F379" s="13"/>
    </row>
    <row r="380" spans="1:6" x14ac:dyDescent="0.4">
      <c r="A380" s="1">
        <v>45846</v>
      </c>
      <c r="B380" s="12">
        <v>94.32</v>
      </c>
      <c r="C380" s="13">
        <v>94.21</v>
      </c>
      <c r="D380" s="13">
        <v>94.32</v>
      </c>
      <c r="E380" s="13">
        <v>94.17</v>
      </c>
      <c r="F380" s="13"/>
    </row>
    <row r="381" spans="1:6" x14ac:dyDescent="0.4">
      <c r="A381" s="1">
        <v>45847</v>
      </c>
      <c r="B381" s="20">
        <v>94.81</v>
      </c>
      <c r="C381" s="13">
        <v>94.46</v>
      </c>
      <c r="D381" s="13">
        <v>94.82</v>
      </c>
      <c r="E381" s="13">
        <v>94.46</v>
      </c>
      <c r="F381" s="13"/>
    </row>
    <row r="382" spans="1:6" x14ac:dyDescent="0.4">
      <c r="A382" s="1">
        <v>45848</v>
      </c>
      <c r="B382" s="12">
        <v>94.76</v>
      </c>
      <c r="C382" s="13">
        <v>94.74</v>
      </c>
      <c r="D382" s="13">
        <v>94.78</v>
      </c>
      <c r="E382" s="13">
        <v>94.57</v>
      </c>
      <c r="F382" s="13"/>
    </row>
    <row r="383" spans="1:6" x14ac:dyDescent="0.4">
      <c r="A383" s="1">
        <v>45849</v>
      </c>
      <c r="B383" s="11">
        <v>94.32</v>
      </c>
      <c r="C383" s="7">
        <v>94.43</v>
      </c>
      <c r="D383" s="7">
        <v>94.46</v>
      </c>
      <c r="E383" s="7">
        <v>94.27</v>
      </c>
      <c r="F383" s="7"/>
    </row>
    <row r="384" spans="1:6" x14ac:dyDescent="0.4">
      <c r="A384" s="1">
        <v>45852</v>
      </c>
      <c r="B384" s="11">
        <v>94.28</v>
      </c>
      <c r="C384" s="7">
        <v>94.32</v>
      </c>
      <c r="D384" s="7">
        <v>94.46</v>
      </c>
      <c r="E384" s="7">
        <v>94.17</v>
      </c>
      <c r="F384" s="7">
        <v>5</v>
      </c>
    </row>
    <row r="385" spans="1:6" x14ac:dyDescent="0.4">
      <c r="A385" s="1">
        <v>45853</v>
      </c>
      <c r="B385" s="12">
        <v>93.93</v>
      </c>
      <c r="C385" s="13">
        <v>94.39</v>
      </c>
      <c r="D385" s="13">
        <v>94.4</v>
      </c>
      <c r="E385" s="13">
        <v>93.86</v>
      </c>
      <c r="F385" s="13"/>
    </row>
    <row r="386" spans="1:6" x14ac:dyDescent="0.4">
      <c r="A386" s="1">
        <v>45854</v>
      </c>
      <c r="B386" s="20">
        <v>94.18</v>
      </c>
      <c r="C386" s="13">
        <v>94.06</v>
      </c>
      <c r="D386" s="13">
        <v>94.24</v>
      </c>
      <c r="E386" s="13">
        <v>93.93</v>
      </c>
      <c r="F386" s="13"/>
    </row>
    <row r="387" spans="1:6" x14ac:dyDescent="0.4">
      <c r="A387" s="1">
        <v>45855</v>
      </c>
      <c r="B387" s="12">
        <v>94.14</v>
      </c>
      <c r="C387" s="13">
        <v>94.22</v>
      </c>
      <c r="D387" s="13">
        <v>94.32</v>
      </c>
      <c r="E387" s="13">
        <v>94.06</v>
      </c>
      <c r="F387" s="13"/>
    </row>
    <row r="388" spans="1:6" x14ac:dyDescent="0.4">
      <c r="A388" s="1">
        <v>45856</v>
      </c>
      <c r="B388" s="20">
        <v>94.4</v>
      </c>
      <c r="C388" s="13">
        <v>94.41</v>
      </c>
      <c r="D388" s="13">
        <v>94.48</v>
      </c>
      <c r="E388" s="13">
        <v>94.3</v>
      </c>
      <c r="F388" s="13"/>
    </row>
    <row r="389" spans="1:6" x14ac:dyDescent="0.4">
      <c r="A389" s="1">
        <v>45859</v>
      </c>
      <c r="B389" s="20">
        <v>94.73</v>
      </c>
      <c r="C389" s="13">
        <v>94.79</v>
      </c>
      <c r="D389" s="13">
        <v>94.9</v>
      </c>
      <c r="E389" s="13">
        <v>94.69</v>
      </c>
      <c r="F389" s="13"/>
    </row>
    <row r="390" spans="1:6" x14ac:dyDescent="0.4">
      <c r="A390" s="1">
        <v>45860</v>
      </c>
      <c r="B390" s="20">
        <v>94.98</v>
      </c>
      <c r="C390" s="13">
        <v>94.84</v>
      </c>
      <c r="D390" s="13">
        <v>95.06</v>
      </c>
      <c r="E390" s="13">
        <v>94.81</v>
      </c>
      <c r="F390" s="13"/>
    </row>
    <row r="391" spans="1:6" x14ac:dyDescent="0.4">
      <c r="A391" s="1">
        <v>45861</v>
      </c>
      <c r="B391" s="12">
        <v>94.66</v>
      </c>
      <c r="C391" s="13">
        <v>94.78</v>
      </c>
      <c r="D391" s="13">
        <v>94.84</v>
      </c>
      <c r="E391" s="13">
        <v>94.61</v>
      </c>
      <c r="F391" s="13"/>
    </row>
    <row r="392" spans="1:6" x14ac:dyDescent="0.4">
      <c r="A392" s="1">
        <v>45862</v>
      </c>
      <c r="B392" s="12">
        <v>94.52</v>
      </c>
      <c r="C392" s="13">
        <v>94.33</v>
      </c>
      <c r="D392" s="13">
        <v>94.61</v>
      </c>
      <c r="E392" s="13">
        <v>94.32</v>
      </c>
      <c r="F392" s="13"/>
    </row>
    <row r="393" spans="1:6" x14ac:dyDescent="0.4">
      <c r="A393" s="1">
        <v>45863</v>
      </c>
      <c r="B393" s="9">
        <v>94.74</v>
      </c>
      <c r="C393" s="7">
        <v>94.49</v>
      </c>
      <c r="D393" s="7">
        <v>94.74</v>
      </c>
      <c r="E393" s="7">
        <v>94.45</v>
      </c>
      <c r="F393" s="7"/>
    </row>
    <row r="394" spans="1:6" x14ac:dyDescent="0.4">
      <c r="A394" s="1">
        <v>45867</v>
      </c>
      <c r="B394" s="20">
        <v>95.15</v>
      </c>
      <c r="C394" s="13">
        <v>94.67</v>
      </c>
      <c r="D394" s="13">
        <v>95.14</v>
      </c>
      <c r="E394" s="13">
        <v>94.65</v>
      </c>
      <c r="F394" s="13"/>
    </row>
    <row r="395" spans="1:6" x14ac:dyDescent="0.4">
      <c r="A395" s="1">
        <v>45868</v>
      </c>
      <c r="B395" s="12">
        <v>94.83</v>
      </c>
      <c r="C395" s="13">
        <v>94.82</v>
      </c>
      <c r="D395" s="13">
        <v>95.08</v>
      </c>
      <c r="E395" s="13">
        <v>94.75</v>
      </c>
      <c r="F395" s="13"/>
    </row>
    <row r="396" spans="1:6" x14ac:dyDescent="0.4">
      <c r="A396" s="1">
        <v>45869</v>
      </c>
      <c r="B396" s="20">
        <v>100.09</v>
      </c>
      <c r="C396" s="13">
        <v>99.79</v>
      </c>
      <c r="D396" s="13">
        <v>100.1</v>
      </c>
      <c r="E396" s="13">
        <v>99.53</v>
      </c>
      <c r="F396" s="13"/>
    </row>
    <row r="397" spans="1:6" x14ac:dyDescent="0.4">
      <c r="A397" s="1">
        <v>45870</v>
      </c>
      <c r="B397" s="20">
        <v>95.68</v>
      </c>
      <c r="C397" s="13">
        <v>95.35</v>
      </c>
      <c r="D397" s="13">
        <v>95.72</v>
      </c>
      <c r="E397" s="13">
        <v>95.34</v>
      </c>
    </row>
    <row r="398" spans="1:6" x14ac:dyDescent="0.4">
      <c r="A398" s="1">
        <v>45873</v>
      </c>
      <c r="B398" s="20">
        <v>95.81</v>
      </c>
      <c r="C398" s="13">
        <v>95.77</v>
      </c>
      <c r="D398" s="13">
        <v>95.85</v>
      </c>
      <c r="E398" s="13">
        <v>95.53</v>
      </c>
      <c r="F398" s="13"/>
    </row>
    <row r="399" spans="1:6" x14ac:dyDescent="0.4">
      <c r="A399" s="1">
        <v>45874</v>
      </c>
      <c r="B399" s="12">
        <v>95.74</v>
      </c>
      <c r="C399" s="13">
        <v>95.64</v>
      </c>
      <c r="D399" s="13">
        <v>95.86</v>
      </c>
      <c r="E399" s="13">
        <v>95.62</v>
      </c>
      <c r="F399" s="13"/>
    </row>
    <row r="400" spans="1:6" x14ac:dyDescent="0.4">
      <c r="A400" s="1">
        <v>45875</v>
      </c>
      <c r="B400" s="12">
        <v>95.67</v>
      </c>
      <c r="C400" s="13">
        <v>95.59</v>
      </c>
      <c r="D400" s="13">
        <v>95.71</v>
      </c>
      <c r="E400" s="13">
        <v>95.28</v>
      </c>
      <c r="F400" s="13"/>
    </row>
    <row r="401" spans="1:6" x14ac:dyDescent="0.4">
      <c r="A401" s="1">
        <v>45876</v>
      </c>
      <c r="B401" s="12">
        <v>95.59</v>
      </c>
      <c r="C401" s="13">
        <v>95.67</v>
      </c>
      <c r="D401" s="13">
        <v>95.76</v>
      </c>
      <c r="E401" s="13">
        <v>95.53</v>
      </c>
      <c r="F401" s="13"/>
    </row>
    <row r="402" spans="1:6" x14ac:dyDescent="0.4">
      <c r="A402" s="1">
        <v>45877</v>
      </c>
      <c r="B402" s="12">
        <v>95.37</v>
      </c>
      <c r="C402" s="13">
        <v>95.47</v>
      </c>
      <c r="D402" s="13">
        <v>95.47</v>
      </c>
      <c r="E402" s="13">
        <v>95.33</v>
      </c>
    </row>
    <row r="403" spans="1:6" x14ac:dyDescent="0.4">
      <c r="A403" s="1">
        <v>45880</v>
      </c>
      <c r="B403" s="20">
        <v>95.42</v>
      </c>
      <c r="C403" s="13">
        <v>95.45</v>
      </c>
      <c r="D403" s="13">
        <v>95.54</v>
      </c>
      <c r="E403" s="13">
        <v>95.36</v>
      </c>
      <c r="F403" s="13"/>
    </row>
    <row r="404" spans="1:6" x14ac:dyDescent="0.4">
      <c r="A404" s="1">
        <v>45881</v>
      </c>
      <c r="B404" s="12">
        <v>95.38</v>
      </c>
      <c r="C404" s="13">
        <v>95.29</v>
      </c>
      <c r="D404" s="13">
        <v>95.38</v>
      </c>
      <c r="E404" s="13">
        <v>95.18</v>
      </c>
      <c r="F404" s="13"/>
    </row>
    <row r="405" spans="1:6" x14ac:dyDescent="0.4">
      <c r="A405" s="1">
        <v>45882</v>
      </c>
      <c r="B405" s="20">
        <v>95.73</v>
      </c>
      <c r="C405" s="13">
        <v>95.68</v>
      </c>
      <c r="D405" s="13">
        <v>95.83</v>
      </c>
      <c r="E405" s="13">
        <v>95.64</v>
      </c>
      <c r="F405" s="13"/>
    </row>
    <row r="406" spans="1:6" x14ac:dyDescent="0.4">
      <c r="A406" s="1">
        <v>45883</v>
      </c>
      <c r="B406" s="12">
        <v>95.43</v>
      </c>
      <c r="C406" s="13">
        <v>95.58</v>
      </c>
      <c r="D406" s="13">
        <v>95.6</v>
      </c>
      <c r="E406" s="13">
        <v>95.35</v>
      </c>
      <c r="F406" s="13"/>
    </row>
    <row r="407" spans="1:6" x14ac:dyDescent="0.4">
      <c r="A407" s="1">
        <v>45884</v>
      </c>
      <c r="B407" s="11">
        <v>95.23</v>
      </c>
      <c r="C407" s="7">
        <v>95.38</v>
      </c>
      <c r="D407" s="7">
        <v>95.44</v>
      </c>
      <c r="E407" s="7">
        <v>95.17</v>
      </c>
      <c r="F407" s="7"/>
    </row>
    <row r="408" spans="1:6" x14ac:dyDescent="0.4">
      <c r="A408" s="1">
        <v>45887</v>
      </c>
      <c r="B408" s="12">
        <v>95.14</v>
      </c>
      <c r="C408" s="13">
        <v>95.3</v>
      </c>
      <c r="D408" s="13">
        <v>95.31</v>
      </c>
      <c r="E408" s="13">
        <v>95.05</v>
      </c>
      <c r="F408" s="13"/>
    </row>
    <row r="409" spans="1:6" x14ac:dyDescent="0.4">
      <c r="A409" s="1">
        <v>45888</v>
      </c>
      <c r="B409" s="20">
        <v>95.38</v>
      </c>
      <c r="C409" s="13">
        <v>95.28</v>
      </c>
      <c r="D409" s="13">
        <v>95.42</v>
      </c>
      <c r="E409" s="13">
        <v>95.27</v>
      </c>
      <c r="F409" s="13"/>
    </row>
    <row r="410" spans="1:6" x14ac:dyDescent="0.4">
      <c r="A410" s="1">
        <v>45889</v>
      </c>
      <c r="B410" s="20">
        <v>95.52</v>
      </c>
      <c r="C410" s="13">
        <v>95.38</v>
      </c>
      <c r="D410" s="13">
        <v>95.6</v>
      </c>
      <c r="E410" s="13">
        <v>95.37</v>
      </c>
      <c r="F410" s="13"/>
    </row>
    <row r="411" spans="1:6" x14ac:dyDescent="0.4">
      <c r="A411" s="1">
        <v>45890</v>
      </c>
      <c r="B411" s="12">
        <v>95.23</v>
      </c>
      <c r="C411" s="13">
        <v>95.39</v>
      </c>
      <c r="D411" s="13">
        <v>95.43</v>
      </c>
      <c r="E411" s="13">
        <v>95.11</v>
      </c>
      <c r="F411" s="13"/>
    </row>
    <row r="412" spans="1:6" x14ac:dyDescent="0.4">
      <c r="A412" s="1">
        <v>45891</v>
      </c>
      <c r="B412" s="20">
        <v>95.76</v>
      </c>
      <c r="C412" s="13">
        <v>95.4</v>
      </c>
      <c r="D412" s="13">
        <v>95.88</v>
      </c>
      <c r="E412" s="13">
        <v>95.38</v>
      </c>
      <c r="F412" s="13"/>
    </row>
    <row r="413" spans="1:6" x14ac:dyDescent="0.4">
      <c r="A413" s="1">
        <v>45894</v>
      </c>
      <c r="B413" s="12">
        <v>95.58</v>
      </c>
      <c r="C413" s="13">
        <v>95.6</v>
      </c>
      <c r="D413" s="13">
        <v>95.71</v>
      </c>
      <c r="E413" s="13">
        <v>95.53</v>
      </c>
      <c r="F413" s="13"/>
    </row>
    <row r="414" spans="1:6" x14ac:dyDescent="0.4">
      <c r="A414" s="1">
        <v>45895</v>
      </c>
      <c r="B414" s="20">
        <v>95.84</v>
      </c>
      <c r="C414" s="13">
        <v>95.66</v>
      </c>
      <c r="D414" s="13">
        <v>95.86</v>
      </c>
      <c r="E414" s="13">
        <v>95.6</v>
      </c>
      <c r="F414" s="13"/>
    </row>
    <row r="415" spans="1:6" x14ac:dyDescent="0.4">
      <c r="A415" s="1">
        <v>45896</v>
      </c>
      <c r="B415" s="20">
        <v>96.01</v>
      </c>
      <c r="C415" s="13">
        <v>95.7</v>
      </c>
      <c r="D415" s="13">
        <v>96</v>
      </c>
      <c r="E415" s="13">
        <v>95.64</v>
      </c>
      <c r="F415" s="13"/>
    </row>
    <row r="416" spans="1:6" x14ac:dyDescent="0.4">
      <c r="A416" s="1">
        <v>45897</v>
      </c>
      <c r="B416" s="20">
        <v>96.22</v>
      </c>
      <c r="C416" s="13">
        <v>95.96</v>
      </c>
      <c r="D416" s="13">
        <v>96.21</v>
      </c>
      <c r="E416" s="13">
        <v>95.94</v>
      </c>
      <c r="F416" s="13"/>
    </row>
    <row r="417" spans="1:6" x14ac:dyDescent="0.4">
      <c r="A417" s="1">
        <v>45898</v>
      </c>
      <c r="B417" s="12">
        <v>96.15</v>
      </c>
      <c r="C417" s="13">
        <v>96.12</v>
      </c>
      <c r="D417" s="13">
        <v>96.23</v>
      </c>
      <c r="E417" s="13">
        <v>96.03</v>
      </c>
      <c r="F417" s="13"/>
    </row>
    <row r="418" spans="1:6" x14ac:dyDescent="0.4">
      <c r="A418" s="1">
        <v>45902</v>
      </c>
      <c r="B418" s="12">
        <v>95.56</v>
      </c>
      <c r="C418" s="13">
        <v>95.46</v>
      </c>
      <c r="D418" s="13">
        <v>95.63</v>
      </c>
      <c r="E418" s="13">
        <v>95.43</v>
      </c>
      <c r="F418" s="13"/>
    </row>
    <row r="419" spans="1:6" x14ac:dyDescent="0.4">
      <c r="A419" s="1">
        <v>45903</v>
      </c>
      <c r="B419" s="20">
        <v>95.88</v>
      </c>
      <c r="C419" s="13">
        <v>95.56</v>
      </c>
      <c r="D419" s="13">
        <v>96.01</v>
      </c>
      <c r="E419" s="13">
        <v>95.56</v>
      </c>
      <c r="F419" s="13"/>
    </row>
    <row r="420" spans="1:6" x14ac:dyDescent="0.4">
      <c r="A420" s="1">
        <v>45904</v>
      </c>
      <c r="B420" s="9">
        <v>96.31</v>
      </c>
      <c r="C420" s="7">
        <v>96.12</v>
      </c>
      <c r="D420" s="7">
        <v>96.31</v>
      </c>
      <c r="E420" s="7">
        <v>96</v>
      </c>
      <c r="F420" s="7"/>
    </row>
    <row r="421" spans="1:6" x14ac:dyDescent="0.4">
      <c r="A421" s="1">
        <v>45905</v>
      </c>
      <c r="B421" s="20">
        <v>96.79</v>
      </c>
      <c r="C421" s="13">
        <v>96.91</v>
      </c>
      <c r="D421" s="13">
        <v>97.01</v>
      </c>
      <c r="E421" s="13">
        <v>96.78</v>
      </c>
      <c r="F421" s="13"/>
    </row>
    <row r="422" spans="1:6" x14ac:dyDescent="0.4">
      <c r="A422" s="1">
        <v>45908</v>
      </c>
      <c r="B422" s="20">
        <v>97.08</v>
      </c>
      <c r="C422" s="13">
        <v>97.02</v>
      </c>
      <c r="D422" s="13">
        <v>97.08</v>
      </c>
      <c r="E422" s="13">
        <v>96.92</v>
      </c>
      <c r="F422" s="13"/>
    </row>
    <row r="423" spans="1:6" x14ac:dyDescent="0.4">
      <c r="A423" s="1">
        <v>45909</v>
      </c>
      <c r="B423" s="12">
        <v>96.85</v>
      </c>
      <c r="C423" s="13">
        <v>97.03</v>
      </c>
      <c r="D423" s="13">
        <v>97.12</v>
      </c>
      <c r="E423" s="13">
        <v>96.77</v>
      </c>
      <c r="F423" s="13"/>
    </row>
    <row r="424" spans="1:6" x14ac:dyDescent="0.4">
      <c r="A424" s="1">
        <v>45910</v>
      </c>
      <c r="B424" s="20">
        <v>97.11</v>
      </c>
      <c r="C424" s="13">
        <v>97.05</v>
      </c>
      <c r="D424" s="13">
        <v>97.23</v>
      </c>
      <c r="E424" s="13">
        <v>96.96</v>
      </c>
      <c r="F424" s="13"/>
    </row>
    <row r="425" spans="1:6" x14ac:dyDescent="0.4">
      <c r="A425" s="1">
        <v>45911</v>
      </c>
      <c r="B425" s="20">
        <v>97.25</v>
      </c>
      <c r="C425" s="13">
        <v>97.23</v>
      </c>
      <c r="D425" s="13">
        <v>97.46</v>
      </c>
      <c r="E425" s="13">
        <v>97.23</v>
      </c>
      <c r="F425" s="13"/>
    </row>
    <row r="426" spans="1:6" x14ac:dyDescent="0.4">
      <c r="A426" s="1">
        <v>45912</v>
      </c>
      <c r="B426" s="12">
        <v>96.98</v>
      </c>
      <c r="C426" s="13">
        <v>97.03</v>
      </c>
      <c r="D426" s="13">
        <v>97.04</v>
      </c>
      <c r="E426" s="13">
        <v>96.84</v>
      </c>
      <c r="F426" s="13"/>
    </row>
    <row r="427" spans="1:6" x14ac:dyDescent="0.4">
      <c r="A427" s="1">
        <v>45915</v>
      </c>
      <c r="B427" s="20">
        <v>97.15</v>
      </c>
      <c r="C427" s="13">
        <v>97.15</v>
      </c>
      <c r="D427" s="13">
        <v>97.22</v>
      </c>
      <c r="E427" s="13">
        <v>97.1</v>
      </c>
      <c r="F427" s="13"/>
    </row>
    <row r="428" spans="1:6" x14ac:dyDescent="0.4">
      <c r="A428" s="1">
        <v>45916</v>
      </c>
      <c r="B428" s="20">
        <v>97.21</v>
      </c>
      <c r="C428" s="13">
        <v>97.15</v>
      </c>
      <c r="D428" s="13">
        <v>97.29</v>
      </c>
      <c r="E428" s="13">
        <v>97.11</v>
      </c>
      <c r="F428" s="13"/>
    </row>
    <row r="429" spans="1:6" x14ac:dyDescent="0.4">
      <c r="A429" s="1">
        <v>45917</v>
      </c>
      <c r="B429" s="12">
        <v>96.99</v>
      </c>
      <c r="C429" s="13">
        <v>97.3</v>
      </c>
      <c r="D429" s="13">
        <v>97.5</v>
      </c>
      <c r="E429" s="13">
        <v>96.87</v>
      </c>
      <c r="F429" s="13"/>
    </row>
    <row r="430" spans="1:6" x14ac:dyDescent="0.4">
      <c r="A430" s="1">
        <v>45918</v>
      </c>
      <c r="B430" s="12">
        <v>96.66</v>
      </c>
      <c r="C430" s="13">
        <v>96.65</v>
      </c>
      <c r="D430" s="13">
        <v>96.81</v>
      </c>
      <c r="E430" s="13">
        <v>96.5</v>
      </c>
      <c r="F430" s="13"/>
    </row>
    <row r="431" spans="1:6" x14ac:dyDescent="0.4">
      <c r="A431" s="1">
        <v>45919</v>
      </c>
      <c r="B431" s="12">
        <v>96.63</v>
      </c>
      <c r="C431" s="13">
        <v>96.62</v>
      </c>
      <c r="D431" s="13">
        <v>96.7</v>
      </c>
      <c r="E431" s="13">
        <v>96.5</v>
      </c>
      <c r="F431" s="13"/>
    </row>
    <row r="432" spans="1:6" x14ac:dyDescent="0.4">
      <c r="A432" s="1">
        <v>45922</v>
      </c>
      <c r="B432" s="12">
        <v>96.47</v>
      </c>
      <c r="C432" s="13">
        <v>96.63</v>
      </c>
      <c r="D432" s="13">
        <v>96.66</v>
      </c>
      <c r="E432" s="13">
        <v>96.46</v>
      </c>
      <c r="F432" s="13"/>
    </row>
    <row r="433" spans="1:6" x14ac:dyDescent="0.4">
      <c r="A433" s="1">
        <v>45923</v>
      </c>
      <c r="B433" s="20">
        <v>96.74</v>
      </c>
      <c r="C433" s="13">
        <v>96.61</v>
      </c>
      <c r="D433" s="13">
        <v>96.75</v>
      </c>
      <c r="E433" s="13">
        <v>96.49</v>
      </c>
    </row>
    <row r="434" spans="1:6" x14ac:dyDescent="0.4">
      <c r="A434" s="1">
        <v>45924</v>
      </c>
      <c r="B434" s="12">
        <v>96.48</v>
      </c>
      <c r="C434" s="13">
        <v>96.62</v>
      </c>
      <c r="D434" s="13">
        <v>96.63</v>
      </c>
      <c r="E434" s="13">
        <v>96.44</v>
      </c>
      <c r="F434" s="13"/>
    </row>
    <row r="435" spans="1:6" x14ac:dyDescent="0.4">
      <c r="A435" s="1">
        <v>45925</v>
      </c>
      <c r="B435" s="12">
        <v>96.27</v>
      </c>
      <c r="C435" s="13">
        <v>96.26</v>
      </c>
      <c r="D435" s="13">
        <v>96.32</v>
      </c>
      <c r="E435" s="13">
        <v>96.1</v>
      </c>
      <c r="F435" s="13"/>
    </row>
    <row r="436" spans="1:6" x14ac:dyDescent="0.4">
      <c r="A436" s="1">
        <v>45926</v>
      </c>
      <c r="B436" s="12">
        <v>96.22</v>
      </c>
      <c r="C436" s="13">
        <v>96.25</v>
      </c>
      <c r="D436" s="13">
        <v>96.43</v>
      </c>
      <c r="E436" s="13">
        <v>96.13</v>
      </c>
      <c r="F436" s="13"/>
    </row>
    <row r="437" spans="1:6" x14ac:dyDescent="0.4">
      <c r="A437" s="1">
        <v>45929</v>
      </c>
      <c r="B437" s="20">
        <v>96.5</v>
      </c>
      <c r="C437" s="13">
        <v>96.35</v>
      </c>
      <c r="D437" s="13">
        <v>96.55</v>
      </c>
      <c r="E437" s="13">
        <v>96.32</v>
      </c>
      <c r="F437" s="13"/>
    </row>
    <row r="438" spans="1:6" x14ac:dyDescent="0.4">
      <c r="A438" s="1">
        <v>45930</v>
      </c>
      <c r="B438" s="12">
        <v>96.46</v>
      </c>
      <c r="C438" s="13">
        <v>96.58</v>
      </c>
      <c r="D438" s="13">
        <v>96.75</v>
      </c>
      <c r="E438" s="13">
        <v>96.42</v>
      </c>
      <c r="F438" s="13"/>
    </row>
    <row r="439" spans="1:6" x14ac:dyDescent="0.4">
      <c r="A439" s="1">
        <v>45931</v>
      </c>
      <c r="B439" s="20">
        <v>96.49</v>
      </c>
      <c r="C439" s="13">
        <v>96.56</v>
      </c>
      <c r="D439" s="13">
        <v>96.63</v>
      </c>
      <c r="E439" s="13">
        <v>96.34</v>
      </c>
      <c r="F439" s="13"/>
    </row>
    <row r="440" spans="1:6" x14ac:dyDescent="0.4">
      <c r="A440" s="1">
        <v>45932</v>
      </c>
      <c r="B440" s="20">
        <v>96.59</v>
      </c>
      <c r="C440" s="13">
        <v>96.45</v>
      </c>
      <c r="D440" s="13">
        <v>96.65</v>
      </c>
      <c r="E440" s="13">
        <v>96.39</v>
      </c>
      <c r="F440" s="13"/>
    </row>
    <row r="441" spans="1:6" x14ac:dyDescent="0.4">
      <c r="A441" s="1">
        <v>45933</v>
      </c>
      <c r="B441" s="12">
        <v>96.41</v>
      </c>
      <c r="C441" s="13">
        <v>96.6</v>
      </c>
      <c r="D441" s="13">
        <v>96.6</v>
      </c>
      <c r="E441" s="13">
        <v>96.38</v>
      </c>
      <c r="F441" s="13"/>
    </row>
    <row r="442" spans="1:6" x14ac:dyDescent="0.4">
      <c r="A442" s="1">
        <v>45936</v>
      </c>
      <c r="B442" s="12">
        <v>96.13</v>
      </c>
      <c r="C442" s="13">
        <v>96.17</v>
      </c>
      <c r="D442" s="13">
        <v>96.33</v>
      </c>
      <c r="E442" s="13">
        <v>96.11</v>
      </c>
      <c r="F442" s="13"/>
    </row>
    <row r="443" spans="1:6" x14ac:dyDescent="0.4">
      <c r="A443" s="1">
        <v>45937</v>
      </c>
      <c r="B443" s="20">
        <v>96.36</v>
      </c>
      <c r="C443" s="13">
        <v>96.24</v>
      </c>
      <c r="D443" s="13">
        <v>96.49</v>
      </c>
      <c r="E443" s="13">
        <v>96.18</v>
      </c>
      <c r="F443" s="13"/>
    </row>
    <row r="444" spans="1:6" x14ac:dyDescent="0.4">
      <c r="A444" s="1">
        <v>45938</v>
      </c>
      <c r="B444" s="20">
        <v>96.38</v>
      </c>
      <c r="C444" s="13">
        <v>96.54</v>
      </c>
      <c r="D444" s="13">
        <v>96.56</v>
      </c>
      <c r="E444" s="13">
        <v>96.32</v>
      </c>
    </row>
    <row r="445" spans="1:6" x14ac:dyDescent="0.4">
      <c r="A445" s="1">
        <v>45939</v>
      </c>
      <c r="B445" s="11">
        <v>96.29</v>
      </c>
      <c r="C445" s="7">
        <v>96.29</v>
      </c>
      <c r="D445" s="7">
        <v>96.35</v>
      </c>
      <c r="E445" s="7">
        <v>96.23</v>
      </c>
      <c r="F445" s="7"/>
    </row>
    <row r="446" spans="1:6" x14ac:dyDescent="0.4">
      <c r="A446" s="1">
        <v>45940</v>
      </c>
      <c r="B446" s="9">
        <v>96.91</v>
      </c>
      <c r="C446" s="7">
        <v>96.65</v>
      </c>
      <c r="D446" s="7">
        <v>97.01</v>
      </c>
      <c r="E446" s="7">
        <v>96.57</v>
      </c>
      <c r="F446" s="7"/>
    </row>
    <row r="447" spans="1:6" x14ac:dyDescent="0.4">
      <c r="A447" s="1">
        <v>45943</v>
      </c>
      <c r="B447" s="20">
        <v>96.96</v>
      </c>
      <c r="C447" s="13">
        <v>96.9</v>
      </c>
      <c r="D447" s="13">
        <v>96.99</v>
      </c>
      <c r="E447" s="13">
        <v>96.78</v>
      </c>
    </row>
    <row r="448" spans="1:6" x14ac:dyDescent="0.4">
      <c r="A448" s="1">
        <v>45944</v>
      </c>
      <c r="B448" s="9">
        <v>97.21</v>
      </c>
      <c r="C448" s="7">
        <v>97.06</v>
      </c>
      <c r="D448" s="7">
        <v>97.24</v>
      </c>
      <c r="E448" s="7">
        <v>96.98</v>
      </c>
      <c r="F448" s="7"/>
    </row>
    <row r="449" spans="1:6" x14ac:dyDescent="0.4">
      <c r="A449" s="1">
        <v>45945</v>
      </c>
      <c r="B449" s="12">
        <v>97.1</v>
      </c>
      <c r="C449" s="13">
        <v>97.21</v>
      </c>
      <c r="D449" s="13">
        <v>97.33</v>
      </c>
      <c r="E449" s="13">
        <v>97.02</v>
      </c>
      <c r="F449" s="13"/>
    </row>
    <row r="450" spans="1:6" x14ac:dyDescent="0.4">
      <c r="A450" s="1">
        <v>45946</v>
      </c>
      <c r="B450" s="20">
        <v>97.54</v>
      </c>
      <c r="C450" s="13">
        <v>97.02</v>
      </c>
      <c r="D450" s="13">
        <v>97.58</v>
      </c>
      <c r="E450" s="13">
        <v>97</v>
      </c>
      <c r="F450" s="13"/>
    </row>
    <row r="451" spans="1:6" x14ac:dyDescent="0.4">
      <c r="A451" s="1">
        <v>45947</v>
      </c>
      <c r="B451" s="11">
        <v>97.38</v>
      </c>
      <c r="C451" s="7">
        <v>97.46</v>
      </c>
      <c r="D451" s="7">
        <v>97.47</v>
      </c>
      <c r="E451" s="7">
        <v>97.27</v>
      </c>
      <c r="F451" s="7"/>
    </row>
    <row r="452" spans="1:6" x14ac:dyDescent="0.4">
      <c r="A452" s="1">
        <v>45950</v>
      </c>
      <c r="B452" s="20">
        <v>97.52</v>
      </c>
      <c r="C452" s="13">
        <v>97.45</v>
      </c>
      <c r="D452" s="13">
        <v>97.53</v>
      </c>
      <c r="E452" s="13">
        <v>97.38</v>
      </c>
      <c r="F452" s="13"/>
    </row>
    <row r="453" spans="1:6" x14ac:dyDescent="0.4">
      <c r="A453" s="1">
        <v>45951</v>
      </c>
      <c r="B453" s="20">
        <v>97.7</v>
      </c>
      <c r="C453" s="13">
        <v>97.69</v>
      </c>
      <c r="D453" s="13">
        <v>97.76</v>
      </c>
      <c r="E453" s="13">
        <v>97.64</v>
      </c>
      <c r="F453" s="13"/>
    </row>
    <row r="454" spans="1:6" x14ac:dyDescent="0.4">
      <c r="A454" s="1">
        <v>45952</v>
      </c>
      <c r="B454" s="20">
        <v>97.71</v>
      </c>
      <c r="C454" s="13">
        <v>97.65</v>
      </c>
      <c r="D454" s="13">
        <v>97.76</v>
      </c>
      <c r="E454" s="13">
        <v>97.56</v>
      </c>
      <c r="F454" s="13"/>
    </row>
    <row r="455" spans="1:6" x14ac:dyDescent="0.4">
      <c r="A455" s="1">
        <v>45953</v>
      </c>
      <c r="B455" s="12">
        <v>97.4</v>
      </c>
      <c r="C455" s="13">
        <v>97.52</v>
      </c>
      <c r="D455" s="13">
        <v>97.57</v>
      </c>
      <c r="E455" s="13">
        <v>97.38</v>
      </c>
      <c r="F455" s="13"/>
    </row>
    <row r="456" spans="1:6" x14ac:dyDescent="0.4">
      <c r="A456" s="1">
        <v>45954</v>
      </c>
      <c r="B456" s="20">
        <v>97.49</v>
      </c>
      <c r="C456" s="13">
        <v>97.52</v>
      </c>
      <c r="D456" s="13">
        <v>97.54</v>
      </c>
      <c r="E456" s="13">
        <v>97.34</v>
      </c>
      <c r="F456" s="13"/>
    </row>
    <row r="457" spans="1:6" x14ac:dyDescent="0.4">
      <c r="A457" s="1">
        <v>45957</v>
      </c>
      <c r="B457" s="12">
        <v>97.49</v>
      </c>
      <c r="C457" s="13">
        <v>97.34</v>
      </c>
      <c r="D457" s="13">
        <v>97.49</v>
      </c>
      <c r="E457" s="13">
        <v>97.21</v>
      </c>
      <c r="F457" s="13"/>
    </row>
    <row r="458" spans="1:6" x14ac:dyDescent="0.4">
      <c r="A458" s="1">
        <v>45958</v>
      </c>
      <c r="B458" s="20">
        <v>97.58</v>
      </c>
      <c r="C458" s="13">
        <v>97.43</v>
      </c>
      <c r="D458" s="13">
        <v>97.63</v>
      </c>
      <c r="E458" s="13">
        <v>97.43</v>
      </c>
      <c r="F458" s="13"/>
    </row>
    <row r="459" spans="1:6" x14ac:dyDescent="0.4">
      <c r="A459" s="1">
        <v>45959</v>
      </c>
      <c r="B459" s="12">
        <v>96.94</v>
      </c>
      <c r="C459" s="13">
        <v>97.53</v>
      </c>
      <c r="D459" s="13">
        <v>97.53</v>
      </c>
      <c r="E459" s="13">
        <v>96.9</v>
      </c>
      <c r="F459" s="13"/>
    </row>
    <row r="460" spans="1:6" x14ac:dyDescent="0.4">
      <c r="A460" s="1">
        <v>45960</v>
      </c>
      <c r="B460" s="12">
        <v>96.81</v>
      </c>
      <c r="C460" s="13">
        <v>96.67</v>
      </c>
      <c r="D460" s="13">
        <v>96.96</v>
      </c>
      <c r="E460" s="13">
        <v>96.65</v>
      </c>
      <c r="F460" s="13"/>
    </row>
    <row r="461" spans="1:6" x14ac:dyDescent="0.4">
      <c r="A461" s="1">
        <v>45961</v>
      </c>
      <c r="B461" s="9">
        <v>96.85</v>
      </c>
      <c r="C461" s="7">
        <v>96.87</v>
      </c>
      <c r="D461" s="7">
        <v>96.94</v>
      </c>
      <c r="E461" s="7">
        <v>96.79</v>
      </c>
      <c r="F461" s="7"/>
    </row>
    <row r="462" spans="1:6" x14ac:dyDescent="0.4">
      <c r="A462" s="1">
        <v>45964</v>
      </c>
      <c r="B462" s="12">
        <v>96.5</v>
      </c>
      <c r="C462" s="13">
        <v>96.42</v>
      </c>
      <c r="D462" s="13">
        <v>96.56</v>
      </c>
      <c r="E462" s="13">
        <v>96.37</v>
      </c>
      <c r="F462" s="13"/>
    </row>
    <row r="463" spans="1:6" x14ac:dyDescent="0.4">
      <c r="A463" s="1">
        <v>45965</v>
      </c>
      <c r="B463" s="20">
        <v>96.63</v>
      </c>
      <c r="C463" s="13">
        <v>96.57</v>
      </c>
      <c r="D463" s="13">
        <v>96.67</v>
      </c>
      <c r="E463" s="13">
        <v>96.55</v>
      </c>
      <c r="F463" s="13"/>
    </row>
    <row r="464" spans="1:6" x14ac:dyDescent="0.4">
      <c r="A464" s="1">
        <v>45966</v>
      </c>
      <c r="B464" s="12">
        <v>96.16</v>
      </c>
      <c r="C464" s="13">
        <v>96.45</v>
      </c>
      <c r="D464" s="13">
        <v>96.46</v>
      </c>
      <c r="E464" s="13">
        <v>96.13</v>
      </c>
      <c r="F464" s="13"/>
    </row>
    <row r="465" spans="1:6" x14ac:dyDescent="0.4">
      <c r="A465" s="1">
        <v>45967</v>
      </c>
      <c r="B465" s="20">
        <v>96.65</v>
      </c>
      <c r="C465" s="13">
        <v>96.52</v>
      </c>
      <c r="D465" s="13">
        <v>96.71</v>
      </c>
      <c r="E465" s="13">
        <v>96.51</v>
      </c>
      <c r="F465" s="13"/>
    </row>
    <row r="466" spans="1:6" x14ac:dyDescent="0.4">
      <c r="A466" s="1">
        <v>45968</v>
      </c>
      <c r="B466" s="20">
        <v>96.69</v>
      </c>
      <c r="C466" s="13">
        <v>96.56</v>
      </c>
      <c r="D466" s="13">
        <v>96.86</v>
      </c>
      <c r="E466" s="13">
        <v>96.56</v>
      </c>
      <c r="F466" s="13"/>
    </row>
    <row r="467" spans="1:6" x14ac:dyDescent="0.4">
      <c r="A467" s="1">
        <v>45971</v>
      </c>
      <c r="B467" s="11">
        <v>96.56</v>
      </c>
      <c r="C467" s="7">
        <v>96.55</v>
      </c>
      <c r="D467" s="7">
        <v>96.65</v>
      </c>
      <c r="E467" s="7">
        <v>96.51</v>
      </c>
      <c r="F467" s="7"/>
    </row>
    <row r="468" spans="1:6" x14ac:dyDescent="0.4">
      <c r="A468" s="1">
        <v>45972</v>
      </c>
      <c r="B468" s="20">
        <v>96.86</v>
      </c>
      <c r="C468" s="13">
        <v>96.82</v>
      </c>
      <c r="D468" s="13">
        <v>96.89</v>
      </c>
      <c r="E468" s="13">
        <v>96.73</v>
      </c>
      <c r="F468" s="13"/>
    </row>
    <row r="469" spans="1:6" x14ac:dyDescent="0.4">
      <c r="A469" s="1">
        <v>45973</v>
      </c>
      <c r="B469" s="20">
        <v>96.88</v>
      </c>
      <c r="C469" s="13">
        <v>96.81</v>
      </c>
      <c r="D469" s="13">
        <v>96.94</v>
      </c>
      <c r="E469" s="13">
        <v>96.78</v>
      </c>
      <c r="F469" s="13"/>
    </row>
    <row r="470" spans="1:6" x14ac:dyDescent="0.4">
      <c r="A470" s="1">
        <v>45974</v>
      </c>
      <c r="B470" s="12">
        <v>96.61</v>
      </c>
      <c r="C470" s="13">
        <v>96.65</v>
      </c>
      <c r="D470" s="13">
        <v>96.79</v>
      </c>
      <c r="E470" s="13">
        <v>96.6</v>
      </c>
      <c r="F470" s="13"/>
    </row>
    <row r="471" spans="1:6" x14ac:dyDescent="0.4">
      <c r="A471" s="1">
        <v>45975</v>
      </c>
      <c r="B471" s="12">
        <v>96.46</v>
      </c>
      <c r="C471" s="13">
        <v>96.88</v>
      </c>
      <c r="D471" s="13">
        <v>96.93</v>
      </c>
      <c r="E471" s="13">
        <v>96.42</v>
      </c>
      <c r="F471" s="13"/>
    </row>
    <row r="472" spans="1:6" x14ac:dyDescent="0.4">
      <c r="A472" s="1">
        <v>45978</v>
      </c>
      <c r="B472" s="20">
        <v>96.55</v>
      </c>
      <c r="C472" s="13">
        <v>96.54</v>
      </c>
      <c r="D472" s="13">
        <v>96.61</v>
      </c>
      <c r="E472" s="13">
        <v>96.49</v>
      </c>
      <c r="F472" s="13"/>
    </row>
    <row r="473" spans="1:6" x14ac:dyDescent="0.4">
      <c r="A473" s="1">
        <v>45979</v>
      </c>
      <c r="B473" s="20">
        <v>96.7</v>
      </c>
      <c r="C473" s="13">
        <v>96.84</v>
      </c>
      <c r="D473" s="13">
        <v>96.93</v>
      </c>
      <c r="E473" s="13">
        <v>96.57</v>
      </c>
      <c r="F473" s="13"/>
    </row>
    <row r="474" spans="1:6" x14ac:dyDescent="0.4">
      <c r="A474" s="1">
        <v>45980</v>
      </c>
      <c r="B474" s="12">
        <v>96.65</v>
      </c>
      <c r="C474" s="13">
        <v>96.81</v>
      </c>
      <c r="D474" s="13">
        <v>96.85</v>
      </c>
      <c r="E474" s="13">
        <v>96.6</v>
      </c>
      <c r="F474" s="13"/>
    </row>
    <row r="475" spans="1:6" x14ac:dyDescent="0.4">
      <c r="A475" s="1">
        <v>45981</v>
      </c>
      <c r="B475" s="20">
        <v>96.88</v>
      </c>
      <c r="C475" s="13">
        <v>96.74</v>
      </c>
      <c r="D475" s="13">
        <v>96.94</v>
      </c>
      <c r="E475" s="13">
        <v>96.7</v>
      </c>
      <c r="F475" s="13"/>
    </row>
    <row r="476" spans="1:6" x14ac:dyDescent="0.4">
      <c r="A476" s="1">
        <v>45982</v>
      </c>
      <c r="B476" s="20">
        <v>97.18</v>
      </c>
      <c r="C476" s="13">
        <v>97.19</v>
      </c>
      <c r="D476" s="13">
        <v>97.22</v>
      </c>
      <c r="E476" s="13">
        <v>97</v>
      </c>
      <c r="F476" s="13"/>
    </row>
    <row r="477" spans="1:6" x14ac:dyDescent="0.4">
      <c r="A477" s="1">
        <v>45985</v>
      </c>
      <c r="B477" s="9">
        <v>97.33</v>
      </c>
      <c r="C477" s="7">
        <v>97.29</v>
      </c>
      <c r="D477" s="7">
        <v>97.36</v>
      </c>
      <c r="E477" s="7">
        <v>97.18</v>
      </c>
      <c r="F477" s="7"/>
    </row>
    <row r="478" spans="1:6" x14ac:dyDescent="0.4">
      <c r="A478" s="1">
        <v>45986</v>
      </c>
      <c r="B478" s="20">
        <v>97.59</v>
      </c>
      <c r="C478" s="13">
        <v>97.45</v>
      </c>
      <c r="D478" s="13">
        <v>97.7</v>
      </c>
      <c r="E478" s="13">
        <v>97.43</v>
      </c>
      <c r="F478" s="13"/>
    </row>
    <row r="479" spans="1:6" x14ac:dyDescent="0.4">
      <c r="A479" s="1">
        <v>45987</v>
      </c>
      <c r="B479" s="20">
        <v>97.67</v>
      </c>
      <c r="C479" s="13">
        <v>97.48</v>
      </c>
      <c r="D479" s="13">
        <v>97.67</v>
      </c>
      <c r="E479" s="13">
        <v>97.33</v>
      </c>
      <c r="F479" s="13"/>
    </row>
    <row r="480" spans="1:6" x14ac:dyDescent="0.4">
      <c r="A480" s="1">
        <v>45989</v>
      </c>
      <c r="B480" s="11">
        <v>97.5</v>
      </c>
      <c r="C480" s="7">
        <v>97.63</v>
      </c>
      <c r="D480" s="7">
        <v>97.64</v>
      </c>
      <c r="E480" s="7">
        <v>97.4</v>
      </c>
      <c r="F480" s="7"/>
    </row>
    <row r="481" spans="1:6" x14ac:dyDescent="0.4">
      <c r="A481" s="1">
        <v>45992</v>
      </c>
      <c r="B481" s="11">
        <v>96.69</v>
      </c>
      <c r="C481" s="7">
        <v>96.77</v>
      </c>
      <c r="D481" s="7">
        <v>96.83</v>
      </c>
      <c r="E481" s="7">
        <v>96.68</v>
      </c>
      <c r="F481" s="7"/>
    </row>
    <row r="482" spans="1:6" x14ac:dyDescent="0.4">
      <c r="A482" s="1">
        <v>45993</v>
      </c>
      <c r="B482" s="20">
        <v>96.78</v>
      </c>
      <c r="C482" s="13">
        <v>96.66</v>
      </c>
      <c r="D482" s="13">
        <v>96.82</v>
      </c>
      <c r="E482" s="13">
        <v>96.61</v>
      </c>
      <c r="F482" s="13"/>
    </row>
    <row r="483" spans="1:6" x14ac:dyDescent="0.4">
      <c r="A483" s="1">
        <v>45994</v>
      </c>
      <c r="B483" s="20">
        <v>96.97</v>
      </c>
      <c r="C483" s="13">
        <v>96.93</v>
      </c>
      <c r="D483" s="13">
        <v>97.03</v>
      </c>
      <c r="E483" s="13">
        <v>96.81</v>
      </c>
      <c r="F483" s="13"/>
    </row>
    <row r="484" spans="1:6" x14ac:dyDescent="0.4">
      <c r="A484" s="1">
        <v>45995</v>
      </c>
      <c r="B484" s="12">
        <v>96.67</v>
      </c>
      <c r="C484" s="13">
        <v>96.82</v>
      </c>
      <c r="D484" s="13">
        <v>96.82</v>
      </c>
      <c r="E484" s="13">
        <v>96.62</v>
      </c>
    </row>
    <row r="485" spans="1:6" x14ac:dyDescent="0.4">
      <c r="A485" s="1">
        <v>45996</v>
      </c>
      <c r="B485" s="12">
        <v>96.47</v>
      </c>
      <c r="C485" s="13">
        <v>96.69</v>
      </c>
      <c r="D485" s="13">
        <v>96.7</v>
      </c>
      <c r="E485" s="13">
        <v>96.42</v>
      </c>
      <c r="F485" s="13"/>
    </row>
    <row r="486" spans="1:6" x14ac:dyDescent="0.4">
      <c r="A486" s="1">
        <v>45999</v>
      </c>
      <c r="B486" s="12">
        <v>96.27</v>
      </c>
      <c r="C486" s="13">
        <v>96.41</v>
      </c>
      <c r="D486" s="13">
        <v>96.42</v>
      </c>
      <c r="E486" s="13">
        <v>96.09</v>
      </c>
      <c r="F486" s="13"/>
    </row>
    <row r="487" spans="1:6" x14ac:dyDescent="0.4">
      <c r="A487" s="1">
        <v>46000</v>
      </c>
      <c r="B487" s="12">
        <v>96.13</v>
      </c>
      <c r="C487" s="13">
        <v>96.4</v>
      </c>
      <c r="D487" s="13">
        <v>96.4</v>
      </c>
      <c r="E487" s="13">
        <v>96.11</v>
      </c>
      <c r="F487" s="13"/>
    </row>
    <row r="488" spans="1:6" x14ac:dyDescent="0.4">
      <c r="A488" s="1">
        <v>46001</v>
      </c>
      <c r="B488" s="20">
        <v>96.44</v>
      </c>
      <c r="C488" s="13">
        <v>96.08</v>
      </c>
      <c r="D488" s="13">
        <v>96.47</v>
      </c>
      <c r="E488" s="13">
        <v>96.08</v>
      </c>
      <c r="F488" s="13">
        <v>1</v>
      </c>
    </row>
    <row r="489" spans="1:6" x14ac:dyDescent="0.4">
      <c r="A489" s="1">
        <v>46002</v>
      </c>
      <c r="B489" s="20">
        <v>96.45</v>
      </c>
      <c r="C489" s="13">
        <v>96.68</v>
      </c>
      <c r="D489" s="13">
        <v>96.73</v>
      </c>
      <c r="E489" s="13">
        <v>96.42</v>
      </c>
      <c r="F489" s="13"/>
    </row>
    <row r="490" spans="1:6" x14ac:dyDescent="0.4">
      <c r="A490" s="1">
        <v>46003</v>
      </c>
      <c r="B490" s="12">
        <v>96.19</v>
      </c>
      <c r="C490" s="13">
        <v>96.41</v>
      </c>
      <c r="D490" s="13">
        <v>96.27</v>
      </c>
      <c r="E490" s="13">
        <v>96.17</v>
      </c>
      <c r="F490" s="13"/>
    </row>
    <row r="491" spans="1:6" x14ac:dyDescent="0.4">
      <c r="A491" s="1">
        <v>46006</v>
      </c>
      <c r="B491" s="20">
        <v>96.28</v>
      </c>
      <c r="C491" s="13">
        <v>96.41</v>
      </c>
      <c r="D491" s="13">
        <v>96.5</v>
      </c>
      <c r="E491" s="13">
        <v>96.25</v>
      </c>
      <c r="F491" s="13"/>
    </row>
    <row r="492" spans="1:6" x14ac:dyDescent="0.4">
      <c r="A492" s="1">
        <v>46007</v>
      </c>
      <c r="B492" s="9">
        <v>96.54</v>
      </c>
      <c r="C492" s="7">
        <v>96.24</v>
      </c>
      <c r="D492" s="7">
        <v>96.56</v>
      </c>
      <c r="E492" s="7">
        <v>96.23</v>
      </c>
    </row>
    <row r="493" spans="1:6" x14ac:dyDescent="0.4">
      <c r="A493" s="1">
        <v>46008</v>
      </c>
      <c r="B493" s="20">
        <v>96.52</v>
      </c>
    </row>
  </sheetData>
  <autoFilter ref="A1:G1" xr:uid="{00000000-0009-0000-0000-000007000000}">
    <sortState xmlns:xlrd2="http://schemas.microsoft.com/office/spreadsheetml/2017/richdata2" ref="A2:G337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최종정리</vt:lpstr>
      <vt:lpstr>S&amp;P500</vt:lpstr>
      <vt:lpstr>나스닥</vt:lpstr>
      <vt:lpstr>VIX</vt:lpstr>
      <vt:lpstr>10년</vt:lpstr>
      <vt:lpstr>5년</vt:lpstr>
      <vt:lpstr>HYG</vt:lpstr>
      <vt:lpstr>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2025-05-06T02:00:44Z</dcterms:created>
  <dcterms:modified xsi:type="dcterms:W3CDTF">2025-12-17T22:06:30Z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20250506110818</vt:lpwstr>
  </property>
</Properties>
</file>